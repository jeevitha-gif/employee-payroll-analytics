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\Documents\besant technologies\Excel\project\"/>
    </mc:Choice>
  </mc:AlternateContent>
  <xr:revisionPtr revIDLastSave="0" documentId="13_ncr:1_{1F8FC603-1F39-443E-95C9-CC4A072796D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mployee1 sample" sheetId="3" r:id="rId1"/>
    <sheet name="Payroll_Calculation" sheetId="2" r:id="rId2"/>
    <sheet name="pivot table &amp; chart" sheetId="5" r:id="rId3"/>
  </sheets>
  <definedNames>
    <definedName name="ExternalData_1" localSheetId="0" hidden="1">'employee1 sample'!$A$1:$O$5001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9" i="2" l="1"/>
  <c r="C21" i="2"/>
  <c r="C7" i="2"/>
  <c r="C20" i="2"/>
  <c r="C25" i="2"/>
  <c r="C24" i="2"/>
  <c r="C23" i="2"/>
  <c r="C22" i="2"/>
  <c r="C6" i="2"/>
  <c r="C10" i="2"/>
  <c r="C9" i="2"/>
  <c r="C8" i="2"/>
  <c r="C5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employee1 sample" description="Connection to the 'employee1 sample' query in the workbook." type="5" refreshedVersion="7" background="1" saveData="1">
    <dbPr connection="Provider=Microsoft.Mashup.OleDb.1;Data Source=$Workbook$;Location=&quot;employee1 sample&quot;;Extended Properties=&quot;&quot;" command="SELECT * FROM [employee1 sample]"/>
  </connection>
</connections>
</file>

<file path=xl/sharedStrings.xml><?xml version="1.0" encoding="utf-8"?>
<sst xmlns="http://schemas.openxmlformats.org/spreadsheetml/2006/main" count="20061" uniqueCount="59">
  <si>
    <t>Employee_ID</t>
  </si>
  <si>
    <t>Name</t>
  </si>
  <si>
    <t>Gender</t>
  </si>
  <si>
    <t>Age</t>
  </si>
  <si>
    <t>City</t>
  </si>
  <si>
    <t>Department</t>
  </si>
  <si>
    <t>Salary</t>
  </si>
  <si>
    <t>Joining_Date</t>
  </si>
  <si>
    <t>Experience_Years</t>
  </si>
  <si>
    <t>Performance_Rating</t>
  </si>
  <si>
    <t>Vijay</t>
  </si>
  <si>
    <t>Male</t>
  </si>
  <si>
    <t>Delhi</t>
  </si>
  <si>
    <t>Support</t>
  </si>
  <si>
    <t>Sneha</t>
  </si>
  <si>
    <t>Female</t>
  </si>
  <si>
    <t>Hyderabad</t>
  </si>
  <si>
    <t>IT</t>
  </si>
  <si>
    <t>Anjali</t>
  </si>
  <si>
    <t>Finance</t>
  </si>
  <si>
    <t>Divya</t>
  </si>
  <si>
    <t>Sales</t>
  </si>
  <si>
    <t>Karthik</t>
  </si>
  <si>
    <t>Suresh</t>
  </si>
  <si>
    <t>Mumbai</t>
  </si>
  <si>
    <t>HR</t>
  </si>
  <si>
    <t>Priya</t>
  </si>
  <si>
    <t>Meena</t>
  </si>
  <si>
    <t>Chennai</t>
  </si>
  <si>
    <t>Bangalore</t>
  </si>
  <si>
    <t>Rahul</t>
  </si>
  <si>
    <t>Arun</t>
  </si>
  <si>
    <t>Bonus</t>
  </si>
  <si>
    <t>Tax</t>
  </si>
  <si>
    <t>Net_Salary</t>
  </si>
  <si>
    <t>Experience_Bonus</t>
  </si>
  <si>
    <t>Gross_Pay</t>
  </si>
  <si>
    <t>Basic_Salary</t>
  </si>
  <si>
    <t>Payroll Summary Section</t>
  </si>
  <si>
    <t>Total Net Salary of all employees</t>
  </si>
  <si>
    <t>Number of Employees</t>
  </si>
  <si>
    <t>Highest Salary</t>
  </si>
  <si>
    <t>Lowest Salary</t>
  </si>
  <si>
    <t>Average employee salary</t>
  </si>
  <si>
    <t>Employee Summary</t>
  </si>
  <si>
    <t>Employee Name</t>
  </si>
  <si>
    <t>Experience</t>
  </si>
  <si>
    <t>Employee ID</t>
  </si>
  <si>
    <t>Details</t>
  </si>
  <si>
    <t>Row Labels</t>
  </si>
  <si>
    <t>Grand Total</t>
  </si>
  <si>
    <t>Sum of Net_Salary</t>
  </si>
  <si>
    <t>Salary by Department</t>
  </si>
  <si>
    <t>Average Salary</t>
  </si>
  <si>
    <t>Count of Employee_ID</t>
  </si>
  <si>
    <t>Average of Salary</t>
  </si>
  <si>
    <t>Employee Count by Department</t>
  </si>
  <si>
    <t>Table Format</t>
  </si>
  <si>
    <t>Chart format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</si>
</sst>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 &quot;₹&quot;\ * #,##0.00_ ;_ &quot;₹&quot;\ * \-#,##0.00_ ;_ &quot;₹&quot;\ * &quot;-&quot;??_ ;_ @_ "/>
    <numFmt numFmtId="164" formatCode="&quot;₹&quot;\ #,##0.00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2"/>
      <color rgb="FFFF0000"/>
      <name val="Agency FB"/>
      <family val="2"/>
    </font>
    <font>
      <b/>
      <sz val="16"/>
      <color theme="1"/>
      <name val="Book Antiqua"/>
      <family val="1"/>
    </font>
    <font>
      <b/>
      <sz val="14"/>
      <color theme="1"/>
      <name val="Arial Narrow"/>
      <family val="2"/>
    </font>
    <font>
      <b/>
      <sz val="14"/>
      <color rgb="FFFF0000"/>
      <name val="Arial Narrow"/>
      <family val="2"/>
    </font>
    <font>
      <b/>
      <sz val="18"/>
      <color rgb="FFFF0000"/>
      <name val="Arial Narrow"/>
      <family val="2"/>
    </font>
    <font>
      <b/>
      <sz val="18"/>
      <color theme="4" tint="-0.499984740745262"/>
      <name val="Arial Narrow"/>
      <family val="2"/>
    </font>
    <font>
      <sz val="18"/>
      <color theme="1"/>
      <name val="Arial Narrow"/>
      <family val="2"/>
    </font>
    <font>
      <sz val="18"/>
      <color theme="1"/>
      <name val="Calibri"/>
      <family val="2"/>
      <scheme val="minor"/>
    </font>
    <font>
      <sz val="18"/>
      <color rgb="FF002060"/>
      <name val="Arial Narrow"/>
      <family val="2"/>
    </font>
    <font>
      <b/>
      <u/>
      <sz val="20"/>
      <color rgb="FFC00000"/>
      <name val="Algerian"/>
      <family val="5"/>
    </font>
    <font>
      <b/>
      <sz val="18"/>
      <color theme="4" tint="-0.499984740745262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B8E08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D8BAC"/>
        <bgColor indexed="64"/>
      </patternFill>
    </fill>
    <fill>
      <patternFill patternType="solid">
        <fgColor theme="7" tint="0.59999389629810485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3">
    <xf numFmtId="0" fontId="0" fillId="0" borderId="0" xfId="0"/>
    <xf numFmtId="14" fontId="0" fillId="0" borderId="0" xfId="0" applyNumberFormat="1"/>
    <xf numFmtId="0" fontId="0" fillId="0" borderId="0" xfId="0" applyNumberFormat="1"/>
    <xf numFmtId="164" fontId="18" fillId="34" borderId="10" xfId="1" applyNumberFormat="1" applyFont="1" applyFill="1" applyBorder="1"/>
    <xf numFmtId="0" fontId="18" fillId="34" borderId="10" xfId="0" applyFont="1" applyFill="1" applyBorder="1"/>
    <xf numFmtId="0" fontId="20" fillId="33" borderId="10" xfId="0" applyFont="1" applyFill="1" applyBorder="1"/>
    <xf numFmtId="0" fontId="21" fillId="33" borderId="16" xfId="0" applyFont="1" applyFill="1" applyBorder="1" applyAlignment="1">
      <alignment horizontal="left"/>
    </xf>
    <xf numFmtId="0" fontId="21" fillId="37" borderId="15" xfId="0" applyFont="1" applyFill="1" applyBorder="1" applyAlignment="1">
      <alignment horizontal="center" vertical="center"/>
    </xf>
    <xf numFmtId="164" fontId="21" fillId="37" borderId="15" xfId="0" applyNumberFormat="1" applyFont="1" applyFill="1" applyBorder="1" applyAlignment="1">
      <alignment horizontal="center" vertical="center"/>
    </xf>
    <xf numFmtId="0" fontId="19" fillId="36" borderId="14" xfId="0" applyFont="1" applyFill="1" applyBorder="1" applyAlignment="1">
      <alignment horizontal="center" vertical="center"/>
    </xf>
    <xf numFmtId="0" fontId="19" fillId="36" borderId="13" xfId="0" applyFont="1" applyFill="1" applyBorder="1" applyAlignment="1">
      <alignment horizontal="center" vertical="center"/>
    </xf>
    <xf numFmtId="0" fontId="21" fillId="33" borderId="12" xfId="0" applyFont="1" applyFill="1" applyBorder="1" applyAlignment="1">
      <alignment horizontal="left"/>
    </xf>
    <xf numFmtId="164" fontId="21" fillId="37" borderId="11" xfId="0" applyNumberFormat="1" applyFont="1" applyFill="1" applyBorder="1" applyAlignment="1">
      <alignment horizontal="center" vertical="center"/>
    </xf>
    <xf numFmtId="0" fontId="0" fillId="38" borderId="0" xfId="0" applyFill="1"/>
    <xf numFmtId="0" fontId="22" fillId="38" borderId="0" xfId="0" applyFont="1" applyFill="1" applyAlignment="1"/>
    <xf numFmtId="0" fontId="24" fillId="39" borderId="10" xfId="0" applyFont="1" applyFill="1" applyBorder="1"/>
    <xf numFmtId="0" fontId="24" fillId="39" borderId="10" xfId="0" applyFont="1" applyFill="1" applyBorder="1" applyAlignment="1">
      <alignment horizontal="center" vertical="center"/>
    </xf>
    <xf numFmtId="0" fontId="25" fillId="39" borderId="10" xfId="0" applyFont="1" applyFill="1" applyBorder="1" applyAlignment="1">
      <alignment horizontal="left"/>
    </xf>
    <xf numFmtId="164" fontId="25" fillId="39" borderId="10" xfId="0" applyNumberFormat="1" applyFont="1" applyFill="1" applyBorder="1"/>
    <xf numFmtId="0" fontId="27" fillId="39" borderId="10" xfId="0" applyFont="1" applyFill="1" applyBorder="1"/>
    <xf numFmtId="0" fontId="27" fillId="39" borderId="10" xfId="0" applyFont="1" applyFill="1" applyBorder="1" applyAlignment="1">
      <alignment horizontal="right" vertical="center" indent="1"/>
    </xf>
    <xf numFmtId="0" fontId="25" fillId="39" borderId="10" xfId="0" applyNumberFormat="1" applyFont="1" applyFill="1" applyBorder="1" applyAlignment="1">
      <alignment horizontal="right" vertical="center" indent="1"/>
    </xf>
    <xf numFmtId="0" fontId="29" fillId="39" borderId="10" xfId="0" applyFont="1" applyFill="1" applyBorder="1"/>
    <xf numFmtId="0" fontId="26" fillId="39" borderId="10" xfId="0" applyFont="1" applyFill="1" applyBorder="1" applyAlignment="1">
      <alignment horizontal="left"/>
    </xf>
    <xf numFmtId="164" fontId="26" fillId="39" borderId="10" xfId="0" applyNumberFormat="1" applyFont="1" applyFill="1" applyBorder="1"/>
    <xf numFmtId="0" fontId="19" fillId="33" borderId="10" xfId="0" applyFont="1" applyFill="1" applyBorder="1" applyAlignment="1">
      <alignment horizontal="center"/>
    </xf>
    <xf numFmtId="0" fontId="0" fillId="35" borderId="15" xfId="0" applyFill="1" applyBorder="1" applyAlignment="1">
      <alignment horizontal="center"/>
    </xf>
    <xf numFmtId="0" fontId="0" fillId="35" borderId="16" xfId="0" applyFill="1" applyBorder="1" applyAlignment="1">
      <alignment horizontal="center"/>
    </xf>
    <xf numFmtId="0" fontId="23" fillId="39" borderId="17" xfId="0" applyFont="1" applyFill="1" applyBorder="1" applyAlignment="1">
      <alignment horizontal="center"/>
    </xf>
    <xf numFmtId="0" fontId="23" fillId="39" borderId="10" xfId="0" applyFont="1" applyFill="1" applyBorder="1" applyAlignment="1">
      <alignment horizontal="center"/>
    </xf>
    <xf numFmtId="0" fontId="28" fillId="38" borderId="10" xfId="0" applyFont="1" applyFill="1" applyBorder="1" applyAlignment="1">
      <alignment horizontal="center" vertical="center"/>
    </xf>
    <xf numFmtId="0" fontId="23" fillId="39" borderId="15" xfId="0" applyFont="1" applyFill="1" applyBorder="1" applyAlignment="1">
      <alignment horizontal="center"/>
    </xf>
    <xf numFmtId="0" fontId="23" fillId="39" borderId="16" xfId="0" applyFont="1" applyFill="1" applyBorder="1" applyAlignment="1">
      <alignment horizont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150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alignment horizontal="center"/>
    </dxf>
    <dxf>
      <alignment vertical="center"/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b/>
      </font>
    </dxf>
    <dxf>
      <font>
        <b/>
      </font>
    </dxf>
    <dxf>
      <font>
        <color theme="4" tint="-0.499984740745262"/>
      </font>
    </dxf>
    <dxf>
      <font>
        <color theme="4" tint="-0.499984740745262"/>
      </font>
    </dxf>
    <dxf>
      <numFmt numFmtId="164" formatCode="&quot;₹&quot;\ #,##0.00"/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ill>
        <patternFill>
          <bgColor theme="5" tint="0.59999389629810485"/>
        </patternFill>
      </fill>
    </dxf>
    <dxf>
      <fill>
        <patternFill>
          <bgColor theme="5" tint="0.59999389629810485"/>
        </patternFill>
      </fill>
    </dxf>
    <dxf>
      <fill>
        <patternFill>
          <bgColor theme="5" tint="0.59999389629810485"/>
        </patternFill>
      </fill>
    </dxf>
    <dxf>
      <fill>
        <patternFill>
          <bgColor theme="5" tint="0.59999389629810485"/>
        </patternFill>
      </fill>
    </dxf>
    <dxf>
      <fill>
        <patternFill>
          <bgColor theme="5" tint="0.59999389629810485"/>
        </patternFill>
      </fill>
    </dxf>
    <dxf>
      <fill>
        <patternFill>
          <bgColor theme="5" tint="0.59999389629810485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border>
        <horizontal style="thin">
          <color indexed="64"/>
        </horizontal>
      </border>
    </dxf>
    <dxf>
      <border>
        <horizontal style="thin">
          <color indexed="64"/>
        </horizontal>
      </border>
    </dxf>
    <dxf>
      <border>
        <horizontal style="thin">
          <color indexed="64"/>
        </horizontal>
      </border>
    </dxf>
    <dxf>
      <border>
        <horizontal style="thin">
          <color indexed="64"/>
        </horizontal>
      </border>
    </dxf>
    <dxf>
      <border>
        <horizontal style="thin">
          <color indexed="64"/>
        </horizontal>
      </border>
    </dxf>
    <dxf>
      <border>
        <horizontal style="thin">
          <color indexed="64"/>
        </horizontal>
      </border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ont>
        <b/>
      </font>
    </dxf>
    <dxf>
      <font>
        <b/>
      </font>
    </dxf>
    <dxf>
      <numFmt numFmtId="164" formatCode="&quot;₹&quot;\ #,##0.00"/>
    </dxf>
    <dxf>
      <font>
        <color theme="4" tint="-0.499984740745262"/>
      </font>
    </dxf>
    <dxf>
      <font>
        <color theme="4" tint="-0.499984740745262"/>
      </font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alignment relativeIndent="-1"/>
    </dxf>
    <dxf>
      <alignment relativeIndent="-1"/>
    </dxf>
    <dxf>
      <alignment relativeIndent="-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horizontal="right"/>
    </dxf>
    <dxf>
      <alignment horizontal="right"/>
    </dxf>
    <dxf>
      <alignment vertical="center"/>
    </dxf>
    <dxf>
      <alignment vertical="center"/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color rgb="FF002060"/>
      </font>
    </dxf>
    <dxf>
      <font>
        <color rgb="FF002060"/>
      </font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 Narrow"/>
        <family val="2"/>
        <scheme val="none"/>
      </font>
      <numFmt numFmtId="164" formatCode="&quot;₹&quot;\ #,##0.00"/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 Narrow"/>
        <family val="2"/>
        <scheme val="none"/>
      </font>
      <fill>
        <patternFill patternType="solid">
          <fgColor indexed="64"/>
          <bgColor rgb="FFB8E08C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rgb="FFFF0000"/>
        <name val="Agency FB"/>
        <family val="2"/>
        <scheme val="none"/>
      </font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>
          <bgColor rgb="FF99FF99"/>
        </patternFill>
      </fill>
    </dxf>
    <dxf>
      <fill>
        <patternFill>
          <bgColor rgb="FFFF3399"/>
        </patternFill>
      </fill>
    </dxf>
    <dxf>
      <fill>
        <patternFill>
          <bgColor rgb="FFB8E08C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0" tint="-0.24994659260841701"/>
        </patternFill>
      </fill>
    </dxf>
  </dxfs>
  <tableStyles count="2" defaultTableStyle="TableStyleMedium2" defaultPivotStyle="PivotStyleLight16">
    <tableStyle name="Table Style 1" pivot="0" count="3" xr9:uid="{00000000-0011-0000-FFFF-FFFF00000000}">
      <tableStyleElement type="wholeTable" dxfId="149"/>
      <tableStyleElement type="firstColumn" dxfId="148"/>
      <tableStyleElement type="firstColumnStripe" dxfId="147"/>
    </tableStyle>
    <tableStyle name="Table Style 2" pivot="0" count="3" xr9:uid="{00000000-0011-0000-FFFF-FFFF01000000}">
      <tableStyleElement type="wholeTable" dxfId="146"/>
      <tableStyleElement type="headerRow" dxfId="145"/>
      <tableStyleElement type="firstColumnStripe" dxfId="144"/>
    </tableStyle>
  </tableStyles>
  <colors>
    <mruColors>
      <color rgb="FFCD8BAC"/>
      <color rgb="FFB8E08C"/>
      <color rgb="FF99FF99"/>
      <color rgb="FFFF3399"/>
      <color rgb="FF99FF66"/>
      <color rgb="FF009900"/>
      <color rgb="FFFF66CC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[datasample.xlsx]pivot table &amp; chart!PivotTable1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6">
                  <a:tint val="54000"/>
                  <a:satMod val="103000"/>
                  <a:lumMod val="102000"/>
                  <a:tint val="94000"/>
                </a:schemeClr>
              </a:gs>
              <a:gs pos="50000">
                <a:schemeClr val="accent6">
                  <a:tint val="54000"/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tint val="54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"/>
        <c:spPr>
          <a:gradFill rotWithShape="1">
            <a:gsLst>
              <a:gs pos="0">
                <a:schemeClr val="accent6">
                  <a:tint val="77000"/>
                  <a:satMod val="103000"/>
                  <a:lumMod val="102000"/>
                  <a:tint val="94000"/>
                </a:schemeClr>
              </a:gs>
              <a:gs pos="50000">
                <a:schemeClr val="accent6">
                  <a:tint val="77000"/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tint val="77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"/>
        <c:spPr>
          <a:gradFill rotWithShape="1">
            <a:gsLst>
              <a:gs pos="0">
                <a:schemeClr val="accent6">
                  <a:shade val="76000"/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hade val="76000"/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shade val="76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"/>
        <c:spPr>
          <a:gradFill rotWithShape="1">
            <a:gsLst>
              <a:gs pos="0">
                <a:schemeClr val="accent6">
                  <a:shade val="53000"/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hade val="53000"/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shade val="53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'pivot table &amp; chart'!$B$3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6">
                      <a:tint val="54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tint val="54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tint val="54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7BD-4545-9DBA-97A9C98DEAB4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6">
                      <a:tint val="77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tint val="77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tint val="77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7BD-4545-9DBA-97A9C98DEAB4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7BD-4545-9DBA-97A9C98DEAB4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6">
                      <a:shade val="76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hade val="76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shade val="76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17BD-4545-9DBA-97A9C98DEAB4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6">
                      <a:shade val="53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hade val="53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shade val="53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17BD-4545-9DBA-97A9C98DEAB4}"/>
              </c:ext>
            </c:extLst>
          </c:dPt>
          <c:cat>
            <c:strRef>
              <c:f>'pivot table &amp; chart'!$A$4:$A$9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Sales</c:v>
                </c:pt>
                <c:pt idx="4">
                  <c:v>Support</c:v>
                </c:pt>
              </c:strCache>
            </c:strRef>
          </c:cat>
          <c:val>
            <c:numRef>
              <c:f>'pivot table &amp; chart'!$B$4:$B$9</c:f>
              <c:numCache>
                <c:formatCode>"₹"\ #,##0.00</c:formatCode>
                <c:ptCount val="5"/>
                <c:pt idx="0">
                  <c:v>65793839</c:v>
                </c:pt>
                <c:pt idx="1">
                  <c:v>61402643</c:v>
                </c:pt>
                <c:pt idx="2">
                  <c:v>60769078</c:v>
                </c:pt>
                <c:pt idx="3">
                  <c:v>64751535</c:v>
                </c:pt>
                <c:pt idx="4">
                  <c:v>61565570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5F-49E7-8E96-CB9C558F76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[datasample.xlsx]pivot table &amp; chart!PivotTable2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lt1">
                  <a:lumMod val="8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'pivot table &amp; chart'!$B$14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100000">
                  <a:schemeClr val="accent1"/>
                </a:gs>
                <a:gs pos="0">
                  <a:schemeClr val="accent1">
                    <a:lumMod val="75000"/>
                  </a:schemeClr>
                </a:gs>
              </a:gsLst>
              <a:lin ang="0" scaled="1"/>
            </a:gradFill>
            <a:ln>
              <a:noFill/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cat>
            <c:strRef>
              <c:f>'pivot table &amp; chart'!$A$15:$A$20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Sales</c:v>
                </c:pt>
                <c:pt idx="4">
                  <c:v>Support</c:v>
                </c:pt>
              </c:strCache>
            </c:strRef>
          </c:cat>
          <c:val>
            <c:numRef>
              <c:f>'pivot table &amp; chart'!$B$15:$B$20</c:f>
              <c:numCache>
                <c:formatCode>General</c:formatCode>
                <c:ptCount val="5"/>
                <c:pt idx="0">
                  <c:v>1045</c:v>
                </c:pt>
                <c:pt idx="1">
                  <c:v>974</c:v>
                </c:pt>
                <c:pt idx="2">
                  <c:v>969</c:v>
                </c:pt>
                <c:pt idx="3">
                  <c:v>1032</c:v>
                </c:pt>
                <c:pt idx="4">
                  <c:v>980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20-4009-BB1D-D79BA12FD1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lt1">
                  <a:alpha val="40000"/>
                </a:schemeClr>
              </a:solidFill>
              <a:round/>
            </a:ln>
            <a:effectLst/>
          </c:spPr>
        </c:dropLines>
        <c:axId val="103824896"/>
        <c:axId val="103823232"/>
      </c:areaChart>
      <c:catAx>
        <c:axId val="103824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75" cap="flat" cmpd="sng" algn="ctr">
            <a:solidFill>
              <a:schemeClr val="lt1">
                <a:lumMod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823232"/>
        <c:crosses val="autoZero"/>
        <c:auto val="1"/>
        <c:lblAlgn val="ctr"/>
        <c:lblOffset val="100"/>
        <c:noMultiLvlLbl val="0"/>
      </c:catAx>
      <c:valAx>
        <c:axId val="10382323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prstDash val="sysDot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8248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lt1">
          <a:lumMod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[datasample.xlsx]pivot table &amp; chart!PivotTable3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ymbol val="none"/>
        </c:marker>
        <c:dLbl>
          <c:idx val="0"/>
          <c:spPr>
            <a:solidFill>
              <a:srgbClr val="4472C4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'pivot table &amp; chart'!$B$24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spPr>
              <a:solidFill>
                <a:srgbClr val="4472C4">
                  <a:alpha val="30000"/>
                </a:srgbClr>
              </a:solidFill>
              <a:ln>
                <a:solidFill>
                  <a:sysClr val="window" lastClr="FFFFFF">
                    <a:alpha val="50000"/>
                  </a:sys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 &amp; chart'!$A$25:$A$30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Sales</c:v>
                </c:pt>
                <c:pt idx="4">
                  <c:v>Support</c:v>
                </c:pt>
              </c:strCache>
            </c:strRef>
          </c:cat>
          <c:val>
            <c:numRef>
              <c:f>'pivot table &amp; chart'!$B$25:$B$30</c:f>
              <c:numCache>
                <c:formatCode>"₹"\ #,##0.00</c:formatCode>
                <c:ptCount val="5"/>
                <c:pt idx="0">
                  <c:v>59962.499521531099</c:v>
                </c:pt>
                <c:pt idx="1">
                  <c:v>60039.731006160167</c:v>
                </c:pt>
                <c:pt idx="2">
                  <c:v>59726.818369453045</c:v>
                </c:pt>
                <c:pt idx="3">
                  <c:v>59755.928294573641</c:v>
                </c:pt>
                <c:pt idx="4">
                  <c:v>59830.480612244901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AB-4AFB-8ACF-924E5B5243C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765970224"/>
        <c:axId val="31054239"/>
        <c:axId val="0"/>
      </c:bar3DChart>
      <c:catAx>
        <c:axId val="765970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054239"/>
        <c:crosses val="autoZero"/>
        <c:auto val="1"/>
        <c:lblAlgn val="ctr"/>
        <c:lblOffset val="100"/>
        <c:noMultiLvlLbl val="0"/>
      </c:catAx>
      <c:valAx>
        <c:axId val="31054239"/>
        <c:scaling>
          <c:orientation val="minMax"/>
        </c:scaling>
        <c:delete val="1"/>
        <c:axPos val="l"/>
        <c:numFmt formatCode="&quot;₹&quot;\ #,##0.00" sourceLinked="1"/>
        <c:majorTickMark val="out"/>
        <c:minorTickMark val="none"/>
        <c:tickLblPos val="nextTo"/>
        <c:crossAx val="765970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77">
  <cs:axisTitle>
    <cs:lnRef idx="0"/>
    <cs:fillRef idx="0"/>
    <cs:effectRef idx="0"/>
    <cs:fontRef idx="minor">
      <a:schemeClr val="lt1">
        <a:lumMod val="8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75" cap="flat" cmpd="sng" algn="ctr">
        <a:solidFill>
          <a:schemeClr val="lt1">
            <a:lumMod val="75000"/>
          </a:schemeClr>
        </a:solidFill>
        <a:round/>
        <a:headEnd type="none" w="sm" len="sm"/>
        <a:tailEnd type="none" w="sm" len="sm"/>
      </a:ln>
    </cs:spPr>
    <cs:defRPr sz="900" b="1" kern="1200" cap="all" baseline="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lt1">
            <a:lumMod val="7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85000"/>
      </a:schemeClr>
    </cs:fontRef>
    <cs:spPr>
      <a:solidFill>
        <a:schemeClr val="dk1">
          <a:lumMod val="65000"/>
          <a:lumOff val="35000"/>
        </a:schemeClr>
      </a:solidFill>
      <a:ln>
        <a:solidFill>
          <a:schemeClr val="lt1">
            <a:lumMod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50000"/>
      </a:schemeClr>
    </cs:fontRef>
    <cs:spPr>
      <a:ln w="9525">
        <a:solidFill>
          <a:schemeClr val="lt1">
            <a:lumMod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prstDash val="sysDot"/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6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bg1">
        <a:lumMod val="85000"/>
      </a:schemeClr>
    </cs:fontRef>
    <cs:spPr>
      <a:ln w="19050" cap="flat" cmpd="sng" algn="ctr">
        <a:solidFill>
          <a:schemeClr val="bg1">
            <a:lumMod val="85000"/>
          </a:schemeClr>
        </a:solidFill>
        <a:round/>
        <a:headEnd type="none" w="sm" len="sm"/>
        <a:tailEnd type="none" w="sm" len="sm"/>
      </a:ln>
    </cs:spPr>
    <cs:defRPr sz="900" b="1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ajor">
      <a:schemeClr val="lt1">
        <a:lumMod val="8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63500</xdr:colOff>
      <xdr:row>1</xdr:row>
      <xdr:rowOff>6349</xdr:rowOff>
    </xdr:from>
    <xdr:to>
      <xdr:col>5</xdr:col>
      <xdr:colOff>590550</xdr:colOff>
      <xdr:row>9</xdr:row>
      <xdr:rowOff>31750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FD7E8C-BA90-4B8E-8825-27BE6A2C5D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38100</xdr:colOff>
      <xdr:row>12</xdr:row>
      <xdr:rowOff>0</xdr:rowOff>
    </xdr:from>
    <xdr:to>
      <xdr:col>5</xdr:col>
      <xdr:colOff>596900</xdr:colOff>
      <xdr:row>20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5A59903-FD7C-41E0-B481-57A7086E7D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260350</xdr:colOff>
      <xdr:row>22</xdr:row>
      <xdr:rowOff>19049</xdr:rowOff>
    </xdr:from>
    <xdr:to>
      <xdr:col>5</xdr:col>
      <xdr:colOff>679450</xdr:colOff>
      <xdr:row>30</xdr:row>
      <xdr:rowOff>63500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E162C12-789B-48B3-9EAB-84B31674C2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090.034717013892" createdVersion="7" refreshedVersion="7" minRefreshableVersion="3" recordCount="5000" xr:uid="{00000000-000A-0000-FFFF-FFFF05000000}">
  <cacheSource type="worksheet">
    <worksheetSource name="employee1_sample"/>
  </cacheSource>
  <cacheFields count="15">
    <cacheField name="Employee_ID" numFmtId="0">
      <sharedItems containsSemiMixedTypes="0" containsString="0" containsNumber="1" containsInteger="1" minValue="1" maxValue="5000"/>
    </cacheField>
    <cacheField name="Name" numFmtId="0">
      <sharedItems count="10">
        <s v="Vijay"/>
        <s v="Sneha"/>
        <s v="Anjali"/>
        <s v="Divya"/>
        <s v="Karthik"/>
        <s v="Suresh"/>
        <s v="Priya"/>
        <s v="Meena"/>
        <s v="Rahul"/>
        <s v="Arun"/>
      </sharedItems>
    </cacheField>
    <cacheField name="Gender" numFmtId="0">
      <sharedItems/>
    </cacheField>
    <cacheField name="Age" numFmtId="0">
      <sharedItems containsSemiMixedTypes="0" containsString="0" containsNumber="1" containsInteger="1" minValue="21" maxValue="60"/>
    </cacheField>
    <cacheField name="City" numFmtId="0">
      <sharedItems/>
    </cacheField>
    <cacheField name="Department" numFmtId="0">
      <sharedItems count="5">
        <s v="Support"/>
        <s v="IT"/>
        <s v="Finance"/>
        <s v="Sales"/>
        <s v="HR"/>
      </sharedItems>
    </cacheField>
    <cacheField name="Salary" numFmtId="0">
      <sharedItems containsSemiMixedTypes="0" containsString="0" containsNumber="1" containsInteger="1" minValue="20004" maxValue="99996"/>
    </cacheField>
    <cacheField name="Joining_Date" numFmtId="14">
      <sharedItems containsSemiMixedTypes="0" containsNonDate="0" containsDate="1" containsString="0" minDate="2022-01-01T00:00:00" maxDate="2024-09-28T00:00:00"/>
    </cacheField>
    <cacheField name="Experience_Years" numFmtId="0">
      <sharedItems containsSemiMixedTypes="0" containsString="0" containsNumber="1" containsInteger="1" minValue="1" maxValue="20"/>
    </cacheField>
    <cacheField name="Performance_Rating" numFmtId="0">
      <sharedItems containsSemiMixedTypes="0" containsString="0" containsNumber="1" containsInteger="1" minValue="1" maxValue="5"/>
    </cacheField>
    <cacheField name="Bonus" numFmtId="0">
      <sharedItems containsSemiMixedTypes="0" containsString="0" containsNumber="1" containsInteger="1" minValue="2000" maxValue="10000"/>
    </cacheField>
    <cacheField name="Tax" numFmtId="0">
      <sharedItems containsSemiMixedTypes="0" containsString="0" containsNumber="1" containsInteger="1" minValue="1000" maxValue="5000"/>
    </cacheField>
    <cacheField name="Net_Salary" numFmtId="0">
      <sharedItems containsSemiMixedTypes="0" containsString="0" containsNumber="1" containsInteger="1" minValue="21004" maxValue="104996"/>
    </cacheField>
    <cacheField name="Experience_Bonus" numFmtId="0">
      <sharedItems containsSemiMixedTypes="0" containsString="0" containsNumber="1" containsInteger="1" minValue="0" maxValue="4999"/>
    </cacheField>
    <cacheField name="Gross_Pay" numFmtId="0">
      <sharedItems containsSemiMixedTypes="0" containsString="0" containsNumber="1" containsInteger="1" minValue="22004" maxValue="11497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00">
  <r>
    <n v="1"/>
    <x v="0"/>
    <s v="Male"/>
    <n v="41"/>
    <s v="Delhi"/>
    <x v="0"/>
    <n v="78859"/>
    <d v="2024-01-10T00:00:00"/>
    <n v="10"/>
    <n v="5"/>
    <n v="7886"/>
    <n v="3943"/>
    <n v="82802"/>
    <n v="3943"/>
    <n v="90688"/>
  </r>
  <r>
    <n v="2"/>
    <x v="1"/>
    <s v="Female"/>
    <n v="33"/>
    <s v="Hyderabad"/>
    <x v="1"/>
    <n v="90075"/>
    <d v="2024-05-19T00:00:00"/>
    <n v="8"/>
    <n v="4"/>
    <n v="9008"/>
    <n v="4504"/>
    <n v="94579"/>
    <n v="4504"/>
    <n v="103587"/>
  </r>
  <r>
    <n v="3"/>
    <x v="2"/>
    <s v="Male"/>
    <n v="50"/>
    <s v="Hyderabad"/>
    <x v="2"/>
    <n v="97093"/>
    <d v="2023-02-19T00:00:00"/>
    <n v="4"/>
    <n v="1"/>
    <n v="9709"/>
    <n v="4855"/>
    <n v="101947"/>
    <n v="0"/>
    <n v="106802"/>
  </r>
  <r>
    <n v="4"/>
    <x v="3"/>
    <s v="Male"/>
    <n v="48"/>
    <s v="Delhi"/>
    <x v="3"/>
    <n v="35515"/>
    <d v="2023-09-25T00:00:00"/>
    <n v="10"/>
    <n v="3"/>
    <n v="3552"/>
    <n v="1776"/>
    <n v="37291"/>
    <n v="1776"/>
    <n v="40843"/>
  </r>
  <r>
    <n v="5"/>
    <x v="4"/>
    <s v="Female"/>
    <n v="51"/>
    <s v="Delhi"/>
    <x v="4"/>
    <n v="54443"/>
    <d v="2022-03-11T00:00:00"/>
    <n v="12"/>
    <n v="3"/>
    <n v="5444"/>
    <n v="2722"/>
    <n v="57165"/>
    <n v="2722"/>
    <n v="62609"/>
  </r>
  <r>
    <n v="6"/>
    <x v="5"/>
    <s v="Female"/>
    <n v="25"/>
    <s v="Mumbai"/>
    <x v="1"/>
    <n v="93587"/>
    <d v="2024-06-12T00:00:00"/>
    <n v="8"/>
    <n v="3"/>
    <n v="9359"/>
    <n v="4679"/>
    <n v="98267"/>
    <n v="4679"/>
    <n v="107625"/>
  </r>
  <r>
    <n v="7"/>
    <x v="5"/>
    <s v="Male"/>
    <n v="48"/>
    <s v="Delhi"/>
    <x v="4"/>
    <n v="77483"/>
    <d v="2024-08-18T00:00:00"/>
    <n v="15"/>
    <n v="1"/>
    <n v="7748"/>
    <n v="3874"/>
    <n v="81357"/>
    <n v="3874"/>
    <n v="89105"/>
  </r>
  <r>
    <n v="8"/>
    <x v="1"/>
    <s v="Female"/>
    <n v="42"/>
    <s v="Hyderabad"/>
    <x v="3"/>
    <n v="77785"/>
    <d v="2023-09-22T00:00:00"/>
    <n v="5"/>
    <n v="4"/>
    <n v="7778"/>
    <n v="3889"/>
    <n v="81674"/>
    <n v="0"/>
    <n v="85563"/>
  </r>
  <r>
    <n v="9"/>
    <x v="6"/>
    <s v="Female"/>
    <n v="49"/>
    <s v="Mumbai"/>
    <x v="4"/>
    <n v="98970"/>
    <d v="2023-04-06T00:00:00"/>
    <n v="11"/>
    <n v="2"/>
    <n v="9897"/>
    <n v="4948"/>
    <n v="103919"/>
    <n v="4948"/>
    <n v="113815"/>
  </r>
  <r>
    <n v="10"/>
    <x v="7"/>
    <s v="Male"/>
    <n v="48"/>
    <s v="Chennai"/>
    <x v="4"/>
    <n v="38645"/>
    <d v="2024-04-25T00:00:00"/>
    <n v="16"/>
    <n v="2"/>
    <n v="3864"/>
    <n v="1932"/>
    <n v="40577"/>
    <n v="1932"/>
    <n v="44441"/>
  </r>
  <r>
    <n v="11"/>
    <x v="7"/>
    <s v="Female"/>
    <n v="48"/>
    <s v="Bangalore"/>
    <x v="1"/>
    <n v="56099"/>
    <d v="2022-08-17T00:00:00"/>
    <n v="15"/>
    <n v="5"/>
    <n v="5610"/>
    <n v="2805"/>
    <n v="58904"/>
    <n v="2805"/>
    <n v="64514"/>
  </r>
  <r>
    <n v="12"/>
    <x v="6"/>
    <s v="Male"/>
    <n v="32"/>
    <s v="Hyderabad"/>
    <x v="2"/>
    <n v="93760"/>
    <d v="2023-08-29T00:00:00"/>
    <n v="18"/>
    <n v="2"/>
    <n v="9376"/>
    <n v="4688"/>
    <n v="98448"/>
    <n v="4688"/>
    <n v="107824"/>
  </r>
  <r>
    <n v="13"/>
    <x v="2"/>
    <s v="Male"/>
    <n v="39"/>
    <s v="Mumbai"/>
    <x v="0"/>
    <n v="29641"/>
    <d v="2023-07-11T00:00:00"/>
    <n v="11"/>
    <n v="1"/>
    <n v="2964"/>
    <n v="1482"/>
    <n v="31123"/>
    <n v="1482"/>
    <n v="34087"/>
  </r>
  <r>
    <n v="14"/>
    <x v="1"/>
    <s v="Male"/>
    <n v="45"/>
    <s v="Hyderabad"/>
    <x v="0"/>
    <n v="93137"/>
    <d v="2022-09-15T00:00:00"/>
    <n v="15"/>
    <n v="3"/>
    <n v="9314"/>
    <n v="4657"/>
    <n v="97794"/>
    <n v="4657"/>
    <n v="107108"/>
  </r>
  <r>
    <n v="15"/>
    <x v="0"/>
    <s v="Male"/>
    <n v="32"/>
    <s v="Bangalore"/>
    <x v="3"/>
    <n v="47550"/>
    <d v="2023-01-08T00:00:00"/>
    <n v="9"/>
    <n v="5"/>
    <n v="4755"/>
    <n v="2378"/>
    <n v="49927"/>
    <n v="2378"/>
    <n v="54683"/>
  </r>
  <r>
    <n v="16"/>
    <x v="2"/>
    <s v="Male"/>
    <n v="57"/>
    <s v="Hyderabad"/>
    <x v="0"/>
    <n v="53978"/>
    <d v="2023-12-09T00:00:00"/>
    <n v="18"/>
    <n v="2"/>
    <n v="5398"/>
    <n v="2699"/>
    <n v="56677"/>
    <n v="2699"/>
    <n v="62075"/>
  </r>
  <r>
    <n v="17"/>
    <x v="8"/>
    <s v="Female"/>
    <n v="46"/>
    <s v="Mumbai"/>
    <x v="0"/>
    <n v="50997"/>
    <d v="2022-11-03T00:00:00"/>
    <n v="7"/>
    <n v="1"/>
    <n v="5100"/>
    <n v="2550"/>
    <n v="53547"/>
    <n v="2550"/>
    <n v="58647"/>
  </r>
  <r>
    <n v="18"/>
    <x v="8"/>
    <s v="Female"/>
    <n v="34"/>
    <s v="Hyderabad"/>
    <x v="4"/>
    <n v="35827"/>
    <d v="2022-11-06T00:00:00"/>
    <n v="1"/>
    <n v="1"/>
    <n v="3583"/>
    <n v="1791"/>
    <n v="37619"/>
    <n v="0"/>
    <n v="39410"/>
  </r>
  <r>
    <n v="19"/>
    <x v="5"/>
    <s v="Male"/>
    <n v="58"/>
    <s v="Hyderabad"/>
    <x v="4"/>
    <n v="55321"/>
    <d v="2022-02-10T00:00:00"/>
    <n v="8"/>
    <n v="3"/>
    <n v="5532"/>
    <n v="2766"/>
    <n v="58087"/>
    <n v="2766"/>
    <n v="63619"/>
  </r>
  <r>
    <n v="20"/>
    <x v="1"/>
    <s v="Male"/>
    <n v="27"/>
    <s v="Bangalore"/>
    <x v="3"/>
    <n v="86041"/>
    <d v="2022-05-12T00:00:00"/>
    <n v="7"/>
    <n v="5"/>
    <n v="8604"/>
    <n v="4302"/>
    <n v="90343"/>
    <n v="4302"/>
    <n v="98947"/>
  </r>
  <r>
    <n v="21"/>
    <x v="5"/>
    <s v="Male"/>
    <n v="56"/>
    <s v="Hyderabad"/>
    <x v="2"/>
    <n v="37031"/>
    <d v="2023-12-24T00:00:00"/>
    <n v="16"/>
    <n v="3"/>
    <n v="3703"/>
    <n v="1852"/>
    <n v="38882"/>
    <n v="1852"/>
    <n v="42586"/>
  </r>
  <r>
    <n v="22"/>
    <x v="5"/>
    <s v="Female"/>
    <n v="60"/>
    <s v="Mumbai"/>
    <x v="1"/>
    <n v="78652"/>
    <d v="2023-10-25T00:00:00"/>
    <n v="5"/>
    <n v="2"/>
    <n v="7865"/>
    <n v="3933"/>
    <n v="82584"/>
    <n v="0"/>
    <n v="86517"/>
  </r>
  <r>
    <n v="23"/>
    <x v="7"/>
    <s v="Male"/>
    <n v="21"/>
    <s v="Delhi"/>
    <x v="4"/>
    <n v="21855"/>
    <d v="2022-08-10T00:00:00"/>
    <n v="12"/>
    <n v="2"/>
    <n v="2186"/>
    <n v="1093"/>
    <n v="22948"/>
    <n v="1093"/>
    <n v="25134"/>
  </r>
  <r>
    <n v="24"/>
    <x v="3"/>
    <s v="Male"/>
    <n v="30"/>
    <s v="Mumbai"/>
    <x v="0"/>
    <n v="77252"/>
    <d v="2023-11-08T00:00:00"/>
    <n v="14"/>
    <n v="2"/>
    <n v="7725"/>
    <n v="3863"/>
    <n v="81114"/>
    <n v="3863"/>
    <n v="88840"/>
  </r>
  <r>
    <n v="25"/>
    <x v="0"/>
    <s v="Female"/>
    <n v="59"/>
    <s v="Chennai"/>
    <x v="2"/>
    <n v="26445"/>
    <d v="2022-10-04T00:00:00"/>
    <n v="6"/>
    <n v="4"/>
    <n v="2644"/>
    <n v="1322"/>
    <n v="27767"/>
    <n v="1322"/>
    <n v="30411"/>
  </r>
  <r>
    <n v="26"/>
    <x v="0"/>
    <s v="Male"/>
    <n v="54"/>
    <s v="Chennai"/>
    <x v="3"/>
    <n v="93187"/>
    <d v="2023-08-07T00:00:00"/>
    <n v="13"/>
    <n v="5"/>
    <n v="9319"/>
    <n v="4659"/>
    <n v="97847"/>
    <n v="4659"/>
    <n v="107165"/>
  </r>
  <r>
    <n v="27"/>
    <x v="0"/>
    <s v="Female"/>
    <n v="55"/>
    <s v="Bangalore"/>
    <x v="1"/>
    <n v="26465"/>
    <d v="2022-11-20T00:00:00"/>
    <n v="16"/>
    <n v="2"/>
    <n v="2646"/>
    <n v="1323"/>
    <n v="27788"/>
    <n v="1323"/>
    <n v="30434"/>
  </r>
  <r>
    <n v="28"/>
    <x v="2"/>
    <s v="Female"/>
    <n v="28"/>
    <s v="Chennai"/>
    <x v="3"/>
    <n v="88873"/>
    <d v="2022-01-24T00:00:00"/>
    <n v="15"/>
    <n v="4"/>
    <n v="8887"/>
    <n v="4444"/>
    <n v="93316"/>
    <n v="4444"/>
    <n v="102204"/>
  </r>
  <r>
    <n v="29"/>
    <x v="7"/>
    <s v="Male"/>
    <n v="21"/>
    <s v="Hyderabad"/>
    <x v="2"/>
    <n v="91664"/>
    <d v="2023-03-01T00:00:00"/>
    <n v="4"/>
    <n v="3"/>
    <n v="9166"/>
    <n v="4583"/>
    <n v="96247"/>
    <n v="0"/>
    <n v="100830"/>
  </r>
  <r>
    <n v="30"/>
    <x v="3"/>
    <s v="Male"/>
    <n v="55"/>
    <s v="Bangalore"/>
    <x v="4"/>
    <n v="20113"/>
    <d v="2022-07-27T00:00:00"/>
    <n v="1"/>
    <n v="2"/>
    <n v="2011"/>
    <n v="1006"/>
    <n v="21118"/>
    <n v="0"/>
    <n v="22124"/>
  </r>
  <r>
    <n v="31"/>
    <x v="0"/>
    <s v="Female"/>
    <n v="22"/>
    <s v="Hyderabad"/>
    <x v="3"/>
    <n v="26738"/>
    <d v="2022-04-22T00:00:00"/>
    <n v="20"/>
    <n v="4"/>
    <n v="2674"/>
    <n v="1337"/>
    <n v="28075"/>
    <n v="1337"/>
    <n v="30749"/>
  </r>
  <r>
    <n v="32"/>
    <x v="3"/>
    <s v="Female"/>
    <n v="57"/>
    <s v="Chennai"/>
    <x v="3"/>
    <n v="74693"/>
    <d v="2023-05-16T00:00:00"/>
    <n v="1"/>
    <n v="2"/>
    <n v="7469"/>
    <n v="3735"/>
    <n v="78427"/>
    <n v="0"/>
    <n v="82162"/>
  </r>
  <r>
    <n v="33"/>
    <x v="1"/>
    <s v="Male"/>
    <n v="60"/>
    <s v="Delhi"/>
    <x v="0"/>
    <n v="30077"/>
    <d v="2024-04-12T00:00:00"/>
    <n v="11"/>
    <n v="5"/>
    <n v="3008"/>
    <n v="1504"/>
    <n v="31581"/>
    <n v="1504"/>
    <n v="34589"/>
  </r>
  <r>
    <n v="34"/>
    <x v="9"/>
    <s v="Female"/>
    <n v="26"/>
    <s v="Chennai"/>
    <x v="3"/>
    <n v="76594"/>
    <d v="2022-02-14T00:00:00"/>
    <n v="19"/>
    <n v="1"/>
    <n v="7659"/>
    <n v="3830"/>
    <n v="80423"/>
    <n v="3830"/>
    <n v="88083"/>
  </r>
  <r>
    <n v="35"/>
    <x v="5"/>
    <s v="Female"/>
    <n v="60"/>
    <s v="Hyderabad"/>
    <x v="4"/>
    <n v="86942"/>
    <d v="2023-07-08T00:00:00"/>
    <n v="7"/>
    <n v="3"/>
    <n v="8694"/>
    <n v="4347"/>
    <n v="91289"/>
    <n v="4347"/>
    <n v="99983"/>
  </r>
  <r>
    <n v="36"/>
    <x v="6"/>
    <s v="Female"/>
    <n v="26"/>
    <s v="Hyderabad"/>
    <x v="3"/>
    <n v="83990"/>
    <d v="2023-08-31T00:00:00"/>
    <n v="1"/>
    <n v="4"/>
    <n v="8399"/>
    <n v="4200"/>
    <n v="88189"/>
    <n v="0"/>
    <n v="92389"/>
  </r>
  <r>
    <n v="37"/>
    <x v="4"/>
    <s v="Male"/>
    <n v="54"/>
    <s v="Mumbai"/>
    <x v="4"/>
    <n v="51064"/>
    <d v="2024-01-31T00:00:00"/>
    <n v="19"/>
    <n v="5"/>
    <n v="5106"/>
    <n v="2553"/>
    <n v="53617"/>
    <n v="2553"/>
    <n v="58723"/>
  </r>
  <r>
    <n v="38"/>
    <x v="2"/>
    <s v="Female"/>
    <n v="27"/>
    <s v="Bangalore"/>
    <x v="3"/>
    <n v="56125"/>
    <d v="2022-06-14T00:00:00"/>
    <n v="10"/>
    <n v="4"/>
    <n v="5612"/>
    <n v="2806"/>
    <n v="58931"/>
    <n v="2806"/>
    <n v="64543"/>
  </r>
  <r>
    <n v="39"/>
    <x v="0"/>
    <s v="Male"/>
    <n v="25"/>
    <s v="Bangalore"/>
    <x v="3"/>
    <n v="76606"/>
    <d v="2024-02-02T00:00:00"/>
    <n v="4"/>
    <n v="3"/>
    <n v="7661"/>
    <n v="3830"/>
    <n v="80437"/>
    <n v="0"/>
    <n v="84267"/>
  </r>
  <r>
    <n v="40"/>
    <x v="2"/>
    <s v="Female"/>
    <n v="47"/>
    <s v="Delhi"/>
    <x v="4"/>
    <n v="86747"/>
    <d v="2023-12-27T00:00:00"/>
    <n v="19"/>
    <n v="3"/>
    <n v="8675"/>
    <n v="4337"/>
    <n v="91085"/>
    <n v="4337"/>
    <n v="99759"/>
  </r>
  <r>
    <n v="41"/>
    <x v="0"/>
    <s v="Female"/>
    <n v="45"/>
    <s v="Delhi"/>
    <x v="4"/>
    <n v="85839"/>
    <d v="2022-06-16T00:00:00"/>
    <n v="11"/>
    <n v="5"/>
    <n v="8584"/>
    <n v="4292"/>
    <n v="90131"/>
    <n v="4292"/>
    <n v="98715"/>
  </r>
  <r>
    <n v="42"/>
    <x v="0"/>
    <s v="Female"/>
    <n v="53"/>
    <s v="Delhi"/>
    <x v="3"/>
    <n v="33620"/>
    <d v="2022-01-28T00:00:00"/>
    <n v="5"/>
    <n v="1"/>
    <n v="3362"/>
    <n v="1681"/>
    <n v="35301"/>
    <n v="0"/>
    <n v="36982"/>
  </r>
  <r>
    <n v="43"/>
    <x v="9"/>
    <s v="Female"/>
    <n v="24"/>
    <s v="Hyderabad"/>
    <x v="0"/>
    <n v="29461"/>
    <d v="2023-12-08T00:00:00"/>
    <n v="19"/>
    <n v="3"/>
    <n v="2946"/>
    <n v="1473"/>
    <n v="30934"/>
    <n v="1473"/>
    <n v="33880"/>
  </r>
  <r>
    <n v="44"/>
    <x v="4"/>
    <s v="Female"/>
    <n v="47"/>
    <s v="Delhi"/>
    <x v="1"/>
    <n v="74866"/>
    <d v="2023-08-21T00:00:00"/>
    <n v="4"/>
    <n v="2"/>
    <n v="7487"/>
    <n v="3743"/>
    <n v="78610"/>
    <n v="0"/>
    <n v="82353"/>
  </r>
  <r>
    <n v="45"/>
    <x v="3"/>
    <s v="Female"/>
    <n v="49"/>
    <s v="Bangalore"/>
    <x v="2"/>
    <n v="30821"/>
    <d v="2022-12-08T00:00:00"/>
    <n v="9"/>
    <n v="3"/>
    <n v="3082"/>
    <n v="1541"/>
    <n v="32362"/>
    <n v="1541"/>
    <n v="35444"/>
  </r>
  <r>
    <n v="46"/>
    <x v="5"/>
    <s v="Male"/>
    <n v="34"/>
    <s v="Bangalore"/>
    <x v="2"/>
    <n v="28522"/>
    <d v="2023-11-04T00:00:00"/>
    <n v="7"/>
    <n v="4"/>
    <n v="2852"/>
    <n v="1426"/>
    <n v="29948"/>
    <n v="1426"/>
    <n v="32800"/>
  </r>
  <r>
    <n v="47"/>
    <x v="5"/>
    <s v="Female"/>
    <n v="22"/>
    <s v="Bangalore"/>
    <x v="0"/>
    <n v="99661"/>
    <d v="2023-08-17T00:00:00"/>
    <n v="20"/>
    <n v="3"/>
    <n v="9966"/>
    <n v="4983"/>
    <n v="104644"/>
    <n v="4983"/>
    <n v="114610"/>
  </r>
  <r>
    <n v="48"/>
    <x v="0"/>
    <s v="Female"/>
    <n v="56"/>
    <s v="Bangalore"/>
    <x v="0"/>
    <n v="33506"/>
    <d v="2023-03-01T00:00:00"/>
    <n v="12"/>
    <n v="3"/>
    <n v="3351"/>
    <n v="1675"/>
    <n v="35182"/>
    <n v="1675"/>
    <n v="38532"/>
  </r>
  <r>
    <n v="49"/>
    <x v="8"/>
    <s v="Female"/>
    <n v="40"/>
    <s v="Bangalore"/>
    <x v="1"/>
    <n v="41428"/>
    <d v="2024-04-14T00:00:00"/>
    <n v="19"/>
    <n v="4"/>
    <n v="4143"/>
    <n v="2071"/>
    <n v="43500"/>
    <n v="2071"/>
    <n v="47642"/>
  </r>
  <r>
    <n v="50"/>
    <x v="8"/>
    <s v="Female"/>
    <n v="53"/>
    <s v="Bangalore"/>
    <x v="1"/>
    <n v="70257"/>
    <d v="2023-10-13T00:00:00"/>
    <n v="19"/>
    <n v="1"/>
    <n v="7026"/>
    <n v="3513"/>
    <n v="73770"/>
    <n v="3513"/>
    <n v="80796"/>
  </r>
  <r>
    <n v="51"/>
    <x v="8"/>
    <s v="Male"/>
    <n v="42"/>
    <s v="Delhi"/>
    <x v="0"/>
    <n v="57383"/>
    <d v="2023-09-23T00:00:00"/>
    <n v="18"/>
    <n v="2"/>
    <n v="5738"/>
    <n v="2869"/>
    <n v="60252"/>
    <n v="2869"/>
    <n v="65990"/>
  </r>
  <r>
    <n v="52"/>
    <x v="5"/>
    <s v="Female"/>
    <n v="47"/>
    <s v="Chennai"/>
    <x v="4"/>
    <n v="80543"/>
    <d v="2023-10-31T00:00:00"/>
    <n v="20"/>
    <n v="2"/>
    <n v="8054"/>
    <n v="4027"/>
    <n v="84570"/>
    <n v="4027"/>
    <n v="92624"/>
  </r>
  <r>
    <n v="53"/>
    <x v="8"/>
    <s v="Male"/>
    <n v="28"/>
    <s v="Delhi"/>
    <x v="2"/>
    <n v="78631"/>
    <d v="2023-04-24T00:00:00"/>
    <n v="17"/>
    <n v="3"/>
    <n v="7863"/>
    <n v="3932"/>
    <n v="82562"/>
    <n v="3932"/>
    <n v="90426"/>
  </r>
  <r>
    <n v="54"/>
    <x v="3"/>
    <s v="Male"/>
    <n v="35"/>
    <s v="Chennai"/>
    <x v="3"/>
    <n v="25787"/>
    <d v="2022-08-14T00:00:00"/>
    <n v="4"/>
    <n v="1"/>
    <n v="2579"/>
    <n v="1289"/>
    <n v="27077"/>
    <n v="0"/>
    <n v="28366"/>
  </r>
  <r>
    <n v="55"/>
    <x v="3"/>
    <s v="Male"/>
    <n v="51"/>
    <s v="Delhi"/>
    <x v="3"/>
    <n v="67733"/>
    <d v="2023-05-07T00:00:00"/>
    <n v="13"/>
    <n v="4"/>
    <n v="6773"/>
    <n v="3387"/>
    <n v="71119"/>
    <n v="3387"/>
    <n v="77893"/>
  </r>
  <r>
    <n v="56"/>
    <x v="4"/>
    <s v="Female"/>
    <n v="43"/>
    <s v="Bangalore"/>
    <x v="2"/>
    <n v="91789"/>
    <d v="2023-12-31T00:00:00"/>
    <n v="15"/>
    <n v="5"/>
    <n v="9179"/>
    <n v="4589"/>
    <n v="96379"/>
    <n v="4589"/>
    <n v="105557"/>
  </r>
  <r>
    <n v="57"/>
    <x v="3"/>
    <s v="Male"/>
    <n v="34"/>
    <s v="Hyderabad"/>
    <x v="2"/>
    <n v="75705"/>
    <d v="2022-06-01T00:00:00"/>
    <n v="18"/>
    <n v="2"/>
    <n v="7570"/>
    <n v="3785"/>
    <n v="79490"/>
    <n v="3785"/>
    <n v="87060"/>
  </r>
  <r>
    <n v="58"/>
    <x v="8"/>
    <s v="Male"/>
    <n v="54"/>
    <s v="Bangalore"/>
    <x v="2"/>
    <n v="48869"/>
    <d v="2024-03-06T00:00:00"/>
    <n v="3"/>
    <n v="4"/>
    <n v="4887"/>
    <n v="2443"/>
    <n v="51313"/>
    <n v="0"/>
    <n v="53756"/>
  </r>
  <r>
    <n v="59"/>
    <x v="3"/>
    <s v="Female"/>
    <n v="54"/>
    <s v="Mumbai"/>
    <x v="1"/>
    <n v="53572"/>
    <d v="2022-03-12T00:00:00"/>
    <n v="6"/>
    <n v="5"/>
    <n v="5357"/>
    <n v="2679"/>
    <n v="56250"/>
    <n v="2679"/>
    <n v="61608"/>
  </r>
  <r>
    <n v="60"/>
    <x v="9"/>
    <s v="Female"/>
    <n v="47"/>
    <s v="Hyderabad"/>
    <x v="3"/>
    <n v="81225"/>
    <d v="2023-11-21T00:00:00"/>
    <n v="18"/>
    <n v="1"/>
    <n v="8122"/>
    <n v="4061"/>
    <n v="85286"/>
    <n v="4061"/>
    <n v="93408"/>
  </r>
  <r>
    <n v="61"/>
    <x v="3"/>
    <s v="Male"/>
    <n v="33"/>
    <s v="Mumbai"/>
    <x v="3"/>
    <n v="53157"/>
    <d v="2022-01-26T00:00:00"/>
    <n v="9"/>
    <n v="5"/>
    <n v="5316"/>
    <n v="2658"/>
    <n v="55815"/>
    <n v="2658"/>
    <n v="61131"/>
  </r>
  <r>
    <n v="62"/>
    <x v="6"/>
    <s v="Female"/>
    <n v="40"/>
    <s v="Delhi"/>
    <x v="3"/>
    <n v="90753"/>
    <d v="2022-06-20T00:00:00"/>
    <n v="17"/>
    <n v="4"/>
    <n v="9075"/>
    <n v="4538"/>
    <n v="95290"/>
    <n v="4538"/>
    <n v="104366"/>
  </r>
  <r>
    <n v="63"/>
    <x v="8"/>
    <s v="Male"/>
    <n v="60"/>
    <s v="Delhi"/>
    <x v="1"/>
    <n v="27169"/>
    <d v="2022-07-22T00:00:00"/>
    <n v="9"/>
    <n v="5"/>
    <n v="2717"/>
    <n v="1358"/>
    <n v="28528"/>
    <n v="1358"/>
    <n v="31244"/>
  </r>
  <r>
    <n v="64"/>
    <x v="7"/>
    <s v="Male"/>
    <n v="55"/>
    <s v="Hyderabad"/>
    <x v="4"/>
    <n v="43815"/>
    <d v="2023-06-13T00:00:00"/>
    <n v="19"/>
    <n v="1"/>
    <n v="4382"/>
    <n v="2191"/>
    <n v="46006"/>
    <n v="2191"/>
    <n v="50388"/>
  </r>
  <r>
    <n v="65"/>
    <x v="7"/>
    <s v="Male"/>
    <n v="57"/>
    <s v="Mumbai"/>
    <x v="2"/>
    <n v="60366"/>
    <d v="2023-02-27T00:00:00"/>
    <n v="18"/>
    <n v="5"/>
    <n v="6037"/>
    <n v="3018"/>
    <n v="63385"/>
    <n v="3018"/>
    <n v="69421"/>
  </r>
  <r>
    <n v="66"/>
    <x v="9"/>
    <s v="Male"/>
    <n v="49"/>
    <s v="Bangalore"/>
    <x v="4"/>
    <n v="24342"/>
    <d v="2022-05-14T00:00:00"/>
    <n v="18"/>
    <n v="2"/>
    <n v="2434"/>
    <n v="1217"/>
    <n v="25559"/>
    <n v="1217"/>
    <n v="27993"/>
  </r>
  <r>
    <n v="67"/>
    <x v="4"/>
    <s v="Female"/>
    <n v="41"/>
    <s v="Mumbai"/>
    <x v="3"/>
    <n v="36297"/>
    <d v="2024-02-20T00:00:00"/>
    <n v="16"/>
    <n v="1"/>
    <n v="3630"/>
    <n v="1815"/>
    <n v="38112"/>
    <n v="1815"/>
    <n v="41742"/>
  </r>
  <r>
    <n v="68"/>
    <x v="0"/>
    <s v="Female"/>
    <n v="57"/>
    <s v="Hyderabad"/>
    <x v="1"/>
    <n v="48221"/>
    <d v="2023-06-07T00:00:00"/>
    <n v="7"/>
    <n v="4"/>
    <n v="4822"/>
    <n v="2411"/>
    <n v="50632"/>
    <n v="2411"/>
    <n v="55454"/>
  </r>
  <r>
    <n v="69"/>
    <x v="5"/>
    <s v="Male"/>
    <n v="44"/>
    <s v="Hyderabad"/>
    <x v="1"/>
    <n v="35639"/>
    <d v="2024-04-30T00:00:00"/>
    <n v="14"/>
    <n v="3"/>
    <n v="3564"/>
    <n v="1782"/>
    <n v="37421"/>
    <n v="1782"/>
    <n v="40985"/>
  </r>
  <r>
    <n v="70"/>
    <x v="9"/>
    <s v="Male"/>
    <n v="59"/>
    <s v="Mumbai"/>
    <x v="4"/>
    <n v="70038"/>
    <d v="2023-10-17T00:00:00"/>
    <n v="14"/>
    <n v="2"/>
    <n v="7004"/>
    <n v="3502"/>
    <n v="73540"/>
    <n v="3502"/>
    <n v="80544"/>
  </r>
  <r>
    <n v="71"/>
    <x v="6"/>
    <s v="Female"/>
    <n v="23"/>
    <s v="Mumbai"/>
    <x v="4"/>
    <n v="27460"/>
    <d v="2023-07-19T00:00:00"/>
    <n v="16"/>
    <n v="3"/>
    <n v="2746"/>
    <n v="1373"/>
    <n v="28833"/>
    <n v="1373"/>
    <n v="31579"/>
  </r>
  <r>
    <n v="72"/>
    <x v="3"/>
    <s v="Female"/>
    <n v="41"/>
    <s v="Delhi"/>
    <x v="3"/>
    <n v="24011"/>
    <d v="2022-11-04T00:00:00"/>
    <n v="19"/>
    <n v="2"/>
    <n v="2401"/>
    <n v="1201"/>
    <n v="25211"/>
    <n v="1201"/>
    <n v="27613"/>
  </r>
  <r>
    <n v="73"/>
    <x v="6"/>
    <s v="Female"/>
    <n v="44"/>
    <s v="Mumbai"/>
    <x v="2"/>
    <n v="67601"/>
    <d v="2022-08-30T00:00:00"/>
    <n v="6"/>
    <n v="4"/>
    <n v="6760"/>
    <n v="3380"/>
    <n v="70981"/>
    <n v="3380"/>
    <n v="77741"/>
  </r>
  <r>
    <n v="74"/>
    <x v="5"/>
    <s v="Female"/>
    <n v="47"/>
    <s v="Mumbai"/>
    <x v="3"/>
    <n v="46886"/>
    <d v="2023-08-10T00:00:00"/>
    <n v="16"/>
    <n v="1"/>
    <n v="4689"/>
    <n v="2344"/>
    <n v="49231"/>
    <n v="2344"/>
    <n v="53919"/>
  </r>
  <r>
    <n v="75"/>
    <x v="5"/>
    <s v="Male"/>
    <n v="46"/>
    <s v="Delhi"/>
    <x v="2"/>
    <n v="77394"/>
    <d v="2023-08-03T00:00:00"/>
    <n v="6"/>
    <n v="3"/>
    <n v="7739"/>
    <n v="3870"/>
    <n v="81263"/>
    <n v="3870"/>
    <n v="89003"/>
  </r>
  <r>
    <n v="76"/>
    <x v="2"/>
    <s v="Male"/>
    <n v="59"/>
    <s v="Delhi"/>
    <x v="4"/>
    <n v="40540"/>
    <d v="2022-03-29T00:00:00"/>
    <n v="20"/>
    <n v="1"/>
    <n v="4054"/>
    <n v="2027"/>
    <n v="42567"/>
    <n v="2027"/>
    <n v="46621"/>
  </r>
  <r>
    <n v="77"/>
    <x v="6"/>
    <s v="Male"/>
    <n v="44"/>
    <s v="Mumbai"/>
    <x v="4"/>
    <n v="45206"/>
    <d v="2024-01-25T00:00:00"/>
    <n v="1"/>
    <n v="4"/>
    <n v="4521"/>
    <n v="2260"/>
    <n v="47467"/>
    <n v="0"/>
    <n v="49727"/>
  </r>
  <r>
    <n v="78"/>
    <x v="6"/>
    <s v="Male"/>
    <n v="29"/>
    <s v="Chennai"/>
    <x v="1"/>
    <n v="25478"/>
    <d v="2024-01-28T00:00:00"/>
    <n v="1"/>
    <n v="4"/>
    <n v="2548"/>
    <n v="1274"/>
    <n v="26752"/>
    <n v="0"/>
    <n v="28026"/>
  </r>
  <r>
    <n v="79"/>
    <x v="0"/>
    <s v="Female"/>
    <n v="32"/>
    <s v="Delhi"/>
    <x v="3"/>
    <n v="50637"/>
    <d v="2024-05-07T00:00:00"/>
    <n v="7"/>
    <n v="1"/>
    <n v="5064"/>
    <n v="2532"/>
    <n v="53169"/>
    <n v="2532"/>
    <n v="58233"/>
  </r>
  <r>
    <n v="80"/>
    <x v="7"/>
    <s v="Female"/>
    <n v="60"/>
    <s v="Bangalore"/>
    <x v="4"/>
    <n v="92618"/>
    <d v="2023-03-27T00:00:00"/>
    <n v="12"/>
    <n v="4"/>
    <n v="9262"/>
    <n v="4631"/>
    <n v="97249"/>
    <n v="4631"/>
    <n v="106511"/>
  </r>
  <r>
    <n v="81"/>
    <x v="9"/>
    <s v="Female"/>
    <n v="26"/>
    <s v="Chennai"/>
    <x v="4"/>
    <n v="78936"/>
    <d v="2022-02-06T00:00:00"/>
    <n v="14"/>
    <n v="5"/>
    <n v="7894"/>
    <n v="3947"/>
    <n v="82883"/>
    <n v="3947"/>
    <n v="90777"/>
  </r>
  <r>
    <n v="82"/>
    <x v="7"/>
    <s v="Female"/>
    <n v="25"/>
    <s v="Delhi"/>
    <x v="2"/>
    <n v="73314"/>
    <d v="2023-04-07T00:00:00"/>
    <n v="20"/>
    <n v="5"/>
    <n v="7331"/>
    <n v="3666"/>
    <n v="76979"/>
    <n v="3666"/>
    <n v="84311"/>
  </r>
  <r>
    <n v="83"/>
    <x v="3"/>
    <s v="Female"/>
    <n v="27"/>
    <s v="Mumbai"/>
    <x v="1"/>
    <n v="35799"/>
    <d v="2023-03-13T00:00:00"/>
    <n v="9"/>
    <n v="2"/>
    <n v="3580"/>
    <n v="1790"/>
    <n v="37589"/>
    <n v="1790"/>
    <n v="41169"/>
  </r>
  <r>
    <n v="84"/>
    <x v="7"/>
    <s v="Male"/>
    <n v="37"/>
    <s v="Chennai"/>
    <x v="3"/>
    <n v="23329"/>
    <d v="2023-08-04T00:00:00"/>
    <n v="2"/>
    <n v="2"/>
    <n v="2333"/>
    <n v="1166"/>
    <n v="24496"/>
    <n v="0"/>
    <n v="25662"/>
  </r>
  <r>
    <n v="85"/>
    <x v="7"/>
    <s v="Female"/>
    <n v="53"/>
    <s v="Delhi"/>
    <x v="1"/>
    <n v="84446"/>
    <d v="2023-07-20T00:00:00"/>
    <n v="14"/>
    <n v="4"/>
    <n v="8445"/>
    <n v="4222"/>
    <n v="88669"/>
    <n v="4222"/>
    <n v="97113"/>
  </r>
  <r>
    <n v="86"/>
    <x v="0"/>
    <s v="Male"/>
    <n v="52"/>
    <s v="Hyderabad"/>
    <x v="1"/>
    <n v="86876"/>
    <d v="2022-03-10T00:00:00"/>
    <n v="17"/>
    <n v="5"/>
    <n v="8688"/>
    <n v="4344"/>
    <n v="91220"/>
    <n v="4344"/>
    <n v="99908"/>
  </r>
  <r>
    <n v="87"/>
    <x v="2"/>
    <s v="Male"/>
    <n v="44"/>
    <s v="Delhi"/>
    <x v="1"/>
    <n v="40441"/>
    <d v="2022-01-06T00:00:00"/>
    <n v="10"/>
    <n v="2"/>
    <n v="4044"/>
    <n v="2022"/>
    <n v="42463"/>
    <n v="2022"/>
    <n v="46507"/>
  </r>
  <r>
    <n v="88"/>
    <x v="2"/>
    <s v="Male"/>
    <n v="48"/>
    <s v="Chennai"/>
    <x v="3"/>
    <n v="27813"/>
    <d v="2022-08-22T00:00:00"/>
    <n v="3"/>
    <n v="1"/>
    <n v="2781"/>
    <n v="1391"/>
    <n v="29203"/>
    <n v="0"/>
    <n v="30594"/>
  </r>
  <r>
    <n v="89"/>
    <x v="7"/>
    <s v="Male"/>
    <n v="25"/>
    <s v="Hyderabad"/>
    <x v="2"/>
    <n v="22035"/>
    <d v="2023-09-17T00:00:00"/>
    <n v="13"/>
    <n v="1"/>
    <n v="2204"/>
    <n v="1102"/>
    <n v="23137"/>
    <n v="1102"/>
    <n v="25341"/>
  </r>
  <r>
    <n v="90"/>
    <x v="9"/>
    <s v="Female"/>
    <n v="46"/>
    <s v="Mumbai"/>
    <x v="2"/>
    <n v="21287"/>
    <d v="2023-10-28T00:00:00"/>
    <n v="6"/>
    <n v="2"/>
    <n v="2129"/>
    <n v="1064"/>
    <n v="22352"/>
    <n v="1064"/>
    <n v="24480"/>
  </r>
  <r>
    <n v="91"/>
    <x v="0"/>
    <s v="Female"/>
    <n v="43"/>
    <s v="Mumbai"/>
    <x v="1"/>
    <n v="81255"/>
    <d v="2023-03-12T00:00:00"/>
    <n v="3"/>
    <n v="3"/>
    <n v="8126"/>
    <n v="4063"/>
    <n v="85318"/>
    <n v="0"/>
    <n v="89381"/>
  </r>
  <r>
    <n v="92"/>
    <x v="6"/>
    <s v="Female"/>
    <n v="34"/>
    <s v="Chennai"/>
    <x v="3"/>
    <n v="49475"/>
    <d v="2024-01-11T00:00:00"/>
    <n v="2"/>
    <n v="1"/>
    <n v="4948"/>
    <n v="2474"/>
    <n v="51949"/>
    <n v="0"/>
    <n v="54423"/>
  </r>
  <r>
    <n v="93"/>
    <x v="7"/>
    <s v="Male"/>
    <n v="34"/>
    <s v="Delhi"/>
    <x v="3"/>
    <n v="95256"/>
    <d v="2022-06-24T00:00:00"/>
    <n v="14"/>
    <n v="5"/>
    <n v="9526"/>
    <n v="4763"/>
    <n v="100019"/>
    <n v="4763"/>
    <n v="109545"/>
  </r>
  <r>
    <n v="94"/>
    <x v="6"/>
    <s v="Female"/>
    <n v="58"/>
    <s v="Bangalore"/>
    <x v="3"/>
    <n v="23180"/>
    <d v="2023-12-12T00:00:00"/>
    <n v="18"/>
    <n v="3"/>
    <n v="2318"/>
    <n v="1159"/>
    <n v="24339"/>
    <n v="1159"/>
    <n v="26657"/>
  </r>
  <r>
    <n v="95"/>
    <x v="6"/>
    <s v="Male"/>
    <n v="27"/>
    <s v="Delhi"/>
    <x v="2"/>
    <n v="70731"/>
    <d v="2022-12-09T00:00:00"/>
    <n v="17"/>
    <n v="2"/>
    <n v="7073"/>
    <n v="3537"/>
    <n v="74267"/>
    <n v="3537"/>
    <n v="81341"/>
  </r>
  <r>
    <n v="96"/>
    <x v="7"/>
    <s v="Female"/>
    <n v="49"/>
    <s v="Bangalore"/>
    <x v="1"/>
    <n v="47146"/>
    <d v="2024-03-21T00:00:00"/>
    <n v="13"/>
    <n v="2"/>
    <n v="4715"/>
    <n v="2357"/>
    <n v="49504"/>
    <n v="2357"/>
    <n v="54218"/>
  </r>
  <r>
    <n v="97"/>
    <x v="9"/>
    <s v="Male"/>
    <n v="56"/>
    <s v="Chennai"/>
    <x v="2"/>
    <n v="23261"/>
    <d v="2022-09-23T00:00:00"/>
    <n v="10"/>
    <n v="1"/>
    <n v="2326"/>
    <n v="1163"/>
    <n v="24424"/>
    <n v="1163"/>
    <n v="26750"/>
  </r>
  <r>
    <n v="98"/>
    <x v="8"/>
    <s v="Male"/>
    <n v="35"/>
    <s v="Delhi"/>
    <x v="0"/>
    <n v="79202"/>
    <d v="2023-06-10T00:00:00"/>
    <n v="4"/>
    <n v="2"/>
    <n v="7920"/>
    <n v="3960"/>
    <n v="83162"/>
    <n v="0"/>
    <n v="87122"/>
  </r>
  <r>
    <n v="99"/>
    <x v="1"/>
    <s v="Female"/>
    <n v="35"/>
    <s v="Delhi"/>
    <x v="0"/>
    <n v="57985"/>
    <d v="2022-12-30T00:00:00"/>
    <n v="13"/>
    <n v="1"/>
    <n v="5798"/>
    <n v="2899"/>
    <n v="60884"/>
    <n v="2899"/>
    <n v="66682"/>
  </r>
  <r>
    <n v="100"/>
    <x v="0"/>
    <s v="Male"/>
    <n v="60"/>
    <s v="Delhi"/>
    <x v="3"/>
    <n v="35147"/>
    <d v="2022-12-01T00:00:00"/>
    <n v="16"/>
    <n v="5"/>
    <n v="3515"/>
    <n v="1757"/>
    <n v="36905"/>
    <n v="1757"/>
    <n v="40419"/>
  </r>
  <r>
    <n v="101"/>
    <x v="2"/>
    <s v="Female"/>
    <n v="27"/>
    <s v="Hyderabad"/>
    <x v="0"/>
    <n v="76911"/>
    <d v="2024-04-10T00:00:00"/>
    <n v="4"/>
    <n v="1"/>
    <n v="7691"/>
    <n v="3846"/>
    <n v="80756"/>
    <n v="0"/>
    <n v="84602"/>
  </r>
  <r>
    <n v="102"/>
    <x v="0"/>
    <s v="Female"/>
    <n v="28"/>
    <s v="Chennai"/>
    <x v="4"/>
    <n v="32096"/>
    <d v="2023-01-28T00:00:00"/>
    <n v="18"/>
    <n v="1"/>
    <n v="3210"/>
    <n v="1605"/>
    <n v="33701"/>
    <n v="1605"/>
    <n v="36911"/>
  </r>
  <r>
    <n v="103"/>
    <x v="1"/>
    <s v="Female"/>
    <n v="36"/>
    <s v="Bangalore"/>
    <x v="0"/>
    <n v="39958"/>
    <d v="2023-08-24T00:00:00"/>
    <n v="11"/>
    <n v="4"/>
    <n v="3996"/>
    <n v="1998"/>
    <n v="41956"/>
    <n v="1998"/>
    <n v="45952"/>
  </r>
  <r>
    <n v="104"/>
    <x v="0"/>
    <s v="Female"/>
    <n v="60"/>
    <s v="Mumbai"/>
    <x v="2"/>
    <n v="74860"/>
    <d v="2023-03-16T00:00:00"/>
    <n v="4"/>
    <n v="4"/>
    <n v="7486"/>
    <n v="3743"/>
    <n v="78603"/>
    <n v="0"/>
    <n v="82346"/>
  </r>
  <r>
    <n v="105"/>
    <x v="3"/>
    <s v="Female"/>
    <n v="44"/>
    <s v="Bangalore"/>
    <x v="0"/>
    <n v="90439"/>
    <d v="2022-09-26T00:00:00"/>
    <n v="17"/>
    <n v="3"/>
    <n v="9044"/>
    <n v="4522"/>
    <n v="94961"/>
    <n v="4522"/>
    <n v="104005"/>
  </r>
  <r>
    <n v="106"/>
    <x v="1"/>
    <s v="Male"/>
    <n v="56"/>
    <s v="Bangalore"/>
    <x v="1"/>
    <n v="56738"/>
    <d v="2023-03-06T00:00:00"/>
    <n v="3"/>
    <n v="1"/>
    <n v="5674"/>
    <n v="2837"/>
    <n v="59575"/>
    <n v="0"/>
    <n v="62412"/>
  </r>
  <r>
    <n v="107"/>
    <x v="8"/>
    <s v="Female"/>
    <n v="30"/>
    <s v="Bangalore"/>
    <x v="0"/>
    <n v="56658"/>
    <d v="2023-07-21T00:00:00"/>
    <n v="13"/>
    <n v="4"/>
    <n v="5666"/>
    <n v="2833"/>
    <n v="59491"/>
    <n v="2833"/>
    <n v="65157"/>
  </r>
  <r>
    <n v="108"/>
    <x v="5"/>
    <s v="Female"/>
    <n v="34"/>
    <s v="Mumbai"/>
    <x v="2"/>
    <n v="86273"/>
    <d v="2022-11-25T00:00:00"/>
    <n v="8"/>
    <n v="3"/>
    <n v="8627"/>
    <n v="4314"/>
    <n v="90586"/>
    <n v="4314"/>
    <n v="99214"/>
  </r>
  <r>
    <n v="109"/>
    <x v="0"/>
    <s v="Female"/>
    <n v="31"/>
    <s v="Delhi"/>
    <x v="3"/>
    <n v="27499"/>
    <d v="2023-08-29T00:00:00"/>
    <n v="13"/>
    <n v="1"/>
    <n v="2750"/>
    <n v="1375"/>
    <n v="28874"/>
    <n v="1375"/>
    <n v="31624"/>
  </r>
  <r>
    <n v="110"/>
    <x v="0"/>
    <s v="Male"/>
    <n v="27"/>
    <s v="Bangalore"/>
    <x v="1"/>
    <n v="36252"/>
    <d v="2023-04-14T00:00:00"/>
    <n v="1"/>
    <n v="2"/>
    <n v="3625"/>
    <n v="1813"/>
    <n v="38064"/>
    <n v="0"/>
    <n v="39877"/>
  </r>
  <r>
    <n v="111"/>
    <x v="1"/>
    <s v="Female"/>
    <n v="26"/>
    <s v="Mumbai"/>
    <x v="1"/>
    <n v="82014"/>
    <d v="2023-10-12T00:00:00"/>
    <n v="18"/>
    <n v="2"/>
    <n v="8201"/>
    <n v="4101"/>
    <n v="86114"/>
    <n v="4101"/>
    <n v="94316"/>
  </r>
  <r>
    <n v="112"/>
    <x v="0"/>
    <s v="Female"/>
    <n v="59"/>
    <s v="Mumbai"/>
    <x v="4"/>
    <n v="59048"/>
    <d v="2024-02-13T00:00:00"/>
    <n v="2"/>
    <n v="4"/>
    <n v="5905"/>
    <n v="2952"/>
    <n v="62001"/>
    <n v="0"/>
    <n v="64953"/>
  </r>
  <r>
    <n v="113"/>
    <x v="8"/>
    <s v="Female"/>
    <n v="22"/>
    <s v="Chennai"/>
    <x v="0"/>
    <n v="41360"/>
    <d v="2022-03-07T00:00:00"/>
    <n v="5"/>
    <n v="2"/>
    <n v="4136"/>
    <n v="2068"/>
    <n v="43428"/>
    <n v="0"/>
    <n v="45496"/>
  </r>
  <r>
    <n v="114"/>
    <x v="2"/>
    <s v="Female"/>
    <n v="48"/>
    <s v="Chennai"/>
    <x v="4"/>
    <n v="85137"/>
    <d v="2022-02-24T00:00:00"/>
    <n v="8"/>
    <n v="2"/>
    <n v="8514"/>
    <n v="4257"/>
    <n v="89394"/>
    <n v="4257"/>
    <n v="97908"/>
  </r>
  <r>
    <n v="115"/>
    <x v="4"/>
    <s v="Female"/>
    <n v="39"/>
    <s v="Chennai"/>
    <x v="3"/>
    <n v="58351"/>
    <d v="2024-06-27T00:00:00"/>
    <n v="18"/>
    <n v="4"/>
    <n v="5835"/>
    <n v="2918"/>
    <n v="61268"/>
    <n v="2918"/>
    <n v="67104"/>
  </r>
  <r>
    <n v="116"/>
    <x v="7"/>
    <s v="Female"/>
    <n v="38"/>
    <s v="Delhi"/>
    <x v="0"/>
    <n v="20592"/>
    <d v="2022-09-29T00:00:00"/>
    <n v="18"/>
    <n v="1"/>
    <n v="2059"/>
    <n v="1030"/>
    <n v="21621"/>
    <n v="1030"/>
    <n v="23681"/>
  </r>
  <r>
    <n v="117"/>
    <x v="8"/>
    <s v="Male"/>
    <n v="53"/>
    <s v="Delhi"/>
    <x v="2"/>
    <n v="76316"/>
    <d v="2024-02-26T00:00:00"/>
    <n v="12"/>
    <n v="5"/>
    <n v="7632"/>
    <n v="3816"/>
    <n v="80132"/>
    <n v="3816"/>
    <n v="87764"/>
  </r>
  <r>
    <n v="118"/>
    <x v="2"/>
    <s v="Male"/>
    <n v="42"/>
    <s v="Bangalore"/>
    <x v="1"/>
    <n v="78065"/>
    <d v="2022-07-19T00:00:00"/>
    <n v="2"/>
    <n v="5"/>
    <n v="7806"/>
    <n v="3903"/>
    <n v="81968"/>
    <n v="0"/>
    <n v="85871"/>
  </r>
  <r>
    <n v="119"/>
    <x v="7"/>
    <s v="Female"/>
    <n v="22"/>
    <s v="Chennai"/>
    <x v="4"/>
    <n v="30581"/>
    <d v="2023-01-08T00:00:00"/>
    <n v="14"/>
    <n v="2"/>
    <n v="3058"/>
    <n v="1529"/>
    <n v="32110"/>
    <n v="1529"/>
    <n v="35168"/>
  </r>
  <r>
    <n v="120"/>
    <x v="8"/>
    <s v="Male"/>
    <n v="51"/>
    <s v="Bangalore"/>
    <x v="4"/>
    <n v="92396"/>
    <d v="2024-07-06T00:00:00"/>
    <n v="2"/>
    <n v="4"/>
    <n v="9240"/>
    <n v="4620"/>
    <n v="97016"/>
    <n v="0"/>
    <n v="101636"/>
  </r>
  <r>
    <n v="121"/>
    <x v="8"/>
    <s v="Female"/>
    <n v="31"/>
    <s v="Mumbai"/>
    <x v="2"/>
    <n v="98347"/>
    <d v="2023-04-18T00:00:00"/>
    <n v="8"/>
    <n v="5"/>
    <n v="9835"/>
    <n v="4917"/>
    <n v="103265"/>
    <n v="4917"/>
    <n v="113099"/>
  </r>
  <r>
    <n v="122"/>
    <x v="7"/>
    <s v="Male"/>
    <n v="57"/>
    <s v="Mumbai"/>
    <x v="1"/>
    <n v="53883"/>
    <d v="2023-09-01T00:00:00"/>
    <n v="17"/>
    <n v="3"/>
    <n v="5388"/>
    <n v="2694"/>
    <n v="56577"/>
    <n v="2694"/>
    <n v="61965"/>
  </r>
  <r>
    <n v="123"/>
    <x v="6"/>
    <s v="Male"/>
    <n v="57"/>
    <s v="Delhi"/>
    <x v="4"/>
    <n v="52260"/>
    <d v="2023-12-16T00:00:00"/>
    <n v="4"/>
    <n v="1"/>
    <n v="5226"/>
    <n v="2613"/>
    <n v="54873"/>
    <n v="0"/>
    <n v="57486"/>
  </r>
  <r>
    <n v="124"/>
    <x v="8"/>
    <s v="Male"/>
    <n v="52"/>
    <s v="Hyderabad"/>
    <x v="3"/>
    <n v="49464"/>
    <d v="2023-05-30T00:00:00"/>
    <n v="15"/>
    <n v="5"/>
    <n v="4946"/>
    <n v="2473"/>
    <n v="51937"/>
    <n v="2473"/>
    <n v="56883"/>
  </r>
  <r>
    <n v="125"/>
    <x v="3"/>
    <s v="Female"/>
    <n v="35"/>
    <s v="Bangalore"/>
    <x v="1"/>
    <n v="92514"/>
    <d v="2024-04-25T00:00:00"/>
    <n v="4"/>
    <n v="1"/>
    <n v="9251"/>
    <n v="4626"/>
    <n v="97139"/>
    <n v="0"/>
    <n v="101765"/>
  </r>
  <r>
    <n v="126"/>
    <x v="8"/>
    <s v="Male"/>
    <n v="40"/>
    <s v="Delhi"/>
    <x v="1"/>
    <n v="75156"/>
    <d v="2024-03-16T00:00:00"/>
    <n v="12"/>
    <n v="5"/>
    <n v="7516"/>
    <n v="3758"/>
    <n v="78914"/>
    <n v="3758"/>
    <n v="86430"/>
  </r>
  <r>
    <n v="127"/>
    <x v="3"/>
    <s v="Female"/>
    <n v="40"/>
    <s v="Hyderabad"/>
    <x v="4"/>
    <n v="24523"/>
    <d v="2024-05-19T00:00:00"/>
    <n v="16"/>
    <n v="1"/>
    <n v="2452"/>
    <n v="1226"/>
    <n v="25749"/>
    <n v="1226"/>
    <n v="28201"/>
  </r>
  <r>
    <n v="128"/>
    <x v="6"/>
    <s v="Female"/>
    <n v="29"/>
    <s v="Hyderabad"/>
    <x v="1"/>
    <n v="58868"/>
    <d v="2023-10-29T00:00:00"/>
    <n v="17"/>
    <n v="5"/>
    <n v="5887"/>
    <n v="2943"/>
    <n v="61812"/>
    <n v="2943"/>
    <n v="67698"/>
  </r>
  <r>
    <n v="129"/>
    <x v="8"/>
    <s v="Female"/>
    <n v="39"/>
    <s v="Delhi"/>
    <x v="2"/>
    <n v="23647"/>
    <d v="2023-06-12T00:00:00"/>
    <n v="1"/>
    <n v="5"/>
    <n v="2365"/>
    <n v="1182"/>
    <n v="24830"/>
    <n v="0"/>
    <n v="26012"/>
  </r>
  <r>
    <n v="130"/>
    <x v="6"/>
    <s v="Male"/>
    <n v="36"/>
    <s v="Bangalore"/>
    <x v="2"/>
    <n v="48071"/>
    <d v="2023-04-23T00:00:00"/>
    <n v="6"/>
    <n v="2"/>
    <n v="4807"/>
    <n v="2404"/>
    <n v="50474"/>
    <n v="2404"/>
    <n v="55282"/>
  </r>
  <r>
    <n v="131"/>
    <x v="0"/>
    <s v="Male"/>
    <n v="56"/>
    <s v="Bangalore"/>
    <x v="1"/>
    <n v="38983"/>
    <d v="2022-11-11T00:00:00"/>
    <n v="10"/>
    <n v="5"/>
    <n v="3898"/>
    <n v="1949"/>
    <n v="40932"/>
    <n v="1949"/>
    <n v="44830"/>
  </r>
  <r>
    <n v="132"/>
    <x v="8"/>
    <s v="Female"/>
    <n v="49"/>
    <s v="Chennai"/>
    <x v="2"/>
    <n v="48324"/>
    <d v="2023-02-27T00:00:00"/>
    <n v="16"/>
    <n v="3"/>
    <n v="4832"/>
    <n v="2416"/>
    <n v="50740"/>
    <n v="2416"/>
    <n v="55572"/>
  </r>
  <r>
    <n v="133"/>
    <x v="0"/>
    <s v="Male"/>
    <n v="24"/>
    <s v="Mumbai"/>
    <x v="4"/>
    <n v="82301"/>
    <d v="2023-04-14T00:00:00"/>
    <n v="4"/>
    <n v="1"/>
    <n v="8230"/>
    <n v="4115"/>
    <n v="86416"/>
    <n v="0"/>
    <n v="90531"/>
  </r>
  <r>
    <n v="134"/>
    <x v="3"/>
    <s v="Female"/>
    <n v="35"/>
    <s v="Delhi"/>
    <x v="2"/>
    <n v="41760"/>
    <d v="2022-10-22T00:00:00"/>
    <n v="9"/>
    <n v="3"/>
    <n v="4176"/>
    <n v="2088"/>
    <n v="43848"/>
    <n v="2088"/>
    <n v="48024"/>
  </r>
  <r>
    <n v="135"/>
    <x v="9"/>
    <s v="Male"/>
    <n v="44"/>
    <s v="Bangalore"/>
    <x v="1"/>
    <n v="69776"/>
    <d v="2024-06-24T00:00:00"/>
    <n v="5"/>
    <n v="5"/>
    <n v="6978"/>
    <n v="3489"/>
    <n v="73265"/>
    <n v="0"/>
    <n v="76754"/>
  </r>
  <r>
    <n v="136"/>
    <x v="9"/>
    <s v="Male"/>
    <n v="60"/>
    <s v="Chennai"/>
    <x v="1"/>
    <n v="54774"/>
    <d v="2023-07-17T00:00:00"/>
    <n v="6"/>
    <n v="2"/>
    <n v="5477"/>
    <n v="2739"/>
    <n v="57512"/>
    <n v="2739"/>
    <n v="62990"/>
  </r>
  <r>
    <n v="137"/>
    <x v="3"/>
    <s v="Female"/>
    <n v="46"/>
    <s v="Hyderabad"/>
    <x v="3"/>
    <n v="24255"/>
    <d v="2022-06-02T00:00:00"/>
    <n v="9"/>
    <n v="1"/>
    <n v="2426"/>
    <n v="1213"/>
    <n v="25468"/>
    <n v="1213"/>
    <n v="27894"/>
  </r>
  <r>
    <n v="138"/>
    <x v="0"/>
    <s v="Female"/>
    <n v="34"/>
    <s v="Mumbai"/>
    <x v="3"/>
    <n v="77612"/>
    <d v="2023-03-23T00:00:00"/>
    <n v="17"/>
    <n v="4"/>
    <n v="7761"/>
    <n v="3881"/>
    <n v="81492"/>
    <n v="3881"/>
    <n v="89254"/>
  </r>
  <r>
    <n v="139"/>
    <x v="6"/>
    <s v="Female"/>
    <n v="50"/>
    <s v="Mumbai"/>
    <x v="1"/>
    <n v="55565"/>
    <d v="2023-12-22T00:00:00"/>
    <n v="11"/>
    <n v="3"/>
    <n v="5556"/>
    <n v="2778"/>
    <n v="58343"/>
    <n v="2778"/>
    <n v="63899"/>
  </r>
  <r>
    <n v="140"/>
    <x v="6"/>
    <s v="Female"/>
    <n v="34"/>
    <s v="Hyderabad"/>
    <x v="4"/>
    <n v="22029"/>
    <d v="2024-06-05T00:00:00"/>
    <n v="19"/>
    <n v="4"/>
    <n v="2203"/>
    <n v="1101"/>
    <n v="23131"/>
    <n v="1101"/>
    <n v="25333"/>
  </r>
  <r>
    <n v="141"/>
    <x v="6"/>
    <s v="Female"/>
    <n v="38"/>
    <s v="Bangalore"/>
    <x v="0"/>
    <n v="70911"/>
    <d v="2024-02-11T00:00:00"/>
    <n v="4"/>
    <n v="2"/>
    <n v="7091"/>
    <n v="3546"/>
    <n v="74456"/>
    <n v="0"/>
    <n v="78002"/>
  </r>
  <r>
    <n v="142"/>
    <x v="1"/>
    <s v="Female"/>
    <n v="54"/>
    <s v="Mumbai"/>
    <x v="0"/>
    <n v="90673"/>
    <d v="2024-06-26T00:00:00"/>
    <n v="18"/>
    <n v="4"/>
    <n v="9067"/>
    <n v="4534"/>
    <n v="95206"/>
    <n v="4534"/>
    <n v="104274"/>
  </r>
  <r>
    <n v="143"/>
    <x v="6"/>
    <s v="Female"/>
    <n v="22"/>
    <s v="Chennai"/>
    <x v="4"/>
    <n v="44554"/>
    <d v="2022-10-21T00:00:00"/>
    <n v="16"/>
    <n v="5"/>
    <n v="4455"/>
    <n v="2228"/>
    <n v="46781"/>
    <n v="2228"/>
    <n v="51237"/>
  </r>
  <r>
    <n v="144"/>
    <x v="7"/>
    <s v="Female"/>
    <n v="49"/>
    <s v="Delhi"/>
    <x v="3"/>
    <n v="37431"/>
    <d v="2022-01-18T00:00:00"/>
    <n v="1"/>
    <n v="4"/>
    <n v="3743"/>
    <n v="1872"/>
    <n v="39302"/>
    <n v="0"/>
    <n v="41174"/>
  </r>
  <r>
    <n v="145"/>
    <x v="7"/>
    <s v="Female"/>
    <n v="60"/>
    <s v="Bangalore"/>
    <x v="0"/>
    <n v="43985"/>
    <d v="2022-01-28T00:00:00"/>
    <n v="13"/>
    <n v="1"/>
    <n v="4398"/>
    <n v="2199"/>
    <n v="46184"/>
    <n v="2199"/>
    <n v="50582"/>
  </r>
  <r>
    <n v="146"/>
    <x v="3"/>
    <s v="Male"/>
    <n v="24"/>
    <s v="Chennai"/>
    <x v="4"/>
    <n v="67768"/>
    <d v="2023-12-29T00:00:00"/>
    <n v="17"/>
    <n v="5"/>
    <n v="6777"/>
    <n v="3388"/>
    <n v="71157"/>
    <n v="3388"/>
    <n v="77933"/>
  </r>
  <r>
    <n v="147"/>
    <x v="1"/>
    <s v="Male"/>
    <n v="38"/>
    <s v="Delhi"/>
    <x v="2"/>
    <n v="31685"/>
    <d v="2024-02-22T00:00:00"/>
    <n v="12"/>
    <n v="1"/>
    <n v="3168"/>
    <n v="1584"/>
    <n v="33269"/>
    <n v="1584"/>
    <n v="36437"/>
  </r>
  <r>
    <n v="148"/>
    <x v="5"/>
    <s v="Male"/>
    <n v="26"/>
    <s v="Delhi"/>
    <x v="3"/>
    <n v="73803"/>
    <d v="2023-09-24T00:00:00"/>
    <n v="5"/>
    <n v="5"/>
    <n v="7380"/>
    <n v="3690"/>
    <n v="77493"/>
    <n v="0"/>
    <n v="81183"/>
  </r>
  <r>
    <n v="149"/>
    <x v="5"/>
    <s v="Female"/>
    <n v="24"/>
    <s v="Delhi"/>
    <x v="1"/>
    <n v="78224"/>
    <d v="2023-08-16T00:00:00"/>
    <n v="6"/>
    <n v="2"/>
    <n v="7822"/>
    <n v="3911"/>
    <n v="82135"/>
    <n v="3911"/>
    <n v="89957"/>
  </r>
  <r>
    <n v="150"/>
    <x v="0"/>
    <s v="Female"/>
    <n v="34"/>
    <s v="Chennai"/>
    <x v="2"/>
    <n v="92680"/>
    <d v="2024-03-14T00:00:00"/>
    <n v="4"/>
    <n v="2"/>
    <n v="9268"/>
    <n v="4634"/>
    <n v="97314"/>
    <n v="0"/>
    <n v="101948"/>
  </r>
  <r>
    <n v="151"/>
    <x v="0"/>
    <s v="Female"/>
    <n v="55"/>
    <s v="Chennai"/>
    <x v="3"/>
    <n v="84233"/>
    <d v="2023-10-29T00:00:00"/>
    <n v="13"/>
    <n v="4"/>
    <n v="8423"/>
    <n v="4212"/>
    <n v="88444"/>
    <n v="4212"/>
    <n v="96868"/>
  </r>
  <r>
    <n v="152"/>
    <x v="6"/>
    <s v="Male"/>
    <n v="26"/>
    <s v="Chennai"/>
    <x v="1"/>
    <n v="55216"/>
    <d v="2022-09-14T00:00:00"/>
    <n v="4"/>
    <n v="4"/>
    <n v="5522"/>
    <n v="2761"/>
    <n v="57977"/>
    <n v="0"/>
    <n v="60738"/>
  </r>
  <r>
    <n v="153"/>
    <x v="0"/>
    <s v="Male"/>
    <n v="33"/>
    <s v="Mumbai"/>
    <x v="0"/>
    <n v="34706"/>
    <d v="2023-04-23T00:00:00"/>
    <n v="17"/>
    <n v="5"/>
    <n v="3471"/>
    <n v="1735"/>
    <n v="36442"/>
    <n v="1735"/>
    <n v="39912"/>
  </r>
  <r>
    <n v="154"/>
    <x v="3"/>
    <s v="Female"/>
    <n v="40"/>
    <s v="Mumbai"/>
    <x v="1"/>
    <n v="34394"/>
    <d v="2023-12-14T00:00:00"/>
    <n v="18"/>
    <n v="3"/>
    <n v="3439"/>
    <n v="1720"/>
    <n v="36113"/>
    <n v="1720"/>
    <n v="39553"/>
  </r>
  <r>
    <n v="155"/>
    <x v="6"/>
    <s v="Male"/>
    <n v="60"/>
    <s v="Mumbai"/>
    <x v="1"/>
    <n v="47641"/>
    <d v="2022-06-06T00:00:00"/>
    <n v="12"/>
    <n v="3"/>
    <n v="4764"/>
    <n v="2382"/>
    <n v="50023"/>
    <n v="2382"/>
    <n v="54787"/>
  </r>
  <r>
    <n v="156"/>
    <x v="9"/>
    <s v="Female"/>
    <n v="35"/>
    <s v="Mumbai"/>
    <x v="2"/>
    <n v="89853"/>
    <d v="2023-04-05T00:00:00"/>
    <n v="19"/>
    <n v="5"/>
    <n v="8985"/>
    <n v="4493"/>
    <n v="94345"/>
    <n v="4493"/>
    <n v="103331"/>
  </r>
  <r>
    <n v="157"/>
    <x v="0"/>
    <s v="Male"/>
    <n v="23"/>
    <s v="Chennai"/>
    <x v="3"/>
    <n v="31373"/>
    <d v="2023-09-21T00:00:00"/>
    <n v="16"/>
    <n v="2"/>
    <n v="3137"/>
    <n v="1569"/>
    <n v="32941"/>
    <n v="1569"/>
    <n v="36079"/>
  </r>
  <r>
    <n v="158"/>
    <x v="8"/>
    <s v="Female"/>
    <n v="48"/>
    <s v="Hyderabad"/>
    <x v="4"/>
    <n v="77101"/>
    <d v="2023-06-23T00:00:00"/>
    <n v="12"/>
    <n v="5"/>
    <n v="7710"/>
    <n v="3855"/>
    <n v="80956"/>
    <n v="3855"/>
    <n v="88666"/>
  </r>
  <r>
    <n v="159"/>
    <x v="5"/>
    <s v="Female"/>
    <n v="29"/>
    <s v="Delhi"/>
    <x v="0"/>
    <n v="39892"/>
    <d v="2022-03-14T00:00:00"/>
    <n v="17"/>
    <n v="4"/>
    <n v="3989"/>
    <n v="1995"/>
    <n v="41886"/>
    <n v="1995"/>
    <n v="45876"/>
  </r>
  <r>
    <n v="160"/>
    <x v="9"/>
    <s v="Male"/>
    <n v="56"/>
    <s v="Bangalore"/>
    <x v="1"/>
    <n v="79910"/>
    <d v="2024-05-11T00:00:00"/>
    <n v="5"/>
    <n v="3"/>
    <n v="7991"/>
    <n v="3996"/>
    <n v="83905"/>
    <n v="0"/>
    <n v="87901"/>
  </r>
  <r>
    <n v="161"/>
    <x v="9"/>
    <s v="Female"/>
    <n v="40"/>
    <s v="Bangalore"/>
    <x v="4"/>
    <n v="22403"/>
    <d v="2023-10-02T00:00:00"/>
    <n v="8"/>
    <n v="5"/>
    <n v="2240"/>
    <n v="1120"/>
    <n v="23523"/>
    <n v="1120"/>
    <n v="25763"/>
  </r>
  <r>
    <n v="162"/>
    <x v="8"/>
    <s v="Female"/>
    <n v="51"/>
    <s v="Hyderabad"/>
    <x v="4"/>
    <n v="53631"/>
    <d v="2023-02-16T00:00:00"/>
    <n v="8"/>
    <n v="5"/>
    <n v="5363"/>
    <n v="2682"/>
    <n v="56312"/>
    <n v="2682"/>
    <n v="61676"/>
  </r>
  <r>
    <n v="163"/>
    <x v="0"/>
    <s v="Female"/>
    <n v="29"/>
    <s v="Bangalore"/>
    <x v="2"/>
    <n v="42930"/>
    <d v="2024-01-09T00:00:00"/>
    <n v="11"/>
    <n v="1"/>
    <n v="4293"/>
    <n v="2146"/>
    <n v="45077"/>
    <n v="2146"/>
    <n v="49369"/>
  </r>
  <r>
    <n v="164"/>
    <x v="4"/>
    <s v="Male"/>
    <n v="60"/>
    <s v="Bangalore"/>
    <x v="2"/>
    <n v="38509"/>
    <d v="2023-04-06T00:00:00"/>
    <n v="11"/>
    <n v="4"/>
    <n v="3851"/>
    <n v="1925"/>
    <n v="40435"/>
    <n v="1925"/>
    <n v="44285"/>
  </r>
  <r>
    <n v="165"/>
    <x v="0"/>
    <s v="Female"/>
    <n v="33"/>
    <s v="Bangalore"/>
    <x v="1"/>
    <n v="88764"/>
    <d v="2023-02-20T00:00:00"/>
    <n v="16"/>
    <n v="1"/>
    <n v="8876"/>
    <n v="4438"/>
    <n v="93202"/>
    <n v="4438"/>
    <n v="102078"/>
  </r>
  <r>
    <n v="166"/>
    <x v="4"/>
    <s v="Female"/>
    <n v="42"/>
    <s v="Mumbai"/>
    <x v="0"/>
    <n v="53332"/>
    <d v="2022-07-16T00:00:00"/>
    <n v="7"/>
    <n v="3"/>
    <n v="5333"/>
    <n v="2667"/>
    <n v="55998"/>
    <n v="2667"/>
    <n v="61332"/>
  </r>
  <r>
    <n v="167"/>
    <x v="5"/>
    <s v="Male"/>
    <n v="45"/>
    <s v="Chennai"/>
    <x v="1"/>
    <n v="91411"/>
    <d v="2023-07-18T00:00:00"/>
    <n v="2"/>
    <n v="1"/>
    <n v="9141"/>
    <n v="4571"/>
    <n v="95981"/>
    <n v="0"/>
    <n v="100552"/>
  </r>
  <r>
    <n v="168"/>
    <x v="1"/>
    <s v="Male"/>
    <n v="30"/>
    <s v="Chennai"/>
    <x v="3"/>
    <n v="68770"/>
    <d v="2024-06-19T00:00:00"/>
    <n v="16"/>
    <n v="2"/>
    <n v="6877"/>
    <n v="3438"/>
    <n v="72209"/>
    <n v="3438"/>
    <n v="79085"/>
  </r>
  <r>
    <n v="169"/>
    <x v="0"/>
    <s v="Male"/>
    <n v="45"/>
    <s v="Mumbai"/>
    <x v="2"/>
    <n v="52750"/>
    <d v="2024-06-02T00:00:00"/>
    <n v="14"/>
    <n v="1"/>
    <n v="5275"/>
    <n v="2638"/>
    <n v="55387"/>
    <n v="2638"/>
    <n v="60663"/>
  </r>
  <r>
    <n v="170"/>
    <x v="1"/>
    <s v="Female"/>
    <n v="55"/>
    <s v="Hyderabad"/>
    <x v="0"/>
    <n v="73358"/>
    <d v="2023-04-21T00:00:00"/>
    <n v="18"/>
    <n v="5"/>
    <n v="7336"/>
    <n v="3668"/>
    <n v="77026"/>
    <n v="3668"/>
    <n v="84362"/>
  </r>
  <r>
    <n v="171"/>
    <x v="7"/>
    <s v="Male"/>
    <n v="53"/>
    <s v="Mumbai"/>
    <x v="4"/>
    <n v="63542"/>
    <d v="2022-09-10T00:00:00"/>
    <n v="14"/>
    <n v="4"/>
    <n v="6354"/>
    <n v="3177"/>
    <n v="66719"/>
    <n v="3177"/>
    <n v="73073"/>
  </r>
  <r>
    <n v="172"/>
    <x v="9"/>
    <s v="Female"/>
    <n v="58"/>
    <s v="Bangalore"/>
    <x v="2"/>
    <n v="86552"/>
    <d v="2024-05-30T00:00:00"/>
    <n v="14"/>
    <n v="1"/>
    <n v="8655"/>
    <n v="4328"/>
    <n v="90879"/>
    <n v="4328"/>
    <n v="99535"/>
  </r>
  <r>
    <n v="173"/>
    <x v="6"/>
    <s v="Female"/>
    <n v="43"/>
    <s v="Delhi"/>
    <x v="1"/>
    <n v="88354"/>
    <d v="2022-11-15T00:00:00"/>
    <n v="1"/>
    <n v="5"/>
    <n v="8835"/>
    <n v="4418"/>
    <n v="92771"/>
    <n v="0"/>
    <n v="97189"/>
  </r>
  <r>
    <n v="174"/>
    <x v="6"/>
    <s v="Male"/>
    <n v="30"/>
    <s v="Delhi"/>
    <x v="1"/>
    <n v="65576"/>
    <d v="2023-11-14T00:00:00"/>
    <n v="20"/>
    <n v="3"/>
    <n v="6558"/>
    <n v="3279"/>
    <n v="68855"/>
    <n v="3279"/>
    <n v="75413"/>
  </r>
  <r>
    <n v="175"/>
    <x v="5"/>
    <s v="Female"/>
    <n v="55"/>
    <s v="Mumbai"/>
    <x v="0"/>
    <n v="59483"/>
    <d v="2024-06-22T00:00:00"/>
    <n v="17"/>
    <n v="5"/>
    <n v="5948"/>
    <n v="2974"/>
    <n v="62457"/>
    <n v="2974"/>
    <n v="68405"/>
  </r>
  <r>
    <n v="176"/>
    <x v="0"/>
    <s v="Male"/>
    <n v="32"/>
    <s v="Chennai"/>
    <x v="2"/>
    <n v="21684"/>
    <d v="2022-09-01T00:00:00"/>
    <n v="10"/>
    <n v="3"/>
    <n v="2168"/>
    <n v="1084"/>
    <n v="22768"/>
    <n v="1084"/>
    <n v="24936"/>
  </r>
  <r>
    <n v="177"/>
    <x v="8"/>
    <s v="Male"/>
    <n v="55"/>
    <s v="Chennai"/>
    <x v="1"/>
    <n v="44289"/>
    <d v="2024-09-01T00:00:00"/>
    <n v="17"/>
    <n v="3"/>
    <n v="4429"/>
    <n v="2214"/>
    <n v="46504"/>
    <n v="2214"/>
    <n v="50932"/>
  </r>
  <r>
    <n v="178"/>
    <x v="5"/>
    <s v="Male"/>
    <n v="44"/>
    <s v="Bangalore"/>
    <x v="0"/>
    <n v="79398"/>
    <d v="2022-10-22T00:00:00"/>
    <n v="12"/>
    <n v="2"/>
    <n v="7940"/>
    <n v="3970"/>
    <n v="83368"/>
    <n v="3970"/>
    <n v="91308"/>
  </r>
  <r>
    <n v="179"/>
    <x v="8"/>
    <s v="Male"/>
    <n v="41"/>
    <s v="Mumbai"/>
    <x v="2"/>
    <n v="27104"/>
    <d v="2024-05-14T00:00:00"/>
    <n v="10"/>
    <n v="4"/>
    <n v="2710"/>
    <n v="1355"/>
    <n v="28459"/>
    <n v="1355"/>
    <n v="31169"/>
  </r>
  <r>
    <n v="180"/>
    <x v="2"/>
    <s v="Female"/>
    <n v="56"/>
    <s v="Bangalore"/>
    <x v="2"/>
    <n v="27481"/>
    <d v="2022-09-09T00:00:00"/>
    <n v="19"/>
    <n v="5"/>
    <n v="2748"/>
    <n v="1374"/>
    <n v="28855"/>
    <n v="1374"/>
    <n v="31603"/>
  </r>
  <r>
    <n v="181"/>
    <x v="2"/>
    <s v="Male"/>
    <n v="53"/>
    <s v="Bangalore"/>
    <x v="3"/>
    <n v="80810"/>
    <d v="2022-04-24T00:00:00"/>
    <n v="4"/>
    <n v="1"/>
    <n v="8081"/>
    <n v="4040"/>
    <n v="84851"/>
    <n v="0"/>
    <n v="88891"/>
  </r>
  <r>
    <n v="182"/>
    <x v="1"/>
    <s v="Male"/>
    <n v="36"/>
    <s v="Bangalore"/>
    <x v="3"/>
    <n v="94873"/>
    <d v="2024-06-08T00:00:00"/>
    <n v="15"/>
    <n v="2"/>
    <n v="9487"/>
    <n v="4744"/>
    <n v="99616"/>
    <n v="4744"/>
    <n v="109104"/>
  </r>
  <r>
    <n v="183"/>
    <x v="5"/>
    <s v="Male"/>
    <n v="32"/>
    <s v="Hyderabad"/>
    <x v="3"/>
    <n v="42075"/>
    <d v="2024-05-14T00:00:00"/>
    <n v="5"/>
    <n v="1"/>
    <n v="4208"/>
    <n v="2104"/>
    <n v="44179"/>
    <n v="0"/>
    <n v="46283"/>
  </r>
  <r>
    <n v="184"/>
    <x v="1"/>
    <s v="Female"/>
    <n v="60"/>
    <s v="Delhi"/>
    <x v="4"/>
    <n v="64236"/>
    <d v="2023-03-19T00:00:00"/>
    <n v="9"/>
    <n v="2"/>
    <n v="6424"/>
    <n v="3212"/>
    <n v="67448"/>
    <n v="3212"/>
    <n v="73872"/>
  </r>
  <r>
    <n v="185"/>
    <x v="8"/>
    <s v="Male"/>
    <n v="33"/>
    <s v="Chennai"/>
    <x v="2"/>
    <n v="81205"/>
    <d v="2024-07-04T00:00:00"/>
    <n v="13"/>
    <n v="5"/>
    <n v="8120"/>
    <n v="4060"/>
    <n v="85265"/>
    <n v="4060"/>
    <n v="93385"/>
  </r>
  <r>
    <n v="186"/>
    <x v="0"/>
    <s v="Male"/>
    <n v="46"/>
    <s v="Delhi"/>
    <x v="1"/>
    <n v="75571"/>
    <d v="2022-06-30T00:00:00"/>
    <n v="19"/>
    <n v="3"/>
    <n v="7557"/>
    <n v="3779"/>
    <n v="79349"/>
    <n v="3779"/>
    <n v="86907"/>
  </r>
  <r>
    <n v="187"/>
    <x v="9"/>
    <s v="Female"/>
    <n v="56"/>
    <s v="Chennai"/>
    <x v="3"/>
    <n v="56155"/>
    <d v="2024-02-01T00:00:00"/>
    <n v="2"/>
    <n v="4"/>
    <n v="5616"/>
    <n v="2808"/>
    <n v="58963"/>
    <n v="0"/>
    <n v="61771"/>
  </r>
  <r>
    <n v="188"/>
    <x v="6"/>
    <s v="Male"/>
    <n v="50"/>
    <s v="Bangalore"/>
    <x v="1"/>
    <n v="39989"/>
    <d v="2024-07-01T00:00:00"/>
    <n v="6"/>
    <n v="5"/>
    <n v="3999"/>
    <n v="1999"/>
    <n v="41989"/>
    <n v="1999"/>
    <n v="45987"/>
  </r>
  <r>
    <n v="189"/>
    <x v="2"/>
    <s v="Female"/>
    <n v="24"/>
    <s v="Chennai"/>
    <x v="0"/>
    <n v="23423"/>
    <d v="2023-10-05T00:00:00"/>
    <n v="5"/>
    <n v="1"/>
    <n v="2342"/>
    <n v="1171"/>
    <n v="24594"/>
    <n v="0"/>
    <n v="25765"/>
  </r>
  <r>
    <n v="190"/>
    <x v="9"/>
    <s v="Female"/>
    <n v="24"/>
    <s v="Mumbai"/>
    <x v="0"/>
    <n v="53868"/>
    <d v="2022-09-03T00:00:00"/>
    <n v="17"/>
    <n v="1"/>
    <n v="5387"/>
    <n v="2693"/>
    <n v="56562"/>
    <n v="2693"/>
    <n v="61948"/>
  </r>
  <r>
    <n v="191"/>
    <x v="1"/>
    <s v="Male"/>
    <n v="28"/>
    <s v="Chennai"/>
    <x v="2"/>
    <n v="50800"/>
    <d v="2024-09-19T00:00:00"/>
    <n v="13"/>
    <n v="5"/>
    <n v="5080"/>
    <n v="2540"/>
    <n v="53340"/>
    <n v="2540"/>
    <n v="58420"/>
  </r>
  <r>
    <n v="192"/>
    <x v="1"/>
    <s v="Female"/>
    <n v="38"/>
    <s v="Chennai"/>
    <x v="2"/>
    <n v="71601"/>
    <d v="2022-12-04T00:00:00"/>
    <n v="1"/>
    <n v="5"/>
    <n v="7160"/>
    <n v="3580"/>
    <n v="75181"/>
    <n v="0"/>
    <n v="78761"/>
  </r>
  <r>
    <n v="193"/>
    <x v="8"/>
    <s v="Female"/>
    <n v="36"/>
    <s v="Delhi"/>
    <x v="4"/>
    <n v="82894"/>
    <d v="2022-12-25T00:00:00"/>
    <n v="3"/>
    <n v="4"/>
    <n v="8289"/>
    <n v="4145"/>
    <n v="87038"/>
    <n v="0"/>
    <n v="91183"/>
  </r>
  <r>
    <n v="194"/>
    <x v="4"/>
    <s v="Female"/>
    <n v="34"/>
    <s v="Delhi"/>
    <x v="1"/>
    <n v="81139"/>
    <d v="2023-01-10T00:00:00"/>
    <n v="7"/>
    <n v="1"/>
    <n v="8114"/>
    <n v="4057"/>
    <n v="85196"/>
    <n v="4057"/>
    <n v="93310"/>
  </r>
  <r>
    <n v="195"/>
    <x v="4"/>
    <s v="Female"/>
    <n v="24"/>
    <s v="Delhi"/>
    <x v="1"/>
    <n v="23767"/>
    <d v="2022-12-25T00:00:00"/>
    <n v="7"/>
    <n v="4"/>
    <n v="2377"/>
    <n v="1188"/>
    <n v="24956"/>
    <n v="1188"/>
    <n v="27332"/>
  </r>
  <r>
    <n v="196"/>
    <x v="7"/>
    <s v="Female"/>
    <n v="36"/>
    <s v="Mumbai"/>
    <x v="2"/>
    <n v="28649"/>
    <d v="2022-06-02T00:00:00"/>
    <n v="18"/>
    <n v="3"/>
    <n v="2865"/>
    <n v="1432"/>
    <n v="30082"/>
    <n v="1432"/>
    <n v="32946"/>
  </r>
  <r>
    <n v="197"/>
    <x v="0"/>
    <s v="Male"/>
    <n v="59"/>
    <s v="Mumbai"/>
    <x v="4"/>
    <n v="27167"/>
    <d v="2022-09-25T00:00:00"/>
    <n v="16"/>
    <n v="4"/>
    <n v="2717"/>
    <n v="1358"/>
    <n v="28526"/>
    <n v="1358"/>
    <n v="31242"/>
  </r>
  <r>
    <n v="198"/>
    <x v="3"/>
    <s v="Male"/>
    <n v="55"/>
    <s v="Mumbai"/>
    <x v="3"/>
    <n v="20350"/>
    <d v="2024-09-11T00:00:00"/>
    <n v="4"/>
    <n v="4"/>
    <n v="2035"/>
    <n v="1018"/>
    <n v="21367"/>
    <n v="0"/>
    <n v="22385"/>
  </r>
  <r>
    <n v="199"/>
    <x v="3"/>
    <s v="Male"/>
    <n v="33"/>
    <s v="Mumbai"/>
    <x v="2"/>
    <n v="94079"/>
    <d v="2023-03-24T00:00:00"/>
    <n v="14"/>
    <n v="4"/>
    <n v="9408"/>
    <n v="4704"/>
    <n v="98783"/>
    <n v="4704"/>
    <n v="108191"/>
  </r>
  <r>
    <n v="200"/>
    <x v="0"/>
    <s v="Male"/>
    <n v="38"/>
    <s v="Hyderabad"/>
    <x v="0"/>
    <n v="37381"/>
    <d v="2023-12-09T00:00:00"/>
    <n v="4"/>
    <n v="4"/>
    <n v="3738"/>
    <n v="1869"/>
    <n v="39250"/>
    <n v="0"/>
    <n v="41119"/>
  </r>
  <r>
    <n v="201"/>
    <x v="0"/>
    <s v="Female"/>
    <n v="51"/>
    <s v="Chennai"/>
    <x v="3"/>
    <n v="84260"/>
    <d v="2023-08-05T00:00:00"/>
    <n v="11"/>
    <n v="4"/>
    <n v="8426"/>
    <n v="4213"/>
    <n v="88473"/>
    <n v="4213"/>
    <n v="96899"/>
  </r>
  <r>
    <n v="202"/>
    <x v="2"/>
    <s v="Female"/>
    <n v="52"/>
    <s v="Chennai"/>
    <x v="2"/>
    <n v="86975"/>
    <d v="2022-07-15T00:00:00"/>
    <n v="9"/>
    <n v="1"/>
    <n v="8698"/>
    <n v="4349"/>
    <n v="91324"/>
    <n v="4349"/>
    <n v="100022"/>
  </r>
  <r>
    <n v="203"/>
    <x v="3"/>
    <s v="Female"/>
    <n v="47"/>
    <s v="Chennai"/>
    <x v="1"/>
    <n v="98011"/>
    <d v="2023-07-09T00:00:00"/>
    <n v="12"/>
    <n v="5"/>
    <n v="9801"/>
    <n v="4901"/>
    <n v="102911"/>
    <n v="4901"/>
    <n v="112713"/>
  </r>
  <r>
    <n v="204"/>
    <x v="4"/>
    <s v="Female"/>
    <n v="49"/>
    <s v="Delhi"/>
    <x v="2"/>
    <n v="74706"/>
    <d v="2022-11-04T00:00:00"/>
    <n v="16"/>
    <n v="4"/>
    <n v="7471"/>
    <n v="3735"/>
    <n v="78442"/>
    <n v="3735"/>
    <n v="85912"/>
  </r>
  <r>
    <n v="205"/>
    <x v="9"/>
    <s v="Male"/>
    <n v="36"/>
    <s v="Mumbai"/>
    <x v="1"/>
    <n v="96260"/>
    <d v="2024-09-18T00:00:00"/>
    <n v="1"/>
    <n v="4"/>
    <n v="9626"/>
    <n v="4813"/>
    <n v="101073"/>
    <n v="0"/>
    <n v="105886"/>
  </r>
  <r>
    <n v="206"/>
    <x v="2"/>
    <s v="Female"/>
    <n v="51"/>
    <s v="Mumbai"/>
    <x v="4"/>
    <n v="29275"/>
    <d v="2024-04-04T00:00:00"/>
    <n v="16"/>
    <n v="3"/>
    <n v="2928"/>
    <n v="1464"/>
    <n v="30739"/>
    <n v="1464"/>
    <n v="33667"/>
  </r>
  <r>
    <n v="207"/>
    <x v="4"/>
    <s v="Male"/>
    <n v="24"/>
    <s v="Mumbai"/>
    <x v="3"/>
    <n v="77541"/>
    <d v="2022-12-22T00:00:00"/>
    <n v="16"/>
    <n v="3"/>
    <n v="7754"/>
    <n v="3877"/>
    <n v="81418"/>
    <n v="3877"/>
    <n v="89172"/>
  </r>
  <r>
    <n v="208"/>
    <x v="3"/>
    <s v="Female"/>
    <n v="39"/>
    <s v="Mumbai"/>
    <x v="0"/>
    <n v="68505"/>
    <d v="2022-06-05T00:00:00"/>
    <n v="16"/>
    <n v="5"/>
    <n v="6850"/>
    <n v="3425"/>
    <n v="71930"/>
    <n v="3425"/>
    <n v="78780"/>
  </r>
  <r>
    <n v="209"/>
    <x v="0"/>
    <s v="Female"/>
    <n v="27"/>
    <s v="Hyderabad"/>
    <x v="4"/>
    <n v="98066"/>
    <d v="2022-07-12T00:00:00"/>
    <n v="3"/>
    <n v="2"/>
    <n v="9807"/>
    <n v="4903"/>
    <n v="102970"/>
    <n v="0"/>
    <n v="107873"/>
  </r>
  <r>
    <n v="210"/>
    <x v="1"/>
    <s v="Male"/>
    <n v="22"/>
    <s v="Delhi"/>
    <x v="3"/>
    <n v="79600"/>
    <d v="2022-10-02T00:00:00"/>
    <n v="19"/>
    <n v="5"/>
    <n v="7960"/>
    <n v="3980"/>
    <n v="83580"/>
    <n v="3980"/>
    <n v="91540"/>
  </r>
  <r>
    <n v="211"/>
    <x v="5"/>
    <s v="Female"/>
    <n v="44"/>
    <s v="Delhi"/>
    <x v="2"/>
    <n v="88082"/>
    <d v="2024-03-27T00:00:00"/>
    <n v="11"/>
    <n v="5"/>
    <n v="8808"/>
    <n v="4404"/>
    <n v="92486"/>
    <n v="4404"/>
    <n v="101294"/>
  </r>
  <r>
    <n v="212"/>
    <x v="5"/>
    <s v="Male"/>
    <n v="24"/>
    <s v="Delhi"/>
    <x v="0"/>
    <n v="89679"/>
    <d v="2022-04-15T00:00:00"/>
    <n v="6"/>
    <n v="2"/>
    <n v="8968"/>
    <n v="4484"/>
    <n v="94163"/>
    <n v="4484"/>
    <n v="103131"/>
  </r>
  <r>
    <n v="213"/>
    <x v="0"/>
    <s v="Female"/>
    <n v="28"/>
    <s v="Delhi"/>
    <x v="4"/>
    <n v="91815"/>
    <d v="2023-03-19T00:00:00"/>
    <n v="9"/>
    <n v="3"/>
    <n v="9182"/>
    <n v="4591"/>
    <n v="96406"/>
    <n v="4591"/>
    <n v="105588"/>
  </r>
  <r>
    <n v="214"/>
    <x v="6"/>
    <s v="Male"/>
    <n v="47"/>
    <s v="Bangalore"/>
    <x v="2"/>
    <n v="90463"/>
    <d v="2022-04-17T00:00:00"/>
    <n v="8"/>
    <n v="1"/>
    <n v="9046"/>
    <n v="4523"/>
    <n v="94986"/>
    <n v="4523"/>
    <n v="104032"/>
  </r>
  <r>
    <n v="215"/>
    <x v="8"/>
    <s v="Male"/>
    <n v="25"/>
    <s v="Chennai"/>
    <x v="1"/>
    <n v="78567"/>
    <d v="2022-11-24T00:00:00"/>
    <n v="8"/>
    <n v="1"/>
    <n v="7857"/>
    <n v="3928"/>
    <n v="82496"/>
    <n v="3928"/>
    <n v="90352"/>
  </r>
  <r>
    <n v="216"/>
    <x v="1"/>
    <s v="Female"/>
    <n v="54"/>
    <s v="Bangalore"/>
    <x v="1"/>
    <n v="95538"/>
    <d v="2022-06-26T00:00:00"/>
    <n v="7"/>
    <n v="4"/>
    <n v="9554"/>
    <n v="4777"/>
    <n v="100315"/>
    <n v="4777"/>
    <n v="109869"/>
  </r>
  <r>
    <n v="217"/>
    <x v="5"/>
    <s v="Male"/>
    <n v="37"/>
    <s v="Delhi"/>
    <x v="1"/>
    <n v="36945"/>
    <d v="2024-01-19T00:00:00"/>
    <n v="12"/>
    <n v="3"/>
    <n v="3694"/>
    <n v="1847"/>
    <n v="38792"/>
    <n v="1847"/>
    <n v="42486"/>
  </r>
  <r>
    <n v="218"/>
    <x v="8"/>
    <s v="Female"/>
    <n v="26"/>
    <s v="Chennai"/>
    <x v="0"/>
    <n v="50755"/>
    <d v="2023-10-21T00:00:00"/>
    <n v="18"/>
    <n v="5"/>
    <n v="5076"/>
    <n v="2538"/>
    <n v="53293"/>
    <n v="2538"/>
    <n v="58369"/>
  </r>
  <r>
    <n v="219"/>
    <x v="5"/>
    <s v="Male"/>
    <n v="60"/>
    <s v="Hyderabad"/>
    <x v="1"/>
    <n v="35163"/>
    <d v="2023-04-04T00:00:00"/>
    <n v="17"/>
    <n v="3"/>
    <n v="3516"/>
    <n v="1758"/>
    <n v="36921"/>
    <n v="1758"/>
    <n v="40437"/>
  </r>
  <r>
    <n v="220"/>
    <x v="6"/>
    <s v="Male"/>
    <n v="43"/>
    <s v="Chennai"/>
    <x v="4"/>
    <n v="68989"/>
    <d v="2022-02-17T00:00:00"/>
    <n v="2"/>
    <n v="4"/>
    <n v="6899"/>
    <n v="3449"/>
    <n v="72439"/>
    <n v="0"/>
    <n v="75888"/>
  </r>
  <r>
    <n v="221"/>
    <x v="9"/>
    <s v="Female"/>
    <n v="45"/>
    <s v="Chennai"/>
    <x v="0"/>
    <n v="28098"/>
    <d v="2023-09-30T00:00:00"/>
    <n v="17"/>
    <n v="5"/>
    <n v="2810"/>
    <n v="1405"/>
    <n v="29503"/>
    <n v="1405"/>
    <n v="32313"/>
  </r>
  <r>
    <n v="222"/>
    <x v="6"/>
    <s v="Female"/>
    <n v="43"/>
    <s v="Hyderabad"/>
    <x v="1"/>
    <n v="26541"/>
    <d v="2022-11-15T00:00:00"/>
    <n v="15"/>
    <n v="5"/>
    <n v="2654"/>
    <n v="1327"/>
    <n v="27868"/>
    <n v="1327"/>
    <n v="30522"/>
  </r>
  <r>
    <n v="223"/>
    <x v="1"/>
    <s v="Male"/>
    <n v="41"/>
    <s v="Mumbai"/>
    <x v="2"/>
    <n v="61019"/>
    <d v="2023-11-05T00:00:00"/>
    <n v="1"/>
    <n v="1"/>
    <n v="6102"/>
    <n v="3051"/>
    <n v="64070"/>
    <n v="0"/>
    <n v="67121"/>
  </r>
  <r>
    <n v="224"/>
    <x v="1"/>
    <s v="Female"/>
    <n v="23"/>
    <s v="Mumbai"/>
    <x v="4"/>
    <n v="26521"/>
    <d v="2022-09-10T00:00:00"/>
    <n v="18"/>
    <n v="5"/>
    <n v="2652"/>
    <n v="1326"/>
    <n v="27847"/>
    <n v="1326"/>
    <n v="30499"/>
  </r>
  <r>
    <n v="225"/>
    <x v="3"/>
    <s v="Female"/>
    <n v="57"/>
    <s v="Chennai"/>
    <x v="0"/>
    <n v="24040"/>
    <d v="2023-05-23T00:00:00"/>
    <n v="6"/>
    <n v="1"/>
    <n v="2404"/>
    <n v="1202"/>
    <n v="25242"/>
    <n v="1202"/>
    <n v="27646"/>
  </r>
  <r>
    <n v="226"/>
    <x v="0"/>
    <s v="Female"/>
    <n v="45"/>
    <s v="Hyderabad"/>
    <x v="2"/>
    <n v="22557"/>
    <d v="2022-11-14T00:00:00"/>
    <n v="8"/>
    <n v="2"/>
    <n v="2256"/>
    <n v="1128"/>
    <n v="23685"/>
    <n v="1128"/>
    <n v="25941"/>
  </r>
  <r>
    <n v="227"/>
    <x v="3"/>
    <s v="Male"/>
    <n v="35"/>
    <s v="Delhi"/>
    <x v="2"/>
    <n v="99638"/>
    <d v="2024-02-05T00:00:00"/>
    <n v="13"/>
    <n v="5"/>
    <n v="9964"/>
    <n v="4982"/>
    <n v="104620"/>
    <n v="4982"/>
    <n v="114584"/>
  </r>
  <r>
    <n v="228"/>
    <x v="1"/>
    <s v="Male"/>
    <n v="29"/>
    <s v="Chennai"/>
    <x v="3"/>
    <n v="25710"/>
    <d v="2022-08-06T00:00:00"/>
    <n v="9"/>
    <n v="3"/>
    <n v="2571"/>
    <n v="1286"/>
    <n v="26995"/>
    <n v="1286"/>
    <n v="29567"/>
  </r>
  <r>
    <n v="229"/>
    <x v="7"/>
    <s v="Female"/>
    <n v="24"/>
    <s v="Bangalore"/>
    <x v="4"/>
    <n v="59078"/>
    <d v="2023-11-16T00:00:00"/>
    <n v="9"/>
    <n v="2"/>
    <n v="5908"/>
    <n v="2954"/>
    <n v="62032"/>
    <n v="2954"/>
    <n v="67940"/>
  </r>
  <r>
    <n v="230"/>
    <x v="7"/>
    <s v="Female"/>
    <n v="58"/>
    <s v="Bangalore"/>
    <x v="4"/>
    <n v="60541"/>
    <d v="2023-12-09T00:00:00"/>
    <n v="12"/>
    <n v="3"/>
    <n v="6054"/>
    <n v="3027"/>
    <n v="63568"/>
    <n v="3027"/>
    <n v="69622"/>
  </r>
  <r>
    <n v="231"/>
    <x v="6"/>
    <s v="Female"/>
    <n v="25"/>
    <s v="Bangalore"/>
    <x v="0"/>
    <n v="85950"/>
    <d v="2022-10-01T00:00:00"/>
    <n v="7"/>
    <n v="5"/>
    <n v="8595"/>
    <n v="4298"/>
    <n v="90247"/>
    <n v="4298"/>
    <n v="98843"/>
  </r>
  <r>
    <n v="232"/>
    <x v="9"/>
    <s v="Male"/>
    <n v="43"/>
    <s v="Hyderabad"/>
    <x v="1"/>
    <n v="80184"/>
    <d v="2023-05-22T00:00:00"/>
    <n v="9"/>
    <n v="1"/>
    <n v="8018"/>
    <n v="4009"/>
    <n v="84193"/>
    <n v="4009"/>
    <n v="92211"/>
  </r>
  <r>
    <n v="233"/>
    <x v="5"/>
    <s v="Male"/>
    <n v="54"/>
    <s v="Hyderabad"/>
    <x v="0"/>
    <n v="42306"/>
    <d v="2023-05-02T00:00:00"/>
    <n v="4"/>
    <n v="3"/>
    <n v="4231"/>
    <n v="2115"/>
    <n v="44422"/>
    <n v="0"/>
    <n v="46537"/>
  </r>
  <r>
    <n v="234"/>
    <x v="2"/>
    <s v="Male"/>
    <n v="46"/>
    <s v="Mumbai"/>
    <x v="2"/>
    <n v="44442"/>
    <d v="2022-10-30T00:00:00"/>
    <n v="18"/>
    <n v="2"/>
    <n v="4444"/>
    <n v="2222"/>
    <n v="46664"/>
    <n v="2222"/>
    <n v="51108"/>
  </r>
  <r>
    <n v="235"/>
    <x v="3"/>
    <s v="Female"/>
    <n v="43"/>
    <s v="Chennai"/>
    <x v="1"/>
    <n v="23112"/>
    <d v="2022-01-17T00:00:00"/>
    <n v="16"/>
    <n v="3"/>
    <n v="2311"/>
    <n v="1156"/>
    <n v="24267"/>
    <n v="1156"/>
    <n v="26579"/>
  </r>
  <r>
    <n v="236"/>
    <x v="6"/>
    <s v="Female"/>
    <n v="54"/>
    <s v="Mumbai"/>
    <x v="0"/>
    <n v="49875"/>
    <d v="2022-08-12T00:00:00"/>
    <n v="10"/>
    <n v="5"/>
    <n v="4988"/>
    <n v="2494"/>
    <n v="52369"/>
    <n v="2494"/>
    <n v="57357"/>
  </r>
  <r>
    <n v="237"/>
    <x v="4"/>
    <s v="Male"/>
    <n v="36"/>
    <s v="Mumbai"/>
    <x v="0"/>
    <n v="71058"/>
    <d v="2022-03-22T00:00:00"/>
    <n v="8"/>
    <n v="4"/>
    <n v="7106"/>
    <n v="3553"/>
    <n v="74611"/>
    <n v="3553"/>
    <n v="81717"/>
  </r>
  <r>
    <n v="238"/>
    <x v="3"/>
    <s v="Male"/>
    <n v="59"/>
    <s v="Delhi"/>
    <x v="3"/>
    <n v="83759"/>
    <d v="2022-08-21T00:00:00"/>
    <n v="8"/>
    <n v="5"/>
    <n v="8376"/>
    <n v="4188"/>
    <n v="87947"/>
    <n v="4188"/>
    <n v="96323"/>
  </r>
  <r>
    <n v="239"/>
    <x v="3"/>
    <s v="Female"/>
    <n v="42"/>
    <s v="Bangalore"/>
    <x v="1"/>
    <n v="86709"/>
    <d v="2022-06-09T00:00:00"/>
    <n v="1"/>
    <n v="4"/>
    <n v="8671"/>
    <n v="4335"/>
    <n v="91045"/>
    <n v="0"/>
    <n v="95380"/>
  </r>
  <r>
    <n v="240"/>
    <x v="8"/>
    <s v="Male"/>
    <n v="44"/>
    <s v="Mumbai"/>
    <x v="2"/>
    <n v="89358"/>
    <d v="2023-05-26T00:00:00"/>
    <n v="16"/>
    <n v="5"/>
    <n v="8936"/>
    <n v="4468"/>
    <n v="93826"/>
    <n v="4468"/>
    <n v="102762"/>
  </r>
  <r>
    <n v="241"/>
    <x v="6"/>
    <s v="Female"/>
    <n v="53"/>
    <s v="Mumbai"/>
    <x v="0"/>
    <n v="75566"/>
    <d v="2023-03-16T00:00:00"/>
    <n v="19"/>
    <n v="3"/>
    <n v="7557"/>
    <n v="3778"/>
    <n v="79345"/>
    <n v="3778"/>
    <n v="86901"/>
  </r>
  <r>
    <n v="242"/>
    <x v="9"/>
    <s v="Male"/>
    <n v="50"/>
    <s v="Bangalore"/>
    <x v="4"/>
    <n v="60081"/>
    <d v="2024-08-16T00:00:00"/>
    <n v="9"/>
    <n v="3"/>
    <n v="6008"/>
    <n v="3004"/>
    <n v="63085"/>
    <n v="3004"/>
    <n v="69093"/>
  </r>
  <r>
    <n v="243"/>
    <x v="0"/>
    <s v="Male"/>
    <n v="37"/>
    <s v="Delhi"/>
    <x v="1"/>
    <n v="93487"/>
    <d v="2022-04-06T00:00:00"/>
    <n v="11"/>
    <n v="1"/>
    <n v="9349"/>
    <n v="4674"/>
    <n v="98162"/>
    <n v="4674"/>
    <n v="107510"/>
  </r>
  <r>
    <n v="244"/>
    <x v="1"/>
    <s v="Female"/>
    <n v="44"/>
    <s v="Bangalore"/>
    <x v="1"/>
    <n v="28764"/>
    <d v="2022-06-18T00:00:00"/>
    <n v="14"/>
    <n v="1"/>
    <n v="2876"/>
    <n v="1438"/>
    <n v="30202"/>
    <n v="1438"/>
    <n v="33078"/>
  </r>
  <r>
    <n v="245"/>
    <x v="6"/>
    <s v="Female"/>
    <n v="59"/>
    <s v="Chennai"/>
    <x v="0"/>
    <n v="27980"/>
    <d v="2023-10-13T00:00:00"/>
    <n v="4"/>
    <n v="3"/>
    <n v="2798"/>
    <n v="1399"/>
    <n v="29379"/>
    <n v="0"/>
    <n v="30778"/>
  </r>
  <r>
    <n v="246"/>
    <x v="9"/>
    <s v="Female"/>
    <n v="42"/>
    <s v="Delhi"/>
    <x v="1"/>
    <n v="56592"/>
    <d v="2024-03-16T00:00:00"/>
    <n v="1"/>
    <n v="2"/>
    <n v="5659"/>
    <n v="2830"/>
    <n v="59421"/>
    <n v="0"/>
    <n v="62251"/>
  </r>
  <r>
    <n v="247"/>
    <x v="8"/>
    <s v="Female"/>
    <n v="59"/>
    <s v="Mumbai"/>
    <x v="4"/>
    <n v="66244"/>
    <d v="2024-09-07T00:00:00"/>
    <n v="12"/>
    <n v="4"/>
    <n v="6624"/>
    <n v="3312"/>
    <n v="69556"/>
    <n v="3312"/>
    <n v="76180"/>
  </r>
  <r>
    <n v="248"/>
    <x v="7"/>
    <s v="Female"/>
    <n v="58"/>
    <s v="Hyderabad"/>
    <x v="3"/>
    <n v="37394"/>
    <d v="2024-05-26T00:00:00"/>
    <n v="17"/>
    <n v="4"/>
    <n v="3739"/>
    <n v="1870"/>
    <n v="39263"/>
    <n v="1870"/>
    <n v="43003"/>
  </r>
  <r>
    <n v="249"/>
    <x v="3"/>
    <s v="Male"/>
    <n v="48"/>
    <s v="Delhi"/>
    <x v="0"/>
    <n v="62308"/>
    <d v="2022-07-08T00:00:00"/>
    <n v="4"/>
    <n v="3"/>
    <n v="6231"/>
    <n v="3115"/>
    <n v="65424"/>
    <n v="0"/>
    <n v="68539"/>
  </r>
  <r>
    <n v="250"/>
    <x v="9"/>
    <s v="Female"/>
    <n v="28"/>
    <s v="Delhi"/>
    <x v="4"/>
    <n v="45035"/>
    <d v="2024-08-14T00:00:00"/>
    <n v="18"/>
    <n v="1"/>
    <n v="4504"/>
    <n v="2252"/>
    <n v="47287"/>
    <n v="2252"/>
    <n v="51791"/>
  </r>
  <r>
    <n v="251"/>
    <x v="1"/>
    <s v="Male"/>
    <n v="46"/>
    <s v="Chennai"/>
    <x v="1"/>
    <n v="91821"/>
    <d v="2024-08-04T00:00:00"/>
    <n v="4"/>
    <n v="5"/>
    <n v="9182"/>
    <n v="4591"/>
    <n v="96412"/>
    <n v="0"/>
    <n v="101003"/>
  </r>
  <r>
    <n v="252"/>
    <x v="5"/>
    <s v="Male"/>
    <n v="47"/>
    <s v="Chennai"/>
    <x v="1"/>
    <n v="45361"/>
    <d v="2023-02-06T00:00:00"/>
    <n v="8"/>
    <n v="1"/>
    <n v="4536"/>
    <n v="2268"/>
    <n v="47629"/>
    <n v="2268"/>
    <n v="52165"/>
  </r>
  <r>
    <n v="253"/>
    <x v="2"/>
    <s v="Male"/>
    <n v="22"/>
    <s v="Hyderabad"/>
    <x v="3"/>
    <n v="78329"/>
    <d v="2024-06-23T00:00:00"/>
    <n v="19"/>
    <n v="3"/>
    <n v="7833"/>
    <n v="3916"/>
    <n v="82246"/>
    <n v="3916"/>
    <n v="90078"/>
  </r>
  <r>
    <n v="254"/>
    <x v="9"/>
    <s v="Female"/>
    <n v="56"/>
    <s v="Bangalore"/>
    <x v="4"/>
    <n v="32823"/>
    <d v="2024-01-13T00:00:00"/>
    <n v="14"/>
    <n v="3"/>
    <n v="3282"/>
    <n v="1641"/>
    <n v="34464"/>
    <n v="1641"/>
    <n v="37746"/>
  </r>
  <r>
    <n v="255"/>
    <x v="6"/>
    <s v="Male"/>
    <n v="24"/>
    <s v="Delhi"/>
    <x v="3"/>
    <n v="83100"/>
    <d v="2023-02-25T00:00:00"/>
    <n v="12"/>
    <n v="2"/>
    <n v="8310"/>
    <n v="4155"/>
    <n v="87255"/>
    <n v="4155"/>
    <n v="95565"/>
  </r>
  <r>
    <n v="256"/>
    <x v="8"/>
    <s v="Male"/>
    <n v="50"/>
    <s v="Chennai"/>
    <x v="3"/>
    <n v="57207"/>
    <d v="2022-02-27T00:00:00"/>
    <n v="5"/>
    <n v="4"/>
    <n v="5721"/>
    <n v="2860"/>
    <n v="60068"/>
    <n v="0"/>
    <n v="62928"/>
  </r>
  <r>
    <n v="257"/>
    <x v="5"/>
    <s v="Female"/>
    <n v="27"/>
    <s v="Bangalore"/>
    <x v="0"/>
    <n v="43960"/>
    <d v="2022-03-19T00:00:00"/>
    <n v="3"/>
    <n v="1"/>
    <n v="4396"/>
    <n v="2198"/>
    <n v="46158"/>
    <n v="0"/>
    <n v="48356"/>
  </r>
  <r>
    <n v="258"/>
    <x v="8"/>
    <s v="Female"/>
    <n v="59"/>
    <s v="Bangalore"/>
    <x v="0"/>
    <n v="90018"/>
    <d v="2022-12-18T00:00:00"/>
    <n v="6"/>
    <n v="1"/>
    <n v="9002"/>
    <n v="4501"/>
    <n v="94519"/>
    <n v="4501"/>
    <n v="103521"/>
  </r>
  <r>
    <n v="259"/>
    <x v="4"/>
    <s v="Male"/>
    <n v="46"/>
    <s v="Hyderabad"/>
    <x v="1"/>
    <n v="94684"/>
    <d v="2023-01-26T00:00:00"/>
    <n v="20"/>
    <n v="1"/>
    <n v="9468"/>
    <n v="4734"/>
    <n v="99418"/>
    <n v="4734"/>
    <n v="108886"/>
  </r>
  <r>
    <n v="260"/>
    <x v="8"/>
    <s v="Female"/>
    <n v="48"/>
    <s v="Bangalore"/>
    <x v="0"/>
    <n v="73525"/>
    <d v="2023-04-30T00:00:00"/>
    <n v="12"/>
    <n v="5"/>
    <n v="7352"/>
    <n v="3676"/>
    <n v="77201"/>
    <n v="3676"/>
    <n v="84553"/>
  </r>
  <r>
    <n v="261"/>
    <x v="4"/>
    <s v="Male"/>
    <n v="42"/>
    <s v="Hyderabad"/>
    <x v="1"/>
    <n v="57655"/>
    <d v="2022-08-21T00:00:00"/>
    <n v="19"/>
    <n v="3"/>
    <n v="5766"/>
    <n v="2883"/>
    <n v="60538"/>
    <n v="2883"/>
    <n v="66304"/>
  </r>
  <r>
    <n v="262"/>
    <x v="0"/>
    <s v="Male"/>
    <n v="55"/>
    <s v="Hyderabad"/>
    <x v="3"/>
    <n v="91427"/>
    <d v="2024-04-25T00:00:00"/>
    <n v="19"/>
    <n v="4"/>
    <n v="9143"/>
    <n v="4571"/>
    <n v="95999"/>
    <n v="4571"/>
    <n v="105141"/>
  </r>
  <r>
    <n v="263"/>
    <x v="5"/>
    <s v="Male"/>
    <n v="49"/>
    <s v="Hyderabad"/>
    <x v="1"/>
    <n v="79652"/>
    <d v="2024-02-20T00:00:00"/>
    <n v="10"/>
    <n v="1"/>
    <n v="7965"/>
    <n v="3983"/>
    <n v="83634"/>
    <n v="3983"/>
    <n v="91600"/>
  </r>
  <r>
    <n v="264"/>
    <x v="4"/>
    <s v="Female"/>
    <n v="35"/>
    <s v="Bangalore"/>
    <x v="4"/>
    <n v="84528"/>
    <d v="2022-09-20T00:00:00"/>
    <n v="15"/>
    <n v="5"/>
    <n v="8453"/>
    <n v="4226"/>
    <n v="88755"/>
    <n v="4226"/>
    <n v="97207"/>
  </r>
  <r>
    <n v="265"/>
    <x v="3"/>
    <s v="Male"/>
    <n v="36"/>
    <s v="Mumbai"/>
    <x v="3"/>
    <n v="71000"/>
    <d v="2022-06-08T00:00:00"/>
    <n v="2"/>
    <n v="4"/>
    <n v="7100"/>
    <n v="3550"/>
    <n v="74550"/>
    <n v="0"/>
    <n v="78100"/>
  </r>
  <r>
    <n v="266"/>
    <x v="1"/>
    <s v="Male"/>
    <n v="44"/>
    <s v="Hyderabad"/>
    <x v="3"/>
    <n v="60903"/>
    <d v="2024-02-24T00:00:00"/>
    <n v="8"/>
    <n v="5"/>
    <n v="6090"/>
    <n v="3045"/>
    <n v="63948"/>
    <n v="3045"/>
    <n v="70038"/>
  </r>
  <r>
    <n v="267"/>
    <x v="4"/>
    <s v="Female"/>
    <n v="55"/>
    <s v="Hyderabad"/>
    <x v="2"/>
    <n v="20793"/>
    <d v="2022-03-02T00:00:00"/>
    <n v="19"/>
    <n v="5"/>
    <n v="2079"/>
    <n v="1040"/>
    <n v="21832"/>
    <n v="1040"/>
    <n v="23912"/>
  </r>
  <r>
    <n v="268"/>
    <x v="9"/>
    <s v="Male"/>
    <n v="55"/>
    <s v="Hyderabad"/>
    <x v="3"/>
    <n v="53628"/>
    <d v="2023-12-10T00:00:00"/>
    <n v="16"/>
    <n v="1"/>
    <n v="5363"/>
    <n v="2681"/>
    <n v="56310"/>
    <n v="2681"/>
    <n v="61672"/>
  </r>
  <r>
    <n v="269"/>
    <x v="5"/>
    <s v="Male"/>
    <n v="46"/>
    <s v="Mumbai"/>
    <x v="0"/>
    <n v="57526"/>
    <d v="2022-01-11T00:00:00"/>
    <n v="10"/>
    <n v="5"/>
    <n v="5753"/>
    <n v="2876"/>
    <n v="60403"/>
    <n v="2876"/>
    <n v="66155"/>
  </r>
  <r>
    <n v="270"/>
    <x v="9"/>
    <s v="Female"/>
    <n v="26"/>
    <s v="Delhi"/>
    <x v="1"/>
    <n v="60074"/>
    <d v="2023-12-03T00:00:00"/>
    <n v="6"/>
    <n v="2"/>
    <n v="6007"/>
    <n v="3004"/>
    <n v="63077"/>
    <n v="3004"/>
    <n v="69085"/>
  </r>
  <r>
    <n v="271"/>
    <x v="6"/>
    <s v="Male"/>
    <n v="58"/>
    <s v="Bangalore"/>
    <x v="1"/>
    <n v="30995"/>
    <d v="2024-04-09T00:00:00"/>
    <n v="8"/>
    <n v="5"/>
    <n v="3100"/>
    <n v="1550"/>
    <n v="32545"/>
    <n v="1550"/>
    <n v="35645"/>
  </r>
  <r>
    <n v="272"/>
    <x v="8"/>
    <s v="Male"/>
    <n v="50"/>
    <s v="Hyderabad"/>
    <x v="2"/>
    <n v="53883"/>
    <d v="2022-03-21T00:00:00"/>
    <n v="15"/>
    <n v="4"/>
    <n v="5388"/>
    <n v="2694"/>
    <n v="56577"/>
    <n v="2694"/>
    <n v="61965"/>
  </r>
  <r>
    <n v="273"/>
    <x v="7"/>
    <s v="Female"/>
    <n v="25"/>
    <s v="Delhi"/>
    <x v="4"/>
    <n v="76016"/>
    <d v="2023-01-13T00:00:00"/>
    <n v="6"/>
    <n v="5"/>
    <n v="7602"/>
    <n v="3801"/>
    <n v="79817"/>
    <n v="3801"/>
    <n v="87419"/>
  </r>
  <r>
    <n v="274"/>
    <x v="4"/>
    <s v="Female"/>
    <n v="30"/>
    <s v="Bangalore"/>
    <x v="0"/>
    <n v="86597"/>
    <d v="2024-01-14T00:00:00"/>
    <n v="2"/>
    <n v="1"/>
    <n v="8660"/>
    <n v="4330"/>
    <n v="90927"/>
    <n v="0"/>
    <n v="95257"/>
  </r>
  <r>
    <n v="275"/>
    <x v="9"/>
    <s v="Male"/>
    <n v="21"/>
    <s v="Chennai"/>
    <x v="1"/>
    <n v="77341"/>
    <d v="2022-05-17T00:00:00"/>
    <n v="10"/>
    <n v="4"/>
    <n v="7734"/>
    <n v="3867"/>
    <n v="81208"/>
    <n v="3867"/>
    <n v="88942"/>
  </r>
  <r>
    <n v="276"/>
    <x v="9"/>
    <s v="Female"/>
    <n v="50"/>
    <s v="Delhi"/>
    <x v="1"/>
    <n v="91636"/>
    <d v="2023-04-03T00:00:00"/>
    <n v="1"/>
    <n v="1"/>
    <n v="9164"/>
    <n v="4582"/>
    <n v="96218"/>
    <n v="0"/>
    <n v="100800"/>
  </r>
  <r>
    <n v="277"/>
    <x v="8"/>
    <s v="Male"/>
    <n v="33"/>
    <s v="Hyderabad"/>
    <x v="2"/>
    <n v="25558"/>
    <d v="2022-01-01T00:00:00"/>
    <n v="8"/>
    <n v="5"/>
    <n v="2556"/>
    <n v="1278"/>
    <n v="26836"/>
    <n v="1278"/>
    <n v="29392"/>
  </r>
  <r>
    <n v="278"/>
    <x v="2"/>
    <s v="Male"/>
    <n v="50"/>
    <s v="Delhi"/>
    <x v="2"/>
    <n v="52656"/>
    <d v="2024-08-21T00:00:00"/>
    <n v="19"/>
    <n v="1"/>
    <n v="5266"/>
    <n v="2633"/>
    <n v="55289"/>
    <n v="2633"/>
    <n v="60555"/>
  </r>
  <r>
    <n v="279"/>
    <x v="4"/>
    <s v="Female"/>
    <n v="37"/>
    <s v="Bangalore"/>
    <x v="3"/>
    <n v="27388"/>
    <d v="2024-01-16T00:00:00"/>
    <n v="6"/>
    <n v="3"/>
    <n v="2739"/>
    <n v="1369"/>
    <n v="28758"/>
    <n v="1369"/>
    <n v="31496"/>
  </r>
  <r>
    <n v="280"/>
    <x v="8"/>
    <s v="Male"/>
    <n v="55"/>
    <s v="Chennai"/>
    <x v="2"/>
    <n v="90080"/>
    <d v="2023-12-24T00:00:00"/>
    <n v="8"/>
    <n v="3"/>
    <n v="9008"/>
    <n v="4504"/>
    <n v="94584"/>
    <n v="4504"/>
    <n v="103592"/>
  </r>
  <r>
    <n v="281"/>
    <x v="1"/>
    <s v="Male"/>
    <n v="51"/>
    <s v="Bangalore"/>
    <x v="3"/>
    <n v="49134"/>
    <d v="2022-01-16T00:00:00"/>
    <n v="16"/>
    <n v="3"/>
    <n v="4913"/>
    <n v="2457"/>
    <n v="51590"/>
    <n v="2457"/>
    <n v="56504"/>
  </r>
  <r>
    <n v="282"/>
    <x v="2"/>
    <s v="Female"/>
    <n v="44"/>
    <s v="Mumbai"/>
    <x v="2"/>
    <n v="92842"/>
    <d v="2024-04-02T00:00:00"/>
    <n v="17"/>
    <n v="2"/>
    <n v="9284"/>
    <n v="4642"/>
    <n v="97484"/>
    <n v="4642"/>
    <n v="106768"/>
  </r>
  <r>
    <n v="283"/>
    <x v="5"/>
    <s v="Male"/>
    <n v="36"/>
    <s v="Chennai"/>
    <x v="4"/>
    <n v="38657"/>
    <d v="2022-01-03T00:00:00"/>
    <n v="9"/>
    <n v="3"/>
    <n v="3866"/>
    <n v="1933"/>
    <n v="40590"/>
    <n v="1933"/>
    <n v="44456"/>
  </r>
  <r>
    <n v="284"/>
    <x v="7"/>
    <s v="Female"/>
    <n v="27"/>
    <s v="Hyderabad"/>
    <x v="2"/>
    <n v="76635"/>
    <d v="2024-08-09T00:00:00"/>
    <n v="12"/>
    <n v="2"/>
    <n v="7664"/>
    <n v="3832"/>
    <n v="80467"/>
    <n v="3832"/>
    <n v="88131"/>
  </r>
  <r>
    <n v="285"/>
    <x v="2"/>
    <s v="Male"/>
    <n v="36"/>
    <s v="Mumbai"/>
    <x v="4"/>
    <n v="93913"/>
    <d v="2023-08-17T00:00:00"/>
    <n v="5"/>
    <n v="4"/>
    <n v="9391"/>
    <n v="4696"/>
    <n v="98608"/>
    <n v="0"/>
    <n v="103304"/>
  </r>
  <r>
    <n v="286"/>
    <x v="9"/>
    <s v="Male"/>
    <n v="53"/>
    <s v="Chennai"/>
    <x v="3"/>
    <n v="25841"/>
    <d v="2023-10-26T00:00:00"/>
    <n v="14"/>
    <n v="4"/>
    <n v="2584"/>
    <n v="1292"/>
    <n v="27133"/>
    <n v="1292"/>
    <n v="29717"/>
  </r>
  <r>
    <n v="287"/>
    <x v="1"/>
    <s v="Male"/>
    <n v="23"/>
    <s v="Chennai"/>
    <x v="4"/>
    <n v="46482"/>
    <d v="2024-09-18T00:00:00"/>
    <n v="16"/>
    <n v="3"/>
    <n v="4648"/>
    <n v="2324"/>
    <n v="48806"/>
    <n v="2324"/>
    <n v="53454"/>
  </r>
  <r>
    <n v="288"/>
    <x v="9"/>
    <s v="Female"/>
    <n v="24"/>
    <s v="Hyderabad"/>
    <x v="3"/>
    <n v="41176"/>
    <d v="2023-07-26T00:00:00"/>
    <n v="10"/>
    <n v="2"/>
    <n v="4118"/>
    <n v="2059"/>
    <n v="43235"/>
    <n v="2059"/>
    <n v="47353"/>
  </r>
  <r>
    <n v="289"/>
    <x v="1"/>
    <s v="Male"/>
    <n v="35"/>
    <s v="Hyderabad"/>
    <x v="4"/>
    <n v="89209"/>
    <d v="2022-04-17T00:00:00"/>
    <n v="5"/>
    <n v="5"/>
    <n v="8921"/>
    <n v="4460"/>
    <n v="93670"/>
    <n v="0"/>
    <n v="98130"/>
  </r>
  <r>
    <n v="290"/>
    <x v="9"/>
    <s v="Female"/>
    <n v="56"/>
    <s v="Bangalore"/>
    <x v="4"/>
    <n v="51194"/>
    <d v="2023-07-05T00:00:00"/>
    <n v="10"/>
    <n v="5"/>
    <n v="5119"/>
    <n v="2560"/>
    <n v="53753"/>
    <n v="2560"/>
    <n v="58873"/>
  </r>
  <r>
    <n v="291"/>
    <x v="3"/>
    <s v="Female"/>
    <n v="28"/>
    <s v="Delhi"/>
    <x v="0"/>
    <n v="67782"/>
    <d v="2022-06-08T00:00:00"/>
    <n v="13"/>
    <n v="4"/>
    <n v="6778"/>
    <n v="3389"/>
    <n v="71171"/>
    <n v="3389"/>
    <n v="77949"/>
  </r>
  <r>
    <n v="292"/>
    <x v="5"/>
    <s v="Male"/>
    <n v="38"/>
    <s v="Bangalore"/>
    <x v="1"/>
    <n v="31299"/>
    <d v="2024-05-08T00:00:00"/>
    <n v="17"/>
    <n v="3"/>
    <n v="3130"/>
    <n v="1565"/>
    <n v="32864"/>
    <n v="1565"/>
    <n v="35994"/>
  </r>
  <r>
    <n v="293"/>
    <x v="0"/>
    <s v="Female"/>
    <n v="40"/>
    <s v="Mumbai"/>
    <x v="2"/>
    <n v="35871"/>
    <d v="2022-06-15T00:00:00"/>
    <n v="18"/>
    <n v="2"/>
    <n v="3587"/>
    <n v="1794"/>
    <n v="37664"/>
    <n v="1794"/>
    <n v="41252"/>
  </r>
  <r>
    <n v="294"/>
    <x v="8"/>
    <s v="Female"/>
    <n v="25"/>
    <s v="Mumbai"/>
    <x v="0"/>
    <n v="42145"/>
    <d v="2022-06-19T00:00:00"/>
    <n v="7"/>
    <n v="1"/>
    <n v="4214"/>
    <n v="2107"/>
    <n v="44252"/>
    <n v="2107"/>
    <n v="48466"/>
  </r>
  <r>
    <n v="295"/>
    <x v="3"/>
    <s v="Male"/>
    <n v="45"/>
    <s v="Chennai"/>
    <x v="0"/>
    <n v="69259"/>
    <d v="2023-02-22T00:00:00"/>
    <n v="6"/>
    <n v="4"/>
    <n v="6926"/>
    <n v="3463"/>
    <n v="72722"/>
    <n v="3463"/>
    <n v="79648"/>
  </r>
  <r>
    <n v="296"/>
    <x v="8"/>
    <s v="Male"/>
    <n v="53"/>
    <s v="Bangalore"/>
    <x v="2"/>
    <n v="79121"/>
    <d v="2024-09-23T00:00:00"/>
    <n v="14"/>
    <n v="1"/>
    <n v="7912"/>
    <n v="3956"/>
    <n v="83077"/>
    <n v="3956"/>
    <n v="90989"/>
  </r>
  <r>
    <n v="297"/>
    <x v="8"/>
    <s v="Male"/>
    <n v="26"/>
    <s v="Delhi"/>
    <x v="2"/>
    <n v="34276"/>
    <d v="2023-02-18T00:00:00"/>
    <n v="1"/>
    <n v="1"/>
    <n v="3428"/>
    <n v="1714"/>
    <n v="35990"/>
    <n v="0"/>
    <n v="37704"/>
  </r>
  <r>
    <n v="298"/>
    <x v="8"/>
    <s v="Male"/>
    <n v="57"/>
    <s v="Bangalore"/>
    <x v="2"/>
    <n v="51080"/>
    <d v="2022-07-29T00:00:00"/>
    <n v="7"/>
    <n v="1"/>
    <n v="5108"/>
    <n v="2554"/>
    <n v="53634"/>
    <n v="2554"/>
    <n v="58742"/>
  </r>
  <r>
    <n v="299"/>
    <x v="5"/>
    <s v="Female"/>
    <n v="31"/>
    <s v="Chennai"/>
    <x v="1"/>
    <n v="58213"/>
    <d v="2023-08-24T00:00:00"/>
    <n v="17"/>
    <n v="2"/>
    <n v="5821"/>
    <n v="2911"/>
    <n v="61123"/>
    <n v="2911"/>
    <n v="66945"/>
  </r>
  <r>
    <n v="300"/>
    <x v="0"/>
    <s v="Male"/>
    <n v="51"/>
    <s v="Bangalore"/>
    <x v="2"/>
    <n v="75891"/>
    <d v="2022-04-25T00:00:00"/>
    <n v="1"/>
    <n v="2"/>
    <n v="7589"/>
    <n v="3795"/>
    <n v="79685"/>
    <n v="0"/>
    <n v="83480"/>
  </r>
  <r>
    <n v="301"/>
    <x v="0"/>
    <s v="Female"/>
    <n v="50"/>
    <s v="Hyderabad"/>
    <x v="0"/>
    <n v="68166"/>
    <d v="2023-12-29T00:00:00"/>
    <n v="18"/>
    <n v="2"/>
    <n v="6817"/>
    <n v="3408"/>
    <n v="71575"/>
    <n v="3408"/>
    <n v="78391"/>
  </r>
  <r>
    <n v="302"/>
    <x v="3"/>
    <s v="Female"/>
    <n v="29"/>
    <s v="Delhi"/>
    <x v="0"/>
    <n v="32928"/>
    <d v="2023-11-13T00:00:00"/>
    <n v="4"/>
    <n v="4"/>
    <n v="3293"/>
    <n v="1646"/>
    <n v="34575"/>
    <n v="0"/>
    <n v="36221"/>
  </r>
  <r>
    <n v="303"/>
    <x v="3"/>
    <s v="Female"/>
    <n v="30"/>
    <s v="Mumbai"/>
    <x v="2"/>
    <n v="79689"/>
    <d v="2022-06-06T00:00:00"/>
    <n v="19"/>
    <n v="2"/>
    <n v="7969"/>
    <n v="3984"/>
    <n v="83674"/>
    <n v="3984"/>
    <n v="91642"/>
  </r>
  <r>
    <n v="304"/>
    <x v="4"/>
    <s v="Female"/>
    <n v="31"/>
    <s v="Delhi"/>
    <x v="0"/>
    <n v="67154"/>
    <d v="2022-10-19T00:00:00"/>
    <n v="2"/>
    <n v="3"/>
    <n v="6715"/>
    <n v="3358"/>
    <n v="70511"/>
    <n v="0"/>
    <n v="73869"/>
  </r>
  <r>
    <n v="305"/>
    <x v="1"/>
    <s v="Male"/>
    <n v="36"/>
    <s v="Mumbai"/>
    <x v="3"/>
    <n v="26459"/>
    <d v="2024-03-08T00:00:00"/>
    <n v="18"/>
    <n v="2"/>
    <n v="2646"/>
    <n v="1323"/>
    <n v="27782"/>
    <n v="1323"/>
    <n v="30428"/>
  </r>
  <r>
    <n v="306"/>
    <x v="9"/>
    <s v="Male"/>
    <n v="24"/>
    <s v="Hyderabad"/>
    <x v="2"/>
    <n v="32441"/>
    <d v="2024-08-09T00:00:00"/>
    <n v="18"/>
    <n v="2"/>
    <n v="3244"/>
    <n v="1622"/>
    <n v="34063"/>
    <n v="1622"/>
    <n v="37307"/>
  </r>
  <r>
    <n v="307"/>
    <x v="6"/>
    <s v="Male"/>
    <n v="51"/>
    <s v="Bangalore"/>
    <x v="1"/>
    <n v="69494"/>
    <d v="2022-07-15T00:00:00"/>
    <n v="15"/>
    <n v="1"/>
    <n v="6949"/>
    <n v="3475"/>
    <n v="72968"/>
    <n v="3475"/>
    <n v="79918"/>
  </r>
  <r>
    <n v="308"/>
    <x v="2"/>
    <s v="Female"/>
    <n v="44"/>
    <s v="Chennai"/>
    <x v="2"/>
    <n v="45156"/>
    <d v="2022-07-11T00:00:00"/>
    <n v="19"/>
    <n v="2"/>
    <n v="4516"/>
    <n v="2258"/>
    <n v="47414"/>
    <n v="2258"/>
    <n v="51930"/>
  </r>
  <r>
    <n v="309"/>
    <x v="7"/>
    <s v="Female"/>
    <n v="58"/>
    <s v="Mumbai"/>
    <x v="4"/>
    <n v="40198"/>
    <d v="2023-04-11T00:00:00"/>
    <n v="13"/>
    <n v="1"/>
    <n v="4020"/>
    <n v="2010"/>
    <n v="42208"/>
    <n v="2010"/>
    <n v="46228"/>
  </r>
  <r>
    <n v="310"/>
    <x v="3"/>
    <s v="Female"/>
    <n v="38"/>
    <s v="Chennai"/>
    <x v="1"/>
    <n v="51894"/>
    <d v="2023-02-21T00:00:00"/>
    <n v="13"/>
    <n v="4"/>
    <n v="5189"/>
    <n v="2595"/>
    <n v="54488"/>
    <n v="2595"/>
    <n v="59678"/>
  </r>
  <r>
    <n v="311"/>
    <x v="4"/>
    <s v="Male"/>
    <n v="32"/>
    <s v="Delhi"/>
    <x v="2"/>
    <n v="52591"/>
    <d v="2023-12-07T00:00:00"/>
    <n v="3"/>
    <n v="2"/>
    <n v="5259"/>
    <n v="2630"/>
    <n v="55220"/>
    <n v="0"/>
    <n v="57850"/>
  </r>
  <r>
    <n v="312"/>
    <x v="2"/>
    <s v="Female"/>
    <n v="27"/>
    <s v="Hyderabad"/>
    <x v="1"/>
    <n v="98024"/>
    <d v="2023-08-19T00:00:00"/>
    <n v="18"/>
    <n v="5"/>
    <n v="9802"/>
    <n v="4901"/>
    <n v="102925"/>
    <n v="4901"/>
    <n v="112727"/>
  </r>
  <r>
    <n v="313"/>
    <x v="4"/>
    <s v="Male"/>
    <n v="56"/>
    <s v="Mumbai"/>
    <x v="4"/>
    <n v="86486"/>
    <d v="2024-09-24T00:00:00"/>
    <n v="6"/>
    <n v="5"/>
    <n v="8649"/>
    <n v="4324"/>
    <n v="90811"/>
    <n v="4324"/>
    <n v="99459"/>
  </r>
  <r>
    <n v="314"/>
    <x v="8"/>
    <s v="Male"/>
    <n v="44"/>
    <s v="Hyderabad"/>
    <x v="2"/>
    <n v="62215"/>
    <d v="2023-03-18T00:00:00"/>
    <n v="15"/>
    <n v="2"/>
    <n v="6222"/>
    <n v="3111"/>
    <n v="65326"/>
    <n v="3111"/>
    <n v="71548"/>
  </r>
  <r>
    <n v="315"/>
    <x v="7"/>
    <s v="Male"/>
    <n v="53"/>
    <s v="Bangalore"/>
    <x v="2"/>
    <n v="21713"/>
    <d v="2023-03-23T00:00:00"/>
    <n v="12"/>
    <n v="4"/>
    <n v="2171"/>
    <n v="1086"/>
    <n v="22798"/>
    <n v="1086"/>
    <n v="24970"/>
  </r>
  <r>
    <n v="316"/>
    <x v="2"/>
    <s v="Male"/>
    <n v="55"/>
    <s v="Bangalore"/>
    <x v="0"/>
    <n v="70200"/>
    <d v="2023-09-28T00:00:00"/>
    <n v="15"/>
    <n v="2"/>
    <n v="7020"/>
    <n v="3510"/>
    <n v="73710"/>
    <n v="3510"/>
    <n v="80730"/>
  </r>
  <r>
    <n v="317"/>
    <x v="0"/>
    <s v="Female"/>
    <n v="54"/>
    <s v="Hyderabad"/>
    <x v="0"/>
    <n v="77429"/>
    <d v="2022-08-11T00:00:00"/>
    <n v="18"/>
    <n v="3"/>
    <n v="7743"/>
    <n v="3871"/>
    <n v="81301"/>
    <n v="3871"/>
    <n v="89043"/>
  </r>
  <r>
    <n v="318"/>
    <x v="9"/>
    <s v="Female"/>
    <n v="26"/>
    <s v="Mumbai"/>
    <x v="0"/>
    <n v="92199"/>
    <d v="2022-04-27T00:00:00"/>
    <n v="2"/>
    <n v="1"/>
    <n v="9220"/>
    <n v="4610"/>
    <n v="96809"/>
    <n v="0"/>
    <n v="101419"/>
  </r>
  <r>
    <n v="319"/>
    <x v="5"/>
    <s v="Male"/>
    <n v="32"/>
    <s v="Mumbai"/>
    <x v="3"/>
    <n v="20523"/>
    <d v="2023-04-28T00:00:00"/>
    <n v="18"/>
    <n v="2"/>
    <n v="2052"/>
    <n v="1026"/>
    <n v="21549"/>
    <n v="1026"/>
    <n v="23601"/>
  </r>
  <r>
    <n v="320"/>
    <x v="3"/>
    <s v="Male"/>
    <n v="22"/>
    <s v="Chennai"/>
    <x v="2"/>
    <n v="79751"/>
    <d v="2023-07-14T00:00:00"/>
    <n v="1"/>
    <n v="4"/>
    <n v="7975"/>
    <n v="3988"/>
    <n v="83738"/>
    <n v="0"/>
    <n v="87726"/>
  </r>
  <r>
    <n v="321"/>
    <x v="4"/>
    <s v="Male"/>
    <n v="41"/>
    <s v="Hyderabad"/>
    <x v="3"/>
    <n v="35633"/>
    <d v="2022-12-12T00:00:00"/>
    <n v="11"/>
    <n v="2"/>
    <n v="3563"/>
    <n v="1782"/>
    <n v="37414"/>
    <n v="1782"/>
    <n v="40978"/>
  </r>
  <r>
    <n v="322"/>
    <x v="7"/>
    <s v="Male"/>
    <n v="41"/>
    <s v="Bangalore"/>
    <x v="1"/>
    <n v="91507"/>
    <d v="2023-02-05T00:00:00"/>
    <n v="8"/>
    <n v="2"/>
    <n v="9151"/>
    <n v="4575"/>
    <n v="96083"/>
    <n v="4575"/>
    <n v="105233"/>
  </r>
  <r>
    <n v="323"/>
    <x v="8"/>
    <s v="Male"/>
    <n v="31"/>
    <s v="Hyderabad"/>
    <x v="3"/>
    <n v="43868"/>
    <d v="2024-06-20T00:00:00"/>
    <n v="14"/>
    <n v="3"/>
    <n v="4387"/>
    <n v="2193"/>
    <n v="46062"/>
    <n v="2193"/>
    <n v="50448"/>
  </r>
  <r>
    <n v="324"/>
    <x v="5"/>
    <s v="Male"/>
    <n v="38"/>
    <s v="Delhi"/>
    <x v="2"/>
    <n v="77142"/>
    <d v="2023-03-19T00:00:00"/>
    <n v="16"/>
    <n v="3"/>
    <n v="7714"/>
    <n v="3857"/>
    <n v="80999"/>
    <n v="3857"/>
    <n v="88713"/>
  </r>
  <r>
    <n v="325"/>
    <x v="6"/>
    <s v="Female"/>
    <n v="28"/>
    <s v="Bangalore"/>
    <x v="3"/>
    <n v="40804"/>
    <d v="2023-03-10T00:00:00"/>
    <n v="17"/>
    <n v="5"/>
    <n v="4080"/>
    <n v="2040"/>
    <n v="42844"/>
    <n v="2040"/>
    <n v="46924"/>
  </r>
  <r>
    <n v="326"/>
    <x v="3"/>
    <s v="Female"/>
    <n v="34"/>
    <s v="Mumbai"/>
    <x v="1"/>
    <n v="37128"/>
    <d v="2022-09-01T00:00:00"/>
    <n v="5"/>
    <n v="4"/>
    <n v="3713"/>
    <n v="1856"/>
    <n v="38985"/>
    <n v="0"/>
    <n v="40841"/>
  </r>
  <r>
    <n v="327"/>
    <x v="8"/>
    <s v="Male"/>
    <n v="41"/>
    <s v="Delhi"/>
    <x v="3"/>
    <n v="86010"/>
    <d v="2022-09-02T00:00:00"/>
    <n v="8"/>
    <n v="1"/>
    <n v="8601"/>
    <n v="4300"/>
    <n v="90311"/>
    <n v="4300"/>
    <n v="98911"/>
  </r>
  <r>
    <n v="328"/>
    <x v="7"/>
    <s v="Female"/>
    <n v="42"/>
    <s v="Mumbai"/>
    <x v="4"/>
    <n v="91352"/>
    <d v="2023-05-17T00:00:00"/>
    <n v="8"/>
    <n v="2"/>
    <n v="9135"/>
    <n v="4568"/>
    <n v="95919"/>
    <n v="4568"/>
    <n v="105055"/>
  </r>
  <r>
    <n v="329"/>
    <x v="4"/>
    <s v="Male"/>
    <n v="30"/>
    <s v="Mumbai"/>
    <x v="3"/>
    <n v="58609"/>
    <d v="2022-03-14T00:00:00"/>
    <n v="11"/>
    <n v="2"/>
    <n v="5861"/>
    <n v="2930"/>
    <n v="61540"/>
    <n v="2930"/>
    <n v="67400"/>
  </r>
  <r>
    <n v="330"/>
    <x v="6"/>
    <s v="Female"/>
    <n v="36"/>
    <s v="Mumbai"/>
    <x v="4"/>
    <n v="36307"/>
    <d v="2023-10-13T00:00:00"/>
    <n v="16"/>
    <n v="3"/>
    <n v="3631"/>
    <n v="1815"/>
    <n v="38123"/>
    <n v="1815"/>
    <n v="41753"/>
  </r>
  <r>
    <n v="331"/>
    <x v="8"/>
    <s v="Female"/>
    <n v="57"/>
    <s v="Chennai"/>
    <x v="1"/>
    <n v="96386"/>
    <d v="2022-05-18T00:00:00"/>
    <n v="1"/>
    <n v="5"/>
    <n v="9639"/>
    <n v="4819"/>
    <n v="101206"/>
    <n v="0"/>
    <n v="106025"/>
  </r>
  <r>
    <n v="332"/>
    <x v="5"/>
    <s v="Male"/>
    <n v="54"/>
    <s v="Chennai"/>
    <x v="4"/>
    <n v="68851"/>
    <d v="2023-06-03T00:00:00"/>
    <n v="12"/>
    <n v="5"/>
    <n v="6885"/>
    <n v="3443"/>
    <n v="72293"/>
    <n v="3443"/>
    <n v="79179"/>
  </r>
  <r>
    <n v="333"/>
    <x v="1"/>
    <s v="Male"/>
    <n v="30"/>
    <s v="Chennai"/>
    <x v="2"/>
    <n v="40438"/>
    <d v="2024-04-25T00:00:00"/>
    <n v="11"/>
    <n v="1"/>
    <n v="4044"/>
    <n v="2022"/>
    <n v="42460"/>
    <n v="2022"/>
    <n v="46504"/>
  </r>
  <r>
    <n v="334"/>
    <x v="1"/>
    <s v="Female"/>
    <n v="36"/>
    <s v="Mumbai"/>
    <x v="3"/>
    <n v="78076"/>
    <d v="2023-02-20T00:00:00"/>
    <n v="6"/>
    <n v="1"/>
    <n v="7808"/>
    <n v="3904"/>
    <n v="81980"/>
    <n v="3904"/>
    <n v="89788"/>
  </r>
  <r>
    <n v="335"/>
    <x v="9"/>
    <s v="Female"/>
    <n v="50"/>
    <s v="Delhi"/>
    <x v="4"/>
    <n v="98780"/>
    <d v="2023-06-01T00:00:00"/>
    <n v="15"/>
    <n v="1"/>
    <n v="9878"/>
    <n v="4939"/>
    <n v="103719"/>
    <n v="4939"/>
    <n v="113597"/>
  </r>
  <r>
    <n v="336"/>
    <x v="9"/>
    <s v="Male"/>
    <n v="31"/>
    <s v="Mumbai"/>
    <x v="0"/>
    <n v="96450"/>
    <d v="2023-07-31T00:00:00"/>
    <n v="8"/>
    <n v="5"/>
    <n v="9645"/>
    <n v="4822"/>
    <n v="101273"/>
    <n v="4822"/>
    <n v="110917"/>
  </r>
  <r>
    <n v="337"/>
    <x v="6"/>
    <s v="Male"/>
    <n v="30"/>
    <s v="Delhi"/>
    <x v="3"/>
    <n v="28142"/>
    <d v="2024-05-09T00:00:00"/>
    <n v="16"/>
    <n v="2"/>
    <n v="2814"/>
    <n v="1407"/>
    <n v="29549"/>
    <n v="1407"/>
    <n v="32363"/>
  </r>
  <r>
    <n v="338"/>
    <x v="3"/>
    <s v="Female"/>
    <n v="30"/>
    <s v="Mumbai"/>
    <x v="1"/>
    <n v="76400"/>
    <d v="2024-07-24T00:00:00"/>
    <n v="9"/>
    <n v="4"/>
    <n v="7640"/>
    <n v="3820"/>
    <n v="80220"/>
    <n v="3820"/>
    <n v="87860"/>
  </r>
  <r>
    <n v="339"/>
    <x v="4"/>
    <s v="Female"/>
    <n v="31"/>
    <s v="Chennai"/>
    <x v="0"/>
    <n v="67904"/>
    <d v="2024-09-05T00:00:00"/>
    <n v="12"/>
    <n v="5"/>
    <n v="6790"/>
    <n v="3395"/>
    <n v="71299"/>
    <n v="3395"/>
    <n v="78089"/>
  </r>
  <r>
    <n v="340"/>
    <x v="6"/>
    <s v="Male"/>
    <n v="33"/>
    <s v="Hyderabad"/>
    <x v="4"/>
    <n v="25586"/>
    <d v="2024-01-06T00:00:00"/>
    <n v="8"/>
    <n v="5"/>
    <n v="2559"/>
    <n v="1279"/>
    <n v="26866"/>
    <n v="1279"/>
    <n v="29424"/>
  </r>
  <r>
    <n v="341"/>
    <x v="9"/>
    <s v="Male"/>
    <n v="40"/>
    <s v="Delhi"/>
    <x v="3"/>
    <n v="57318"/>
    <d v="2023-02-12T00:00:00"/>
    <n v="13"/>
    <n v="3"/>
    <n v="5732"/>
    <n v="2866"/>
    <n v="60184"/>
    <n v="2866"/>
    <n v="65916"/>
  </r>
  <r>
    <n v="342"/>
    <x v="7"/>
    <s v="Female"/>
    <n v="46"/>
    <s v="Delhi"/>
    <x v="4"/>
    <n v="47343"/>
    <d v="2022-10-16T00:00:00"/>
    <n v="16"/>
    <n v="1"/>
    <n v="4734"/>
    <n v="2367"/>
    <n v="49710"/>
    <n v="2367"/>
    <n v="54444"/>
  </r>
  <r>
    <n v="343"/>
    <x v="3"/>
    <s v="Female"/>
    <n v="32"/>
    <s v="Mumbai"/>
    <x v="4"/>
    <n v="72168"/>
    <d v="2024-08-18T00:00:00"/>
    <n v="14"/>
    <n v="2"/>
    <n v="7217"/>
    <n v="3608"/>
    <n v="75777"/>
    <n v="3608"/>
    <n v="82993"/>
  </r>
  <r>
    <n v="344"/>
    <x v="7"/>
    <s v="Female"/>
    <n v="50"/>
    <s v="Delhi"/>
    <x v="4"/>
    <n v="34187"/>
    <d v="2022-01-17T00:00:00"/>
    <n v="8"/>
    <n v="2"/>
    <n v="3419"/>
    <n v="1709"/>
    <n v="35897"/>
    <n v="1709"/>
    <n v="39315"/>
  </r>
  <r>
    <n v="345"/>
    <x v="4"/>
    <s v="Female"/>
    <n v="27"/>
    <s v="Chennai"/>
    <x v="3"/>
    <n v="21910"/>
    <d v="2024-09-17T00:00:00"/>
    <n v="12"/>
    <n v="3"/>
    <n v="2191"/>
    <n v="1096"/>
    <n v="23005"/>
    <n v="1096"/>
    <n v="25197"/>
  </r>
  <r>
    <n v="346"/>
    <x v="5"/>
    <s v="Male"/>
    <n v="38"/>
    <s v="Bangalore"/>
    <x v="2"/>
    <n v="98173"/>
    <d v="2022-11-11T00:00:00"/>
    <n v="18"/>
    <n v="4"/>
    <n v="9817"/>
    <n v="4909"/>
    <n v="103081"/>
    <n v="4909"/>
    <n v="112899"/>
  </r>
  <r>
    <n v="347"/>
    <x v="6"/>
    <s v="Female"/>
    <n v="37"/>
    <s v="Hyderabad"/>
    <x v="1"/>
    <n v="71175"/>
    <d v="2023-03-17T00:00:00"/>
    <n v="7"/>
    <n v="5"/>
    <n v="7118"/>
    <n v="3559"/>
    <n v="74734"/>
    <n v="3559"/>
    <n v="81852"/>
  </r>
  <r>
    <n v="348"/>
    <x v="5"/>
    <s v="Male"/>
    <n v="57"/>
    <s v="Mumbai"/>
    <x v="0"/>
    <n v="23526"/>
    <d v="2024-08-07T00:00:00"/>
    <n v="8"/>
    <n v="5"/>
    <n v="2353"/>
    <n v="1176"/>
    <n v="24703"/>
    <n v="1176"/>
    <n v="27055"/>
  </r>
  <r>
    <n v="349"/>
    <x v="2"/>
    <s v="Female"/>
    <n v="57"/>
    <s v="Delhi"/>
    <x v="0"/>
    <n v="88675"/>
    <d v="2022-03-22T00:00:00"/>
    <n v="7"/>
    <n v="5"/>
    <n v="8868"/>
    <n v="4434"/>
    <n v="93109"/>
    <n v="4434"/>
    <n v="101977"/>
  </r>
  <r>
    <n v="350"/>
    <x v="8"/>
    <s v="Male"/>
    <n v="24"/>
    <s v="Chennai"/>
    <x v="1"/>
    <n v="40023"/>
    <d v="2024-06-16T00:00:00"/>
    <n v="9"/>
    <n v="1"/>
    <n v="4002"/>
    <n v="2001"/>
    <n v="42024"/>
    <n v="2001"/>
    <n v="46026"/>
  </r>
  <r>
    <n v="351"/>
    <x v="8"/>
    <s v="Male"/>
    <n v="44"/>
    <s v="Bangalore"/>
    <x v="0"/>
    <n v="46132"/>
    <d v="2023-05-18T00:00:00"/>
    <n v="6"/>
    <n v="4"/>
    <n v="4613"/>
    <n v="2307"/>
    <n v="48438"/>
    <n v="2307"/>
    <n v="53052"/>
  </r>
  <r>
    <n v="352"/>
    <x v="9"/>
    <s v="Female"/>
    <n v="29"/>
    <s v="Bangalore"/>
    <x v="3"/>
    <n v="75525"/>
    <d v="2022-02-13T00:00:00"/>
    <n v="17"/>
    <n v="3"/>
    <n v="7552"/>
    <n v="3776"/>
    <n v="79301"/>
    <n v="3776"/>
    <n v="86853"/>
  </r>
  <r>
    <n v="353"/>
    <x v="5"/>
    <s v="Male"/>
    <n v="24"/>
    <s v="Hyderabad"/>
    <x v="1"/>
    <n v="81884"/>
    <d v="2022-04-22T00:00:00"/>
    <n v="10"/>
    <n v="2"/>
    <n v="8188"/>
    <n v="4094"/>
    <n v="85978"/>
    <n v="4094"/>
    <n v="94166"/>
  </r>
  <r>
    <n v="354"/>
    <x v="1"/>
    <s v="Male"/>
    <n v="46"/>
    <s v="Chennai"/>
    <x v="1"/>
    <n v="35757"/>
    <d v="2023-12-07T00:00:00"/>
    <n v="3"/>
    <n v="1"/>
    <n v="3576"/>
    <n v="1788"/>
    <n v="37545"/>
    <n v="0"/>
    <n v="39333"/>
  </r>
  <r>
    <n v="355"/>
    <x v="4"/>
    <s v="Female"/>
    <n v="30"/>
    <s v="Mumbai"/>
    <x v="4"/>
    <n v="44870"/>
    <d v="2024-08-28T00:00:00"/>
    <n v="4"/>
    <n v="1"/>
    <n v="4487"/>
    <n v="2244"/>
    <n v="47113"/>
    <n v="0"/>
    <n v="49357"/>
  </r>
  <r>
    <n v="356"/>
    <x v="0"/>
    <s v="Male"/>
    <n v="31"/>
    <s v="Delhi"/>
    <x v="4"/>
    <n v="31867"/>
    <d v="2024-04-23T00:00:00"/>
    <n v="4"/>
    <n v="2"/>
    <n v="3187"/>
    <n v="1593"/>
    <n v="33461"/>
    <n v="0"/>
    <n v="35054"/>
  </r>
  <r>
    <n v="357"/>
    <x v="7"/>
    <s v="Female"/>
    <n v="29"/>
    <s v="Chennai"/>
    <x v="4"/>
    <n v="88836"/>
    <d v="2022-09-06T00:00:00"/>
    <n v="11"/>
    <n v="3"/>
    <n v="8884"/>
    <n v="4442"/>
    <n v="93278"/>
    <n v="4442"/>
    <n v="102162"/>
  </r>
  <r>
    <n v="358"/>
    <x v="7"/>
    <s v="Male"/>
    <n v="59"/>
    <s v="Mumbai"/>
    <x v="0"/>
    <n v="63825"/>
    <d v="2022-07-06T00:00:00"/>
    <n v="6"/>
    <n v="5"/>
    <n v="6382"/>
    <n v="3191"/>
    <n v="67016"/>
    <n v="3191"/>
    <n v="73398"/>
  </r>
  <r>
    <n v="359"/>
    <x v="3"/>
    <s v="Female"/>
    <n v="29"/>
    <s v="Mumbai"/>
    <x v="2"/>
    <n v="66991"/>
    <d v="2022-05-02T00:00:00"/>
    <n v="5"/>
    <n v="1"/>
    <n v="6699"/>
    <n v="3350"/>
    <n v="70340"/>
    <n v="0"/>
    <n v="73690"/>
  </r>
  <r>
    <n v="360"/>
    <x v="6"/>
    <s v="Male"/>
    <n v="22"/>
    <s v="Bangalore"/>
    <x v="4"/>
    <n v="78815"/>
    <d v="2024-02-07T00:00:00"/>
    <n v="7"/>
    <n v="3"/>
    <n v="7882"/>
    <n v="3941"/>
    <n v="82756"/>
    <n v="3941"/>
    <n v="90638"/>
  </r>
  <r>
    <n v="361"/>
    <x v="7"/>
    <s v="Male"/>
    <n v="47"/>
    <s v="Hyderabad"/>
    <x v="3"/>
    <n v="49498"/>
    <d v="2023-03-19T00:00:00"/>
    <n v="8"/>
    <n v="4"/>
    <n v="4950"/>
    <n v="2475"/>
    <n v="51973"/>
    <n v="2475"/>
    <n v="56923"/>
  </r>
  <r>
    <n v="362"/>
    <x v="3"/>
    <s v="Male"/>
    <n v="22"/>
    <s v="Chennai"/>
    <x v="0"/>
    <n v="49594"/>
    <d v="2023-09-14T00:00:00"/>
    <n v="15"/>
    <n v="1"/>
    <n v="4959"/>
    <n v="2480"/>
    <n v="52073"/>
    <n v="2480"/>
    <n v="57033"/>
  </r>
  <r>
    <n v="363"/>
    <x v="1"/>
    <s v="Female"/>
    <n v="43"/>
    <s v="Mumbai"/>
    <x v="1"/>
    <n v="72086"/>
    <d v="2022-12-01T00:00:00"/>
    <n v="9"/>
    <n v="4"/>
    <n v="7209"/>
    <n v="3604"/>
    <n v="75691"/>
    <n v="3604"/>
    <n v="82899"/>
  </r>
  <r>
    <n v="364"/>
    <x v="3"/>
    <s v="Male"/>
    <n v="47"/>
    <s v="Delhi"/>
    <x v="0"/>
    <n v="82362"/>
    <d v="2022-05-27T00:00:00"/>
    <n v="6"/>
    <n v="2"/>
    <n v="8236"/>
    <n v="4118"/>
    <n v="86480"/>
    <n v="4118"/>
    <n v="94716"/>
  </r>
  <r>
    <n v="365"/>
    <x v="1"/>
    <s v="Female"/>
    <n v="49"/>
    <s v="Chennai"/>
    <x v="1"/>
    <n v="95480"/>
    <d v="2024-05-10T00:00:00"/>
    <n v="1"/>
    <n v="1"/>
    <n v="9548"/>
    <n v="4774"/>
    <n v="100254"/>
    <n v="0"/>
    <n v="105028"/>
  </r>
  <r>
    <n v="366"/>
    <x v="4"/>
    <s v="Female"/>
    <n v="42"/>
    <s v="Chennai"/>
    <x v="3"/>
    <n v="69062"/>
    <d v="2022-08-09T00:00:00"/>
    <n v="8"/>
    <n v="3"/>
    <n v="6906"/>
    <n v="3453"/>
    <n v="72515"/>
    <n v="3453"/>
    <n v="79421"/>
  </r>
  <r>
    <n v="367"/>
    <x v="7"/>
    <s v="Male"/>
    <n v="49"/>
    <s v="Mumbai"/>
    <x v="3"/>
    <n v="27779"/>
    <d v="2022-10-02T00:00:00"/>
    <n v="15"/>
    <n v="1"/>
    <n v="2778"/>
    <n v="1389"/>
    <n v="29168"/>
    <n v="1389"/>
    <n v="31946"/>
  </r>
  <r>
    <n v="368"/>
    <x v="2"/>
    <s v="Female"/>
    <n v="48"/>
    <s v="Hyderabad"/>
    <x v="3"/>
    <n v="75429"/>
    <d v="2022-01-22T00:00:00"/>
    <n v="18"/>
    <n v="3"/>
    <n v="7543"/>
    <n v="3771"/>
    <n v="79201"/>
    <n v="3771"/>
    <n v="86743"/>
  </r>
  <r>
    <n v="369"/>
    <x v="2"/>
    <s v="Female"/>
    <n v="50"/>
    <s v="Delhi"/>
    <x v="4"/>
    <n v="52049"/>
    <d v="2022-11-25T00:00:00"/>
    <n v="16"/>
    <n v="1"/>
    <n v="5205"/>
    <n v="2602"/>
    <n v="54652"/>
    <n v="2602"/>
    <n v="59856"/>
  </r>
  <r>
    <n v="370"/>
    <x v="4"/>
    <s v="Female"/>
    <n v="41"/>
    <s v="Bangalore"/>
    <x v="3"/>
    <n v="69329"/>
    <d v="2022-06-21T00:00:00"/>
    <n v="6"/>
    <n v="3"/>
    <n v="6933"/>
    <n v="3466"/>
    <n v="72796"/>
    <n v="3466"/>
    <n v="79728"/>
  </r>
  <r>
    <n v="371"/>
    <x v="3"/>
    <s v="Female"/>
    <n v="48"/>
    <s v="Hyderabad"/>
    <x v="3"/>
    <n v="65011"/>
    <d v="2024-07-14T00:00:00"/>
    <n v="20"/>
    <n v="1"/>
    <n v="6501"/>
    <n v="3251"/>
    <n v="68261"/>
    <n v="3251"/>
    <n v="74763"/>
  </r>
  <r>
    <n v="372"/>
    <x v="3"/>
    <s v="Female"/>
    <n v="39"/>
    <s v="Hyderabad"/>
    <x v="2"/>
    <n v="99141"/>
    <d v="2022-11-12T00:00:00"/>
    <n v="13"/>
    <n v="2"/>
    <n v="9914"/>
    <n v="4957"/>
    <n v="104098"/>
    <n v="4957"/>
    <n v="114012"/>
  </r>
  <r>
    <n v="373"/>
    <x v="8"/>
    <s v="Female"/>
    <n v="23"/>
    <s v="Bangalore"/>
    <x v="3"/>
    <n v="30003"/>
    <d v="2022-07-31T00:00:00"/>
    <n v="15"/>
    <n v="3"/>
    <n v="3000"/>
    <n v="1500"/>
    <n v="31503"/>
    <n v="1500"/>
    <n v="34503"/>
  </r>
  <r>
    <n v="374"/>
    <x v="9"/>
    <s v="Female"/>
    <n v="40"/>
    <s v="Hyderabad"/>
    <x v="2"/>
    <n v="26443"/>
    <d v="2023-03-19T00:00:00"/>
    <n v="9"/>
    <n v="5"/>
    <n v="2644"/>
    <n v="1322"/>
    <n v="27765"/>
    <n v="1322"/>
    <n v="30409"/>
  </r>
  <r>
    <n v="375"/>
    <x v="7"/>
    <s v="Female"/>
    <n v="48"/>
    <s v="Delhi"/>
    <x v="2"/>
    <n v="63514"/>
    <d v="2022-06-19T00:00:00"/>
    <n v="20"/>
    <n v="2"/>
    <n v="6351"/>
    <n v="3176"/>
    <n v="66689"/>
    <n v="3176"/>
    <n v="73041"/>
  </r>
  <r>
    <n v="376"/>
    <x v="8"/>
    <s v="Female"/>
    <n v="48"/>
    <s v="Hyderabad"/>
    <x v="3"/>
    <n v="77956"/>
    <d v="2023-09-02T00:00:00"/>
    <n v="11"/>
    <n v="2"/>
    <n v="7796"/>
    <n v="3898"/>
    <n v="81854"/>
    <n v="3898"/>
    <n v="89650"/>
  </r>
  <r>
    <n v="377"/>
    <x v="8"/>
    <s v="Female"/>
    <n v="60"/>
    <s v="Mumbai"/>
    <x v="4"/>
    <n v="90132"/>
    <d v="2023-08-10T00:00:00"/>
    <n v="10"/>
    <n v="2"/>
    <n v="9013"/>
    <n v="4507"/>
    <n v="94638"/>
    <n v="4507"/>
    <n v="103652"/>
  </r>
  <r>
    <n v="378"/>
    <x v="5"/>
    <s v="Male"/>
    <n v="57"/>
    <s v="Chennai"/>
    <x v="2"/>
    <n v="37892"/>
    <d v="2024-04-21T00:00:00"/>
    <n v="18"/>
    <n v="2"/>
    <n v="3789"/>
    <n v="1895"/>
    <n v="39786"/>
    <n v="1895"/>
    <n v="43576"/>
  </r>
  <r>
    <n v="379"/>
    <x v="9"/>
    <s v="Female"/>
    <n v="50"/>
    <s v="Mumbai"/>
    <x v="0"/>
    <n v="94895"/>
    <d v="2022-06-20T00:00:00"/>
    <n v="17"/>
    <n v="5"/>
    <n v="9490"/>
    <n v="4745"/>
    <n v="99640"/>
    <n v="4745"/>
    <n v="109130"/>
  </r>
  <r>
    <n v="380"/>
    <x v="1"/>
    <s v="Male"/>
    <n v="38"/>
    <s v="Bangalore"/>
    <x v="2"/>
    <n v="41322"/>
    <d v="2023-10-03T00:00:00"/>
    <n v="18"/>
    <n v="3"/>
    <n v="4132"/>
    <n v="2066"/>
    <n v="43388"/>
    <n v="2066"/>
    <n v="47520"/>
  </r>
  <r>
    <n v="381"/>
    <x v="5"/>
    <s v="Male"/>
    <n v="24"/>
    <s v="Mumbai"/>
    <x v="4"/>
    <n v="92177"/>
    <d v="2023-01-16T00:00:00"/>
    <n v="13"/>
    <n v="1"/>
    <n v="9218"/>
    <n v="4609"/>
    <n v="96786"/>
    <n v="4609"/>
    <n v="106004"/>
  </r>
  <r>
    <n v="382"/>
    <x v="4"/>
    <s v="Male"/>
    <n v="43"/>
    <s v="Mumbai"/>
    <x v="0"/>
    <n v="91427"/>
    <d v="2023-10-29T00:00:00"/>
    <n v="8"/>
    <n v="4"/>
    <n v="9143"/>
    <n v="4571"/>
    <n v="95999"/>
    <n v="4571"/>
    <n v="105141"/>
  </r>
  <r>
    <n v="383"/>
    <x v="6"/>
    <s v="Female"/>
    <n v="40"/>
    <s v="Hyderabad"/>
    <x v="3"/>
    <n v="55475"/>
    <d v="2022-11-05T00:00:00"/>
    <n v="20"/>
    <n v="2"/>
    <n v="5548"/>
    <n v="2774"/>
    <n v="58249"/>
    <n v="2774"/>
    <n v="63797"/>
  </r>
  <r>
    <n v="384"/>
    <x v="3"/>
    <s v="Male"/>
    <n v="35"/>
    <s v="Hyderabad"/>
    <x v="1"/>
    <n v="47867"/>
    <d v="2024-06-06T00:00:00"/>
    <n v="7"/>
    <n v="4"/>
    <n v="4787"/>
    <n v="2393"/>
    <n v="50261"/>
    <n v="2393"/>
    <n v="55047"/>
  </r>
  <r>
    <n v="385"/>
    <x v="6"/>
    <s v="Male"/>
    <n v="59"/>
    <s v="Hyderabad"/>
    <x v="4"/>
    <n v="60938"/>
    <d v="2023-09-09T00:00:00"/>
    <n v="16"/>
    <n v="1"/>
    <n v="6094"/>
    <n v="3047"/>
    <n v="63985"/>
    <n v="3047"/>
    <n v="70079"/>
  </r>
  <r>
    <n v="386"/>
    <x v="8"/>
    <s v="Male"/>
    <n v="27"/>
    <s v="Chennai"/>
    <x v="3"/>
    <n v="95315"/>
    <d v="2023-10-14T00:00:00"/>
    <n v="20"/>
    <n v="5"/>
    <n v="9532"/>
    <n v="4766"/>
    <n v="100081"/>
    <n v="4766"/>
    <n v="109613"/>
  </r>
  <r>
    <n v="387"/>
    <x v="7"/>
    <s v="Female"/>
    <n v="44"/>
    <s v="Chennai"/>
    <x v="1"/>
    <n v="42067"/>
    <d v="2022-06-06T00:00:00"/>
    <n v="15"/>
    <n v="1"/>
    <n v="4207"/>
    <n v="2103"/>
    <n v="44171"/>
    <n v="2103"/>
    <n v="48377"/>
  </r>
  <r>
    <n v="388"/>
    <x v="2"/>
    <s v="Female"/>
    <n v="51"/>
    <s v="Bangalore"/>
    <x v="0"/>
    <n v="40097"/>
    <d v="2022-02-26T00:00:00"/>
    <n v="14"/>
    <n v="3"/>
    <n v="4010"/>
    <n v="2005"/>
    <n v="42102"/>
    <n v="2005"/>
    <n v="46112"/>
  </r>
  <r>
    <n v="389"/>
    <x v="3"/>
    <s v="Male"/>
    <n v="39"/>
    <s v="Delhi"/>
    <x v="3"/>
    <n v="92436"/>
    <d v="2024-01-11T00:00:00"/>
    <n v="13"/>
    <n v="4"/>
    <n v="9244"/>
    <n v="4622"/>
    <n v="97058"/>
    <n v="4622"/>
    <n v="106302"/>
  </r>
  <r>
    <n v="390"/>
    <x v="7"/>
    <s v="Male"/>
    <n v="40"/>
    <s v="Delhi"/>
    <x v="0"/>
    <n v="68763"/>
    <d v="2022-10-20T00:00:00"/>
    <n v="8"/>
    <n v="5"/>
    <n v="6876"/>
    <n v="3438"/>
    <n v="72201"/>
    <n v="3438"/>
    <n v="79077"/>
  </r>
  <r>
    <n v="391"/>
    <x v="5"/>
    <s v="Male"/>
    <n v="56"/>
    <s v="Mumbai"/>
    <x v="2"/>
    <n v="79225"/>
    <d v="2022-02-18T00:00:00"/>
    <n v="9"/>
    <n v="1"/>
    <n v="7922"/>
    <n v="3961"/>
    <n v="83186"/>
    <n v="3961"/>
    <n v="91108"/>
  </r>
  <r>
    <n v="392"/>
    <x v="2"/>
    <s v="Female"/>
    <n v="38"/>
    <s v="Mumbai"/>
    <x v="1"/>
    <n v="29966"/>
    <d v="2022-02-05T00:00:00"/>
    <n v="17"/>
    <n v="5"/>
    <n v="2997"/>
    <n v="1498"/>
    <n v="31465"/>
    <n v="1498"/>
    <n v="34461"/>
  </r>
  <r>
    <n v="393"/>
    <x v="0"/>
    <s v="Male"/>
    <n v="35"/>
    <s v="Hyderabad"/>
    <x v="1"/>
    <n v="52739"/>
    <d v="2022-03-29T00:00:00"/>
    <n v="13"/>
    <n v="4"/>
    <n v="5274"/>
    <n v="2637"/>
    <n v="55376"/>
    <n v="2637"/>
    <n v="60650"/>
  </r>
  <r>
    <n v="394"/>
    <x v="9"/>
    <s v="Male"/>
    <n v="23"/>
    <s v="Mumbai"/>
    <x v="2"/>
    <n v="21839"/>
    <d v="2024-06-14T00:00:00"/>
    <n v="1"/>
    <n v="5"/>
    <n v="2184"/>
    <n v="1092"/>
    <n v="22931"/>
    <n v="0"/>
    <n v="24023"/>
  </r>
  <r>
    <n v="395"/>
    <x v="5"/>
    <s v="Male"/>
    <n v="32"/>
    <s v="Bangalore"/>
    <x v="4"/>
    <n v="38252"/>
    <d v="2022-12-23T00:00:00"/>
    <n v="3"/>
    <n v="3"/>
    <n v="3825"/>
    <n v="1913"/>
    <n v="40164"/>
    <n v="0"/>
    <n v="42077"/>
  </r>
  <r>
    <n v="396"/>
    <x v="7"/>
    <s v="Female"/>
    <n v="30"/>
    <s v="Mumbai"/>
    <x v="2"/>
    <n v="91077"/>
    <d v="2024-01-16T00:00:00"/>
    <n v="9"/>
    <n v="2"/>
    <n v="9108"/>
    <n v="4554"/>
    <n v="95631"/>
    <n v="4554"/>
    <n v="104739"/>
  </r>
  <r>
    <n v="397"/>
    <x v="2"/>
    <s v="Female"/>
    <n v="40"/>
    <s v="Chennai"/>
    <x v="3"/>
    <n v="95558"/>
    <d v="2022-08-30T00:00:00"/>
    <n v="1"/>
    <n v="5"/>
    <n v="9556"/>
    <n v="4778"/>
    <n v="100336"/>
    <n v="0"/>
    <n v="105114"/>
  </r>
  <r>
    <n v="398"/>
    <x v="2"/>
    <s v="Female"/>
    <n v="40"/>
    <s v="Bangalore"/>
    <x v="1"/>
    <n v="55923"/>
    <d v="2022-10-06T00:00:00"/>
    <n v="17"/>
    <n v="5"/>
    <n v="5592"/>
    <n v="2796"/>
    <n v="58719"/>
    <n v="2796"/>
    <n v="64311"/>
  </r>
  <r>
    <n v="399"/>
    <x v="7"/>
    <s v="Female"/>
    <n v="42"/>
    <s v="Mumbai"/>
    <x v="4"/>
    <n v="64679"/>
    <d v="2022-01-01T00:00:00"/>
    <n v="18"/>
    <n v="1"/>
    <n v="6468"/>
    <n v="3234"/>
    <n v="67913"/>
    <n v="3234"/>
    <n v="74381"/>
  </r>
  <r>
    <n v="400"/>
    <x v="6"/>
    <s v="Female"/>
    <n v="38"/>
    <s v="Bangalore"/>
    <x v="1"/>
    <n v="21065"/>
    <d v="2024-06-07T00:00:00"/>
    <n v="4"/>
    <n v="3"/>
    <n v="2106"/>
    <n v="1053"/>
    <n v="22118"/>
    <n v="0"/>
    <n v="23171"/>
  </r>
  <r>
    <n v="401"/>
    <x v="0"/>
    <s v="Male"/>
    <n v="55"/>
    <s v="Delhi"/>
    <x v="2"/>
    <n v="94372"/>
    <d v="2022-04-14T00:00:00"/>
    <n v="5"/>
    <n v="2"/>
    <n v="9437"/>
    <n v="4719"/>
    <n v="99090"/>
    <n v="0"/>
    <n v="103809"/>
  </r>
  <r>
    <n v="402"/>
    <x v="8"/>
    <s v="Female"/>
    <n v="34"/>
    <s v="Hyderabad"/>
    <x v="4"/>
    <n v="29419"/>
    <d v="2024-04-18T00:00:00"/>
    <n v="1"/>
    <n v="3"/>
    <n v="2942"/>
    <n v="1471"/>
    <n v="30890"/>
    <n v="0"/>
    <n v="32361"/>
  </r>
  <r>
    <n v="403"/>
    <x v="8"/>
    <s v="Female"/>
    <n v="21"/>
    <s v="Chennai"/>
    <x v="3"/>
    <n v="36984"/>
    <d v="2023-03-29T00:00:00"/>
    <n v="8"/>
    <n v="5"/>
    <n v="3698"/>
    <n v="1849"/>
    <n v="38833"/>
    <n v="1849"/>
    <n v="42531"/>
  </r>
  <r>
    <n v="404"/>
    <x v="9"/>
    <s v="Male"/>
    <n v="57"/>
    <s v="Bangalore"/>
    <x v="2"/>
    <n v="55188"/>
    <d v="2022-12-02T00:00:00"/>
    <n v="12"/>
    <n v="1"/>
    <n v="5519"/>
    <n v="2759"/>
    <n v="57948"/>
    <n v="2759"/>
    <n v="63466"/>
  </r>
  <r>
    <n v="405"/>
    <x v="2"/>
    <s v="Female"/>
    <n v="40"/>
    <s v="Bangalore"/>
    <x v="0"/>
    <n v="24147"/>
    <d v="2024-08-13T00:00:00"/>
    <n v="7"/>
    <n v="4"/>
    <n v="2415"/>
    <n v="1207"/>
    <n v="25355"/>
    <n v="1207"/>
    <n v="27769"/>
  </r>
  <r>
    <n v="406"/>
    <x v="1"/>
    <s v="Male"/>
    <n v="48"/>
    <s v="Bangalore"/>
    <x v="1"/>
    <n v="53750"/>
    <d v="2024-07-31T00:00:00"/>
    <n v="4"/>
    <n v="5"/>
    <n v="5375"/>
    <n v="2688"/>
    <n v="56437"/>
    <n v="0"/>
    <n v="59125"/>
  </r>
  <r>
    <n v="407"/>
    <x v="0"/>
    <s v="Female"/>
    <n v="31"/>
    <s v="Chennai"/>
    <x v="4"/>
    <n v="97114"/>
    <d v="2023-04-16T00:00:00"/>
    <n v="14"/>
    <n v="1"/>
    <n v="9711"/>
    <n v="4856"/>
    <n v="101969"/>
    <n v="4856"/>
    <n v="111681"/>
  </r>
  <r>
    <n v="408"/>
    <x v="4"/>
    <s v="Female"/>
    <n v="56"/>
    <s v="Delhi"/>
    <x v="0"/>
    <n v="67318"/>
    <d v="2023-03-03T00:00:00"/>
    <n v="6"/>
    <n v="1"/>
    <n v="6732"/>
    <n v="3366"/>
    <n v="70684"/>
    <n v="3366"/>
    <n v="77416"/>
  </r>
  <r>
    <n v="409"/>
    <x v="9"/>
    <s v="Female"/>
    <n v="50"/>
    <s v="Hyderabad"/>
    <x v="2"/>
    <n v="60959"/>
    <d v="2024-08-12T00:00:00"/>
    <n v="14"/>
    <n v="5"/>
    <n v="6096"/>
    <n v="3048"/>
    <n v="64007"/>
    <n v="3048"/>
    <n v="70103"/>
  </r>
  <r>
    <n v="410"/>
    <x v="1"/>
    <s v="Male"/>
    <n v="55"/>
    <s v="Delhi"/>
    <x v="0"/>
    <n v="24243"/>
    <d v="2023-11-19T00:00:00"/>
    <n v="6"/>
    <n v="2"/>
    <n v="2424"/>
    <n v="1212"/>
    <n v="25455"/>
    <n v="1212"/>
    <n v="27879"/>
  </r>
  <r>
    <n v="411"/>
    <x v="8"/>
    <s v="Male"/>
    <n v="43"/>
    <s v="Mumbai"/>
    <x v="0"/>
    <n v="55504"/>
    <d v="2023-12-11T00:00:00"/>
    <n v="19"/>
    <n v="5"/>
    <n v="5550"/>
    <n v="2775"/>
    <n v="58279"/>
    <n v="2775"/>
    <n v="63829"/>
  </r>
  <r>
    <n v="412"/>
    <x v="4"/>
    <s v="Female"/>
    <n v="37"/>
    <s v="Chennai"/>
    <x v="4"/>
    <n v="54352"/>
    <d v="2022-12-26T00:00:00"/>
    <n v="4"/>
    <n v="4"/>
    <n v="5435"/>
    <n v="2718"/>
    <n v="57069"/>
    <n v="0"/>
    <n v="59787"/>
  </r>
  <r>
    <n v="413"/>
    <x v="4"/>
    <s v="Female"/>
    <n v="40"/>
    <s v="Hyderabad"/>
    <x v="1"/>
    <n v="67257"/>
    <d v="2023-05-07T00:00:00"/>
    <n v="14"/>
    <n v="3"/>
    <n v="6726"/>
    <n v="3363"/>
    <n v="70620"/>
    <n v="3363"/>
    <n v="77346"/>
  </r>
  <r>
    <n v="414"/>
    <x v="6"/>
    <s v="Male"/>
    <n v="52"/>
    <s v="Bangalore"/>
    <x v="1"/>
    <n v="60229"/>
    <d v="2024-03-28T00:00:00"/>
    <n v="10"/>
    <n v="3"/>
    <n v="6023"/>
    <n v="3011"/>
    <n v="63241"/>
    <n v="3011"/>
    <n v="69263"/>
  </r>
  <r>
    <n v="415"/>
    <x v="9"/>
    <s v="Female"/>
    <n v="48"/>
    <s v="Hyderabad"/>
    <x v="1"/>
    <n v="32981"/>
    <d v="2022-02-26T00:00:00"/>
    <n v="12"/>
    <n v="2"/>
    <n v="3298"/>
    <n v="1649"/>
    <n v="34630"/>
    <n v="1649"/>
    <n v="37928"/>
  </r>
  <r>
    <n v="416"/>
    <x v="8"/>
    <s v="Female"/>
    <n v="43"/>
    <s v="Mumbai"/>
    <x v="0"/>
    <n v="61446"/>
    <d v="2024-04-11T00:00:00"/>
    <n v="1"/>
    <n v="2"/>
    <n v="6145"/>
    <n v="3072"/>
    <n v="64519"/>
    <n v="0"/>
    <n v="67591"/>
  </r>
  <r>
    <n v="417"/>
    <x v="3"/>
    <s v="Female"/>
    <n v="47"/>
    <s v="Delhi"/>
    <x v="3"/>
    <n v="80039"/>
    <d v="2022-01-30T00:00:00"/>
    <n v="15"/>
    <n v="5"/>
    <n v="8004"/>
    <n v="4002"/>
    <n v="84041"/>
    <n v="4002"/>
    <n v="92045"/>
  </r>
  <r>
    <n v="418"/>
    <x v="9"/>
    <s v="Female"/>
    <n v="40"/>
    <s v="Mumbai"/>
    <x v="0"/>
    <n v="92997"/>
    <d v="2022-04-02T00:00:00"/>
    <n v="14"/>
    <n v="4"/>
    <n v="9300"/>
    <n v="4650"/>
    <n v="97647"/>
    <n v="4650"/>
    <n v="106947"/>
  </r>
  <r>
    <n v="419"/>
    <x v="6"/>
    <s v="Male"/>
    <n v="38"/>
    <s v="Chennai"/>
    <x v="2"/>
    <n v="29307"/>
    <d v="2023-07-18T00:00:00"/>
    <n v="13"/>
    <n v="5"/>
    <n v="2931"/>
    <n v="1465"/>
    <n v="30773"/>
    <n v="1465"/>
    <n v="33703"/>
  </r>
  <r>
    <n v="420"/>
    <x v="9"/>
    <s v="Female"/>
    <n v="57"/>
    <s v="Chennai"/>
    <x v="1"/>
    <n v="82077"/>
    <d v="2022-12-06T00:00:00"/>
    <n v="3"/>
    <n v="1"/>
    <n v="8208"/>
    <n v="4104"/>
    <n v="86181"/>
    <n v="0"/>
    <n v="90285"/>
  </r>
  <r>
    <n v="421"/>
    <x v="7"/>
    <s v="Female"/>
    <n v="60"/>
    <s v="Chennai"/>
    <x v="2"/>
    <n v="55851"/>
    <d v="2023-11-10T00:00:00"/>
    <n v="13"/>
    <n v="1"/>
    <n v="5585"/>
    <n v="2793"/>
    <n v="58643"/>
    <n v="2793"/>
    <n v="64229"/>
  </r>
  <r>
    <n v="422"/>
    <x v="1"/>
    <s v="Male"/>
    <n v="58"/>
    <s v="Delhi"/>
    <x v="0"/>
    <n v="22174"/>
    <d v="2022-08-18T00:00:00"/>
    <n v="5"/>
    <n v="2"/>
    <n v="2217"/>
    <n v="1109"/>
    <n v="23282"/>
    <n v="0"/>
    <n v="24391"/>
  </r>
  <r>
    <n v="423"/>
    <x v="8"/>
    <s v="Male"/>
    <n v="27"/>
    <s v="Bangalore"/>
    <x v="2"/>
    <n v="79516"/>
    <d v="2024-01-08T00:00:00"/>
    <n v="14"/>
    <n v="1"/>
    <n v="7952"/>
    <n v="3976"/>
    <n v="83492"/>
    <n v="3976"/>
    <n v="91444"/>
  </r>
  <r>
    <n v="424"/>
    <x v="5"/>
    <s v="Male"/>
    <n v="30"/>
    <s v="Bangalore"/>
    <x v="3"/>
    <n v="97198"/>
    <d v="2022-03-17T00:00:00"/>
    <n v="19"/>
    <n v="2"/>
    <n v="9720"/>
    <n v="4860"/>
    <n v="102058"/>
    <n v="4860"/>
    <n v="111778"/>
  </r>
  <r>
    <n v="425"/>
    <x v="1"/>
    <s v="Male"/>
    <n v="57"/>
    <s v="Bangalore"/>
    <x v="2"/>
    <n v="76716"/>
    <d v="2022-09-03T00:00:00"/>
    <n v="11"/>
    <n v="1"/>
    <n v="7672"/>
    <n v="3836"/>
    <n v="80552"/>
    <n v="3836"/>
    <n v="88224"/>
  </r>
  <r>
    <n v="426"/>
    <x v="6"/>
    <s v="Female"/>
    <n v="28"/>
    <s v="Chennai"/>
    <x v="3"/>
    <n v="49965"/>
    <d v="2022-07-14T00:00:00"/>
    <n v="14"/>
    <n v="1"/>
    <n v="4996"/>
    <n v="2498"/>
    <n v="52463"/>
    <n v="2498"/>
    <n v="57459"/>
  </r>
  <r>
    <n v="427"/>
    <x v="9"/>
    <s v="Male"/>
    <n v="51"/>
    <s v="Chennai"/>
    <x v="4"/>
    <n v="22543"/>
    <d v="2022-12-28T00:00:00"/>
    <n v="14"/>
    <n v="3"/>
    <n v="2254"/>
    <n v="1127"/>
    <n v="23670"/>
    <n v="1127"/>
    <n v="25924"/>
  </r>
  <r>
    <n v="428"/>
    <x v="5"/>
    <s v="Female"/>
    <n v="32"/>
    <s v="Mumbai"/>
    <x v="3"/>
    <n v="36472"/>
    <d v="2023-05-26T00:00:00"/>
    <n v="6"/>
    <n v="3"/>
    <n v="3647"/>
    <n v="1824"/>
    <n v="38295"/>
    <n v="1824"/>
    <n v="41943"/>
  </r>
  <r>
    <n v="429"/>
    <x v="0"/>
    <s v="Female"/>
    <n v="35"/>
    <s v="Mumbai"/>
    <x v="2"/>
    <n v="64655"/>
    <d v="2022-07-04T00:00:00"/>
    <n v="9"/>
    <n v="5"/>
    <n v="6466"/>
    <n v="3233"/>
    <n v="67888"/>
    <n v="3233"/>
    <n v="74354"/>
  </r>
  <r>
    <n v="430"/>
    <x v="1"/>
    <s v="Male"/>
    <n v="44"/>
    <s v="Bangalore"/>
    <x v="1"/>
    <n v="35744"/>
    <d v="2022-01-21T00:00:00"/>
    <n v="3"/>
    <n v="4"/>
    <n v="3574"/>
    <n v="1787"/>
    <n v="37531"/>
    <n v="0"/>
    <n v="39318"/>
  </r>
  <r>
    <n v="431"/>
    <x v="0"/>
    <s v="Female"/>
    <n v="39"/>
    <s v="Hyderabad"/>
    <x v="2"/>
    <n v="64824"/>
    <d v="2023-06-14T00:00:00"/>
    <n v="9"/>
    <n v="3"/>
    <n v="6482"/>
    <n v="3241"/>
    <n v="68065"/>
    <n v="3241"/>
    <n v="74547"/>
  </r>
  <r>
    <n v="432"/>
    <x v="8"/>
    <s v="Male"/>
    <n v="45"/>
    <s v="Delhi"/>
    <x v="1"/>
    <n v="37473"/>
    <d v="2024-01-17T00:00:00"/>
    <n v="19"/>
    <n v="3"/>
    <n v="3747"/>
    <n v="1874"/>
    <n v="39346"/>
    <n v="1874"/>
    <n v="43094"/>
  </r>
  <r>
    <n v="433"/>
    <x v="0"/>
    <s v="Male"/>
    <n v="38"/>
    <s v="Hyderabad"/>
    <x v="2"/>
    <n v="40621"/>
    <d v="2023-01-03T00:00:00"/>
    <n v="13"/>
    <n v="1"/>
    <n v="4062"/>
    <n v="2031"/>
    <n v="42652"/>
    <n v="2031"/>
    <n v="46714"/>
  </r>
  <r>
    <n v="434"/>
    <x v="5"/>
    <s v="Male"/>
    <n v="31"/>
    <s v="Delhi"/>
    <x v="4"/>
    <n v="68234"/>
    <d v="2022-09-10T00:00:00"/>
    <n v="6"/>
    <n v="4"/>
    <n v="6823"/>
    <n v="3412"/>
    <n v="71645"/>
    <n v="3412"/>
    <n v="78469"/>
  </r>
  <r>
    <n v="435"/>
    <x v="8"/>
    <s v="Female"/>
    <n v="21"/>
    <s v="Bangalore"/>
    <x v="4"/>
    <n v="85090"/>
    <d v="2023-07-06T00:00:00"/>
    <n v="10"/>
    <n v="1"/>
    <n v="8509"/>
    <n v="4254"/>
    <n v="89345"/>
    <n v="4254"/>
    <n v="97853"/>
  </r>
  <r>
    <n v="436"/>
    <x v="9"/>
    <s v="Female"/>
    <n v="44"/>
    <s v="Mumbai"/>
    <x v="3"/>
    <n v="92376"/>
    <d v="2023-05-29T00:00:00"/>
    <n v="19"/>
    <n v="2"/>
    <n v="9238"/>
    <n v="4619"/>
    <n v="96995"/>
    <n v="4619"/>
    <n v="106233"/>
  </r>
  <r>
    <n v="437"/>
    <x v="6"/>
    <s v="Female"/>
    <n v="45"/>
    <s v="Mumbai"/>
    <x v="3"/>
    <n v="71931"/>
    <d v="2023-09-20T00:00:00"/>
    <n v="14"/>
    <n v="3"/>
    <n v="7193"/>
    <n v="3597"/>
    <n v="75527"/>
    <n v="3597"/>
    <n v="82721"/>
  </r>
  <r>
    <n v="438"/>
    <x v="6"/>
    <s v="Male"/>
    <n v="53"/>
    <s v="Bangalore"/>
    <x v="0"/>
    <n v="37313"/>
    <d v="2023-03-05T00:00:00"/>
    <n v="16"/>
    <n v="4"/>
    <n v="3731"/>
    <n v="1866"/>
    <n v="39178"/>
    <n v="1866"/>
    <n v="42910"/>
  </r>
  <r>
    <n v="439"/>
    <x v="1"/>
    <s v="Male"/>
    <n v="23"/>
    <s v="Mumbai"/>
    <x v="4"/>
    <n v="66212"/>
    <d v="2022-04-15T00:00:00"/>
    <n v="5"/>
    <n v="5"/>
    <n v="6621"/>
    <n v="3311"/>
    <n v="69522"/>
    <n v="0"/>
    <n v="72833"/>
  </r>
  <r>
    <n v="440"/>
    <x v="6"/>
    <s v="Male"/>
    <n v="37"/>
    <s v="Mumbai"/>
    <x v="4"/>
    <n v="72284"/>
    <d v="2024-08-22T00:00:00"/>
    <n v="19"/>
    <n v="4"/>
    <n v="7228"/>
    <n v="3614"/>
    <n v="75898"/>
    <n v="3614"/>
    <n v="83126"/>
  </r>
  <r>
    <n v="441"/>
    <x v="1"/>
    <s v="Female"/>
    <n v="35"/>
    <s v="Bangalore"/>
    <x v="2"/>
    <n v="23167"/>
    <d v="2022-06-07T00:00:00"/>
    <n v="10"/>
    <n v="3"/>
    <n v="2317"/>
    <n v="1158"/>
    <n v="24326"/>
    <n v="1158"/>
    <n v="26642"/>
  </r>
  <r>
    <n v="442"/>
    <x v="6"/>
    <s v="Female"/>
    <n v="27"/>
    <s v="Delhi"/>
    <x v="2"/>
    <n v="50605"/>
    <d v="2022-02-23T00:00:00"/>
    <n v="9"/>
    <n v="1"/>
    <n v="5060"/>
    <n v="2530"/>
    <n v="53135"/>
    <n v="2530"/>
    <n v="58195"/>
  </r>
  <r>
    <n v="443"/>
    <x v="4"/>
    <s v="Female"/>
    <n v="32"/>
    <s v="Mumbai"/>
    <x v="2"/>
    <n v="84986"/>
    <d v="2022-09-08T00:00:00"/>
    <n v="5"/>
    <n v="4"/>
    <n v="8499"/>
    <n v="4249"/>
    <n v="89236"/>
    <n v="0"/>
    <n v="93485"/>
  </r>
  <r>
    <n v="444"/>
    <x v="3"/>
    <s v="Male"/>
    <n v="55"/>
    <s v="Bangalore"/>
    <x v="3"/>
    <n v="38562"/>
    <d v="2023-07-06T00:00:00"/>
    <n v="3"/>
    <n v="5"/>
    <n v="3856"/>
    <n v="1928"/>
    <n v="40490"/>
    <n v="0"/>
    <n v="42418"/>
  </r>
  <r>
    <n v="445"/>
    <x v="9"/>
    <s v="Female"/>
    <n v="31"/>
    <s v="Hyderabad"/>
    <x v="1"/>
    <n v="43473"/>
    <d v="2023-08-17T00:00:00"/>
    <n v="17"/>
    <n v="2"/>
    <n v="4347"/>
    <n v="2174"/>
    <n v="45646"/>
    <n v="2174"/>
    <n v="49994"/>
  </r>
  <r>
    <n v="446"/>
    <x v="8"/>
    <s v="Male"/>
    <n v="47"/>
    <s v="Mumbai"/>
    <x v="4"/>
    <n v="65261"/>
    <d v="2023-07-10T00:00:00"/>
    <n v="3"/>
    <n v="4"/>
    <n v="6526"/>
    <n v="3263"/>
    <n v="68524"/>
    <n v="0"/>
    <n v="71787"/>
  </r>
  <r>
    <n v="447"/>
    <x v="0"/>
    <s v="Female"/>
    <n v="34"/>
    <s v="Mumbai"/>
    <x v="0"/>
    <n v="21534"/>
    <d v="2024-05-08T00:00:00"/>
    <n v="2"/>
    <n v="2"/>
    <n v="2153"/>
    <n v="1077"/>
    <n v="22610"/>
    <n v="0"/>
    <n v="23687"/>
  </r>
  <r>
    <n v="448"/>
    <x v="4"/>
    <s v="Female"/>
    <n v="28"/>
    <s v="Delhi"/>
    <x v="3"/>
    <n v="96305"/>
    <d v="2022-04-10T00:00:00"/>
    <n v="11"/>
    <n v="2"/>
    <n v="9630"/>
    <n v="4815"/>
    <n v="101120"/>
    <n v="4815"/>
    <n v="110750"/>
  </r>
  <r>
    <n v="449"/>
    <x v="2"/>
    <s v="Male"/>
    <n v="47"/>
    <s v="Bangalore"/>
    <x v="3"/>
    <n v="80112"/>
    <d v="2024-05-04T00:00:00"/>
    <n v="9"/>
    <n v="2"/>
    <n v="8011"/>
    <n v="4006"/>
    <n v="84117"/>
    <n v="4006"/>
    <n v="92129"/>
  </r>
  <r>
    <n v="450"/>
    <x v="7"/>
    <s v="Male"/>
    <n v="26"/>
    <s v="Bangalore"/>
    <x v="0"/>
    <n v="79471"/>
    <d v="2022-01-07T00:00:00"/>
    <n v="17"/>
    <n v="3"/>
    <n v="7947"/>
    <n v="3974"/>
    <n v="83444"/>
    <n v="3974"/>
    <n v="91392"/>
  </r>
  <r>
    <n v="451"/>
    <x v="9"/>
    <s v="Female"/>
    <n v="35"/>
    <s v="Hyderabad"/>
    <x v="3"/>
    <n v="59942"/>
    <d v="2023-12-14T00:00:00"/>
    <n v="19"/>
    <n v="4"/>
    <n v="5994"/>
    <n v="2997"/>
    <n v="62939"/>
    <n v="2997"/>
    <n v="68933"/>
  </r>
  <r>
    <n v="452"/>
    <x v="8"/>
    <s v="Female"/>
    <n v="26"/>
    <s v="Chennai"/>
    <x v="1"/>
    <n v="93928"/>
    <d v="2022-04-26T00:00:00"/>
    <n v="13"/>
    <n v="1"/>
    <n v="9393"/>
    <n v="4696"/>
    <n v="98625"/>
    <n v="4696"/>
    <n v="108017"/>
  </r>
  <r>
    <n v="453"/>
    <x v="7"/>
    <s v="Female"/>
    <n v="32"/>
    <s v="Hyderabad"/>
    <x v="1"/>
    <n v="26731"/>
    <d v="2023-01-23T00:00:00"/>
    <n v="14"/>
    <n v="1"/>
    <n v="2673"/>
    <n v="1337"/>
    <n v="28067"/>
    <n v="1337"/>
    <n v="30741"/>
  </r>
  <r>
    <n v="454"/>
    <x v="4"/>
    <s v="Female"/>
    <n v="58"/>
    <s v="Bangalore"/>
    <x v="2"/>
    <n v="98449"/>
    <d v="2024-05-20T00:00:00"/>
    <n v="3"/>
    <n v="3"/>
    <n v="9845"/>
    <n v="4922"/>
    <n v="103372"/>
    <n v="0"/>
    <n v="108294"/>
  </r>
  <r>
    <n v="455"/>
    <x v="3"/>
    <s v="Male"/>
    <n v="42"/>
    <s v="Bangalore"/>
    <x v="3"/>
    <n v="33165"/>
    <d v="2023-11-06T00:00:00"/>
    <n v="8"/>
    <n v="5"/>
    <n v="3316"/>
    <n v="1658"/>
    <n v="34823"/>
    <n v="1658"/>
    <n v="38139"/>
  </r>
  <r>
    <n v="456"/>
    <x v="0"/>
    <s v="Male"/>
    <n v="30"/>
    <s v="Delhi"/>
    <x v="2"/>
    <n v="39003"/>
    <d v="2022-06-30T00:00:00"/>
    <n v="10"/>
    <n v="5"/>
    <n v="3900"/>
    <n v="1950"/>
    <n v="40953"/>
    <n v="1950"/>
    <n v="44853"/>
  </r>
  <r>
    <n v="457"/>
    <x v="0"/>
    <s v="Female"/>
    <n v="57"/>
    <s v="Mumbai"/>
    <x v="2"/>
    <n v="29669"/>
    <d v="2022-05-11T00:00:00"/>
    <n v="4"/>
    <n v="1"/>
    <n v="2967"/>
    <n v="1483"/>
    <n v="31153"/>
    <n v="0"/>
    <n v="32636"/>
  </r>
  <r>
    <n v="458"/>
    <x v="6"/>
    <s v="Male"/>
    <n v="51"/>
    <s v="Delhi"/>
    <x v="3"/>
    <n v="74291"/>
    <d v="2023-06-13T00:00:00"/>
    <n v="3"/>
    <n v="2"/>
    <n v="7429"/>
    <n v="3715"/>
    <n v="78005"/>
    <n v="0"/>
    <n v="81720"/>
  </r>
  <r>
    <n v="459"/>
    <x v="0"/>
    <s v="Female"/>
    <n v="22"/>
    <s v="Mumbai"/>
    <x v="2"/>
    <n v="76287"/>
    <d v="2024-04-27T00:00:00"/>
    <n v="6"/>
    <n v="4"/>
    <n v="7629"/>
    <n v="3814"/>
    <n v="80102"/>
    <n v="3814"/>
    <n v="87730"/>
  </r>
  <r>
    <n v="460"/>
    <x v="3"/>
    <s v="Male"/>
    <n v="23"/>
    <s v="Hyderabad"/>
    <x v="4"/>
    <n v="73483"/>
    <d v="2023-02-15T00:00:00"/>
    <n v="7"/>
    <n v="1"/>
    <n v="7348"/>
    <n v="3674"/>
    <n v="77157"/>
    <n v="3674"/>
    <n v="84505"/>
  </r>
  <r>
    <n v="461"/>
    <x v="2"/>
    <s v="Male"/>
    <n v="36"/>
    <s v="Hyderabad"/>
    <x v="2"/>
    <n v="96983"/>
    <d v="2022-11-01T00:00:00"/>
    <n v="17"/>
    <n v="4"/>
    <n v="9698"/>
    <n v="4849"/>
    <n v="101832"/>
    <n v="4849"/>
    <n v="111530"/>
  </r>
  <r>
    <n v="462"/>
    <x v="2"/>
    <s v="Female"/>
    <n v="24"/>
    <s v="Delhi"/>
    <x v="3"/>
    <n v="43304"/>
    <d v="2023-01-10T00:00:00"/>
    <n v="7"/>
    <n v="5"/>
    <n v="4330"/>
    <n v="2165"/>
    <n v="45469"/>
    <n v="2165"/>
    <n v="49799"/>
  </r>
  <r>
    <n v="463"/>
    <x v="7"/>
    <s v="Male"/>
    <n v="27"/>
    <s v="Chennai"/>
    <x v="1"/>
    <n v="37769"/>
    <d v="2022-03-13T00:00:00"/>
    <n v="7"/>
    <n v="5"/>
    <n v="3777"/>
    <n v="1888"/>
    <n v="39658"/>
    <n v="1888"/>
    <n v="43434"/>
  </r>
  <r>
    <n v="464"/>
    <x v="9"/>
    <s v="Female"/>
    <n v="25"/>
    <s v="Bangalore"/>
    <x v="1"/>
    <n v="30355"/>
    <d v="2022-11-10T00:00:00"/>
    <n v="12"/>
    <n v="4"/>
    <n v="3036"/>
    <n v="1518"/>
    <n v="31873"/>
    <n v="1518"/>
    <n v="34909"/>
  </r>
  <r>
    <n v="465"/>
    <x v="2"/>
    <s v="Female"/>
    <n v="49"/>
    <s v="Hyderabad"/>
    <x v="3"/>
    <n v="80125"/>
    <d v="2023-01-21T00:00:00"/>
    <n v="17"/>
    <n v="4"/>
    <n v="8012"/>
    <n v="4006"/>
    <n v="84131"/>
    <n v="4006"/>
    <n v="92143"/>
  </r>
  <r>
    <n v="466"/>
    <x v="1"/>
    <s v="Male"/>
    <n v="26"/>
    <s v="Delhi"/>
    <x v="3"/>
    <n v="90635"/>
    <d v="2022-11-06T00:00:00"/>
    <n v="10"/>
    <n v="5"/>
    <n v="9064"/>
    <n v="4532"/>
    <n v="95167"/>
    <n v="4532"/>
    <n v="104231"/>
  </r>
  <r>
    <n v="467"/>
    <x v="3"/>
    <s v="Female"/>
    <n v="36"/>
    <s v="Bangalore"/>
    <x v="2"/>
    <n v="56421"/>
    <d v="2024-06-03T00:00:00"/>
    <n v="18"/>
    <n v="1"/>
    <n v="5642"/>
    <n v="2821"/>
    <n v="59242"/>
    <n v="2821"/>
    <n v="64884"/>
  </r>
  <r>
    <n v="468"/>
    <x v="5"/>
    <s v="Female"/>
    <n v="32"/>
    <s v="Chennai"/>
    <x v="2"/>
    <n v="63132"/>
    <d v="2022-07-07T00:00:00"/>
    <n v="17"/>
    <n v="5"/>
    <n v="6313"/>
    <n v="3157"/>
    <n v="66288"/>
    <n v="3157"/>
    <n v="72602"/>
  </r>
  <r>
    <n v="469"/>
    <x v="6"/>
    <s v="Female"/>
    <n v="46"/>
    <s v="Hyderabad"/>
    <x v="2"/>
    <n v="76635"/>
    <d v="2024-03-29T00:00:00"/>
    <n v="20"/>
    <n v="3"/>
    <n v="7664"/>
    <n v="3832"/>
    <n v="80467"/>
    <n v="3832"/>
    <n v="88131"/>
  </r>
  <r>
    <n v="470"/>
    <x v="7"/>
    <s v="Male"/>
    <n v="46"/>
    <s v="Hyderabad"/>
    <x v="4"/>
    <n v="27779"/>
    <d v="2022-01-12T00:00:00"/>
    <n v="12"/>
    <n v="5"/>
    <n v="2778"/>
    <n v="1389"/>
    <n v="29168"/>
    <n v="1389"/>
    <n v="31946"/>
  </r>
  <r>
    <n v="471"/>
    <x v="2"/>
    <s v="Male"/>
    <n v="47"/>
    <s v="Delhi"/>
    <x v="3"/>
    <n v="20911"/>
    <d v="2022-03-08T00:00:00"/>
    <n v="13"/>
    <n v="2"/>
    <n v="2091"/>
    <n v="1046"/>
    <n v="21956"/>
    <n v="1046"/>
    <n v="24048"/>
  </r>
  <r>
    <n v="472"/>
    <x v="1"/>
    <s v="Male"/>
    <n v="25"/>
    <s v="Hyderabad"/>
    <x v="3"/>
    <n v="68983"/>
    <d v="2023-07-13T00:00:00"/>
    <n v="9"/>
    <n v="1"/>
    <n v="6898"/>
    <n v="3449"/>
    <n v="72432"/>
    <n v="3449"/>
    <n v="79330"/>
  </r>
  <r>
    <n v="473"/>
    <x v="3"/>
    <s v="Female"/>
    <n v="41"/>
    <s v="Mumbai"/>
    <x v="0"/>
    <n v="48928"/>
    <d v="2024-01-24T00:00:00"/>
    <n v="11"/>
    <n v="2"/>
    <n v="4893"/>
    <n v="2446"/>
    <n v="51375"/>
    <n v="2446"/>
    <n v="56267"/>
  </r>
  <r>
    <n v="474"/>
    <x v="7"/>
    <s v="Male"/>
    <n v="54"/>
    <s v="Bangalore"/>
    <x v="0"/>
    <n v="46911"/>
    <d v="2024-01-19T00:00:00"/>
    <n v="4"/>
    <n v="4"/>
    <n v="4691"/>
    <n v="2346"/>
    <n v="49256"/>
    <n v="0"/>
    <n v="51602"/>
  </r>
  <r>
    <n v="475"/>
    <x v="2"/>
    <s v="Male"/>
    <n v="43"/>
    <s v="Delhi"/>
    <x v="0"/>
    <n v="45110"/>
    <d v="2023-10-23T00:00:00"/>
    <n v="5"/>
    <n v="5"/>
    <n v="4511"/>
    <n v="2256"/>
    <n v="47365"/>
    <n v="0"/>
    <n v="49621"/>
  </r>
  <r>
    <n v="476"/>
    <x v="8"/>
    <s v="Male"/>
    <n v="48"/>
    <s v="Mumbai"/>
    <x v="3"/>
    <n v="56471"/>
    <d v="2024-04-05T00:00:00"/>
    <n v="7"/>
    <n v="2"/>
    <n v="5647"/>
    <n v="2824"/>
    <n v="59294"/>
    <n v="2824"/>
    <n v="64942"/>
  </r>
  <r>
    <n v="477"/>
    <x v="1"/>
    <s v="Male"/>
    <n v="48"/>
    <s v="Delhi"/>
    <x v="2"/>
    <n v="61982"/>
    <d v="2024-02-24T00:00:00"/>
    <n v="2"/>
    <n v="3"/>
    <n v="6198"/>
    <n v="3099"/>
    <n v="65081"/>
    <n v="0"/>
    <n v="68180"/>
  </r>
  <r>
    <n v="478"/>
    <x v="3"/>
    <s v="Female"/>
    <n v="28"/>
    <s v="Bangalore"/>
    <x v="0"/>
    <n v="55820"/>
    <d v="2022-09-16T00:00:00"/>
    <n v="2"/>
    <n v="3"/>
    <n v="5582"/>
    <n v="2791"/>
    <n v="58611"/>
    <n v="0"/>
    <n v="61402"/>
  </r>
  <r>
    <n v="479"/>
    <x v="1"/>
    <s v="Female"/>
    <n v="56"/>
    <s v="Bangalore"/>
    <x v="1"/>
    <n v="91972"/>
    <d v="2022-04-28T00:00:00"/>
    <n v="1"/>
    <n v="4"/>
    <n v="9197"/>
    <n v="4599"/>
    <n v="96570"/>
    <n v="0"/>
    <n v="101169"/>
  </r>
  <r>
    <n v="480"/>
    <x v="3"/>
    <s v="Male"/>
    <n v="52"/>
    <s v="Hyderabad"/>
    <x v="3"/>
    <n v="71319"/>
    <d v="2022-06-19T00:00:00"/>
    <n v="11"/>
    <n v="5"/>
    <n v="7132"/>
    <n v="3566"/>
    <n v="74885"/>
    <n v="3566"/>
    <n v="82017"/>
  </r>
  <r>
    <n v="481"/>
    <x v="3"/>
    <s v="Female"/>
    <n v="51"/>
    <s v="Bangalore"/>
    <x v="4"/>
    <n v="80762"/>
    <d v="2022-08-13T00:00:00"/>
    <n v="14"/>
    <n v="2"/>
    <n v="8076"/>
    <n v="4038"/>
    <n v="84800"/>
    <n v="4038"/>
    <n v="92876"/>
  </r>
  <r>
    <n v="482"/>
    <x v="7"/>
    <s v="Male"/>
    <n v="33"/>
    <s v="Mumbai"/>
    <x v="0"/>
    <n v="73589"/>
    <d v="2023-07-28T00:00:00"/>
    <n v="12"/>
    <n v="1"/>
    <n v="7359"/>
    <n v="3679"/>
    <n v="77269"/>
    <n v="3679"/>
    <n v="84627"/>
  </r>
  <r>
    <n v="483"/>
    <x v="8"/>
    <s v="Female"/>
    <n v="48"/>
    <s v="Delhi"/>
    <x v="2"/>
    <n v="65721"/>
    <d v="2023-10-06T00:00:00"/>
    <n v="15"/>
    <n v="1"/>
    <n v="6572"/>
    <n v="3286"/>
    <n v="69007"/>
    <n v="3286"/>
    <n v="75579"/>
  </r>
  <r>
    <n v="484"/>
    <x v="6"/>
    <s v="Female"/>
    <n v="49"/>
    <s v="Delhi"/>
    <x v="4"/>
    <n v="20714"/>
    <d v="2023-07-04T00:00:00"/>
    <n v="8"/>
    <n v="1"/>
    <n v="2071"/>
    <n v="1036"/>
    <n v="21749"/>
    <n v="1036"/>
    <n v="23821"/>
  </r>
  <r>
    <n v="485"/>
    <x v="8"/>
    <s v="Male"/>
    <n v="36"/>
    <s v="Hyderabad"/>
    <x v="4"/>
    <n v="49755"/>
    <d v="2023-09-08T00:00:00"/>
    <n v="7"/>
    <n v="5"/>
    <n v="4976"/>
    <n v="2488"/>
    <n v="52243"/>
    <n v="2488"/>
    <n v="57219"/>
  </r>
  <r>
    <n v="486"/>
    <x v="9"/>
    <s v="Female"/>
    <n v="50"/>
    <s v="Bangalore"/>
    <x v="4"/>
    <n v="44104"/>
    <d v="2022-09-10T00:00:00"/>
    <n v="11"/>
    <n v="1"/>
    <n v="4410"/>
    <n v="2205"/>
    <n v="46309"/>
    <n v="2205"/>
    <n v="50719"/>
  </r>
  <r>
    <n v="487"/>
    <x v="9"/>
    <s v="Female"/>
    <n v="24"/>
    <s v="Chennai"/>
    <x v="3"/>
    <n v="55870"/>
    <d v="2022-11-24T00:00:00"/>
    <n v="19"/>
    <n v="3"/>
    <n v="5587"/>
    <n v="2794"/>
    <n v="58663"/>
    <n v="2794"/>
    <n v="64251"/>
  </r>
  <r>
    <n v="488"/>
    <x v="9"/>
    <s v="Male"/>
    <n v="27"/>
    <s v="Hyderabad"/>
    <x v="0"/>
    <n v="26410"/>
    <d v="2023-12-27T00:00:00"/>
    <n v="7"/>
    <n v="1"/>
    <n v="2641"/>
    <n v="1320"/>
    <n v="27731"/>
    <n v="1320"/>
    <n v="30371"/>
  </r>
  <r>
    <n v="489"/>
    <x v="2"/>
    <s v="Male"/>
    <n v="29"/>
    <s v="Bangalore"/>
    <x v="0"/>
    <n v="95484"/>
    <d v="2022-09-18T00:00:00"/>
    <n v="18"/>
    <n v="5"/>
    <n v="9548"/>
    <n v="4774"/>
    <n v="100258"/>
    <n v="4774"/>
    <n v="109806"/>
  </r>
  <r>
    <n v="490"/>
    <x v="8"/>
    <s v="Female"/>
    <n v="23"/>
    <s v="Bangalore"/>
    <x v="3"/>
    <n v="39491"/>
    <d v="2023-09-11T00:00:00"/>
    <n v="19"/>
    <n v="4"/>
    <n v="3949"/>
    <n v="1975"/>
    <n v="41465"/>
    <n v="1975"/>
    <n v="45415"/>
  </r>
  <r>
    <n v="491"/>
    <x v="3"/>
    <s v="Male"/>
    <n v="50"/>
    <s v="Mumbai"/>
    <x v="1"/>
    <n v="79762"/>
    <d v="2022-08-19T00:00:00"/>
    <n v="16"/>
    <n v="5"/>
    <n v="7976"/>
    <n v="3988"/>
    <n v="83750"/>
    <n v="3988"/>
    <n v="91726"/>
  </r>
  <r>
    <n v="492"/>
    <x v="9"/>
    <s v="Male"/>
    <n v="59"/>
    <s v="Hyderabad"/>
    <x v="0"/>
    <n v="95844"/>
    <d v="2024-05-16T00:00:00"/>
    <n v="10"/>
    <n v="4"/>
    <n v="9584"/>
    <n v="4792"/>
    <n v="100636"/>
    <n v="4792"/>
    <n v="110220"/>
  </r>
  <r>
    <n v="493"/>
    <x v="0"/>
    <s v="Female"/>
    <n v="37"/>
    <s v="Delhi"/>
    <x v="4"/>
    <n v="60815"/>
    <d v="2024-02-23T00:00:00"/>
    <n v="13"/>
    <n v="5"/>
    <n v="6082"/>
    <n v="3041"/>
    <n v="63856"/>
    <n v="3041"/>
    <n v="69938"/>
  </r>
  <r>
    <n v="494"/>
    <x v="1"/>
    <s v="Female"/>
    <n v="36"/>
    <s v="Hyderabad"/>
    <x v="3"/>
    <n v="41334"/>
    <d v="2022-10-11T00:00:00"/>
    <n v="7"/>
    <n v="2"/>
    <n v="4133"/>
    <n v="2067"/>
    <n v="43400"/>
    <n v="2067"/>
    <n v="47534"/>
  </r>
  <r>
    <n v="495"/>
    <x v="3"/>
    <s v="Female"/>
    <n v="60"/>
    <s v="Mumbai"/>
    <x v="2"/>
    <n v="71196"/>
    <d v="2023-04-23T00:00:00"/>
    <n v="12"/>
    <n v="2"/>
    <n v="7120"/>
    <n v="3560"/>
    <n v="74756"/>
    <n v="3560"/>
    <n v="81876"/>
  </r>
  <r>
    <n v="496"/>
    <x v="3"/>
    <s v="Female"/>
    <n v="46"/>
    <s v="Mumbai"/>
    <x v="3"/>
    <n v="87790"/>
    <d v="2022-05-02T00:00:00"/>
    <n v="15"/>
    <n v="5"/>
    <n v="8779"/>
    <n v="4390"/>
    <n v="92179"/>
    <n v="4390"/>
    <n v="100959"/>
  </r>
  <r>
    <n v="497"/>
    <x v="7"/>
    <s v="Female"/>
    <n v="23"/>
    <s v="Delhi"/>
    <x v="0"/>
    <n v="62936"/>
    <d v="2023-10-31T00:00:00"/>
    <n v="3"/>
    <n v="1"/>
    <n v="6294"/>
    <n v="3147"/>
    <n v="66083"/>
    <n v="0"/>
    <n v="69230"/>
  </r>
  <r>
    <n v="498"/>
    <x v="6"/>
    <s v="Male"/>
    <n v="28"/>
    <s v="Delhi"/>
    <x v="0"/>
    <n v="61055"/>
    <d v="2022-09-07T00:00:00"/>
    <n v="8"/>
    <n v="3"/>
    <n v="6106"/>
    <n v="3053"/>
    <n v="64108"/>
    <n v="3053"/>
    <n v="70214"/>
  </r>
  <r>
    <n v="499"/>
    <x v="4"/>
    <s v="Male"/>
    <n v="58"/>
    <s v="Bangalore"/>
    <x v="3"/>
    <n v="51858"/>
    <d v="2022-10-15T00:00:00"/>
    <n v="8"/>
    <n v="2"/>
    <n v="5186"/>
    <n v="2593"/>
    <n v="54451"/>
    <n v="2593"/>
    <n v="59637"/>
  </r>
  <r>
    <n v="500"/>
    <x v="0"/>
    <s v="Female"/>
    <n v="55"/>
    <s v="Bangalore"/>
    <x v="0"/>
    <n v="48929"/>
    <d v="2022-10-23T00:00:00"/>
    <n v="14"/>
    <n v="5"/>
    <n v="4893"/>
    <n v="2446"/>
    <n v="51376"/>
    <n v="2446"/>
    <n v="56268"/>
  </r>
  <r>
    <n v="501"/>
    <x v="7"/>
    <s v="Male"/>
    <n v="58"/>
    <s v="Delhi"/>
    <x v="4"/>
    <n v="70318"/>
    <d v="2023-10-03T00:00:00"/>
    <n v="11"/>
    <n v="2"/>
    <n v="7032"/>
    <n v="3516"/>
    <n v="73834"/>
    <n v="3516"/>
    <n v="80866"/>
  </r>
  <r>
    <n v="502"/>
    <x v="1"/>
    <s v="Male"/>
    <n v="23"/>
    <s v="Delhi"/>
    <x v="2"/>
    <n v="83812"/>
    <d v="2023-09-06T00:00:00"/>
    <n v="11"/>
    <n v="3"/>
    <n v="8381"/>
    <n v="4191"/>
    <n v="88002"/>
    <n v="4191"/>
    <n v="96384"/>
  </r>
  <r>
    <n v="503"/>
    <x v="9"/>
    <s v="Male"/>
    <n v="37"/>
    <s v="Chennai"/>
    <x v="4"/>
    <n v="64499"/>
    <d v="2023-10-07T00:00:00"/>
    <n v="12"/>
    <n v="4"/>
    <n v="6450"/>
    <n v="3225"/>
    <n v="67724"/>
    <n v="3225"/>
    <n v="74174"/>
  </r>
  <r>
    <n v="504"/>
    <x v="6"/>
    <s v="Female"/>
    <n v="31"/>
    <s v="Delhi"/>
    <x v="1"/>
    <n v="47483"/>
    <d v="2023-03-17T00:00:00"/>
    <n v="11"/>
    <n v="3"/>
    <n v="4748"/>
    <n v="2374"/>
    <n v="49857"/>
    <n v="2374"/>
    <n v="54605"/>
  </r>
  <r>
    <n v="505"/>
    <x v="2"/>
    <s v="Male"/>
    <n v="58"/>
    <s v="Mumbai"/>
    <x v="2"/>
    <n v="70603"/>
    <d v="2023-12-02T00:00:00"/>
    <n v="4"/>
    <n v="1"/>
    <n v="7060"/>
    <n v="3530"/>
    <n v="74133"/>
    <n v="0"/>
    <n v="77663"/>
  </r>
  <r>
    <n v="506"/>
    <x v="8"/>
    <s v="Male"/>
    <n v="48"/>
    <s v="Chennai"/>
    <x v="1"/>
    <n v="81505"/>
    <d v="2023-12-12T00:00:00"/>
    <n v="6"/>
    <n v="3"/>
    <n v="8150"/>
    <n v="4075"/>
    <n v="85580"/>
    <n v="4075"/>
    <n v="93730"/>
  </r>
  <r>
    <n v="507"/>
    <x v="0"/>
    <s v="Female"/>
    <n v="58"/>
    <s v="Bangalore"/>
    <x v="2"/>
    <n v="72767"/>
    <d v="2023-07-10T00:00:00"/>
    <n v="16"/>
    <n v="4"/>
    <n v="7277"/>
    <n v="3638"/>
    <n v="76406"/>
    <n v="3638"/>
    <n v="83682"/>
  </r>
  <r>
    <n v="508"/>
    <x v="9"/>
    <s v="Female"/>
    <n v="28"/>
    <s v="Chennai"/>
    <x v="4"/>
    <n v="23905"/>
    <d v="2023-11-16T00:00:00"/>
    <n v="20"/>
    <n v="4"/>
    <n v="2390"/>
    <n v="1195"/>
    <n v="25100"/>
    <n v="1195"/>
    <n v="27490"/>
  </r>
  <r>
    <n v="509"/>
    <x v="0"/>
    <s v="Male"/>
    <n v="58"/>
    <s v="Chennai"/>
    <x v="4"/>
    <n v="28822"/>
    <d v="2023-02-24T00:00:00"/>
    <n v="2"/>
    <n v="3"/>
    <n v="2882"/>
    <n v="1441"/>
    <n v="30263"/>
    <n v="0"/>
    <n v="31704"/>
  </r>
  <r>
    <n v="510"/>
    <x v="3"/>
    <s v="Female"/>
    <n v="36"/>
    <s v="Delhi"/>
    <x v="0"/>
    <n v="36965"/>
    <d v="2024-08-23T00:00:00"/>
    <n v="5"/>
    <n v="2"/>
    <n v="3696"/>
    <n v="1848"/>
    <n v="38813"/>
    <n v="0"/>
    <n v="40661"/>
  </r>
  <r>
    <n v="511"/>
    <x v="1"/>
    <s v="Male"/>
    <n v="47"/>
    <s v="Bangalore"/>
    <x v="2"/>
    <n v="81973"/>
    <d v="2023-12-13T00:00:00"/>
    <n v="5"/>
    <n v="2"/>
    <n v="8197"/>
    <n v="4099"/>
    <n v="86071"/>
    <n v="0"/>
    <n v="90170"/>
  </r>
  <r>
    <n v="512"/>
    <x v="3"/>
    <s v="Male"/>
    <n v="21"/>
    <s v="Delhi"/>
    <x v="0"/>
    <n v="61959"/>
    <d v="2023-02-17T00:00:00"/>
    <n v="14"/>
    <n v="3"/>
    <n v="6196"/>
    <n v="3098"/>
    <n v="65057"/>
    <n v="3098"/>
    <n v="71253"/>
  </r>
  <r>
    <n v="513"/>
    <x v="2"/>
    <s v="Female"/>
    <n v="54"/>
    <s v="Chennai"/>
    <x v="3"/>
    <n v="73859"/>
    <d v="2022-01-28T00:00:00"/>
    <n v="9"/>
    <n v="1"/>
    <n v="7386"/>
    <n v="3693"/>
    <n v="77552"/>
    <n v="3693"/>
    <n v="84938"/>
  </r>
  <r>
    <n v="514"/>
    <x v="7"/>
    <s v="Male"/>
    <n v="22"/>
    <s v="Bangalore"/>
    <x v="3"/>
    <n v="48311"/>
    <d v="2023-06-29T00:00:00"/>
    <n v="11"/>
    <n v="4"/>
    <n v="4831"/>
    <n v="2416"/>
    <n v="50726"/>
    <n v="2416"/>
    <n v="55558"/>
  </r>
  <r>
    <n v="515"/>
    <x v="3"/>
    <s v="Female"/>
    <n v="29"/>
    <s v="Chennai"/>
    <x v="0"/>
    <n v="62451"/>
    <d v="2023-03-10T00:00:00"/>
    <n v="6"/>
    <n v="4"/>
    <n v="6245"/>
    <n v="3123"/>
    <n v="65573"/>
    <n v="3123"/>
    <n v="71819"/>
  </r>
  <r>
    <n v="516"/>
    <x v="8"/>
    <s v="Male"/>
    <n v="40"/>
    <s v="Mumbai"/>
    <x v="3"/>
    <n v="28953"/>
    <d v="2022-06-21T00:00:00"/>
    <n v="9"/>
    <n v="3"/>
    <n v="2895"/>
    <n v="1448"/>
    <n v="30400"/>
    <n v="1448"/>
    <n v="33296"/>
  </r>
  <r>
    <n v="517"/>
    <x v="5"/>
    <s v="Male"/>
    <n v="34"/>
    <s v="Hyderabad"/>
    <x v="4"/>
    <n v="49272"/>
    <d v="2024-07-08T00:00:00"/>
    <n v="10"/>
    <n v="5"/>
    <n v="4927"/>
    <n v="2464"/>
    <n v="51735"/>
    <n v="2464"/>
    <n v="56663"/>
  </r>
  <r>
    <n v="518"/>
    <x v="3"/>
    <s v="Male"/>
    <n v="54"/>
    <s v="Hyderabad"/>
    <x v="1"/>
    <n v="80156"/>
    <d v="2023-06-02T00:00:00"/>
    <n v="1"/>
    <n v="3"/>
    <n v="8016"/>
    <n v="4008"/>
    <n v="84164"/>
    <n v="0"/>
    <n v="88172"/>
  </r>
  <r>
    <n v="519"/>
    <x v="4"/>
    <s v="Female"/>
    <n v="51"/>
    <s v="Delhi"/>
    <x v="1"/>
    <n v="34676"/>
    <d v="2023-05-25T00:00:00"/>
    <n v="10"/>
    <n v="4"/>
    <n v="3468"/>
    <n v="1734"/>
    <n v="36410"/>
    <n v="1734"/>
    <n v="39878"/>
  </r>
  <r>
    <n v="520"/>
    <x v="9"/>
    <s v="Male"/>
    <n v="48"/>
    <s v="Delhi"/>
    <x v="1"/>
    <n v="25648"/>
    <d v="2024-02-15T00:00:00"/>
    <n v="17"/>
    <n v="2"/>
    <n v="2565"/>
    <n v="1282"/>
    <n v="26931"/>
    <n v="1282"/>
    <n v="29495"/>
  </r>
  <r>
    <n v="521"/>
    <x v="9"/>
    <s v="Male"/>
    <n v="32"/>
    <s v="Chennai"/>
    <x v="4"/>
    <n v="62102"/>
    <d v="2024-01-06T00:00:00"/>
    <n v="19"/>
    <n v="5"/>
    <n v="6210"/>
    <n v="3105"/>
    <n v="65207"/>
    <n v="3105"/>
    <n v="71417"/>
  </r>
  <r>
    <n v="522"/>
    <x v="2"/>
    <s v="Male"/>
    <n v="36"/>
    <s v="Bangalore"/>
    <x v="3"/>
    <n v="62465"/>
    <d v="2023-02-14T00:00:00"/>
    <n v="14"/>
    <n v="1"/>
    <n v="6246"/>
    <n v="3123"/>
    <n v="65588"/>
    <n v="3123"/>
    <n v="71834"/>
  </r>
  <r>
    <n v="523"/>
    <x v="1"/>
    <s v="Female"/>
    <n v="58"/>
    <s v="Mumbai"/>
    <x v="3"/>
    <n v="34442"/>
    <d v="2023-12-09T00:00:00"/>
    <n v="1"/>
    <n v="5"/>
    <n v="3444"/>
    <n v="1722"/>
    <n v="36164"/>
    <n v="0"/>
    <n v="37886"/>
  </r>
  <r>
    <n v="524"/>
    <x v="6"/>
    <s v="Female"/>
    <n v="56"/>
    <s v="Bangalore"/>
    <x v="0"/>
    <n v="89079"/>
    <d v="2022-01-21T00:00:00"/>
    <n v="17"/>
    <n v="4"/>
    <n v="8908"/>
    <n v="4454"/>
    <n v="93533"/>
    <n v="4454"/>
    <n v="102441"/>
  </r>
  <r>
    <n v="525"/>
    <x v="5"/>
    <s v="Male"/>
    <n v="43"/>
    <s v="Bangalore"/>
    <x v="0"/>
    <n v="86011"/>
    <d v="2022-05-14T00:00:00"/>
    <n v="10"/>
    <n v="5"/>
    <n v="8601"/>
    <n v="4301"/>
    <n v="90311"/>
    <n v="4301"/>
    <n v="98913"/>
  </r>
  <r>
    <n v="526"/>
    <x v="1"/>
    <s v="Female"/>
    <n v="22"/>
    <s v="Bangalore"/>
    <x v="2"/>
    <n v="20404"/>
    <d v="2023-11-10T00:00:00"/>
    <n v="18"/>
    <n v="5"/>
    <n v="2040"/>
    <n v="1020"/>
    <n v="21424"/>
    <n v="1020"/>
    <n v="23464"/>
  </r>
  <r>
    <n v="527"/>
    <x v="6"/>
    <s v="Male"/>
    <n v="46"/>
    <s v="Hyderabad"/>
    <x v="1"/>
    <n v="68055"/>
    <d v="2024-05-18T00:00:00"/>
    <n v="19"/>
    <n v="4"/>
    <n v="6806"/>
    <n v="3403"/>
    <n v="71458"/>
    <n v="3403"/>
    <n v="78264"/>
  </r>
  <r>
    <n v="528"/>
    <x v="5"/>
    <s v="Female"/>
    <n v="36"/>
    <s v="Delhi"/>
    <x v="2"/>
    <n v="81281"/>
    <d v="2022-03-23T00:00:00"/>
    <n v="7"/>
    <n v="3"/>
    <n v="8128"/>
    <n v="4064"/>
    <n v="85345"/>
    <n v="4064"/>
    <n v="93473"/>
  </r>
  <r>
    <n v="529"/>
    <x v="8"/>
    <s v="Female"/>
    <n v="26"/>
    <s v="Bangalore"/>
    <x v="0"/>
    <n v="61141"/>
    <d v="2023-04-06T00:00:00"/>
    <n v="8"/>
    <n v="5"/>
    <n v="6114"/>
    <n v="3057"/>
    <n v="64198"/>
    <n v="3057"/>
    <n v="70312"/>
  </r>
  <r>
    <n v="530"/>
    <x v="0"/>
    <s v="Male"/>
    <n v="24"/>
    <s v="Chennai"/>
    <x v="4"/>
    <n v="47677"/>
    <d v="2023-09-10T00:00:00"/>
    <n v="7"/>
    <n v="1"/>
    <n v="4768"/>
    <n v="2384"/>
    <n v="50061"/>
    <n v="2384"/>
    <n v="54829"/>
  </r>
  <r>
    <n v="531"/>
    <x v="4"/>
    <s v="Male"/>
    <n v="36"/>
    <s v="Hyderabad"/>
    <x v="4"/>
    <n v="98216"/>
    <d v="2023-11-17T00:00:00"/>
    <n v="14"/>
    <n v="1"/>
    <n v="9822"/>
    <n v="4911"/>
    <n v="103127"/>
    <n v="4911"/>
    <n v="112949"/>
  </r>
  <r>
    <n v="532"/>
    <x v="1"/>
    <s v="Male"/>
    <n v="48"/>
    <s v="Delhi"/>
    <x v="4"/>
    <n v="94799"/>
    <d v="2022-04-28T00:00:00"/>
    <n v="8"/>
    <n v="4"/>
    <n v="9480"/>
    <n v="4740"/>
    <n v="99539"/>
    <n v="4740"/>
    <n v="109019"/>
  </r>
  <r>
    <n v="533"/>
    <x v="4"/>
    <s v="Male"/>
    <n v="56"/>
    <s v="Bangalore"/>
    <x v="0"/>
    <n v="85059"/>
    <d v="2022-10-08T00:00:00"/>
    <n v="5"/>
    <n v="5"/>
    <n v="8506"/>
    <n v="4253"/>
    <n v="89312"/>
    <n v="0"/>
    <n v="93565"/>
  </r>
  <r>
    <n v="534"/>
    <x v="6"/>
    <s v="Male"/>
    <n v="27"/>
    <s v="Chennai"/>
    <x v="2"/>
    <n v="72150"/>
    <d v="2023-05-12T00:00:00"/>
    <n v="9"/>
    <n v="5"/>
    <n v="7215"/>
    <n v="3608"/>
    <n v="75757"/>
    <n v="3608"/>
    <n v="82973"/>
  </r>
  <r>
    <n v="535"/>
    <x v="6"/>
    <s v="Female"/>
    <n v="30"/>
    <s v="Bangalore"/>
    <x v="1"/>
    <n v="77564"/>
    <d v="2022-09-25T00:00:00"/>
    <n v="13"/>
    <n v="4"/>
    <n v="7756"/>
    <n v="3878"/>
    <n v="81442"/>
    <n v="3878"/>
    <n v="89198"/>
  </r>
  <r>
    <n v="536"/>
    <x v="6"/>
    <s v="Female"/>
    <n v="24"/>
    <s v="Delhi"/>
    <x v="0"/>
    <n v="69264"/>
    <d v="2024-04-25T00:00:00"/>
    <n v="7"/>
    <n v="3"/>
    <n v="6926"/>
    <n v="3463"/>
    <n v="72727"/>
    <n v="3463"/>
    <n v="79653"/>
  </r>
  <r>
    <n v="537"/>
    <x v="1"/>
    <s v="Male"/>
    <n v="55"/>
    <s v="Delhi"/>
    <x v="2"/>
    <n v="77915"/>
    <d v="2022-11-12T00:00:00"/>
    <n v="11"/>
    <n v="4"/>
    <n v="7792"/>
    <n v="3896"/>
    <n v="81811"/>
    <n v="3896"/>
    <n v="89603"/>
  </r>
  <r>
    <n v="538"/>
    <x v="1"/>
    <s v="Male"/>
    <n v="36"/>
    <s v="Hyderabad"/>
    <x v="0"/>
    <n v="40228"/>
    <d v="2023-05-27T00:00:00"/>
    <n v="13"/>
    <n v="4"/>
    <n v="4023"/>
    <n v="2011"/>
    <n v="42240"/>
    <n v="2011"/>
    <n v="46262"/>
  </r>
  <r>
    <n v="539"/>
    <x v="4"/>
    <s v="Female"/>
    <n v="59"/>
    <s v="Mumbai"/>
    <x v="2"/>
    <n v="64333"/>
    <d v="2022-02-11T00:00:00"/>
    <n v="11"/>
    <n v="2"/>
    <n v="6433"/>
    <n v="3217"/>
    <n v="67549"/>
    <n v="3217"/>
    <n v="73983"/>
  </r>
  <r>
    <n v="540"/>
    <x v="5"/>
    <s v="Female"/>
    <n v="46"/>
    <s v="Chennai"/>
    <x v="0"/>
    <n v="65503"/>
    <d v="2023-08-11T00:00:00"/>
    <n v="14"/>
    <n v="5"/>
    <n v="6550"/>
    <n v="3275"/>
    <n v="68778"/>
    <n v="3275"/>
    <n v="75328"/>
  </r>
  <r>
    <n v="541"/>
    <x v="6"/>
    <s v="Male"/>
    <n v="49"/>
    <s v="Hyderabad"/>
    <x v="4"/>
    <n v="62093"/>
    <d v="2022-10-19T00:00:00"/>
    <n v="6"/>
    <n v="4"/>
    <n v="6209"/>
    <n v="3105"/>
    <n v="65197"/>
    <n v="3105"/>
    <n v="71407"/>
  </r>
  <r>
    <n v="542"/>
    <x v="6"/>
    <s v="Female"/>
    <n v="41"/>
    <s v="Bangalore"/>
    <x v="0"/>
    <n v="79697"/>
    <d v="2023-03-31T00:00:00"/>
    <n v="2"/>
    <n v="5"/>
    <n v="7970"/>
    <n v="3985"/>
    <n v="83682"/>
    <n v="0"/>
    <n v="87667"/>
  </r>
  <r>
    <n v="543"/>
    <x v="3"/>
    <s v="Male"/>
    <n v="22"/>
    <s v="Mumbai"/>
    <x v="3"/>
    <n v="69963"/>
    <d v="2023-10-25T00:00:00"/>
    <n v="9"/>
    <n v="1"/>
    <n v="6996"/>
    <n v="3498"/>
    <n v="73461"/>
    <n v="3498"/>
    <n v="80457"/>
  </r>
  <r>
    <n v="544"/>
    <x v="2"/>
    <s v="Female"/>
    <n v="26"/>
    <s v="Chennai"/>
    <x v="3"/>
    <n v="49099"/>
    <d v="2024-01-23T00:00:00"/>
    <n v="14"/>
    <n v="1"/>
    <n v="4910"/>
    <n v="2455"/>
    <n v="51554"/>
    <n v="2455"/>
    <n v="56464"/>
  </r>
  <r>
    <n v="545"/>
    <x v="1"/>
    <s v="Male"/>
    <n v="39"/>
    <s v="Chennai"/>
    <x v="0"/>
    <n v="74922"/>
    <d v="2023-06-18T00:00:00"/>
    <n v="11"/>
    <n v="2"/>
    <n v="7492"/>
    <n v="3746"/>
    <n v="78668"/>
    <n v="3746"/>
    <n v="86160"/>
  </r>
  <r>
    <n v="546"/>
    <x v="4"/>
    <s v="Male"/>
    <n v="26"/>
    <s v="Mumbai"/>
    <x v="2"/>
    <n v="23743"/>
    <d v="2023-07-19T00:00:00"/>
    <n v="8"/>
    <n v="5"/>
    <n v="2374"/>
    <n v="1187"/>
    <n v="24930"/>
    <n v="1187"/>
    <n v="27304"/>
  </r>
  <r>
    <n v="547"/>
    <x v="5"/>
    <s v="Male"/>
    <n v="22"/>
    <s v="Mumbai"/>
    <x v="0"/>
    <n v="89044"/>
    <d v="2023-05-16T00:00:00"/>
    <n v="1"/>
    <n v="2"/>
    <n v="8904"/>
    <n v="4452"/>
    <n v="93496"/>
    <n v="0"/>
    <n v="97948"/>
  </r>
  <r>
    <n v="548"/>
    <x v="6"/>
    <s v="Male"/>
    <n v="60"/>
    <s v="Hyderabad"/>
    <x v="3"/>
    <n v="95034"/>
    <d v="2024-04-16T00:00:00"/>
    <n v="11"/>
    <n v="2"/>
    <n v="9503"/>
    <n v="4752"/>
    <n v="99785"/>
    <n v="4752"/>
    <n v="109289"/>
  </r>
  <r>
    <n v="549"/>
    <x v="8"/>
    <s v="Female"/>
    <n v="47"/>
    <s v="Mumbai"/>
    <x v="1"/>
    <n v="82849"/>
    <d v="2022-01-07T00:00:00"/>
    <n v="3"/>
    <n v="2"/>
    <n v="8285"/>
    <n v="4142"/>
    <n v="86992"/>
    <n v="0"/>
    <n v="91134"/>
  </r>
  <r>
    <n v="550"/>
    <x v="7"/>
    <s v="Female"/>
    <n v="46"/>
    <s v="Delhi"/>
    <x v="0"/>
    <n v="62607"/>
    <d v="2024-02-17T00:00:00"/>
    <n v="6"/>
    <n v="1"/>
    <n v="6261"/>
    <n v="3130"/>
    <n v="65738"/>
    <n v="3130"/>
    <n v="71998"/>
  </r>
  <r>
    <n v="551"/>
    <x v="5"/>
    <s v="Male"/>
    <n v="44"/>
    <s v="Bangalore"/>
    <x v="3"/>
    <n v="83075"/>
    <d v="2024-09-24T00:00:00"/>
    <n v="18"/>
    <n v="5"/>
    <n v="8308"/>
    <n v="4154"/>
    <n v="87229"/>
    <n v="4154"/>
    <n v="95537"/>
  </r>
  <r>
    <n v="552"/>
    <x v="1"/>
    <s v="Male"/>
    <n v="56"/>
    <s v="Delhi"/>
    <x v="3"/>
    <n v="96748"/>
    <d v="2022-11-09T00:00:00"/>
    <n v="11"/>
    <n v="1"/>
    <n v="9675"/>
    <n v="4837"/>
    <n v="101586"/>
    <n v="4837"/>
    <n v="111260"/>
  </r>
  <r>
    <n v="553"/>
    <x v="2"/>
    <s v="Male"/>
    <n v="45"/>
    <s v="Chennai"/>
    <x v="1"/>
    <n v="57854"/>
    <d v="2024-02-28T00:00:00"/>
    <n v="16"/>
    <n v="1"/>
    <n v="5785"/>
    <n v="2893"/>
    <n v="60746"/>
    <n v="2893"/>
    <n v="66532"/>
  </r>
  <r>
    <n v="554"/>
    <x v="3"/>
    <s v="Female"/>
    <n v="33"/>
    <s v="Hyderabad"/>
    <x v="4"/>
    <n v="47634"/>
    <d v="2024-01-01T00:00:00"/>
    <n v="18"/>
    <n v="1"/>
    <n v="4763"/>
    <n v="2382"/>
    <n v="50015"/>
    <n v="2382"/>
    <n v="54779"/>
  </r>
  <r>
    <n v="555"/>
    <x v="2"/>
    <s v="Male"/>
    <n v="56"/>
    <s v="Delhi"/>
    <x v="0"/>
    <n v="53763"/>
    <d v="2022-07-24T00:00:00"/>
    <n v="13"/>
    <n v="1"/>
    <n v="5376"/>
    <n v="2688"/>
    <n v="56451"/>
    <n v="2688"/>
    <n v="61827"/>
  </r>
  <r>
    <n v="556"/>
    <x v="6"/>
    <s v="Female"/>
    <n v="29"/>
    <s v="Bangalore"/>
    <x v="2"/>
    <n v="39911"/>
    <d v="2022-02-13T00:00:00"/>
    <n v="17"/>
    <n v="5"/>
    <n v="3991"/>
    <n v="1996"/>
    <n v="41906"/>
    <n v="1996"/>
    <n v="45898"/>
  </r>
  <r>
    <n v="557"/>
    <x v="9"/>
    <s v="Male"/>
    <n v="46"/>
    <s v="Hyderabad"/>
    <x v="2"/>
    <n v="71213"/>
    <d v="2022-02-02T00:00:00"/>
    <n v="2"/>
    <n v="1"/>
    <n v="7121"/>
    <n v="3561"/>
    <n v="74773"/>
    <n v="0"/>
    <n v="78334"/>
  </r>
  <r>
    <n v="558"/>
    <x v="8"/>
    <s v="Male"/>
    <n v="38"/>
    <s v="Delhi"/>
    <x v="0"/>
    <n v="81851"/>
    <d v="2023-01-30T00:00:00"/>
    <n v="4"/>
    <n v="5"/>
    <n v="8185"/>
    <n v="4093"/>
    <n v="85943"/>
    <n v="0"/>
    <n v="90036"/>
  </r>
  <r>
    <n v="559"/>
    <x v="5"/>
    <s v="Male"/>
    <n v="21"/>
    <s v="Bangalore"/>
    <x v="2"/>
    <n v="63556"/>
    <d v="2022-07-23T00:00:00"/>
    <n v="18"/>
    <n v="4"/>
    <n v="6356"/>
    <n v="3178"/>
    <n v="66734"/>
    <n v="3178"/>
    <n v="73090"/>
  </r>
  <r>
    <n v="560"/>
    <x v="7"/>
    <s v="Male"/>
    <n v="43"/>
    <s v="Chennai"/>
    <x v="3"/>
    <n v="35319"/>
    <d v="2023-05-09T00:00:00"/>
    <n v="5"/>
    <n v="3"/>
    <n v="3532"/>
    <n v="1766"/>
    <n v="37085"/>
    <n v="0"/>
    <n v="38851"/>
  </r>
  <r>
    <n v="561"/>
    <x v="8"/>
    <s v="Male"/>
    <n v="41"/>
    <s v="Hyderabad"/>
    <x v="3"/>
    <n v="22272"/>
    <d v="2023-12-19T00:00:00"/>
    <n v="17"/>
    <n v="2"/>
    <n v="2227"/>
    <n v="1114"/>
    <n v="23385"/>
    <n v="1114"/>
    <n v="25613"/>
  </r>
  <r>
    <n v="562"/>
    <x v="3"/>
    <s v="Male"/>
    <n v="27"/>
    <s v="Hyderabad"/>
    <x v="1"/>
    <n v="92904"/>
    <d v="2023-12-30T00:00:00"/>
    <n v="12"/>
    <n v="3"/>
    <n v="9290"/>
    <n v="4645"/>
    <n v="97549"/>
    <n v="4645"/>
    <n v="106839"/>
  </r>
  <r>
    <n v="563"/>
    <x v="6"/>
    <s v="Male"/>
    <n v="35"/>
    <s v="Chennai"/>
    <x v="3"/>
    <n v="96740"/>
    <d v="2022-05-27T00:00:00"/>
    <n v="14"/>
    <n v="5"/>
    <n v="9674"/>
    <n v="4837"/>
    <n v="101577"/>
    <n v="4837"/>
    <n v="111251"/>
  </r>
  <r>
    <n v="564"/>
    <x v="3"/>
    <s v="Male"/>
    <n v="45"/>
    <s v="Hyderabad"/>
    <x v="4"/>
    <n v="90743"/>
    <d v="2023-06-30T00:00:00"/>
    <n v="9"/>
    <n v="1"/>
    <n v="9074"/>
    <n v="4537"/>
    <n v="95280"/>
    <n v="4537"/>
    <n v="104354"/>
  </r>
  <r>
    <n v="565"/>
    <x v="0"/>
    <s v="Female"/>
    <n v="55"/>
    <s v="Bangalore"/>
    <x v="4"/>
    <n v="71055"/>
    <d v="2023-11-03T00:00:00"/>
    <n v="18"/>
    <n v="4"/>
    <n v="7106"/>
    <n v="3553"/>
    <n v="74608"/>
    <n v="3553"/>
    <n v="81714"/>
  </r>
  <r>
    <n v="566"/>
    <x v="0"/>
    <s v="Male"/>
    <n v="21"/>
    <s v="Delhi"/>
    <x v="1"/>
    <n v="89558"/>
    <d v="2022-08-10T00:00:00"/>
    <n v="2"/>
    <n v="4"/>
    <n v="8956"/>
    <n v="4478"/>
    <n v="94036"/>
    <n v="0"/>
    <n v="98514"/>
  </r>
  <r>
    <n v="567"/>
    <x v="8"/>
    <s v="Male"/>
    <n v="29"/>
    <s v="Mumbai"/>
    <x v="2"/>
    <n v="25587"/>
    <d v="2024-03-10T00:00:00"/>
    <n v="17"/>
    <n v="2"/>
    <n v="2559"/>
    <n v="1279"/>
    <n v="26867"/>
    <n v="1279"/>
    <n v="29425"/>
  </r>
  <r>
    <n v="568"/>
    <x v="1"/>
    <s v="Female"/>
    <n v="28"/>
    <s v="Chennai"/>
    <x v="3"/>
    <n v="75630"/>
    <d v="2023-07-27T00:00:00"/>
    <n v="3"/>
    <n v="1"/>
    <n v="7563"/>
    <n v="3782"/>
    <n v="79411"/>
    <n v="0"/>
    <n v="83193"/>
  </r>
  <r>
    <n v="569"/>
    <x v="6"/>
    <s v="Female"/>
    <n v="49"/>
    <s v="Chennai"/>
    <x v="0"/>
    <n v="36335"/>
    <d v="2022-02-07T00:00:00"/>
    <n v="13"/>
    <n v="1"/>
    <n v="3634"/>
    <n v="1817"/>
    <n v="38152"/>
    <n v="1817"/>
    <n v="41786"/>
  </r>
  <r>
    <n v="570"/>
    <x v="2"/>
    <s v="Female"/>
    <n v="36"/>
    <s v="Bangalore"/>
    <x v="4"/>
    <n v="55681"/>
    <d v="2024-06-19T00:00:00"/>
    <n v="16"/>
    <n v="5"/>
    <n v="5568"/>
    <n v="2784"/>
    <n v="58465"/>
    <n v="2784"/>
    <n v="64033"/>
  </r>
  <r>
    <n v="571"/>
    <x v="9"/>
    <s v="Female"/>
    <n v="54"/>
    <s v="Delhi"/>
    <x v="4"/>
    <n v="99740"/>
    <d v="2022-04-16T00:00:00"/>
    <n v="4"/>
    <n v="1"/>
    <n v="9974"/>
    <n v="4987"/>
    <n v="104727"/>
    <n v="0"/>
    <n v="109714"/>
  </r>
  <r>
    <n v="572"/>
    <x v="8"/>
    <s v="Male"/>
    <n v="49"/>
    <s v="Delhi"/>
    <x v="2"/>
    <n v="64325"/>
    <d v="2024-06-20T00:00:00"/>
    <n v="1"/>
    <n v="3"/>
    <n v="6432"/>
    <n v="3216"/>
    <n v="67541"/>
    <n v="0"/>
    <n v="70757"/>
  </r>
  <r>
    <n v="573"/>
    <x v="7"/>
    <s v="Male"/>
    <n v="36"/>
    <s v="Delhi"/>
    <x v="4"/>
    <n v="81235"/>
    <d v="2024-06-15T00:00:00"/>
    <n v="20"/>
    <n v="2"/>
    <n v="8124"/>
    <n v="4062"/>
    <n v="85297"/>
    <n v="4062"/>
    <n v="93421"/>
  </r>
  <r>
    <n v="574"/>
    <x v="3"/>
    <s v="Female"/>
    <n v="44"/>
    <s v="Hyderabad"/>
    <x v="4"/>
    <n v="53220"/>
    <d v="2022-11-12T00:00:00"/>
    <n v="10"/>
    <n v="5"/>
    <n v="5322"/>
    <n v="2661"/>
    <n v="55881"/>
    <n v="2661"/>
    <n v="61203"/>
  </r>
  <r>
    <n v="575"/>
    <x v="1"/>
    <s v="Female"/>
    <n v="49"/>
    <s v="Delhi"/>
    <x v="3"/>
    <n v="84883"/>
    <d v="2022-12-15T00:00:00"/>
    <n v="2"/>
    <n v="3"/>
    <n v="8488"/>
    <n v="4244"/>
    <n v="89127"/>
    <n v="0"/>
    <n v="93371"/>
  </r>
  <r>
    <n v="576"/>
    <x v="4"/>
    <s v="Male"/>
    <n v="32"/>
    <s v="Delhi"/>
    <x v="1"/>
    <n v="47017"/>
    <d v="2022-02-02T00:00:00"/>
    <n v="11"/>
    <n v="5"/>
    <n v="4702"/>
    <n v="2351"/>
    <n v="49368"/>
    <n v="2351"/>
    <n v="54070"/>
  </r>
  <r>
    <n v="577"/>
    <x v="3"/>
    <s v="Male"/>
    <n v="22"/>
    <s v="Chennai"/>
    <x v="3"/>
    <n v="92293"/>
    <d v="2023-10-17T00:00:00"/>
    <n v="16"/>
    <n v="4"/>
    <n v="9229"/>
    <n v="4615"/>
    <n v="96907"/>
    <n v="4615"/>
    <n v="106137"/>
  </r>
  <r>
    <n v="578"/>
    <x v="7"/>
    <s v="Male"/>
    <n v="38"/>
    <s v="Delhi"/>
    <x v="0"/>
    <n v="95580"/>
    <d v="2022-06-20T00:00:00"/>
    <n v="20"/>
    <n v="4"/>
    <n v="9558"/>
    <n v="4779"/>
    <n v="100359"/>
    <n v="4779"/>
    <n v="109917"/>
  </r>
  <r>
    <n v="579"/>
    <x v="9"/>
    <s v="Male"/>
    <n v="51"/>
    <s v="Mumbai"/>
    <x v="1"/>
    <n v="49794"/>
    <d v="2023-10-10T00:00:00"/>
    <n v="2"/>
    <n v="2"/>
    <n v="4979"/>
    <n v="2490"/>
    <n v="52283"/>
    <n v="0"/>
    <n v="54773"/>
  </r>
  <r>
    <n v="580"/>
    <x v="9"/>
    <s v="Female"/>
    <n v="52"/>
    <s v="Delhi"/>
    <x v="1"/>
    <n v="66196"/>
    <d v="2024-03-20T00:00:00"/>
    <n v="6"/>
    <n v="2"/>
    <n v="6620"/>
    <n v="3310"/>
    <n v="69506"/>
    <n v="3310"/>
    <n v="76126"/>
  </r>
  <r>
    <n v="581"/>
    <x v="9"/>
    <s v="Male"/>
    <n v="23"/>
    <s v="Hyderabad"/>
    <x v="1"/>
    <n v="65133"/>
    <d v="2022-04-01T00:00:00"/>
    <n v="18"/>
    <n v="5"/>
    <n v="6513"/>
    <n v="3257"/>
    <n v="68389"/>
    <n v="3257"/>
    <n v="74903"/>
  </r>
  <r>
    <n v="582"/>
    <x v="7"/>
    <s v="Male"/>
    <n v="55"/>
    <s v="Delhi"/>
    <x v="3"/>
    <n v="96062"/>
    <d v="2023-05-13T00:00:00"/>
    <n v="8"/>
    <n v="2"/>
    <n v="9606"/>
    <n v="4803"/>
    <n v="100865"/>
    <n v="4803"/>
    <n v="110471"/>
  </r>
  <r>
    <n v="583"/>
    <x v="8"/>
    <s v="Male"/>
    <n v="30"/>
    <s v="Delhi"/>
    <x v="0"/>
    <n v="91184"/>
    <d v="2022-01-03T00:00:00"/>
    <n v="4"/>
    <n v="2"/>
    <n v="9118"/>
    <n v="4559"/>
    <n v="95743"/>
    <n v="0"/>
    <n v="100302"/>
  </r>
  <r>
    <n v="584"/>
    <x v="3"/>
    <s v="Male"/>
    <n v="39"/>
    <s v="Chennai"/>
    <x v="4"/>
    <n v="71085"/>
    <d v="2024-03-29T00:00:00"/>
    <n v="5"/>
    <n v="1"/>
    <n v="7108"/>
    <n v="3554"/>
    <n v="74639"/>
    <n v="0"/>
    <n v="78193"/>
  </r>
  <r>
    <n v="585"/>
    <x v="1"/>
    <s v="Female"/>
    <n v="57"/>
    <s v="Delhi"/>
    <x v="3"/>
    <n v="27309"/>
    <d v="2024-02-12T00:00:00"/>
    <n v="15"/>
    <n v="3"/>
    <n v="2731"/>
    <n v="1365"/>
    <n v="28675"/>
    <n v="1365"/>
    <n v="31405"/>
  </r>
  <r>
    <n v="586"/>
    <x v="7"/>
    <s v="Female"/>
    <n v="59"/>
    <s v="Chennai"/>
    <x v="2"/>
    <n v="57343"/>
    <d v="2023-03-06T00:00:00"/>
    <n v="14"/>
    <n v="5"/>
    <n v="5734"/>
    <n v="2867"/>
    <n v="60210"/>
    <n v="2867"/>
    <n v="65944"/>
  </r>
  <r>
    <n v="587"/>
    <x v="1"/>
    <s v="Male"/>
    <n v="31"/>
    <s v="Chennai"/>
    <x v="4"/>
    <n v="33847"/>
    <d v="2023-11-09T00:00:00"/>
    <n v="14"/>
    <n v="3"/>
    <n v="3385"/>
    <n v="1692"/>
    <n v="35540"/>
    <n v="1692"/>
    <n v="38924"/>
  </r>
  <r>
    <n v="588"/>
    <x v="3"/>
    <s v="Male"/>
    <n v="39"/>
    <s v="Delhi"/>
    <x v="4"/>
    <n v="81092"/>
    <d v="2023-08-20T00:00:00"/>
    <n v="7"/>
    <n v="5"/>
    <n v="8109"/>
    <n v="4055"/>
    <n v="85146"/>
    <n v="4055"/>
    <n v="93256"/>
  </r>
  <r>
    <n v="589"/>
    <x v="2"/>
    <s v="Female"/>
    <n v="33"/>
    <s v="Mumbai"/>
    <x v="0"/>
    <n v="23134"/>
    <d v="2022-06-28T00:00:00"/>
    <n v="2"/>
    <n v="4"/>
    <n v="2313"/>
    <n v="1157"/>
    <n v="24290"/>
    <n v="0"/>
    <n v="25447"/>
  </r>
  <r>
    <n v="590"/>
    <x v="8"/>
    <s v="Male"/>
    <n v="52"/>
    <s v="Mumbai"/>
    <x v="2"/>
    <n v="56695"/>
    <d v="2023-10-05T00:00:00"/>
    <n v="14"/>
    <n v="2"/>
    <n v="5670"/>
    <n v="2835"/>
    <n v="59530"/>
    <n v="2835"/>
    <n v="65200"/>
  </r>
  <r>
    <n v="591"/>
    <x v="6"/>
    <s v="Male"/>
    <n v="34"/>
    <s v="Mumbai"/>
    <x v="3"/>
    <n v="98122"/>
    <d v="2023-01-24T00:00:00"/>
    <n v="9"/>
    <n v="5"/>
    <n v="9812"/>
    <n v="4906"/>
    <n v="103028"/>
    <n v="4906"/>
    <n v="112840"/>
  </r>
  <r>
    <n v="592"/>
    <x v="2"/>
    <s v="Female"/>
    <n v="27"/>
    <s v="Chennai"/>
    <x v="2"/>
    <n v="32172"/>
    <d v="2022-04-01T00:00:00"/>
    <n v="7"/>
    <n v="2"/>
    <n v="3217"/>
    <n v="1609"/>
    <n v="33780"/>
    <n v="1609"/>
    <n v="36998"/>
  </r>
  <r>
    <n v="593"/>
    <x v="4"/>
    <s v="Female"/>
    <n v="22"/>
    <s v="Chennai"/>
    <x v="2"/>
    <n v="32179"/>
    <d v="2023-01-18T00:00:00"/>
    <n v="11"/>
    <n v="2"/>
    <n v="3218"/>
    <n v="1609"/>
    <n v="33788"/>
    <n v="1609"/>
    <n v="37006"/>
  </r>
  <r>
    <n v="594"/>
    <x v="5"/>
    <s v="Female"/>
    <n v="42"/>
    <s v="Delhi"/>
    <x v="0"/>
    <n v="56300"/>
    <d v="2024-08-19T00:00:00"/>
    <n v="8"/>
    <n v="5"/>
    <n v="5630"/>
    <n v="2815"/>
    <n v="59115"/>
    <n v="2815"/>
    <n v="64745"/>
  </r>
  <r>
    <n v="595"/>
    <x v="5"/>
    <s v="Male"/>
    <n v="25"/>
    <s v="Chennai"/>
    <x v="0"/>
    <n v="35607"/>
    <d v="2024-09-25T00:00:00"/>
    <n v="2"/>
    <n v="2"/>
    <n v="3561"/>
    <n v="1780"/>
    <n v="37388"/>
    <n v="0"/>
    <n v="39168"/>
  </r>
  <r>
    <n v="596"/>
    <x v="0"/>
    <s v="Male"/>
    <n v="40"/>
    <s v="Bangalore"/>
    <x v="2"/>
    <n v="40466"/>
    <d v="2024-08-22T00:00:00"/>
    <n v="3"/>
    <n v="4"/>
    <n v="4047"/>
    <n v="2023"/>
    <n v="42490"/>
    <n v="0"/>
    <n v="44513"/>
  </r>
  <r>
    <n v="597"/>
    <x v="3"/>
    <s v="Female"/>
    <n v="32"/>
    <s v="Delhi"/>
    <x v="3"/>
    <n v="38352"/>
    <d v="2022-04-07T00:00:00"/>
    <n v="7"/>
    <n v="4"/>
    <n v="3835"/>
    <n v="1918"/>
    <n v="40269"/>
    <n v="1918"/>
    <n v="44105"/>
  </r>
  <r>
    <n v="598"/>
    <x v="3"/>
    <s v="Male"/>
    <n v="51"/>
    <s v="Delhi"/>
    <x v="0"/>
    <n v="21910"/>
    <d v="2023-11-11T00:00:00"/>
    <n v="4"/>
    <n v="1"/>
    <n v="2191"/>
    <n v="1096"/>
    <n v="23005"/>
    <n v="0"/>
    <n v="24101"/>
  </r>
  <r>
    <n v="599"/>
    <x v="7"/>
    <s v="Male"/>
    <n v="45"/>
    <s v="Hyderabad"/>
    <x v="3"/>
    <n v="98072"/>
    <d v="2024-09-04T00:00:00"/>
    <n v="9"/>
    <n v="3"/>
    <n v="9807"/>
    <n v="4904"/>
    <n v="102975"/>
    <n v="4904"/>
    <n v="112783"/>
  </r>
  <r>
    <n v="600"/>
    <x v="8"/>
    <s v="Female"/>
    <n v="32"/>
    <s v="Mumbai"/>
    <x v="0"/>
    <n v="79417"/>
    <d v="2023-03-05T00:00:00"/>
    <n v="17"/>
    <n v="3"/>
    <n v="7942"/>
    <n v="3971"/>
    <n v="83388"/>
    <n v="3971"/>
    <n v="91330"/>
  </r>
  <r>
    <n v="601"/>
    <x v="9"/>
    <s v="Male"/>
    <n v="57"/>
    <s v="Hyderabad"/>
    <x v="2"/>
    <n v="90065"/>
    <d v="2022-01-11T00:00:00"/>
    <n v="19"/>
    <n v="1"/>
    <n v="9006"/>
    <n v="4503"/>
    <n v="94568"/>
    <n v="4503"/>
    <n v="103574"/>
  </r>
  <r>
    <n v="602"/>
    <x v="7"/>
    <s v="Female"/>
    <n v="49"/>
    <s v="Delhi"/>
    <x v="3"/>
    <n v="49277"/>
    <d v="2024-08-20T00:00:00"/>
    <n v="8"/>
    <n v="5"/>
    <n v="4928"/>
    <n v="2464"/>
    <n v="51741"/>
    <n v="2464"/>
    <n v="56669"/>
  </r>
  <r>
    <n v="603"/>
    <x v="7"/>
    <s v="Female"/>
    <n v="21"/>
    <s v="Mumbai"/>
    <x v="0"/>
    <n v="55077"/>
    <d v="2023-12-09T00:00:00"/>
    <n v="19"/>
    <n v="1"/>
    <n v="5508"/>
    <n v="2754"/>
    <n v="57831"/>
    <n v="2754"/>
    <n v="63339"/>
  </r>
  <r>
    <n v="604"/>
    <x v="7"/>
    <s v="Male"/>
    <n v="53"/>
    <s v="Chennai"/>
    <x v="3"/>
    <n v="73135"/>
    <d v="2024-04-26T00:00:00"/>
    <n v="11"/>
    <n v="5"/>
    <n v="7314"/>
    <n v="3657"/>
    <n v="76792"/>
    <n v="3657"/>
    <n v="84106"/>
  </r>
  <r>
    <n v="605"/>
    <x v="6"/>
    <s v="Female"/>
    <n v="30"/>
    <s v="Delhi"/>
    <x v="2"/>
    <n v="95628"/>
    <d v="2022-10-15T00:00:00"/>
    <n v="19"/>
    <n v="3"/>
    <n v="9563"/>
    <n v="4781"/>
    <n v="100410"/>
    <n v="4781"/>
    <n v="109972"/>
  </r>
  <r>
    <n v="606"/>
    <x v="8"/>
    <s v="Female"/>
    <n v="41"/>
    <s v="Delhi"/>
    <x v="2"/>
    <n v="55334"/>
    <d v="2024-01-17T00:00:00"/>
    <n v="13"/>
    <n v="5"/>
    <n v="5533"/>
    <n v="2767"/>
    <n v="58100"/>
    <n v="2767"/>
    <n v="63634"/>
  </r>
  <r>
    <n v="607"/>
    <x v="7"/>
    <s v="Male"/>
    <n v="21"/>
    <s v="Bangalore"/>
    <x v="2"/>
    <n v="67943"/>
    <d v="2023-09-06T00:00:00"/>
    <n v="4"/>
    <n v="2"/>
    <n v="6794"/>
    <n v="3397"/>
    <n v="71340"/>
    <n v="0"/>
    <n v="74737"/>
  </r>
  <r>
    <n v="608"/>
    <x v="2"/>
    <s v="Female"/>
    <n v="41"/>
    <s v="Mumbai"/>
    <x v="3"/>
    <n v="43826"/>
    <d v="2023-03-07T00:00:00"/>
    <n v="6"/>
    <n v="3"/>
    <n v="4383"/>
    <n v="2191"/>
    <n v="46018"/>
    <n v="2191"/>
    <n v="50400"/>
  </r>
  <r>
    <n v="609"/>
    <x v="2"/>
    <s v="Female"/>
    <n v="41"/>
    <s v="Delhi"/>
    <x v="0"/>
    <n v="92773"/>
    <d v="2022-11-15T00:00:00"/>
    <n v="18"/>
    <n v="4"/>
    <n v="9277"/>
    <n v="4639"/>
    <n v="97411"/>
    <n v="4639"/>
    <n v="106689"/>
  </r>
  <r>
    <n v="610"/>
    <x v="6"/>
    <s v="Female"/>
    <n v="44"/>
    <s v="Chennai"/>
    <x v="1"/>
    <n v="85411"/>
    <d v="2023-04-18T00:00:00"/>
    <n v="12"/>
    <n v="5"/>
    <n v="8541"/>
    <n v="4271"/>
    <n v="89681"/>
    <n v="4271"/>
    <n v="98223"/>
  </r>
  <r>
    <n v="611"/>
    <x v="3"/>
    <s v="Female"/>
    <n v="28"/>
    <s v="Delhi"/>
    <x v="4"/>
    <n v="22870"/>
    <d v="2024-02-05T00:00:00"/>
    <n v="13"/>
    <n v="4"/>
    <n v="2287"/>
    <n v="1144"/>
    <n v="24013"/>
    <n v="1144"/>
    <n v="26301"/>
  </r>
  <r>
    <n v="612"/>
    <x v="1"/>
    <s v="Male"/>
    <n v="55"/>
    <s v="Bangalore"/>
    <x v="0"/>
    <n v="58670"/>
    <d v="2023-04-25T00:00:00"/>
    <n v="18"/>
    <n v="3"/>
    <n v="5867"/>
    <n v="2934"/>
    <n v="61603"/>
    <n v="2934"/>
    <n v="67471"/>
  </r>
  <r>
    <n v="613"/>
    <x v="5"/>
    <s v="Female"/>
    <n v="26"/>
    <s v="Chennai"/>
    <x v="3"/>
    <n v="95776"/>
    <d v="2023-10-07T00:00:00"/>
    <n v="6"/>
    <n v="1"/>
    <n v="9578"/>
    <n v="4789"/>
    <n v="100565"/>
    <n v="4789"/>
    <n v="110143"/>
  </r>
  <r>
    <n v="614"/>
    <x v="1"/>
    <s v="Female"/>
    <n v="32"/>
    <s v="Delhi"/>
    <x v="1"/>
    <n v="34615"/>
    <d v="2022-03-14T00:00:00"/>
    <n v="7"/>
    <n v="1"/>
    <n v="3462"/>
    <n v="1731"/>
    <n v="36346"/>
    <n v="1731"/>
    <n v="39808"/>
  </r>
  <r>
    <n v="615"/>
    <x v="9"/>
    <s v="Female"/>
    <n v="36"/>
    <s v="Hyderabad"/>
    <x v="3"/>
    <n v="64124"/>
    <d v="2024-04-06T00:00:00"/>
    <n v="19"/>
    <n v="4"/>
    <n v="6412"/>
    <n v="3206"/>
    <n v="67330"/>
    <n v="3206"/>
    <n v="73742"/>
  </r>
  <r>
    <n v="616"/>
    <x v="1"/>
    <s v="Male"/>
    <n v="25"/>
    <s v="Delhi"/>
    <x v="4"/>
    <n v="45507"/>
    <d v="2023-09-03T00:00:00"/>
    <n v="18"/>
    <n v="3"/>
    <n v="4551"/>
    <n v="2275"/>
    <n v="47783"/>
    <n v="2275"/>
    <n v="52333"/>
  </r>
  <r>
    <n v="617"/>
    <x v="7"/>
    <s v="Male"/>
    <n v="29"/>
    <s v="Delhi"/>
    <x v="2"/>
    <n v="82924"/>
    <d v="2022-07-03T00:00:00"/>
    <n v="20"/>
    <n v="3"/>
    <n v="8292"/>
    <n v="4146"/>
    <n v="87070"/>
    <n v="4146"/>
    <n v="95362"/>
  </r>
  <r>
    <n v="618"/>
    <x v="0"/>
    <s v="Male"/>
    <n v="45"/>
    <s v="Chennai"/>
    <x v="0"/>
    <n v="56573"/>
    <d v="2024-04-22T00:00:00"/>
    <n v="9"/>
    <n v="1"/>
    <n v="5657"/>
    <n v="2829"/>
    <n v="59401"/>
    <n v="2829"/>
    <n v="65059"/>
  </r>
  <r>
    <n v="619"/>
    <x v="9"/>
    <s v="Female"/>
    <n v="52"/>
    <s v="Chennai"/>
    <x v="3"/>
    <n v="31113"/>
    <d v="2023-03-17T00:00:00"/>
    <n v="16"/>
    <n v="4"/>
    <n v="3111"/>
    <n v="1556"/>
    <n v="32668"/>
    <n v="1556"/>
    <n v="35780"/>
  </r>
  <r>
    <n v="620"/>
    <x v="0"/>
    <s v="Female"/>
    <n v="58"/>
    <s v="Chennai"/>
    <x v="2"/>
    <n v="83694"/>
    <d v="2024-02-03T00:00:00"/>
    <n v="19"/>
    <n v="1"/>
    <n v="8369"/>
    <n v="4185"/>
    <n v="87878"/>
    <n v="4185"/>
    <n v="96248"/>
  </r>
  <r>
    <n v="621"/>
    <x v="3"/>
    <s v="Female"/>
    <n v="41"/>
    <s v="Hyderabad"/>
    <x v="3"/>
    <n v="33092"/>
    <d v="2023-12-14T00:00:00"/>
    <n v="17"/>
    <n v="3"/>
    <n v="3309"/>
    <n v="1655"/>
    <n v="34746"/>
    <n v="1655"/>
    <n v="38056"/>
  </r>
  <r>
    <n v="622"/>
    <x v="2"/>
    <s v="Male"/>
    <n v="28"/>
    <s v="Hyderabad"/>
    <x v="0"/>
    <n v="96984"/>
    <d v="2022-05-17T00:00:00"/>
    <n v="16"/>
    <n v="4"/>
    <n v="9698"/>
    <n v="4849"/>
    <n v="101833"/>
    <n v="4849"/>
    <n v="111531"/>
  </r>
  <r>
    <n v="623"/>
    <x v="4"/>
    <s v="Male"/>
    <n v="48"/>
    <s v="Delhi"/>
    <x v="1"/>
    <n v="96520"/>
    <d v="2023-04-01T00:00:00"/>
    <n v="8"/>
    <n v="4"/>
    <n v="9652"/>
    <n v="4826"/>
    <n v="101346"/>
    <n v="4826"/>
    <n v="110998"/>
  </r>
  <r>
    <n v="624"/>
    <x v="3"/>
    <s v="Male"/>
    <n v="39"/>
    <s v="Hyderabad"/>
    <x v="2"/>
    <n v="77028"/>
    <d v="2024-03-25T00:00:00"/>
    <n v="10"/>
    <n v="4"/>
    <n v="7703"/>
    <n v="3851"/>
    <n v="80880"/>
    <n v="3851"/>
    <n v="88582"/>
  </r>
  <r>
    <n v="625"/>
    <x v="2"/>
    <s v="Female"/>
    <n v="50"/>
    <s v="Mumbai"/>
    <x v="0"/>
    <n v="23719"/>
    <d v="2022-09-25T00:00:00"/>
    <n v="2"/>
    <n v="4"/>
    <n v="2372"/>
    <n v="1186"/>
    <n v="24905"/>
    <n v="0"/>
    <n v="26091"/>
  </r>
  <r>
    <n v="626"/>
    <x v="6"/>
    <s v="Female"/>
    <n v="43"/>
    <s v="Mumbai"/>
    <x v="0"/>
    <n v="37138"/>
    <d v="2022-07-12T00:00:00"/>
    <n v="12"/>
    <n v="3"/>
    <n v="3714"/>
    <n v="1857"/>
    <n v="38995"/>
    <n v="1857"/>
    <n v="42709"/>
  </r>
  <r>
    <n v="627"/>
    <x v="7"/>
    <s v="Female"/>
    <n v="56"/>
    <s v="Chennai"/>
    <x v="1"/>
    <n v="80721"/>
    <d v="2023-05-27T00:00:00"/>
    <n v="4"/>
    <n v="4"/>
    <n v="8072"/>
    <n v="4036"/>
    <n v="84757"/>
    <n v="0"/>
    <n v="88793"/>
  </r>
  <r>
    <n v="628"/>
    <x v="4"/>
    <s v="Male"/>
    <n v="51"/>
    <s v="Mumbai"/>
    <x v="2"/>
    <n v="35991"/>
    <d v="2024-04-13T00:00:00"/>
    <n v="12"/>
    <n v="3"/>
    <n v="3599"/>
    <n v="1800"/>
    <n v="37790"/>
    <n v="1800"/>
    <n v="41390"/>
  </r>
  <r>
    <n v="629"/>
    <x v="2"/>
    <s v="Female"/>
    <n v="33"/>
    <s v="Bangalore"/>
    <x v="2"/>
    <n v="98897"/>
    <d v="2023-06-11T00:00:00"/>
    <n v="12"/>
    <n v="1"/>
    <n v="9890"/>
    <n v="4945"/>
    <n v="103842"/>
    <n v="4945"/>
    <n v="113732"/>
  </r>
  <r>
    <n v="630"/>
    <x v="5"/>
    <s v="Female"/>
    <n v="59"/>
    <s v="Hyderabad"/>
    <x v="1"/>
    <n v="37815"/>
    <d v="2022-03-03T00:00:00"/>
    <n v="2"/>
    <n v="2"/>
    <n v="3782"/>
    <n v="1891"/>
    <n v="39706"/>
    <n v="0"/>
    <n v="41597"/>
  </r>
  <r>
    <n v="631"/>
    <x v="5"/>
    <s v="Male"/>
    <n v="22"/>
    <s v="Chennai"/>
    <x v="1"/>
    <n v="39542"/>
    <d v="2022-06-18T00:00:00"/>
    <n v="6"/>
    <n v="4"/>
    <n v="3954"/>
    <n v="1977"/>
    <n v="41519"/>
    <n v="1977"/>
    <n v="45473"/>
  </r>
  <r>
    <n v="632"/>
    <x v="1"/>
    <s v="Male"/>
    <n v="29"/>
    <s v="Chennai"/>
    <x v="0"/>
    <n v="40451"/>
    <d v="2022-11-07T00:00:00"/>
    <n v="7"/>
    <n v="4"/>
    <n v="4045"/>
    <n v="2023"/>
    <n v="42473"/>
    <n v="2023"/>
    <n v="46519"/>
  </r>
  <r>
    <n v="633"/>
    <x v="2"/>
    <s v="Male"/>
    <n v="34"/>
    <s v="Bangalore"/>
    <x v="2"/>
    <n v="29624"/>
    <d v="2023-03-14T00:00:00"/>
    <n v="18"/>
    <n v="5"/>
    <n v="2962"/>
    <n v="1481"/>
    <n v="31105"/>
    <n v="1481"/>
    <n v="34067"/>
  </r>
  <r>
    <n v="634"/>
    <x v="5"/>
    <s v="Male"/>
    <n v="23"/>
    <s v="Mumbai"/>
    <x v="3"/>
    <n v="31685"/>
    <d v="2022-09-05T00:00:00"/>
    <n v="17"/>
    <n v="3"/>
    <n v="3168"/>
    <n v="1584"/>
    <n v="33269"/>
    <n v="1584"/>
    <n v="36437"/>
  </r>
  <r>
    <n v="635"/>
    <x v="2"/>
    <s v="Female"/>
    <n v="55"/>
    <s v="Bangalore"/>
    <x v="2"/>
    <n v="69724"/>
    <d v="2022-02-01T00:00:00"/>
    <n v="4"/>
    <n v="4"/>
    <n v="6972"/>
    <n v="3486"/>
    <n v="73210"/>
    <n v="0"/>
    <n v="76696"/>
  </r>
  <r>
    <n v="636"/>
    <x v="5"/>
    <s v="Female"/>
    <n v="49"/>
    <s v="Chennai"/>
    <x v="1"/>
    <n v="90764"/>
    <d v="2022-07-12T00:00:00"/>
    <n v="7"/>
    <n v="5"/>
    <n v="9076"/>
    <n v="4538"/>
    <n v="95302"/>
    <n v="4538"/>
    <n v="104378"/>
  </r>
  <r>
    <n v="637"/>
    <x v="4"/>
    <s v="Male"/>
    <n v="26"/>
    <s v="Mumbai"/>
    <x v="4"/>
    <n v="25783"/>
    <d v="2023-03-06T00:00:00"/>
    <n v="2"/>
    <n v="2"/>
    <n v="2578"/>
    <n v="1289"/>
    <n v="27072"/>
    <n v="0"/>
    <n v="28361"/>
  </r>
  <r>
    <n v="638"/>
    <x v="4"/>
    <s v="Female"/>
    <n v="34"/>
    <s v="Chennai"/>
    <x v="1"/>
    <n v="35468"/>
    <d v="2022-03-13T00:00:00"/>
    <n v="12"/>
    <n v="2"/>
    <n v="3547"/>
    <n v="1773"/>
    <n v="37242"/>
    <n v="1773"/>
    <n v="40788"/>
  </r>
  <r>
    <n v="639"/>
    <x v="0"/>
    <s v="Male"/>
    <n v="51"/>
    <s v="Mumbai"/>
    <x v="3"/>
    <n v="40686"/>
    <d v="2024-02-24T00:00:00"/>
    <n v="16"/>
    <n v="5"/>
    <n v="4069"/>
    <n v="2034"/>
    <n v="42721"/>
    <n v="2034"/>
    <n v="46789"/>
  </r>
  <r>
    <n v="640"/>
    <x v="9"/>
    <s v="Female"/>
    <n v="34"/>
    <s v="Delhi"/>
    <x v="1"/>
    <n v="35517"/>
    <d v="2024-08-20T00:00:00"/>
    <n v="3"/>
    <n v="2"/>
    <n v="3552"/>
    <n v="1776"/>
    <n v="37293"/>
    <n v="0"/>
    <n v="39069"/>
  </r>
  <r>
    <n v="641"/>
    <x v="8"/>
    <s v="Female"/>
    <n v="32"/>
    <s v="Hyderabad"/>
    <x v="0"/>
    <n v="44223"/>
    <d v="2024-09-08T00:00:00"/>
    <n v="10"/>
    <n v="2"/>
    <n v="4422"/>
    <n v="2211"/>
    <n v="46434"/>
    <n v="2211"/>
    <n v="50856"/>
  </r>
  <r>
    <n v="642"/>
    <x v="7"/>
    <s v="Male"/>
    <n v="24"/>
    <s v="Delhi"/>
    <x v="1"/>
    <n v="60659"/>
    <d v="2023-07-19T00:00:00"/>
    <n v="14"/>
    <n v="4"/>
    <n v="6066"/>
    <n v="3033"/>
    <n v="63692"/>
    <n v="3033"/>
    <n v="69758"/>
  </r>
  <r>
    <n v="643"/>
    <x v="1"/>
    <s v="Male"/>
    <n v="25"/>
    <s v="Bangalore"/>
    <x v="0"/>
    <n v="42237"/>
    <d v="2022-02-20T00:00:00"/>
    <n v="16"/>
    <n v="2"/>
    <n v="4224"/>
    <n v="2112"/>
    <n v="44349"/>
    <n v="2112"/>
    <n v="48573"/>
  </r>
  <r>
    <n v="644"/>
    <x v="1"/>
    <s v="Male"/>
    <n v="28"/>
    <s v="Bangalore"/>
    <x v="2"/>
    <n v="99594"/>
    <d v="2022-03-18T00:00:00"/>
    <n v="9"/>
    <n v="4"/>
    <n v="9959"/>
    <n v="4980"/>
    <n v="104573"/>
    <n v="4980"/>
    <n v="114533"/>
  </r>
  <r>
    <n v="645"/>
    <x v="4"/>
    <s v="Male"/>
    <n v="58"/>
    <s v="Hyderabad"/>
    <x v="0"/>
    <n v="69359"/>
    <d v="2023-11-27T00:00:00"/>
    <n v="17"/>
    <n v="5"/>
    <n v="6936"/>
    <n v="3468"/>
    <n v="72827"/>
    <n v="3468"/>
    <n v="79763"/>
  </r>
  <r>
    <n v="646"/>
    <x v="1"/>
    <s v="Male"/>
    <n v="32"/>
    <s v="Delhi"/>
    <x v="4"/>
    <n v="73137"/>
    <d v="2022-03-02T00:00:00"/>
    <n v="6"/>
    <n v="4"/>
    <n v="7314"/>
    <n v="3657"/>
    <n v="76794"/>
    <n v="3657"/>
    <n v="84108"/>
  </r>
  <r>
    <n v="647"/>
    <x v="5"/>
    <s v="Female"/>
    <n v="33"/>
    <s v="Chennai"/>
    <x v="0"/>
    <n v="61990"/>
    <d v="2024-01-05T00:00:00"/>
    <n v="15"/>
    <n v="2"/>
    <n v="6199"/>
    <n v="3100"/>
    <n v="65089"/>
    <n v="3100"/>
    <n v="71289"/>
  </r>
  <r>
    <n v="648"/>
    <x v="5"/>
    <s v="Male"/>
    <n v="58"/>
    <s v="Bangalore"/>
    <x v="2"/>
    <n v="61384"/>
    <d v="2023-02-20T00:00:00"/>
    <n v="9"/>
    <n v="1"/>
    <n v="6138"/>
    <n v="3069"/>
    <n v="64453"/>
    <n v="3069"/>
    <n v="70591"/>
  </r>
  <r>
    <n v="649"/>
    <x v="5"/>
    <s v="Female"/>
    <n v="51"/>
    <s v="Mumbai"/>
    <x v="1"/>
    <n v="22694"/>
    <d v="2023-04-09T00:00:00"/>
    <n v="4"/>
    <n v="1"/>
    <n v="2269"/>
    <n v="1135"/>
    <n v="23828"/>
    <n v="0"/>
    <n v="24963"/>
  </r>
  <r>
    <n v="650"/>
    <x v="5"/>
    <s v="Male"/>
    <n v="35"/>
    <s v="Bangalore"/>
    <x v="2"/>
    <n v="86798"/>
    <d v="2024-06-06T00:00:00"/>
    <n v="13"/>
    <n v="4"/>
    <n v="8680"/>
    <n v="4340"/>
    <n v="91138"/>
    <n v="4340"/>
    <n v="99818"/>
  </r>
  <r>
    <n v="651"/>
    <x v="5"/>
    <s v="Female"/>
    <n v="34"/>
    <s v="Delhi"/>
    <x v="3"/>
    <n v="39475"/>
    <d v="2024-05-27T00:00:00"/>
    <n v="9"/>
    <n v="1"/>
    <n v="3948"/>
    <n v="1974"/>
    <n v="41449"/>
    <n v="1974"/>
    <n v="45397"/>
  </r>
  <r>
    <n v="652"/>
    <x v="5"/>
    <s v="Female"/>
    <n v="56"/>
    <s v="Bangalore"/>
    <x v="3"/>
    <n v="92280"/>
    <d v="2024-04-08T00:00:00"/>
    <n v="2"/>
    <n v="1"/>
    <n v="9228"/>
    <n v="4614"/>
    <n v="96894"/>
    <n v="0"/>
    <n v="101508"/>
  </r>
  <r>
    <n v="653"/>
    <x v="4"/>
    <s v="Female"/>
    <n v="40"/>
    <s v="Bangalore"/>
    <x v="4"/>
    <n v="70311"/>
    <d v="2023-05-11T00:00:00"/>
    <n v="14"/>
    <n v="4"/>
    <n v="7031"/>
    <n v="3516"/>
    <n v="73826"/>
    <n v="3516"/>
    <n v="80858"/>
  </r>
  <r>
    <n v="654"/>
    <x v="2"/>
    <s v="Female"/>
    <n v="46"/>
    <s v="Chennai"/>
    <x v="3"/>
    <n v="70802"/>
    <d v="2022-05-16T00:00:00"/>
    <n v="5"/>
    <n v="5"/>
    <n v="7080"/>
    <n v="3540"/>
    <n v="74342"/>
    <n v="0"/>
    <n v="77882"/>
  </r>
  <r>
    <n v="655"/>
    <x v="6"/>
    <s v="Female"/>
    <n v="42"/>
    <s v="Delhi"/>
    <x v="4"/>
    <n v="93402"/>
    <d v="2022-05-06T00:00:00"/>
    <n v="2"/>
    <n v="3"/>
    <n v="9340"/>
    <n v="4670"/>
    <n v="98072"/>
    <n v="0"/>
    <n v="102742"/>
  </r>
  <r>
    <n v="656"/>
    <x v="5"/>
    <s v="Male"/>
    <n v="37"/>
    <s v="Chennai"/>
    <x v="3"/>
    <n v="54541"/>
    <d v="2024-08-30T00:00:00"/>
    <n v="11"/>
    <n v="4"/>
    <n v="5454"/>
    <n v="2727"/>
    <n v="57268"/>
    <n v="2727"/>
    <n v="62722"/>
  </r>
  <r>
    <n v="657"/>
    <x v="2"/>
    <s v="Female"/>
    <n v="32"/>
    <s v="Chennai"/>
    <x v="4"/>
    <n v="80333"/>
    <d v="2022-10-31T00:00:00"/>
    <n v="18"/>
    <n v="4"/>
    <n v="8033"/>
    <n v="4017"/>
    <n v="84349"/>
    <n v="4017"/>
    <n v="92383"/>
  </r>
  <r>
    <n v="658"/>
    <x v="6"/>
    <s v="Female"/>
    <n v="21"/>
    <s v="Mumbai"/>
    <x v="4"/>
    <n v="68332"/>
    <d v="2023-10-06T00:00:00"/>
    <n v="20"/>
    <n v="5"/>
    <n v="6833"/>
    <n v="3417"/>
    <n v="71748"/>
    <n v="3417"/>
    <n v="78582"/>
  </r>
  <r>
    <n v="659"/>
    <x v="2"/>
    <s v="Male"/>
    <n v="33"/>
    <s v="Chennai"/>
    <x v="4"/>
    <n v="84489"/>
    <d v="2024-02-20T00:00:00"/>
    <n v="12"/>
    <n v="4"/>
    <n v="8449"/>
    <n v="4224"/>
    <n v="88714"/>
    <n v="4224"/>
    <n v="97162"/>
  </r>
  <r>
    <n v="660"/>
    <x v="3"/>
    <s v="Male"/>
    <n v="36"/>
    <s v="Bangalore"/>
    <x v="3"/>
    <n v="93314"/>
    <d v="2022-04-18T00:00:00"/>
    <n v="10"/>
    <n v="1"/>
    <n v="9331"/>
    <n v="4666"/>
    <n v="97979"/>
    <n v="4666"/>
    <n v="107311"/>
  </r>
  <r>
    <n v="661"/>
    <x v="7"/>
    <s v="Female"/>
    <n v="55"/>
    <s v="Hyderabad"/>
    <x v="1"/>
    <n v="70510"/>
    <d v="2024-04-06T00:00:00"/>
    <n v="15"/>
    <n v="2"/>
    <n v="7051"/>
    <n v="3526"/>
    <n v="74035"/>
    <n v="3526"/>
    <n v="81087"/>
  </r>
  <r>
    <n v="662"/>
    <x v="5"/>
    <s v="Male"/>
    <n v="41"/>
    <s v="Bangalore"/>
    <x v="2"/>
    <n v="39855"/>
    <d v="2023-08-30T00:00:00"/>
    <n v="3"/>
    <n v="1"/>
    <n v="3986"/>
    <n v="1993"/>
    <n v="41848"/>
    <n v="0"/>
    <n v="43841"/>
  </r>
  <r>
    <n v="663"/>
    <x v="8"/>
    <s v="Male"/>
    <n v="53"/>
    <s v="Chennai"/>
    <x v="1"/>
    <n v="25260"/>
    <d v="2022-10-19T00:00:00"/>
    <n v="12"/>
    <n v="3"/>
    <n v="2526"/>
    <n v="1263"/>
    <n v="26523"/>
    <n v="1263"/>
    <n v="29049"/>
  </r>
  <r>
    <n v="664"/>
    <x v="7"/>
    <s v="Male"/>
    <n v="25"/>
    <s v="Delhi"/>
    <x v="3"/>
    <n v="72945"/>
    <d v="2022-11-30T00:00:00"/>
    <n v="5"/>
    <n v="4"/>
    <n v="7294"/>
    <n v="3647"/>
    <n v="76592"/>
    <n v="0"/>
    <n v="80239"/>
  </r>
  <r>
    <n v="665"/>
    <x v="9"/>
    <s v="Male"/>
    <n v="33"/>
    <s v="Chennai"/>
    <x v="1"/>
    <n v="61240"/>
    <d v="2023-03-16T00:00:00"/>
    <n v="9"/>
    <n v="1"/>
    <n v="6124"/>
    <n v="3062"/>
    <n v="64302"/>
    <n v="3062"/>
    <n v="70426"/>
  </r>
  <r>
    <n v="666"/>
    <x v="6"/>
    <s v="Female"/>
    <n v="37"/>
    <s v="Chennai"/>
    <x v="0"/>
    <n v="94845"/>
    <d v="2023-05-19T00:00:00"/>
    <n v="19"/>
    <n v="1"/>
    <n v="9484"/>
    <n v="4742"/>
    <n v="99587"/>
    <n v="4742"/>
    <n v="109071"/>
  </r>
  <r>
    <n v="667"/>
    <x v="7"/>
    <s v="Male"/>
    <n v="46"/>
    <s v="Delhi"/>
    <x v="2"/>
    <n v="47575"/>
    <d v="2022-02-16T00:00:00"/>
    <n v="16"/>
    <n v="3"/>
    <n v="4758"/>
    <n v="2379"/>
    <n v="49954"/>
    <n v="2379"/>
    <n v="54712"/>
  </r>
  <r>
    <n v="668"/>
    <x v="8"/>
    <s v="Male"/>
    <n v="26"/>
    <s v="Bangalore"/>
    <x v="2"/>
    <n v="27955"/>
    <d v="2023-07-13T00:00:00"/>
    <n v="8"/>
    <n v="2"/>
    <n v="2796"/>
    <n v="1398"/>
    <n v="29353"/>
    <n v="1398"/>
    <n v="32149"/>
  </r>
  <r>
    <n v="669"/>
    <x v="9"/>
    <s v="Male"/>
    <n v="28"/>
    <s v="Mumbai"/>
    <x v="4"/>
    <n v="66912"/>
    <d v="2022-12-23T00:00:00"/>
    <n v="15"/>
    <n v="2"/>
    <n v="6691"/>
    <n v="3346"/>
    <n v="70257"/>
    <n v="3346"/>
    <n v="76949"/>
  </r>
  <r>
    <n v="670"/>
    <x v="9"/>
    <s v="Male"/>
    <n v="28"/>
    <s v="Delhi"/>
    <x v="0"/>
    <n v="97638"/>
    <d v="2022-04-11T00:00:00"/>
    <n v="9"/>
    <n v="3"/>
    <n v="9764"/>
    <n v="4882"/>
    <n v="102520"/>
    <n v="4882"/>
    <n v="112284"/>
  </r>
  <r>
    <n v="671"/>
    <x v="0"/>
    <s v="Male"/>
    <n v="28"/>
    <s v="Hyderabad"/>
    <x v="3"/>
    <n v="81618"/>
    <d v="2023-03-06T00:00:00"/>
    <n v="8"/>
    <n v="4"/>
    <n v="8162"/>
    <n v="4081"/>
    <n v="85699"/>
    <n v="4081"/>
    <n v="93861"/>
  </r>
  <r>
    <n v="672"/>
    <x v="4"/>
    <s v="Female"/>
    <n v="31"/>
    <s v="Mumbai"/>
    <x v="0"/>
    <n v="74638"/>
    <d v="2022-05-24T00:00:00"/>
    <n v="16"/>
    <n v="2"/>
    <n v="7464"/>
    <n v="3732"/>
    <n v="78370"/>
    <n v="3732"/>
    <n v="85834"/>
  </r>
  <r>
    <n v="673"/>
    <x v="5"/>
    <s v="Male"/>
    <n v="30"/>
    <s v="Hyderabad"/>
    <x v="3"/>
    <n v="38472"/>
    <d v="2022-10-19T00:00:00"/>
    <n v="7"/>
    <n v="4"/>
    <n v="3847"/>
    <n v="1924"/>
    <n v="40395"/>
    <n v="1924"/>
    <n v="44243"/>
  </r>
  <r>
    <n v="674"/>
    <x v="4"/>
    <s v="Female"/>
    <n v="43"/>
    <s v="Hyderabad"/>
    <x v="4"/>
    <n v="24817"/>
    <d v="2023-10-18T00:00:00"/>
    <n v="9"/>
    <n v="5"/>
    <n v="2482"/>
    <n v="1241"/>
    <n v="26058"/>
    <n v="1241"/>
    <n v="28540"/>
  </r>
  <r>
    <n v="675"/>
    <x v="3"/>
    <s v="Male"/>
    <n v="27"/>
    <s v="Chennai"/>
    <x v="0"/>
    <n v="85440"/>
    <d v="2022-05-20T00:00:00"/>
    <n v="14"/>
    <n v="3"/>
    <n v="8544"/>
    <n v="4272"/>
    <n v="89712"/>
    <n v="4272"/>
    <n v="98256"/>
  </r>
  <r>
    <n v="676"/>
    <x v="9"/>
    <s v="Female"/>
    <n v="38"/>
    <s v="Hyderabad"/>
    <x v="3"/>
    <n v="78972"/>
    <d v="2024-09-19T00:00:00"/>
    <n v="1"/>
    <n v="5"/>
    <n v="7897"/>
    <n v="3949"/>
    <n v="82920"/>
    <n v="0"/>
    <n v="86869"/>
  </r>
  <r>
    <n v="677"/>
    <x v="9"/>
    <s v="Female"/>
    <n v="25"/>
    <s v="Hyderabad"/>
    <x v="3"/>
    <n v="27899"/>
    <d v="2024-07-29T00:00:00"/>
    <n v="5"/>
    <n v="1"/>
    <n v="2790"/>
    <n v="1395"/>
    <n v="29294"/>
    <n v="0"/>
    <n v="30689"/>
  </r>
  <r>
    <n v="678"/>
    <x v="0"/>
    <s v="Male"/>
    <n v="53"/>
    <s v="Hyderabad"/>
    <x v="1"/>
    <n v="58632"/>
    <d v="2023-03-13T00:00:00"/>
    <n v="6"/>
    <n v="4"/>
    <n v="5863"/>
    <n v="2932"/>
    <n v="61563"/>
    <n v="2932"/>
    <n v="67427"/>
  </r>
  <r>
    <n v="679"/>
    <x v="4"/>
    <s v="Male"/>
    <n v="60"/>
    <s v="Mumbai"/>
    <x v="3"/>
    <n v="95335"/>
    <d v="2023-04-19T00:00:00"/>
    <n v="19"/>
    <n v="5"/>
    <n v="9534"/>
    <n v="4767"/>
    <n v="100102"/>
    <n v="4767"/>
    <n v="109636"/>
  </r>
  <r>
    <n v="680"/>
    <x v="8"/>
    <s v="Male"/>
    <n v="43"/>
    <s v="Bangalore"/>
    <x v="4"/>
    <n v="56405"/>
    <d v="2024-07-21T00:00:00"/>
    <n v="9"/>
    <n v="4"/>
    <n v="5640"/>
    <n v="2820"/>
    <n v="59225"/>
    <n v="2820"/>
    <n v="64865"/>
  </r>
  <r>
    <n v="681"/>
    <x v="0"/>
    <s v="Female"/>
    <n v="59"/>
    <s v="Chennai"/>
    <x v="0"/>
    <n v="99974"/>
    <d v="2024-07-17T00:00:00"/>
    <n v="18"/>
    <n v="5"/>
    <n v="9997"/>
    <n v="4999"/>
    <n v="104972"/>
    <n v="4999"/>
    <n v="114970"/>
  </r>
  <r>
    <n v="682"/>
    <x v="6"/>
    <s v="Female"/>
    <n v="34"/>
    <s v="Hyderabad"/>
    <x v="2"/>
    <n v="93640"/>
    <d v="2024-03-08T00:00:00"/>
    <n v="3"/>
    <n v="2"/>
    <n v="9364"/>
    <n v="4682"/>
    <n v="98322"/>
    <n v="0"/>
    <n v="103004"/>
  </r>
  <r>
    <n v="683"/>
    <x v="9"/>
    <s v="Male"/>
    <n v="21"/>
    <s v="Hyderabad"/>
    <x v="2"/>
    <n v="63650"/>
    <d v="2024-04-19T00:00:00"/>
    <n v="18"/>
    <n v="3"/>
    <n v="6365"/>
    <n v="3182"/>
    <n v="66833"/>
    <n v="3182"/>
    <n v="73197"/>
  </r>
  <r>
    <n v="684"/>
    <x v="5"/>
    <s v="Female"/>
    <n v="27"/>
    <s v="Chennai"/>
    <x v="4"/>
    <n v="63421"/>
    <d v="2024-01-09T00:00:00"/>
    <n v="17"/>
    <n v="2"/>
    <n v="6342"/>
    <n v="3171"/>
    <n v="66592"/>
    <n v="3171"/>
    <n v="72934"/>
  </r>
  <r>
    <n v="685"/>
    <x v="8"/>
    <s v="Female"/>
    <n v="52"/>
    <s v="Bangalore"/>
    <x v="0"/>
    <n v="95869"/>
    <d v="2022-12-28T00:00:00"/>
    <n v="3"/>
    <n v="1"/>
    <n v="9587"/>
    <n v="4793"/>
    <n v="100663"/>
    <n v="0"/>
    <n v="105456"/>
  </r>
  <r>
    <n v="686"/>
    <x v="1"/>
    <s v="Female"/>
    <n v="38"/>
    <s v="Bangalore"/>
    <x v="2"/>
    <n v="74175"/>
    <d v="2023-11-08T00:00:00"/>
    <n v="5"/>
    <n v="1"/>
    <n v="7418"/>
    <n v="3709"/>
    <n v="77884"/>
    <n v="0"/>
    <n v="81593"/>
  </r>
  <r>
    <n v="687"/>
    <x v="1"/>
    <s v="Female"/>
    <n v="46"/>
    <s v="Chennai"/>
    <x v="4"/>
    <n v="82625"/>
    <d v="2023-09-01T00:00:00"/>
    <n v="1"/>
    <n v="5"/>
    <n v="8262"/>
    <n v="4131"/>
    <n v="86756"/>
    <n v="0"/>
    <n v="90887"/>
  </r>
  <r>
    <n v="688"/>
    <x v="2"/>
    <s v="Male"/>
    <n v="51"/>
    <s v="Delhi"/>
    <x v="4"/>
    <n v="33678"/>
    <d v="2024-03-27T00:00:00"/>
    <n v="7"/>
    <n v="5"/>
    <n v="3368"/>
    <n v="1684"/>
    <n v="35362"/>
    <n v="1684"/>
    <n v="38730"/>
  </r>
  <r>
    <n v="689"/>
    <x v="3"/>
    <s v="Male"/>
    <n v="32"/>
    <s v="Hyderabad"/>
    <x v="0"/>
    <n v="41639"/>
    <d v="2022-08-30T00:00:00"/>
    <n v="10"/>
    <n v="4"/>
    <n v="4164"/>
    <n v="2082"/>
    <n v="43721"/>
    <n v="2082"/>
    <n v="47885"/>
  </r>
  <r>
    <n v="690"/>
    <x v="9"/>
    <s v="Male"/>
    <n v="37"/>
    <s v="Delhi"/>
    <x v="4"/>
    <n v="20573"/>
    <d v="2024-09-14T00:00:00"/>
    <n v="19"/>
    <n v="4"/>
    <n v="2057"/>
    <n v="1029"/>
    <n v="21601"/>
    <n v="1029"/>
    <n v="23659"/>
  </r>
  <r>
    <n v="691"/>
    <x v="7"/>
    <s v="Male"/>
    <n v="60"/>
    <s v="Delhi"/>
    <x v="4"/>
    <n v="76433"/>
    <d v="2023-05-03T00:00:00"/>
    <n v="13"/>
    <n v="3"/>
    <n v="7643"/>
    <n v="3822"/>
    <n v="80254"/>
    <n v="3822"/>
    <n v="87898"/>
  </r>
  <r>
    <n v="692"/>
    <x v="9"/>
    <s v="Female"/>
    <n v="34"/>
    <s v="Chennai"/>
    <x v="3"/>
    <n v="42964"/>
    <d v="2023-08-14T00:00:00"/>
    <n v="2"/>
    <n v="5"/>
    <n v="4296"/>
    <n v="2148"/>
    <n v="45112"/>
    <n v="0"/>
    <n v="47260"/>
  </r>
  <r>
    <n v="693"/>
    <x v="5"/>
    <s v="Male"/>
    <n v="54"/>
    <s v="Mumbai"/>
    <x v="3"/>
    <n v="36779"/>
    <d v="2024-07-27T00:00:00"/>
    <n v="16"/>
    <n v="3"/>
    <n v="3678"/>
    <n v="1839"/>
    <n v="38618"/>
    <n v="1839"/>
    <n v="42296"/>
  </r>
  <r>
    <n v="694"/>
    <x v="6"/>
    <s v="Female"/>
    <n v="57"/>
    <s v="Chennai"/>
    <x v="3"/>
    <n v="68128"/>
    <d v="2023-08-13T00:00:00"/>
    <n v="3"/>
    <n v="1"/>
    <n v="6813"/>
    <n v="3406"/>
    <n v="71535"/>
    <n v="0"/>
    <n v="74941"/>
  </r>
  <r>
    <n v="695"/>
    <x v="2"/>
    <s v="Male"/>
    <n v="47"/>
    <s v="Chennai"/>
    <x v="4"/>
    <n v="76673"/>
    <d v="2023-02-18T00:00:00"/>
    <n v="9"/>
    <n v="2"/>
    <n v="7667"/>
    <n v="3834"/>
    <n v="80506"/>
    <n v="3834"/>
    <n v="88174"/>
  </r>
  <r>
    <n v="696"/>
    <x v="4"/>
    <s v="Female"/>
    <n v="40"/>
    <s v="Delhi"/>
    <x v="0"/>
    <n v="85370"/>
    <d v="2023-02-09T00:00:00"/>
    <n v="5"/>
    <n v="1"/>
    <n v="8537"/>
    <n v="4268"/>
    <n v="89639"/>
    <n v="0"/>
    <n v="93907"/>
  </r>
  <r>
    <n v="697"/>
    <x v="8"/>
    <s v="Female"/>
    <n v="22"/>
    <s v="Bangalore"/>
    <x v="4"/>
    <n v="83678"/>
    <d v="2022-11-06T00:00:00"/>
    <n v="2"/>
    <n v="2"/>
    <n v="8368"/>
    <n v="4184"/>
    <n v="87862"/>
    <n v="0"/>
    <n v="92046"/>
  </r>
  <r>
    <n v="698"/>
    <x v="5"/>
    <s v="Male"/>
    <n v="35"/>
    <s v="Chennai"/>
    <x v="1"/>
    <n v="52465"/>
    <d v="2023-08-31T00:00:00"/>
    <n v="15"/>
    <n v="3"/>
    <n v="5246"/>
    <n v="2623"/>
    <n v="55088"/>
    <n v="2623"/>
    <n v="60334"/>
  </r>
  <r>
    <n v="699"/>
    <x v="4"/>
    <s v="Male"/>
    <n v="40"/>
    <s v="Delhi"/>
    <x v="3"/>
    <n v="49688"/>
    <d v="2023-08-20T00:00:00"/>
    <n v="8"/>
    <n v="1"/>
    <n v="4969"/>
    <n v="2484"/>
    <n v="52173"/>
    <n v="2484"/>
    <n v="57141"/>
  </r>
  <r>
    <n v="700"/>
    <x v="6"/>
    <s v="Female"/>
    <n v="49"/>
    <s v="Mumbai"/>
    <x v="4"/>
    <n v="53703"/>
    <d v="2023-07-18T00:00:00"/>
    <n v="6"/>
    <n v="5"/>
    <n v="5370"/>
    <n v="2685"/>
    <n v="56388"/>
    <n v="2685"/>
    <n v="61758"/>
  </r>
  <r>
    <n v="701"/>
    <x v="4"/>
    <s v="Female"/>
    <n v="58"/>
    <s v="Hyderabad"/>
    <x v="4"/>
    <n v="79897"/>
    <d v="2024-06-10T00:00:00"/>
    <n v="11"/>
    <n v="4"/>
    <n v="7990"/>
    <n v="3995"/>
    <n v="83892"/>
    <n v="3995"/>
    <n v="91882"/>
  </r>
  <r>
    <n v="702"/>
    <x v="1"/>
    <s v="Female"/>
    <n v="44"/>
    <s v="Delhi"/>
    <x v="0"/>
    <n v="20254"/>
    <d v="2023-05-10T00:00:00"/>
    <n v="13"/>
    <n v="2"/>
    <n v="2025"/>
    <n v="1013"/>
    <n v="21266"/>
    <n v="1013"/>
    <n v="23292"/>
  </r>
  <r>
    <n v="703"/>
    <x v="7"/>
    <s v="Male"/>
    <n v="41"/>
    <s v="Bangalore"/>
    <x v="1"/>
    <n v="21203"/>
    <d v="2023-06-05T00:00:00"/>
    <n v="4"/>
    <n v="4"/>
    <n v="2120"/>
    <n v="1060"/>
    <n v="22263"/>
    <n v="0"/>
    <n v="23323"/>
  </r>
  <r>
    <n v="704"/>
    <x v="1"/>
    <s v="Female"/>
    <n v="29"/>
    <s v="Bangalore"/>
    <x v="3"/>
    <n v="27815"/>
    <d v="2024-08-03T00:00:00"/>
    <n v="9"/>
    <n v="3"/>
    <n v="2782"/>
    <n v="1391"/>
    <n v="29206"/>
    <n v="1391"/>
    <n v="31988"/>
  </r>
  <r>
    <n v="705"/>
    <x v="0"/>
    <s v="Male"/>
    <n v="40"/>
    <s v="Delhi"/>
    <x v="2"/>
    <n v="89395"/>
    <d v="2022-08-21T00:00:00"/>
    <n v="16"/>
    <n v="1"/>
    <n v="8940"/>
    <n v="4470"/>
    <n v="93865"/>
    <n v="4470"/>
    <n v="102805"/>
  </r>
  <r>
    <n v="706"/>
    <x v="0"/>
    <s v="Female"/>
    <n v="60"/>
    <s v="Delhi"/>
    <x v="2"/>
    <n v="42862"/>
    <d v="2024-09-07T00:00:00"/>
    <n v="14"/>
    <n v="5"/>
    <n v="4286"/>
    <n v="2143"/>
    <n v="45005"/>
    <n v="2143"/>
    <n v="49291"/>
  </r>
  <r>
    <n v="707"/>
    <x v="5"/>
    <s v="Female"/>
    <n v="56"/>
    <s v="Chennai"/>
    <x v="2"/>
    <n v="79764"/>
    <d v="2022-04-15T00:00:00"/>
    <n v="16"/>
    <n v="1"/>
    <n v="7976"/>
    <n v="3988"/>
    <n v="83752"/>
    <n v="3988"/>
    <n v="91728"/>
  </r>
  <r>
    <n v="708"/>
    <x v="2"/>
    <s v="Male"/>
    <n v="39"/>
    <s v="Mumbai"/>
    <x v="3"/>
    <n v="68542"/>
    <d v="2022-02-13T00:00:00"/>
    <n v="7"/>
    <n v="2"/>
    <n v="6854"/>
    <n v="3427"/>
    <n v="71969"/>
    <n v="3427"/>
    <n v="78823"/>
  </r>
  <r>
    <n v="709"/>
    <x v="6"/>
    <s v="Male"/>
    <n v="52"/>
    <s v="Chennai"/>
    <x v="2"/>
    <n v="28899"/>
    <d v="2023-02-17T00:00:00"/>
    <n v="11"/>
    <n v="4"/>
    <n v="2890"/>
    <n v="1445"/>
    <n v="30344"/>
    <n v="1445"/>
    <n v="33234"/>
  </r>
  <r>
    <n v="710"/>
    <x v="9"/>
    <s v="Female"/>
    <n v="47"/>
    <s v="Delhi"/>
    <x v="1"/>
    <n v="34133"/>
    <d v="2023-03-01T00:00:00"/>
    <n v="1"/>
    <n v="3"/>
    <n v="3413"/>
    <n v="1707"/>
    <n v="35839"/>
    <n v="0"/>
    <n v="37546"/>
  </r>
  <r>
    <n v="711"/>
    <x v="7"/>
    <s v="Male"/>
    <n v="57"/>
    <s v="Mumbai"/>
    <x v="2"/>
    <n v="60536"/>
    <d v="2023-09-01T00:00:00"/>
    <n v="1"/>
    <n v="5"/>
    <n v="6054"/>
    <n v="3027"/>
    <n v="63563"/>
    <n v="0"/>
    <n v="66590"/>
  </r>
  <r>
    <n v="712"/>
    <x v="3"/>
    <s v="Female"/>
    <n v="29"/>
    <s v="Chennai"/>
    <x v="2"/>
    <n v="95221"/>
    <d v="2022-11-30T00:00:00"/>
    <n v="11"/>
    <n v="3"/>
    <n v="9522"/>
    <n v="4761"/>
    <n v="99982"/>
    <n v="4761"/>
    <n v="109504"/>
  </r>
  <r>
    <n v="713"/>
    <x v="5"/>
    <s v="Female"/>
    <n v="35"/>
    <s v="Hyderabad"/>
    <x v="1"/>
    <n v="83055"/>
    <d v="2022-12-04T00:00:00"/>
    <n v="15"/>
    <n v="5"/>
    <n v="8306"/>
    <n v="4153"/>
    <n v="87208"/>
    <n v="4153"/>
    <n v="95514"/>
  </r>
  <r>
    <n v="714"/>
    <x v="9"/>
    <s v="Female"/>
    <n v="51"/>
    <s v="Hyderabad"/>
    <x v="4"/>
    <n v="65624"/>
    <d v="2024-02-27T00:00:00"/>
    <n v="13"/>
    <n v="4"/>
    <n v="6562"/>
    <n v="3281"/>
    <n v="68905"/>
    <n v="3281"/>
    <n v="75467"/>
  </r>
  <r>
    <n v="715"/>
    <x v="2"/>
    <s v="Female"/>
    <n v="33"/>
    <s v="Hyderabad"/>
    <x v="3"/>
    <n v="42490"/>
    <d v="2022-09-06T00:00:00"/>
    <n v="3"/>
    <n v="1"/>
    <n v="4249"/>
    <n v="2124"/>
    <n v="44615"/>
    <n v="0"/>
    <n v="46739"/>
  </r>
  <r>
    <n v="716"/>
    <x v="0"/>
    <s v="Male"/>
    <n v="22"/>
    <s v="Chennai"/>
    <x v="2"/>
    <n v="25207"/>
    <d v="2023-08-31T00:00:00"/>
    <n v="15"/>
    <n v="5"/>
    <n v="2521"/>
    <n v="1260"/>
    <n v="26468"/>
    <n v="1260"/>
    <n v="28988"/>
  </r>
  <r>
    <n v="717"/>
    <x v="6"/>
    <s v="Male"/>
    <n v="40"/>
    <s v="Mumbai"/>
    <x v="1"/>
    <n v="77507"/>
    <d v="2024-03-06T00:00:00"/>
    <n v="6"/>
    <n v="1"/>
    <n v="7751"/>
    <n v="3875"/>
    <n v="81383"/>
    <n v="3875"/>
    <n v="89133"/>
  </r>
  <r>
    <n v="718"/>
    <x v="7"/>
    <s v="Female"/>
    <n v="60"/>
    <s v="Hyderabad"/>
    <x v="3"/>
    <n v="36581"/>
    <d v="2023-05-31T00:00:00"/>
    <n v="2"/>
    <n v="1"/>
    <n v="3658"/>
    <n v="1829"/>
    <n v="38410"/>
    <n v="0"/>
    <n v="40239"/>
  </r>
  <r>
    <n v="719"/>
    <x v="8"/>
    <s v="Female"/>
    <n v="53"/>
    <s v="Bangalore"/>
    <x v="3"/>
    <n v="70872"/>
    <d v="2022-10-03T00:00:00"/>
    <n v="11"/>
    <n v="5"/>
    <n v="7087"/>
    <n v="3544"/>
    <n v="74415"/>
    <n v="3544"/>
    <n v="81503"/>
  </r>
  <r>
    <n v="720"/>
    <x v="2"/>
    <s v="Male"/>
    <n v="43"/>
    <s v="Delhi"/>
    <x v="2"/>
    <n v="83778"/>
    <d v="2023-10-15T00:00:00"/>
    <n v="15"/>
    <n v="1"/>
    <n v="8378"/>
    <n v="4189"/>
    <n v="87967"/>
    <n v="4189"/>
    <n v="96345"/>
  </r>
  <r>
    <n v="721"/>
    <x v="6"/>
    <s v="Male"/>
    <n v="38"/>
    <s v="Delhi"/>
    <x v="1"/>
    <n v="78750"/>
    <d v="2023-12-26T00:00:00"/>
    <n v="4"/>
    <n v="4"/>
    <n v="7875"/>
    <n v="3938"/>
    <n v="82687"/>
    <n v="0"/>
    <n v="86625"/>
  </r>
  <r>
    <n v="722"/>
    <x v="0"/>
    <s v="Male"/>
    <n v="57"/>
    <s v="Delhi"/>
    <x v="0"/>
    <n v="31712"/>
    <d v="2024-02-02T00:00:00"/>
    <n v="6"/>
    <n v="3"/>
    <n v="3171"/>
    <n v="1586"/>
    <n v="33297"/>
    <n v="1586"/>
    <n v="36469"/>
  </r>
  <r>
    <n v="723"/>
    <x v="6"/>
    <s v="Female"/>
    <n v="31"/>
    <s v="Chennai"/>
    <x v="2"/>
    <n v="62806"/>
    <d v="2023-06-20T00:00:00"/>
    <n v="10"/>
    <n v="3"/>
    <n v="6281"/>
    <n v="3140"/>
    <n v="65947"/>
    <n v="3140"/>
    <n v="72227"/>
  </r>
  <r>
    <n v="724"/>
    <x v="5"/>
    <s v="Male"/>
    <n v="43"/>
    <s v="Delhi"/>
    <x v="4"/>
    <n v="81249"/>
    <d v="2023-03-25T00:00:00"/>
    <n v="3"/>
    <n v="5"/>
    <n v="8125"/>
    <n v="4062"/>
    <n v="85312"/>
    <n v="0"/>
    <n v="89374"/>
  </r>
  <r>
    <n v="725"/>
    <x v="1"/>
    <s v="Male"/>
    <n v="22"/>
    <s v="Chennai"/>
    <x v="3"/>
    <n v="37864"/>
    <d v="2022-12-30T00:00:00"/>
    <n v="10"/>
    <n v="4"/>
    <n v="3786"/>
    <n v="1893"/>
    <n v="39757"/>
    <n v="1893"/>
    <n v="43543"/>
  </r>
  <r>
    <n v="726"/>
    <x v="0"/>
    <s v="Male"/>
    <n v="57"/>
    <s v="Chennai"/>
    <x v="2"/>
    <n v="97094"/>
    <d v="2022-07-06T00:00:00"/>
    <n v="6"/>
    <n v="1"/>
    <n v="9709"/>
    <n v="4855"/>
    <n v="101948"/>
    <n v="4855"/>
    <n v="111658"/>
  </r>
  <r>
    <n v="727"/>
    <x v="0"/>
    <s v="Female"/>
    <n v="44"/>
    <s v="Hyderabad"/>
    <x v="2"/>
    <n v="84564"/>
    <d v="2023-10-05T00:00:00"/>
    <n v="1"/>
    <n v="5"/>
    <n v="8456"/>
    <n v="4228"/>
    <n v="88792"/>
    <n v="0"/>
    <n v="93020"/>
  </r>
  <r>
    <n v="728"/>
    <x v="3"/>
    <s v="Male"/>
    <n v="55"/>
    <s v="Hyderabad"/>
    <x v="3"/>
    <n v="72425"/>
    <d v="2024-04-18T00:00:00"/>
    <n v="4"/>
    <n v="1"/>
    <n v="7242"/>
    <n v="3621"/>
    <n v="76046"/>
    <n v="0"/>
    <n v="79667"/>
  </r>
  <r>
    <n v="729"/>
    <x v="1"/>
    <s v="Female"/>
    <n v="28"/>
    <s v="Bangalore"/>
    <x v="0"/>
    <n v="63447"/>
    <d v="2023-04-23T00:00:00"/>
    <n v="5"/>
    <n v="4"/>
    <n v="6345"/>
    <n v="3172"/>
    <n v="66620"/>
    <n v="0"/>
    <n v="69792"/>
  </r>
  <r>
    <n v="730"/>
    <x v="6"/>
    <s v="Male"/>
    <n v="30"/>
    <s v="Delhi"/>
    <x v="1"/>
    <n v="75331"/>
    <d v="2023-08-12T00:00:00"/>
    <n v="10"/>
    <n v="4"/>
    <n v="7533"/>
    <n v="3767"/>
    <n v="79097"/>
    <n v="3767"/>
    <n v="86631"/>
  </r>
  <r>
    <n v="731"/>
    <x v="1"/>
    <s v="Female"/>
    <n v="21"/>
    <s v="Chennai"/>
    <x v="1"/>
    <n v="95907"/>
    <d v="2022-02-06T00:00:00"/>
    <n v="10"/>
    <n v="4"/>
    <n v="9591"/>
    <n v="4795"/>
    <n v="100703"/>
    <n v="4795"/>
    <n v="110293"/>
  </r>
  <r>
    <n v="732"/>
    <x v="8"/>
    <s v="Female"/>
    <n v="49"/>
    <s v="Delhi"/>
    <x v="1"/>
    <n v="83103"/>
    <d v="2022-05-09T00:00:00"/>
    <n v="2"/>
    <n v="2"/>
    <n v="8310"/>
    <n v="4155"/>
    <n v="87258"/>
    <n v="0"/>
    <n v="91413"/>
  </r>
  <r>
    <n v="733"/>
    <x v="4"/>
    <s v="Female"/>
    <n v="27"/>
    <s v="Mumbai"/>
    <x v="4"/>
    <n v="80570"/>
    <d v="2024-04-14T00:00:00"/>
    <n v="5"/>
    <n v="5"/>
    <n v="8057"/>
    <n v="4028"/>
    <n v="84599"/>
    <n v="0"/>
    <n v="88627"/>
  </r>
  <r>
    <n v="734"/>
    <x v="0"/>
    <s v="Male"/>
    <n v="53"/>
    <s v="Chennai"/>
    <x v="1"/>
    <n v="41309"/>
    <d v="2022-03-30T00:00:00"/>
    <n v="10"/>
    <n v="2"/>
    <n v="4131"/>
    <n v="2065"/>
    <n v="43375"/>
    <n v="2065"/>
    <n v="47505"/>
  </r>
  <r>
    <n v="735"/>
    <x v="6"/>
    <s v="Female"/>
    <n v="54"/>
    <s v="Bangalore"/>
    <x v="3"/>
    <n v="31664"/>
    <d v="2024-03-20T00:00:00"/>
    <n v="2"/>
    <n v="3"/>
    <n v="3166"/>
    <n v="1583"/>
    <n v="33247"/>
    <n v="0"/>
    <n v="34830"/>
  </r>
  <r>
    <n v="736"/>
    <x v="2"/>
    <s v="Male"/>
    <n v="60"/>
    <s v="Hyderabad"/>
    <x v="4"/>
    <n v="95539"/>
    <d v="2022-03-12T00:00:00"/>
    <n v="18"/>
    <n v="5"/>
    <n v="9554"/>
    <n v="4777"/>
    <n v="100316"/>
    <n v="4777"/>
    <n v="109870"/>
  </r>
  <r>
    <n v="737"/>
    <x v="9"/>
    <s v="Female"/>
    <n v="50"/>
    <s v="Mumbai"/>
    <x v="0"/>
    <n v="50235"/>
    <d v="2024-04-15T00:00:00"/>
    <n v="18"/>
    <n v="2"/>
    <n v="5024"/>
    <n v="2512"/>
    <n v="52747"/>
    <n v="2512"/>
    <n v="57771"/>
  </r>
  <r>
    <n v="738"/>
    <x v="1"/>
    <s v="Female"/>
    <n v="26"/>
    <s v="Mumbai"/>
    <x v="2"/>
    <n v="80701"/>
    <d v="2022-11-25T00:00:00"/>
    <n v="12"/>
    <n v="1"/>
    <n v="8070"/>
    <n v="4035"/>
    <n v="84736"/>
    <n v="4035"/>
    <n v="92806"/>
  </r>
  <r>
    <n v="739"/>
    <x v="6"/>
    <s v="Male"/>
    <n v="50"/>
    <s v="Delhi"/>
    <x v="4"/>
    <n v="35591"/>
    <d v="2023-03-19T00:00:00"/>
    <n v="8"/>
    <n v="3"/>
    <n v="3559"/>
    <n v="1780"/>
    <n v="37370"/>
    <n v="1780"/>
    <n v="40930"/>
  </r>
  <r>
    <n v="740"/>
    <x v="9"/>
    <s v="Male"/>
    <n v="46"/>
    <s v="Delhi"/>
    <x v="4"/>
    <n v="25654"/>
    <d v="2024-05-21T00:00:00"/>
    <n v="12"/>
    <n v="5"/>
    <n v="2565"/>
    <n v="1283"/>
    <n v="26936"/>
    <n v="1283"/>
    <n v="29502"/>
  </r>
  <r>
    <n v="741"/>
    <x v="9"/>
    <s v="Male"/>
    <n v="21"/>
    <s v="Hyderabad"/>
    <x v="1"/>
    <n v="28971"/>
    <d v="2022-12-21T00:00:00"/>
    <n v="3"/>
    <n v="5"/>
    <n v="2897"/>
    <n v="1449"/>
    <n v="30419"/>
    <n v="0"/>
    <n v="31868"/>
  </r>
  <r>
    <n v="742"/>
    <x v="0"/>
    <s v="Male"/>
    <n v="24"/>
    <s v="Chennai"/>
    <x v="1"/>
    <n v="28099"/>
    <d v="2022-08-04T00:00:00"/>
    <n v="5"/>
    <n v="5"/>
    <n v="2810"/>
    <n v="1405"/>
    <n v="29504"/>
    <n v="0"/>
    <n v="30909"/>
  </r>
  <r>
    <n v="743"/>
    <x v="7"/>
    <s v="Female"/>
    <n v="24"/>
    <s v="Chennai"/>
    <x v="3"/>
    <n v="69994"/>
    <d v="2022-06-12T00:00:00"/>
    <n v="5"/>
    <n v="4"/>
    <n v="6999"/>
    <n v="3500"/>
    <n v="73493"/>
    <n v="0"/>
    <n v="76993"/>
  </r>
  <r>
    <n v="744"/>
    <x v="2"/>
    <s v="Male"/>
    <n v="40"/>
    <s v="Mumbai"/>
    <x v="0"/>
    <n v="97770"/>
    <d v="2024-09-09T00:00:00"/>
    <n v="15"/>
    <n v="1"/>
    <n v="9777"/>
    <n v="4888"/>
    <n v="102659"/>
    <n v="4888"/>
    <n v="112435"/>
  </r>
  <r>
    <n v="745"/>
    <x v="8"/>
    <s v="Female"/>
    <n v="24"/>
    <s v="Delhi"/>
    <x v="2"/>
    <n v="57120"/>
    <d v="2023-02-09T00:00:00"/>
    <n v="10"/>
    <n v="3"/>
    <n v="5712"/>
    <n v="2856"/>
    <n v="59976"/>
    <n v="2856"/>
    <n v="65688"/>
  </r>
  <r>
    <n v="746"/>
    <x v="6"/>
    <s v="Female"/>
    <n v="43"/>
    <s v="Chennai"/>
    <x v="4"/>
    <n v="26266"/>
    <d v="2022-04-20T00:00:00"/>
    <n v="3"/>
    <n v="4"/>
    <n v="2627"/>
    <n v="1313"/>
    <n v="27580"/>
    <n v="0"/>
    <n v="28893"/>
  </r>
  <r>
    <n v="747"/>
    <x v="8"/>
    <s v="Female"/>
    <n v="39"/>
    <s v="Hyderabad"/>
    <x v="2"/>
    <n v="49598"/>
    <d v="2023-08-24T00:00:00"/>
    <n v="20"/>
    <n v="1"/>
    <n v="4960"/>
    <n v="2480"/>
    <n v="52078"/>
    <n v="2480"/>
    <n v="57038"/>
  </r>
  <r>
    <n v="748"/>
    <x v="1"/>
    <s v="Male"/>
    <n v="53"/>
    <s v="Bangalore"/>
    <x v="3"/>
    <n v="68653"/>
    <d v="2022-03-28T00:00:00"/>
    <n v="10"/>
    <n v="1"/>
    <n v="6865"/>
    <n v="3433"/>
    <n v="72085"/>
    <n v="3433"/>
    <n v="78951"/>
  </r>
  <r>
    <n v="749"/>
    <x v="2"/>
    <s v="Male"/>
    <n v="51"/>
    <s v="Mumbai"/>
    <x v="0"/>
    <n v="49749"/>
    <d v="2022-03-25T00:00:00"/>
    <n v="3"/>
    <n v="5"/>
    <n v="4975"/>
    <n v="2487"/>
    <n v="52237"/>
    <n v="0"/>
    <n v="54724"/>
  </r>
  <r>
    <n v="750"/>
    <x v="5"/>
    <s v="Male"/>
    <n v="28"/>
    <s v="Bangalore"/>
    <x v="2"/>
    <n v="32832"/>
    <d v="2022-07-30T00:00:00"/>
    <n v="17"/>
    <n v="2"/>
    <n v="3283"/>
    <n v="1642"/>
    <n v="34473"/>
    <n v="1642"/>
    <n v="37757"/>
  </r>
  <r>
    <n v="751"/>
    <x v="5"/>
    <s v="Male"/>
    <n v="40"/>
    <s v="Bangalore"/>
    <x v="1"/>
    <n v="81538"/>
    <d v="2022-10-08T00:00:00"/>
    <n v="1"/>
    <n v="3"/>
    <n v="8154"/>
    <n v="4077"/>
    <n v="85615"/>
    <n v="0"/>
    <n v="89692"/>
  </r>
  <r>
    <n v="752"/>
    <x v="5"/>
    <s v="Female"/>
    <n v="46"/>
    <s v="Delhi"/>
    <x v="3"/>
    <n v="41439"/>
    <d v="2023-03-19T00:00:00"/>
    <n v="3"/>
    <n v="4"/>
    <n v="4144"/>
    <n v="2072"/>
    <n v="43511"/>
    <n v="0"/>
    <n v="45583"/>
  </r>
  <r>
    <n v="753"/>
    <x v="2"/>
    <s v="Female"/>
    <n v="53"/>
    <s v="Chennai"/>
    <x v="3"/>
    <n v="76867"/>
    <d v="2022-02-09T00:00:00"/>
    <n v="19"/>
    <n v="5"/>
    <n v="7687"/>
    <n v="3843"/>
    <n v="80711"/>
    <n v="3843"/>
    <n v="88397"/>
  </r>
  <r>
    <n v="754"/>
    <x v="7"/>
    <s v="Male"/>
    <n v="23"/>
    <s v="Delhi"/>
    <x v="2"/>
    <n v="31931"/>
    <d v="2023-07-01T00:00:00"/>
    <n v="18"/>
    <n v="4"/>
    <n v="3193"/>
    <n v="1597"/>
    <n v="33527"/>
    <n v="1597"/>
    <n v="36721"/>
  </r>
  <r>
    <n v="755"/>
    <x v="5"/>
    <s v="Male"/>
    <n v="32"/>
    <s v="Delhi"/>
    <x v="4"/>
    <n v="21147"/>
    <d v="2023-07-01T00:00:00"/>
    <n v="2"/>
    <n v="5"/>
    <n v="2115"/>
    <n v="1057"/>
    <n v="22205"/>
    <n v="0"/>
    <n v="23262"/>
  </r>
  <r>
    <n v="756"/>
    <x v="2"/>
    <s v="Female"/>
    <n v="26"/>
    <s v="Hyderabad"/>
    <x v="1"/>
    <n v="88426"/>
    <d v="2024-04-16T00:00:00"/>
    <n v="13"/>
    <n v="3"/>
    <n v="8843"/>
    <n v="4421"/>
    <n v="92848"/>
    <n v="4421"/>
    <n v="101690"/>
  </r>
  <r>
    <n v="757"/>
    <x v="2"/>
    <s v="Male"/>
    <n v="43"/>
    <s v="Mumbai"/>
    <x v="4"/>
    <n v="49343"/>
    <d v="2022-02-12T00:00:00"/>
    <n v="10"/>
    <n v="4"/>
    <n v="4934"/>
    <n v="2467"/>
    <n v="51810"/>
    <n v="2467"/>
    <n v="56744"/>
  </r>
  <r>
    <n v="758"/>
    <x v="5"/>
    <s v="Female"/>
    <n v="54"/>
    <s v="Hyderabad"/>
    <x v="0"/>
    <n v="24089"/>
    <d v="2022-11-12T00:00:00"/>
    <n v="17"/>
    <n v="2"/>
    <n v="2409"/>
    <n v="1204"/>
    <n v="25294"/>
    <n v="1204"/>
    <n v="27702"/>
  </r>
  <r>
    <n v="759"/>
    <x v="8"/>
    <s v="Male"/>
    <n v="25"/>
    <s v="Bangalore"/>
    <x v="3"/>
    <n v="22023"/>
    <d v="2024-04-18T00:00:00"/>
    <n v="1"/>
    <n v="5"/>
    <n v="2202"/>
    <n v="1101"/>
    <n v="23124"/>
    <n v="0"/>
    <n v="24225"/>
  </r>
  <r>
    <n v="760"/>
    <x v="0"/>
    <s v="Male"/>
    <n v="44"/>
    <s v="Bangalore"/>
    <x v="1"/>
    <n v="96627"/>
    <d v="2023-01-25T00:00:00"/>
    <n v="4"/>
    <n v="2"/>
    <n v="9663"/>
    <n v="4831"/>
    <n v="101459"/>
    <n v="0"/>
    <n v="106290"/>
  </r>
  <r>
    <n v="761"/>
    <x v="8"/>
    <s v="Male"/>
    <n v="51"/>
    <s v="Delhi"/>
    <x v="2"/>
    <n v="82123"/>
    <d v="2023-01-05T00:00:00"/>
    <n v="2"/>
    <n v="5"/>
    <n v="8212"/>
    <n v="4106"/>
    <n v="86229"/>
    <n v="0"/>
    <n v="90335"/>
  </r>
  <r>
    <n v="762"/>
    <x v="3"/>
    <s v="Male"/>
    <n v="42"/>
    <s v="Delhi"/>
    <x v="3"/>
    <n v="66732"/>
    <d v="2022-04-23T00:00:00"/>
    <n v="6"/>
    <n v="3"/>
    <n v="6673"/>
    <n v="3337"/>
    <n v="70068"/>
    <n v="3337"/>
    <n v="76742"/>
  </r>
  <r>
    <n v="763"/>
    <x v="9"/>
    <s v="Female"/>
    <n v="49"/>
    <s v="Chennai"/>
    <x v="3"/>
    <n v="27081"/>
    <d v="2023-09-06T00:00:00"/>
    <n v="3"/>
    <n v="4"/>
    <n v="2708"/>
    <n v="1354"/>
    <n v="28435"/>
    <n v="0"/>
    <n v="29789"/>
  </r>
  <r>
    <n v="764"/>
    <x v="3"/>
    <s v="Male"/>
    <n v="51"/>
    <s v="Delhi"/>
    <x v="2"/>
    <n v="41934"/>
    <d v="2022-10-06T00:00:00"/>
    <n v="4"/>
    <n v="2"/>
    <n v="4193"/>
    <n v="2097"/>
    <n v="44030"/>
    <n v="0"/>
    <n v="46127"/>
  </r>
  <r>
    <n v="765"/>
    <x v="8"/>
    <s v="Male"/>
    <n v="28"/>
    <s v="Bangalore"/>
    <x v="3"/>
    <n v="60223"/>
    <d v="2022-05-20T00:00:00"/>
    <n v="4"/>
    <n v="1"/>
    <n v="6022"/>
    <n v="3011"/>
    <n v="63234"/>
    <n v="0"/>
    <n v="66245"/>
  </r>
  <r>
    <n v="766"/>
    <x v="6"/>
    <s v="Male"/>
    <n v="57"/>
    <s v="Delhi"/>
    <x v="2"/>
    <n v="36359"/>
    <d v="2023-12-23T00:00:00"/>
    <n v="19"/>
    <n v="1"/>
    <n v="3636"/>
    <n v="1818"/>
    <n v="38177"/>
    <n v="1818"/>
    <n v="41813"/>
  </r>
  <r>
    <n v="767"/>
    <x v="6"/>
    <s v="Male"/>
    <n v="39"/>
    <s v="Mumbai"/>
    <x v="4"/>
    <n v="39729"/>
    <d v="2022-01-26T00:00:00"/>
    <n v="4"/>
    <n v="4"/>
    <n v="3973"/>
    <n v="1986"/>
    <n v="41716"/>
    <n v="0"/>
    <n v="43702"/>
  </r>
  <r>
    <n v="768"/>
    <x v="8"/>
    <s v="Male"/>
    <n v="53"/>
    <s v="Bangalore"/>
    <x v="0"/>
    <n v="24571"/>
    <d v="2024-08-25T00:00:00"/>
    <n v="8"/>
    <n v="5"/>
    <n v="2457"/>
    <n v="1229"/>
    <n v="25799"/>
    <n v="1229"/>
    <n v="28257"/>
  </r>
  <r>
    <n v="769"/>
    <x v="7"/>
    <s v="Female"/>
    <n v="56"/>
    <s v="Bangalore"/>
    <x v="3"/>
    <n v="87968"/>
    <d v="2024-06-03T00:00:00"/>
    <n v="16"/>
    <n v="2"/>
    <n v="8797"/>
    <n v="4398"/>
    <n v="92367"/>
    <n v="4398"/>
    <n v="101163"/>
  </r>
  <r>
    <n v="770"/>
    <x v="7"/>
    <s v="Male"/>
    <n v="42"/>
    <s v="Chennai"/>
    <x v="4"/>
    <n v="94630"/>
    <d v="2024-07-12T00:00:00"/>
    <n v="6"/>
    <n v="1"/>
    <n v="9463"/>
    <n v="4732"/>
    <n v="99361"/>
    <n v="4732"/>
    <n v="108825"/>
  </r>
  <r>
    <n v="771"/>
    <x v="7"/>
    <s v="Male"/>
    <n v="31"/>
    <s v="Delhi"/>
    <x v="2"/>
    <n v="45598"/>
    <d v="2023-05-23T00:00:00"/>
    <n v="4"/>
    <n v="1"/>
    <n v="4560"/>
    <n v="2280"/>
    <n v="47878"/>
    <n v="0"/>
    <n v="50158"/>
  </r>
  <r>
    <n v="772"/>
    <x v="5"/>
    <s v="Male"/>
    <n v="44"/>
    <s v="Bangalore"/>
    <x v="1"/>
    <n v="46760"/>
    <d v="2024-04-26T00:00:00"/>
    <n v="8"/>
    <n v="1"/>
    <n v="4676"/>
    <n v="2338"/>
    <n v="49098"/>
    <n v="2338"/>
    <n v="53774"/>
  </r>
  <r>
    <n v="773"/>
    <x v="0"/>
    <s v="Female"/>
    <n v="59"/>
    <s v="Delhi"/>
    <x v="4"/>
    <n v="91859"/>
    <d v="2023-12-16T00:00:00"/>
    <n v="17"/>
    <n v="1"/>
    <n v="9186"/>
    <n v="4593"/>
    <n v="96452"/>
    <n v="4593"/>
    <n v="105638"/>
  </r>
  <r>
    <n v="774"/>
    <x v="0"/>
    <s v="Female"/>
    <n v="55"/>
    <s v="Chennai"/>
    <x v="2"/>
    <n v="32027"/>
    <d v="2023-06-17T00:00:00"/>
    <n v="15"/>
    <n v="1"/>
    <n v="3203"/>
    <n v="1601"/>
    <n v="33629"/>
    <n v="1601"/>
    <n v="36831"/>
  </r>
  <r>
    <n v="775"/>
    <x v="0"/>
    <s v="Female"/>
    <n v="43"/>
    <s v="Hyderabad"/>
    <x v="4"/>
    <n v="30173"/>
    <d v="2023-12-21T00:00:00"/>
    <n v="9"/>
    <n v="5"/>
    <n v="3017"/>
    <n v="1509"/>
    <n v="31681"/>
    <n v="1509"/>
    <n v="34699"/>
  </r>
  <r>
    <n v="776"/>
    <x v="6"/>
    <s v="Female"/>
    <n v="51"/>
    <s v="Hyderabad"/>
    <x v="4"/>
    <n v="20570"/>
    <d v="2023-01-11T00:00:00"/>
    <n v="5"/>
    <n v="4"/>
    <n v="2057"/>
    <n v="1028"/>
    <n v="21599"/>
    <n v="0"/>
    <n v="22627"/>
  </r>
  <r>
    <n v="777"/>
    <x v="5"/>
    <s v="Female"/>
    <n v="21"/>
    <s v="Chennai"/>
    <x v="0"/>
    <n v="66700"/>
    <d v="2023-08-13T00:00:00"/>
    <n v="3"/>
    <n v="1"/>
    <n v="6670"/>
    <n v="3335"/>
    <n v="70035"/>
    <n v="0"/>
    <n v="73370"/>
  </r>
  <r>
    <n v="778"/>
    <x v="9"/>
    <s v="Female"/>
    <n v="44"/>
    <s v="Delhi"/>
    <x v="2"/>
    <n v="27297"/>
    <d v="2023-12-02T00:00:00"/>
    <n v="19"/>
    <n v="2"/>
    <n v="2730"/>
    <n v="1365"/>
    <n v="28662"/>
    <n v="1365"/>
    <n v="31392"/>
  </r>
  <r>
    <n v="779"/>
    <x v="9"/>
    <s v="Male"/>
    <n v="29"/>
    <s v="Bangalore"/>
    <x v="0"/>
    <n v="52327"/>
    <d v="2023-05-18T00:00:00"/>
    <n v="20"/>
    <n v="5"/>
    <n v="5233"/>
    <n v="2616"/>
    <n v="54944"/>
    <n v="2616"/>
    <n v="60176"/>
  </r>
  <r>
    <n v="780"/>
    <x v="5"/>
    <s v="Male"/>
    <n v="40"/>
    <s v="Delhi"/>
    <x v="4"/>
    <n v="60328"/>
    <d v="2022-03-12T00:00:00"/>
    <n v="20"/>
    <n v="4"/>
    <n v="6033"/>
    <n v="3016"/>
    <n v="63345"/>
    <n v="3016"/>
    <n v="69377"/>
  </r>
  <r>
    <n v="781"/>
    <x v="1"/>
    <s v="Male"/>
    <n v="24"/>
    <s v="Mumbai"/>
    <x v="3"/>
    <n v="65234"/>
    <d v="2022-07-22T00:00:00"/>
    <n v="7"/>
    <n v="1"/>
    <n v="6523"/>
    <n v="3262"/>
    <n v="68495"/>
    <n v="3262"/>
    <n v="75019"/>
  </r>
  <r>
    <n v="782"/>
    <x v="2"/>
    <s v="Female"/>
    <n v="44"/>
    <s v="Chennai"/>
    <x v="3"/>
    <n v="85428"/>
    <d v="2022-01-09T00:00:00"/>
    <n v="5"/>
    <n v="4"/>
    <n v="8543"/>
    <n v="4271"/>
    <n v="89700"/>
    <n v="0"/>
    <n v="93971"/>
  </r>
  <r>
    <n v="783"/>
    <x v="7"/>
    <s v="Male"/>
    <n v="59"/>
    <s v="Hyderabad"/>
    <x v="0"/>
    <n v="81701"/>
    <d v="2023-02-03T00:00:00"/>
    <n v="19"/>
    <n v="5"/>
    <n v="8170"/>
    <n v="4085"/>
    <n v="85786"/>
    <n v="4085"/>
    <n v="93956"/>
  </r>
  <r>
    <n v="784"/>
    <x v="4"/>
    <s v="Male"/>
    <n v="45"/>
    <s v="Mumbai"/>
    <x v="1"/>
    <n v="34361"/>
    <d v="2024-05-21T00:00:00"/>
    <n v="4"/>
    <n v="4"/>
    <n v="3436"/>
    <n v="1718"/>
    <n v="36079"/>
    <n v="0"/>
    <n v="37797"/>
  </r>
  <r>
    <n v="785"/>
    <x v="2"/>
    <s v="Male"/>
    <n v="42"/>
    <s v="Hyderabad"/>
    <x v="2"/>
    <n v="43205"/>
    <d v="2023-10-02T00:00:00"/>
    <n v="1"/>
    <n v="1"/>
    <n v="4320"/>
    <n v="2160"/>
    <n v="45365"/>
    <n v="0"/>
    <n v="47525"/>
  </r>
  <r>
    <n v="786"/>
    <x v="7"/>
    <s v="Male"/>
    <n v="43"/>
    <s v="Delhi"/>
    <x v="3"/>
    <n v="34961"/>
    <d v="2023-10-31T00:00:00"/>
    <n v="17"/>
    <n v="4"/>
    <n v="3496"/>
    <n v="1748"/>
    <n v="36709"/>
    <n v="1748"/>
    <n v="40205"/>
  </r>
  <r>
    <n v="787"/>
    <x v="2"/>
    <s v="Female"/>
    <n v="31"/>
    <s v="Hyderabad"/>
    <x v="1"/>
    <n v="68395"/>
    <d v="2022-04-12T00:00:00"/>
    <n v="18"/>
    <n v="3"/>
    <n v="6840"/>
    <n v="3420"/>
    <n v="71815"/>
    <n v="3420"/>
    <n v="78655"/>
  </r>
  <r>
    <n v="788"/>
    <x v="5"/>
    <s v="Female"/>
    <n v="57"/>
    <s v="Delhi"/>
    <x v="0"/>
    <n v="59691"/>
    <d v="2022-04-16T00:00:00"/>
    <n v="17"/>
    <n v="5"/>
    <n v="5969"/>
    <n v="2985"/>
    <n v="62675"/>
    <n v="2985"/>
    <n v="68645"/>
  </r>
  <r>
    <n v="789"/>
    <x v="5"/>
    <s v="Male"/>
    <n v="30"/>
    <s v="Mumbai"/>
    <x v="1"/>
    <n v="63282"/>
    <d v="2023-02-15T00:00:00"/>
    <n v="5"/>
    <n v="1"/>
    <n v="6328"/>
    <n v="3164"/>
    <n v="66446"/>
    <n v="0"/>
    <n v="69610"/>
  </r>
  <r>
    <n v="790"/>
    <x v="5"/>
    <s v="Female"/>
    <n v="44"/>
    <s v="Hyderabad"/>
    <x v="3"/>
    <n v="35411"/>
    <d v="2022-01-25T00:00:00"/>
    <n v="18"/>
    <n v="2"/>
    <n v="3541"/>
    <n v="1771"/>
    <n v="37181"/>
    <n v="1771"/>
    <n v="40723"/>
  </r>
  <r>
    <n v="791"/>
    <x v="0"/>
    <s v="Female"/>
    <n v="35"/>
    <s v="Delhi"/>
    <x v="2"/>
    <n v="64445"/>
    <d v="2022-03-04T00:00:00"/>
    <n v="9"/>
    <n v="4"/>
    <n v="6444"/>
    <n v="3222"/>
    <n v="67667"/>
    <n v="3222"/>
    <n v="74111"/>
  </r>
  <r>
    <n v="792"/>
    <x v="6"/>
    <s v="Male"/>
    <n v="32"/>
    <s v="Delhi"/>
    <x v="2"/>
    <n v="62585"/>
    <d v="2023-04-06T00:00:00"/>
    <n v="5"/>
    <n v="1"/>
    <n v="6258"/>
    <n v="3129"/>
    <n v="65714"/>
    <n v="0"/>
    <n v="68843"/>
  </r>
  <r>
    <n v="793"/>
    <x v="0"/>
    <s v="Male"/>
    <n v="49"/>
    <s v="Bangalore"/>
    <x v="2"/>
    <n v="23271"/>
    <d v="2023-07-13T00:00:00"/>
    <n v="7"/>
    <n v="3"/>
    <n v="2327"/>
    <n v="1164"/>
    <n v="24434"/>
    <n v="1164"/>
    <n v="26762"/>
  </r>
  <r>
    <n v="794"/>
    <x v="7"/>
    <s v="Female"/>
    <n v="34"/>
    <s v="Delhi"/>
    <x v="4"/>
    <n v="37048"/>
    <d v="2024-01-31T00:00:00"/>
    <n v="7"/>
    <n v="2"/>
    <n v="3705"/>
    <n v="1852"/>
    <n v="38901"/>
    <n v="1852"/>
    <n v="42605"/>
  </r>
  <r>
    <n v="795"/>
    <x v="5"/>
    <s v="Female"/>
    <n v="37"/>
    <s v="Mumbai"/>
    <x v="0"/>
    <n v="35276"/>
    <d v="2024-05-11T00:00:00"/>
    <n v="16"/>
    <n v="2"/>
    <n v="3528"/>
    <n v="1764"/>
    <n v="37040"/>
    <n v="1764"/>
    <n v="40568"/>
  </r>
  <r>
    <n v="796"/>
    <x v="3"/>
    <s v="Female"/>
    <n v="27"/>
    <s v="Hyderabad"/>
    <x v="0"/>
    <n v="29339"/>
    <d v="2022-06-09T00:00:00"/>
    <n v="12"/>
    <n v="3"/>
    <n v="2934"/>
    <n v="1467"/>
    <n v="30806"/>
    <n v="1467"/>
    <n v="33740"/>
  </r>
  <r>
    <n v="797"/>
    <x v="8"/>
    <s v="Male"/>
    <n v="42"/>
    <s v="Delhi"/>
    <x v="4"/>
    <n v="27214"/>
    <d v="2023-05-25T00:00:00"/>
    <n v="3"/>
    <n v="3"/>
    <n v="2721"/>
    <n v="1361"/>
    <n v="28574"/>
    <n v="0"/>
    <n v="29935"/>
  </r>
  <r>
    <n v="798"/>
    <x v="2"/>
    <s v="Male"/>
    <n v="42"/>
    <s v="Hyderabad"/>
    <x v="3"/>
    <n v="55097"/>
    <d v="2024-05-18T00:00:00"/>
    <n v="5"/>
    <n v="1"/>
    <n v="5510"/>
    <n v="2755"/>
    <n v="57852"/>
    <n v="0"/>
    <n v="60607"/>
  </r>
  <r>
    <n v="799"/>
    <x v="3"/>
    <s v="Female"/>
    <n v="29"/>
    <s v="Chennai"/>
    <x v="0"/>
    <n v="33144"/>
    <d v="2024-07-15T00:00:00"/>
    <n v="14"/>
    <n v="3"/>
    <n v="3314"/>
    <n v="1657"/>
    <n v="34801"/>
    <n v="1657"/>
    <n v="38115"/>
  </r>
  <r>
    <n v="800"/>
    <x v="8"/>
    <s v="Male"/>
    <n v="47"/>
    <s v="Chennai"/>
    <x v="4"/>
    <n v="49193"/>
    <d v="2022-09-11T00:00:00"/>
    <n v="17"/>
    <n v="2"/>
    <n v="4919"/>
    <n v="2460"/>
    <n v="51652"/>
    <n v="2460"/>
    <n v="56572"/>
  </r>
  <r>
    <n v="801"/>
    <x v="7"/>
    <s v="Male"/>
    <n v="48"/>
    <s v="Delhi"/>
    <x v="2"/>
    <n v="33320"/>
    <d v="2023-07-02T00:00:00"/>
    <n v="20"/>
    <n v="3"/>
    <n v="3332"/>
    <n v="1666"/>
    <n v="34986"/>
    <n v="1666"/>
    <n v="38318"/>
  </r>
  <r>
    <n v="802"/>
    <x v="8"/>
    <s v="Male"/>
    <n v="45"/>
    <s v="Chennai"/>
    <x v="1"/>
    <n v="35693"/>
    <d v="2024-01-22T00:00:00"/>
    <n v="4"/>
    <n v="3"/>
    <n v="3569"/>
    <n v="1785"/>
    <n v="37477"/>
    <n v="0"/>
    <n v="39262"/>
  </r>
  <r>
    <n v="803"/>
    <x v="3"/>
    <s v="Male"/>
    <n v="27"/>
    <s v="Delhi"/>
    <x v="2"/>
    <n v="31500"/>
    <d v="2024-07-29T00:00:00"/>
    <n v="18"/>
    <n v="5"/>
    <n v="3150"/>
    <n v="1575"/>
    <n v="33075"/>
    <n v="1575"/>
    <n v="36225"/>
  </r>
  <r>
    <n v="804"/>
    <x v="0"/>
    <s v="Female"/>
    <n v="30"/>
    <s v="Bangalore"/>
    <x v="2"/>
    <n v="55922"/>
    <d v="2022-08-24T00:00:00"/>
    <n v="6"/>
    <n v="2"/>
    <n v="5592"/>
    <n v="2796"/>
    <n v="58718"/>
    <n v="2796"/>
    <n v="64310"/>
  </r>
  <r>
    <n v="805"/>
    <x v="2"/>
    <s v="Male"/>
    <n v="26"/>
    <s v="Chennai"/>
    <x v="3"/>
    <n v="20036"/>
    <d v="2023-06-13T00:00:00"/>
    <n v="20"/>
    <n v="5"/>
    <n v="2004"/>
    <n v="1002"/>
    <n v="21038"/>
    <n v="1002"/>
    <n v="23042"/>
  </r>
  <r>
    <n v="806"/>
    <x v="9"/>
    <s v="Male"/>
    <n v="55"/>
    <s v="Hyderabad"/>
    <x v="1"/>
    <n v="71274"/>
    <d v="2022-10-31T00:00:00"/>
    <n v="19"/>
    <n v="3"/>
    <n v="7127"/>
    <n v="3564"/>
    <n v="74837"/>
    <n v="3564"/>
    <n v="81965"/>
  </r>
  <r>
    <n v="807"/>
    <x v="2"/>
    <s v="Male"/>
    <n v="37"/>
    <s v="Delhi"/>
    <x v="0"/>
    <n v="60559"/>
    <d v="2024-09-04T00:00:00"/>
    <n v="4"/>
    <n v="2"/>
    <n v="6056"/>
    <n v="3028"/>
    <n v="63587"/>
    <n v="0"/>
    <n v="66615"/>
  </r>
  <r>
    <n v="808"/>
    <x v="2"/>
    <s v="Female"/>
    <n v="21"/>
    <s v="Bangalore"/>
    <x v="3"/>
    <n v="42969"/>
    <d v="2023-04-01T00:00:00"/>
    <n v="11"/>
    <n v="1"/>
    <n v="4297"/>
    <n v="2148"/>
    <n v="45118"/>
    <n v="2148"/>
    <n v="49414"/>
  </r>
  <r>
    <n v="809"/>
    <x v="4"/>
    <s v="Male"/>
    <n v="51"/>
    <s v="Chennai"/>
    <x v="4"/>
    <n v="69111"/>
    <d v="2024-03-17T00:00:00"/>
    <n v="5"/>
    <n v="1"/>
    <n v="6911"/>
    <n v="3456"/>
    <n v="72566"/>
    <n v="0"/>
    <n v="76022"/>
  </r>
  <r>
    <n v="810"/>
    <x v="9"/>
    <s v="Female"/>
    <n v="25"/>
    <s v="Hyderabad"/>
    <x v="1"/>
    <n v="80800"/>
    <d v="2024-02-07T00:00:00"/>
    <n v="6"/>
    <n v="4"/>
    <n v="8080"/>
    <n v="4040"/>
    <n v="84840"/>
    <n v="4040"/>
    <n v="92920"/>
  </r>
  <r>
    <n v="811"/>
    <x v="4"/>
    <s v="Female"/>
    <n v="40"/>
    <s v="Bangalore"/>
    <x v="3"/>
    <n v="66721"/>
    <d v="2023-02-16T00:00:00"/>
    <n v="4"/>
    <n v="1"/>
    <n v="6672"/>
    <n v="3336"/>
    <n v="70057"/>
    <n v="0"/>
    <n v="73393"/>
  </r>
  <r>
    <n v="812"/>
    <x v="0"/>
    <s v="Male"/>
    <n v="35"/>
    <s v="Mumbai"/>
    <x v="2"/>
    <n v="56568"/>
    <d v="2024-04-03T00:00:00"/>
    <n v="16"/>
    <n v="3"/>
    <n v="5657"/>
    <n v="2828"/>
    <n v="59397"/>
    <n v="2828"/>
    <n v="65053"/>
  </r>
  <r>
    <n v="813"/>
    <x v="8"/>
    <s v="Male"/>
    <n v="50"/>
    <s v="Delhi"/>
    <x v="0"/>
    <n v="41746"/>
    <d v="2022-08-01T00:00:00"/>
    <n v="15"/>
    <n v="1"/>
    <n v="4175"/>
    <n v="2087"/>
    <n v="43834"/>
    <n v="2087"/>
    <n v="48008"/>
  </r>
  <r>
    <n v="814"/>
    <x v="0"/>
    <s v="Male"/>
    <n v="39"/>
    <s v="Mumbai"/>
    <x v="0"/>
    <n v="33726"/>
    <d v="2023-09-08T00:00:00"/>
    <n v="3"/>
    <n v="1"/>
    <n v="3373"/>
    <n v="1686"/>
    <n v="35413"/>
    <n v="0"/>
    <n v="37099"/>
  </r>
  <r>
    <n v="815"/>
    <x v="2"/>
    <s v="Female"/>
    <n v="43"/>
    <s v="Bangalore"/>
    <x v="4"/>
    <n v="67148"/>
    <d v="2023-08-11T00:00:00"/>
    <n v="18"/>
    <n v="4"/>
    <n v="6715"/>
    <n v="3357"/>
    <n v="70506"/>
    <n v="3357"/>
    <n v="77220"/>
  </r>
  <r>
    <n v="816"/>
    <x v="3"/>
    <s v="Female"/>
    <n v="49"/>
    <s v="Delhi"/>
    <x v="2"/>
    <n v="75555"/>
    <d v="2022-09-04T00:00:00"/>
    <n v="4"/>
    <n v="2"/>
    <n v="7556"/>
    <n v="3778"/>
    <n v="79333"/>
    <n v="0"/>
    <n v="83111"/>
  </r>
  <r>
    <n v="817"/>
    <x v="0"/>
    <s v="Male"/>
    <n v="38"/>
    <s v="Hyderabad"/>
    <x v="4"/>
    <n v="94257"/>
    <d v="2023-02-01T00:00:00"/>
    <n v="14"/>
    <n v="3"/>
    <n v="9426"/>
    <n v="4713"/>
    <n v="98970"/>
    <n v="4713"/>
    <n v="108396"/>
  </r>
  <r>
    <n v="818"/>
    <x v="0"/>
    <s v="Male"/>
    <n v="48"/>
    <s v="Hyderabad"/>
    <x v="1"/>
    <n v="70743"/>
    <d v="2022-02-16T00:00:00"/>
    <n v="16"/>
    <n v="5"/>
    <n v="7074"/>
    <n v="3537"/>
    <n v="74280"/>
    <n v="3537"/>
    <n v="81354"/>
  </r>
  <r>
    <n v="819"/>
    <x v="8"/>
    <s v="Female"/>
    <n v="46"/>
    <s v="Hyderabad"/>
    <x v="4"/>
    <n v="87103"/>
    <d v="2023-03-07T00:00:00"/>
    <n v="15"/>
    <n v="2"/>
    <n v="8710"/>
    <n v="4355"/>
    <n v="91458"/>
    <n v="4355"/>
    <n v="100168"/>
  </r>
  <r>
    <n v="820"/>
    <x v="3"/>
    <s v="Male"/>
    <n v="56"/>
    <s v="Chennai"/>
    <x v="0"/>
    <n v="60932"/>
    <d v="2023-11-29T00:00:00"/>
    <n v="11"/>
    <n v="4"/>
    <n v="6093"/>
    <n v="3047"/>
    <n v="63978"/>
    <n v="3047"/>
    <n v="70072"/>
  </r>
  <r>
    <n v="821"/>
    <x v="7"/>
    <s v="Male"/>
    <n v="39"/>
    <s v="Bangalore"/>
    <x v="2"/>
    <n v="63822"/>
    <d v="2023-01-24T00:00:00"/>
    <n v="14"/>
    <n v="5"/>
    <n v="6382"/>
    <n v="3191"/>
    <n v="67013"/>
    <n v="3191"/>
    <n v="73395"/>
  </r>
  <r>
    <n v="822"/>
    <x v="6"/>
    <s v="Male"/>
    <n v="46"/>
    <s v="Delhi"/>
    <x v="0"/>
    <n v="89576"/>
    <d v="2023-11-24T00:00:00"/>
    <n v="16"/>
    <n v="2"/>
    <n v="8958"/>
    <n v="4479"/>
    <n v="94055"/>
    <n v="4479"/>
    <n v="103013"/>
  </r>
  <r>
    <n v="823"/>
    <x v="0"/>
    <s v="Female"/>
    <n v="30"/>
    <s v="Hyderabad"/>
    <x v="1"/>
    <n v="43173"/>
    <d v="2024-05-24T00:00:00"/>
    <n v="4"/>
    <n v="2"/>
    <n v="4317"/>
    <n v="2159"/>
    <n v="45331"/>
    <n v="0"/>
    <n v="47490"/>
  </r>
  <r>
    <n v="824"/>
    <x v="3"/>
    <s v="Male"/>
    <n v="44"/>
    <s v="Delhi"/>
    <x v="2"/>
    <n v="34044"/>
    <d v="2023-11-15T00:00:00"/>
    <n v="3"/>
    <n v="2"/>
    <n v="3404"/>
    <n v="1702"/>
    <n v="35746"/>
    <n v="0"/>
    <n v="37448"/>
  </r>
  <r>
    <n v="825"/>
    <x v="4"/>
    <s v="Female"/>
    <n v="39"/>
    <s v="Delhi"/>
    <x v="3"/>
    <n v="80111"/>
    <d v="2024-01-02T00:00:00"/>
    <n v="5"/>
    <n v="3"/>
    <n v="8011"/>
    <n v="4006"/>
    <n v="84116"/>
    <n v="0"/>
    <n v="88122"/>
  </r>
  <r>
    <n v="826"/>
    <x v="0"/>
    <s v="Female"/>
    <n v="58"/>
    <s v="Mumbai"/>
    <x v="0"/>
    <n v="33505"/>
    <d v="2024-05-18T00:00:00"/>
    <n v="10"/>
    <n v="4"/>
    <n v="3350"/>
    <n v="1675"/>
    <n v="35180"/>
    <n v="1675"/>
    <n v="38530"/>
  </r>
  <r>
    <n v="827"/>
    <x v="1"/>
    <s v="Female"/>
    <n v="57"/>
    <s v="Delhi"/>
    <x v="3"/>
    <n v="81563"/>
    <d v="2022-10-16T00:00:00"/>
    <n v="3"/>
    <n v="1"/>
    <n v="8156"/>
    <n v="4078"/>
    <n v="85641"/>
    <n v="0"/>
    <n v="89719"/>
  </r>
  <r>
    <n v="828"/>
    <x v="8"/>
    <s v="Female"/>
    <n v="40"/>
    <s v="Delhi"/>
    <x v="2"/>
    <n v="25678"/>
    <d v="2023-07-07T00:00:00"/>
    <n v="7"/>
    <n v="1"/>
    <n v="2568"/>
    <n v="1284"/>
    <n v="26962"/>
    <n v="1284"/>
    <n v="29530"/>
  </r>
  <r>
    <n v="829"/>
    <x v="7"/>
    <s v="Female"/>
    <n v="24"/>
    <s v="Delhi"/>
    <x v="0"/>
    <n v="44336"/>
    <d v="2023-07-25T00:00:00"/>
    <n v="16"/>
    <n v="2"/>
    <n v="4434"/>
    <n v="2217"/>
    <n v="46553"/>
    <n v="2217"/>
    <n v="50987"/>
  </r>
  <r>
    <n v="830"/>
    <x v="1"/>
    <s v="Male"/>
    <n v="58"/>
    <s v="Chennai"/>
    <x v="1"/>
    <n v="92059"/>
    <d v="2024-01-01T00:00:00"/>
    <n v="14"/>
    <n v="3"/>
    <n v="9206"/>
    <n v="4603"/>
    <n v="96662"/>
    <n v="4603"/>
    <n v="105868"/>
  </r>
  <r>
    <n v="831"/>
    <x v="4"/>
    <s v="Female"/>
    <n v="34"/>
    <s v="Mumbai"/>
    <x v="2"/>
    <n v="85771"/>
    <d v="2023-12-09T00:00:00"/>
    <n v="7"/>
    <n v="1"/>
    <n v="8577"/>
    <n v="4289"/>
    <n v="90059"/>
    <n v="4289"/>
    <n v="98637"/>
  </r>
  <r>
    <n v="832"/>
    <x v="6"/>
    <s v="Female"/>
    <n v="44"/>
    <s v="Mumbai"/>
    <x v="3"/>
    <n v="40440"/>
    <d v="2022-08-23T00:00:00"/>
    <n v="13"/>
    <n v="2"/>
    <n v="4044"/>
    <n v="2022"/>
    <n v="42462"/>
    <n v="2022"/>
    <n v="46506"/>
  </r>
  <r>
    <n v="833"/>
    <x v="2"/>
    <s v="Male"/>
    <n v="28"/>
    <s v="Chennai"/>
    <x v="0"/>
    <n v="93898"/>
    <d v="2024-09-12T00:00:00"/>
    <n v="16"/>
    <n v="3"/>
    <n v="9390"/>
    <n v="4695"/>
    <n v="98593"/>
    <n v="4695"/>
    <n v="107983"/>
  </r>
  <r>
    <n v="834"/>
    <x v="8"/>
    <s v="Female"/>
    <n v="43"/>
    <s v="Bangalore"/>
    <x v="3"/>
    <n v="28932"/>
    <d v="2022-12-07T00:00:00"/>
    <n v="7"/>
    <n v="4"/>
    <n v="2893"/>
    <n v="1447"/>
    <n v="30378"/>
    <n v="1447"/>
    <n v="33272"/>
  </r>
  <r>
    <n v="835"/>
    <x v="8"/>
    <s v="Male"/>
    <n v="35"/>
    <s v="Bangalore"/>
    <x v="2"/>
    <n v="62823"/>
    <d v="2023-03-22T00:00:00"/>
    <n v="9"/>
    <n v="5"/>
    <n v="6282"/>
    <n v="3141"/>
    <n v="65964"/>
    <n v="3141"/>
    <n v="72246"/>
  </r>
  <r>
    <n v="836"/>
    <x v="0"/>
    <s v="Male"/>
    <n v="22"/>
    <s v="Hyderabad"/>
    <x v="2"/>
    <n v="83567"/>
    <d v="2024-09-13T00:00:00"/>
    <n v="11"/>
    <n v="5"/>
    <n v="8357"/>
    <n v="4178"/>
    <n v="87746"/>
    <n v="4178"/>
    <n v="96102"/>
  </r>
  <r>
    <n v="837"/>
    <x v="6"/>
    <s v="Male"/>
    <n v="32"/>
    <s v="Chennai"/>
    <x v="4"/>
    <n v="48901"/>
    <d v="2023-10-31T00:00:00"/>
    <n v="19"/>
    <n v="5"/>
    <n v="4890"/>
    <n v="2445"/>
    <n v="51346"/>
    <n v="2445"/>
    <n v="56236"/>
  </r>
  <r>
    <n v="838"/>
    <x v="7"/>
    <s v="Female"/>
    <n v="32"/>
    <s v="Mumbai"/>
    <x v="0"/>
    <n v="91942"/>
    <d v="2022-02-10T00:00:00"/>
    <n v="6"/>
    <n v="5"/>
    <n v="9194"/>
    <n v="4597"/>
    <n v="96539"/>
    <n v="4597"/>
    <n v="105733"/>
  </r>
  <r>
    <n v="839"/>
    <x v="3"/>
    <s v="Male"/>
    <n v="24"/>
    <s v="Chennai"/>
    <x v="2"/>
    <n v="52180"/>
    <d v="2022-06-09T00:00:00"/>
    <n v="5"/>
    <n v="5"/>
    <n v="5218"/>
    <n v="2609"/>
    <n v="54789"/>
    <n v="0"/>
    <n v="57398"/>
  </r>
  <r>
    <n v="840"/>
    <x v="4"/>
    <s v="Male"/>
    <n v="29"/>
    <s v="Chennai"/>
    <x v="4"/>
    <n v="66854"/>
    <d v="2022-03-09T00:00:00"/>
    <n v="5"/>
    <n v="5"/>
    <n v="6685"/>
    <n v="3343"/>
    <n v="70196"/>
    <n v="0"/>
    <n v="73539"/>
  </r>
  <r>
    <n v="841"/>
    <x v="7"/>
    <s v="Female"/>
    <n v="49"/>
    <s v="Chennai"/>
    <x v="3"/>
    <n v="30430"/>
    <d v="2023-08-12T00:00:00"/>
    <n v="16"/>
    <n v="3"/>
    <n v="3043"/>
    <n v="1522"/>
    <n v="31951"/>
    <n v="1522"/>
    <n v="34995"/>
  </r>
  <r>
    <n v="842"/>
    <x v="7"/>
    <s v="Male"/>
    <n v="57"/>
    <s v="Chennai"/>
    <x v="4"/>
    <n v="45696"/>
    <d v="2023-09-13T00:00:00"/>
    <n v="18"/>
    <n v="2"/>
    <n v="4570"/>
    <n v="2285"/>
    <n v="47981"/>
    <n v="2285"/>
    <n v="52551"/>
  </r>
  <r>
    <n v="843"/>
    <x v="7"/>
    <s v="Male"/>
    <n v="41"/>
    <s v="Chennai"/>
    <x v="0"/>
    <n v="30800"/>
    <d v="2024-02-13T00:00:00"/>
    <n v="15"/>
    <n v="5"/>
    <n v="3080"/>
    <n v="1540"/>
    <n v="32340"/>
    <n v="1540"/>
    <n v="35420"/>
  </r>
  <r>
    <n v="844"/>
    <x v="6"/>
    <s v="Male"/>
    <n v="44"/>
    <s v="Mumbai"/>
    <x v="3"/>
    <n v="96677"/>
    <d v="2023-03-22T00:00:00"/>
    <n v="14"/>
    <n v="1"/>
    <n v="9668"/>
    <n v="4834"/>
    <n v="101511"/>
    <n v="4834"/>
    <n v="111179"/>
  </r>
  <r>
    <n v="845"/>
    <x v="4"/>
    <s v="Male"/>
    <n v="31"/>
    <s v="Mumbai"/>
    <x v="2"/>
    <n v="68064"/>
    <d v="2022-03-20T00:00:00"/>
    <n v="19"/>
    <n v="2"/>
    <n v="6806"/>
    <n v="3403"/>
    <n v="71467"/>
    <n v="3403"/>
    <n v="78273"/>
  </r>
  <r>
    <n v="846"/>
    <x v="1"/>
    <s v="Male"/>
    <n v="37"/>
    <s v="Hyderabad"/>
    <x v="4"/>
    <n v="99800"/>
    <d v="2022-04-26T00:00:00"/>
    <n v="13"/>
    <n v="3"/>
    <n v="9980"/>
    <n v="4990"/>
    <n v="104790"/>
    <n v="4990"/>
    <n v="114770"/>
  </r>
  <r>
    <n v="847"/>
    <x v="5"/>
    <s v="Male"/>
    <n v="31"/>
    <s v="Mumbai"/>
    <x v="1"/>
    <n v="74065"/>
    <d v="2022-06-06T00:00:00"/>
    <n v="16"/>
    <n v="1"/>
    <n v="7406"/>
    <n v="3703"/>
    <n v="77768"/>
    <n v="3703"/>
    <n v="85174"/>
  </r>
  <r>
    <n v="848"/>
    <x v="2"/>
    <s v="Male"/>
    <n v="23"/>
    <s v="Mumbai"/>
    <x v="1"/>
    <n v="93099"/>
    <d v="2023-04-13T00:00:00"/>
    <n v="11"/>
    <n v="1"/>
    <n v="9310"/>
    <n v="4655"/>
    <n v="97754"/>
    <n v="4655"/>
    <n v="107064"/>
  </r>
  <r>
    <n v="849"/>
    <x v="7"/>
    <s v="Male"/>
    <n v="58"/>
    <s v="Chennai"/>
    <x v="2"/>
    <n v="21788"/>
    <d v="2023-05-10T00:00:00"/>
    <n v="13"/>
    <n v="1"/>
    <n v="2179"/>
    <n v="1089"/>
    <n v="22878"/>
    <n v="1089"/>
    <n v="25056"/>
  </r>
  <r>
    <n v="850"/>
    <x v="7"/>
    <s v="Male"/>
    <n v="26"/>
    <s v="Bangalore"/>
    <x v="1"/>
    <n v="64169"/>
    <d v="2024-01-20T00:00:00"/>
    <n v="12"/>
    <n v="5"/>
    <n v="6417"/>
    <n v="3208"/>
    <n v="67378"/>
    <n v="3208"/>
    <n v="73794"/>
  </r>
  <r>
    <n v="851"/>
    <x v="3"/>
    <s v="Female"/>
    <n v="42"/>
    <s v="Mumbai"/>
    <x v="4"/>
    <n v="98255"/>
    <d v="2022-12-27T00:00:00"/>
    <n v="17"/>
    <n v="2"/>
    <n v="9826"/>
    <n v="4913"/>
    <n v="103168"/>
    <n v="4913"/>
    <n v="112994"/>
  </r>
  <r>
    <n v="852"/>
    <x v="5"/>
    <s v="Male"/>
    <n v="40"/>
    <s v="Delhi"/>
    <x v="0"/>
    <n v="63483"/>
    <d v="2023-04-20T00:00:00"/>
    <n v="2"/>
    <n v="5"/>
    <n v="6348"/>
    <n v="3174"/>
    <n v="66657"/>
    <n v="0"/>
    <n v="69831"/>
  </r>
  <r>
    <n v="853"/>
    <x v="1"/>
    <s v="Male"/>
    <n v="60"/>
    <s v="Hyderabad"/>
    <x v="2"/>
    <n v="48971"/>
    <d v="2024-04-29T00:00:00"/>
    <n v="9"/>
    <n v="2"/>
    <n v="4897"/>
    <n v="2449"/>
    <n v="51419"/>
    <n v="2449"/>
    <n v="56317"/>
  </r>
  <r>
    <n v="854"/>
    <x v="6"/>
    <s v="Female"/>
    <n v="59"/>
    <s v="Mumbai"/>
    <x v="0"/>
    <n v="40292"/>
    <d v="2024-04-21T00:00:00"/>
    <n v="4"/>
    <n v="5"/>
    <n v="4029"/>
    <n v="2015"/>
    <n v="42306"/>
    <n v="0"/>
    <n v="44321"/>
  </r>
  <r>
    <n v="855"/>
    <x v="0"/>
    <s v="Male"/>
    <n v="33"/>
    <s v="Hyderabad"/>
    <x v="3"/>
    <n v="97432"/>
    <d v="2023-07-22T00:00:00"/>
    <n v="17"/>
    <n v="3"/>
    <n v="9743"/>
    <n v="4872"/>
    <n v="102303"/>
    <n v="4872"/>
    <n v="112047"/>
  </r>
  <r>
    <n v="856"/>
    <x v="2"/>
    <s v="Male"/>
    <n v="52"/>
    <s v="Bangalore"/>
    <x v="0"/>
    <n v="32835"/>
    <d v="2022-09-28T00:00:00"/>
    <n v="17"/>
    <n v="1"/>
    <n v="3284"/>
    <n v="1642"/>
    <n v="34477"/>
    <n v="1642"/>
    <n v="37761"/>
  </r>
  <r>
    <n v="857"/>
    <x v="2"/>
    <s v="Female"/>
    <n v="29"/>
    <s v="Chennai"/>
    <x v="3"/>
    <n v="79875"/>
    <d v="2022-12-17T00:00:00"/>
    <n v="11"/>
    <n v="1"/>
    <n v="7988"/>
    <n v="3994"/>
    <n v="83869"/>
    <n v="3994"/>
    <n v="91857"/>
  </r>
  <r>
    <n v="858"/>
    <x v="8"/>
    <s v="Female"/>
    <n v="46"/>
    <s v="Chennai"/>
    <x v="3"/>
    <n v="21869"/>
    <d v="2024-06-13T00:00:00"/>
    <n v="9"/>
    <n v="3"/>
    <n v="2187"/>
    <n v="1093"/>
    <n v="22963"/>
    <n v="1093"/>
    <n v="25149"/>
  </r>
  <r>
    <n v="859"/>
    <x v="5"/>
    <s v="Female"/>
    <n v="41"/>
    <s v="Chennai"/>
    <x v="4"/>
    <n v="49685"/>
    <d v="2023-11-16T00:00:00"/>
    <n v="4"/>
    <n v="4"/>
    <n v="4968"/>
    <n v="2484"/>
    <n v="52169"/>
    <n v="0"/>
    <n v="54653"/>
  </r>
  <r>
    <n v="860"/>
    <x v="9"/>
    <s v="Male"/>
    <n v="54"/>
    <s v="Delhi"/>
    <x v="0"/>
    <n v="89108"/>
    <d v="2022-08-10T00:00:00"/>
    <n v="18"/>
    <n v="4"/>
    <n v="8911"/>
    <n v="4455"/>
    <n v="93564"/>
    <n v="4455"/>
    <n v="102474"/>
  </r>
  <r>
    <n v="861"/>
    <x v="2"/>
    <s v="Male"/>
    <n v="40"/>
    <s v="Hyderabad"/>
    <x v="2"/>
    <n v="59002"/>
    <d v="2023-08-19T00:00:00"/>
    <n v="17"/>
    <n v="4"/>
    <n v="5900"/>
    <n v="2950"/>
    <n v="61952"/>
    <n v="2950"/>
    <n v="67852"/>
  </r>
  <r>
    <n v="862"/>
    <x v="1"/>
    <s v="Male"/>
    <n v="50"/>
    <s v="Chennai"/>
    <x v="3"/>
    <n v="44256"/>
    <d v="2022-08-04T00:00:00"/>
    <n v="3"/>
    <n v="5"/>
    <n v="4426"/>
    <n v="2213"/>
    <n v="46469"/>
    <n v="0"/>
    <n v="48682"/>
  </r>
  <r>
    <n v="863"/>
    <x v="8"/>
    <s v="Male"/>
    <n v="42"/>
    <s v="Delhi"/>
    <x v="3"/>
    <n v="64172"/>
    <d v="2024-03-02T00:00:00"/>
    <n v="13"/>
    <n v="4"/>
    <n v="6417"/>
    <n v="3209"/>
    <n v="67380"/>
    <n v="3209"/>
    <n v="73798"/>
  </r>
  <r>
    <n v="864"/>
    <x v="2"/>
    <s v="Male"/>
    <n v="32"/>
    <s v="Bangalore"/>
    <x v="3"/>
    <n v="71046"/>
    <d v="2023-03-24T00:00:00"/>
    <n v="20"/>
    <n v="5"/>
    <n v="7105"/>
    <n v="3552"/>
    <n v="74599"/>
    <n v="3552"/>
    <n v="81703"/>
  </r>
  <r>
    <n v="865"/>
    <x v="4"/>
    <s v="Male"/>
    <n v="48"/>
    <s v="Bangalore"/>
    <x v="1"/>
    <n v="53999"/>
    <d v="2022-03-04T00:00:00"/>
    <n v="11"/>
    <n v="2"/>
    <n v="5400"/>
    <n v="2700"/>
    <n v="56699"/>
    <n v="2700"/>
    <n v="62099"/>
  </r>
  <r>
    <n v="866"/>
    <x v="2"/>
    <s v="Male"/>
    <n v="24"/>
    <s v="Delhi"/>
    <x v="3"/>
    <n v="92601"/>
    <d v="2022-06-05T00:00:00"/>
    <n v="19"/>
    <n v="5"/>
    <n v="9260"/>
    <n v="4630"/>
    <n v="97231"/>
    <n v="4630"/>
    <n v="106491"/>
  </r>
  <r>
    <n v="867"/>
    <x v="4"/>
    <s v="Male"/>
    <n v="56"/>
    <s v="Mumbai"/>
    <x v="4"/>
    <n v="48448"/>
    <d v="2022-07-01T00:00:00"/>
    <n v="13"/>
    <n v="2"/>
    <n v="4845"/>
    <n v="2422"/>
    <n v="50871"/>
    <n v="2422"/>
    <n v="55715"/>
  </r>
  <r>
    <n v="868"/>
    <x v="4"/>
    <s v="Male"/>
    <n v="39"/>
    <s v="Delhi"/>
    <x v="0"/>
    <n v="65536"/>
    <d v="2023-03-16T00:00:00"/>
    <n v="9"/>
    <n v="2"/>
    <n v="6554"/>
    <n v="3277"/>
    <n v="68813"/>
    <n v="3277"/>
    <n v="75367"/>
  </r>
  <r>
    <n v="869"/>
    <x v="6"/>
    <s v="Male"/>
    <n v="36"/>
    <s v="Chennai"/>
    <x v="4"/>
    <n v="22461"/>
    <d v="2022-01-28T00:00:00"/>
    <n v="2"/>
    <n v="3"/>
    <n v="2246"/>
    <n v="1123"/>
    <n v="23584"/>
    <n v="0"/>
    <n v="24707"/>
  </r>
  <r>
    <n v="870"/>
    <x v="2"/>
    <s v="Female"/>
    <n v="21"/>
    <s v="Delhi"/>
    <x v="3"/>
    <n v="44021"/>
    <d v="2023-11-23T00:00:00"/>
    <n v="15"/>
    <n v="4"/>
    <n v="4402"/>
    <n v="2201"/>
    <n v="46222"/>
    <n v="2201"/>
    <n v="50624"/>
  </r>
  <r>
    <n v="871"/>
    <x v="5"/>
    <s v="Female"/>
    <n v="45"/>
    <s v="Delhi"/>
    <x v="3"/>
    <n v="38167"/>
    <d v="2022-02-19T00:00:00"/>
    <n v="4"/>
    <n v="4"/>
    <n v="3817"/>
    <n v="1908"/>
    <n v="40076"/>
    <n v="0"/>
    <n v="41984"/>
  </r>
  <r>
    <n v="872"/>
    <x v="7"/>
    <s v="Male"/>
    <n v="50"/>
    <s v="Hyderabad"/>
    <x v="2"/>
    <n v="42502"/>
    <d v="2022-01-02T00:00:00"/>
    <n v="10"/>
    <n v="3"/>
    <n v="4250"/>
    <n v="2125"/>
    <n v="44627"/>
    <n v="2125"/>
    <n v="48877"/>
  </r>
  <r>
    <n v="873"/>
    <x v="5"/>
    <s v="Male"/>
    <n v="28"/>
    <s v="Chennai"/>
    <x v="3"/>
    <n v="34026"/>
    <d v="2022-10-11T00:00:00"/>
    <n v="7"/>
    <n v="3"/>
    <n v="3403"/>
    <n v="1701"/>
    <n v="35728"/>
    <n v="1701"/>
    <n v="39130"/>
  </r>
  <r>
    <n v="874"/>
    <x v="2"/>
    <s v="Female"/>
    <n v="29"/>
    <s v="Chennai"/>
    <x v="0"/>
    <n v="33928"/>
    <d v="2024-06-21T00:00:00"/>
    <n v="11"/>
    <n v="3"/>
    <n v="3393"/>
    <n v="1696"/>
    <n v="35625"/>
    <n v="1696"/>
    <n v="39017"/>
  </r>
  <r>
    <n v="875"/>
    <x v="5"/>
    <s v="Female"/>
    <n v="30"/>
    <s v="Hyderabad"/>
    <x v="1"/>
    <n v="80500"/>
    <d v="2023-06-07T00:00:00"/>
    <n v="1"/>
    <n v="1"/>
    <n v="8050"/>
    <n v="4025"/>
    <n v="84525"/>
    <n v="0"/>
    <n v="88550"/>
  </r>
  <r>
    <n v="876"/>
    <x v="6"/>
    <s v="Male"/>
    <n v="29"/>
    <s v="Mumbai"/>
    <x v="3"/>
    <n v="65566"/>
    <d v="2023-02-01T00:00:00"/>
    <n v="15"/>
    <n v="2"/>
    <n v="6557"/>
    <n v="3278"/>
    <n v="68845"/>
    <n v="3278"/>
    <n v="75401"/>
  </r>
  <r>
    <n v="877"/>
    <x v="2"/>
    <s v="Female"/>
    <n v="49"/>
    <s v="Delhi"/>
    <x v="1"/>
    <n v="55437"/>
    <d v="2022-06-12T00:00:00"/>
    <n v="3"/>
    <n v="4"/>
    <n v="5544"/>
    <n v="2772"/>
    <n v="58209"/>
    <n v="0"/>
    <n v="60981"/>
  </r>
  <r>
    <n v="878"/>
    <x v="6"/>
    <s v="Male"/>
    <n v="23"/>
    <s v="Mumbai"/>
    <x v="1"/>
    <n v="77846"/>
    <d v="2023-04-24T00:00:00"/>
    <n v="9"/>
    <n v="2"/>
    <n v="7785"/>
    <n v="3892"/>
    <n v="81739"/>
    <n v="3892"/>
    <n v="89523"/>
  </r>
  <r>
    <n v="879"/>
    <x v="3"/>
    <s v="Female"/>
    <n v="37"/>
    <s v="Mumbai"/>
    <x v="1"/>
    <n v="99079"/>
    <d v="2022-09-19T00:00:00"/>
    <n v="9"/>
    <n v="1"/>
    <n v="9908"/>
    <n v="4954"/>
    <n v="104033"/>
    <n v="4954"/>
    <n v="113941"/>
  </r>
  <r>
    <n v="880"/>
    <x v="8"/>
    <s v="Female"/>
    <n v="26"/>
    <s v="Bangalore"/>
    <x v="1"/>
    <n v="42409"/>
    <d v="2024-01-27T00:00:00"/>
    <n v="12"/>
    <n v="3"/>
    <n v="4241"/>
    <n v="2120"/>
    <n v="44530"/>
    <n v="2120"/>
    <n v="48770"/>
  </r>
  <r>
    <n v="881"/>
    <x v="9"/>
    <s v="Male"/>
    <n v="54"/>
    <s v="Chennai"/>
    <x v="1"/>
    <n v="65768"/>
    <d v="2024-04-20T00:00:00"/>
    <n v="10"/>
    <n v="2"/>
    <n v="6577"/>
    <n v="3288"/>
    <n v="69057"/>
    <n v="3288"/>
    <n v="75633"/>
  </r>
  <r>
    <n v="882"/>
    <x v="5"/>
    <s v="Male"/>
    <n v="27"/>
    <s v="Delhi"/>
    <x v="1"/>
    <n v="67826"/>
    <d v="2024-05-06T00:00:00"/>
    <n v="8"/>
    <n v="5"/>
    <n v="6783"/>
    <n v="3391"/>
    <n v="71218"/>
    <n v="3391"/>
    <n v="78000"/>
  </r>
  <r>
    <n v="883"/>
    <x v="4"/>
    <s v="Female"/>
    <n v="45"/>
    <s v="Mumbai"/>
    <x v="4"/>
    <n v="91147"/>
    <d v="2023-05-28T00:00:00"/>
    <n v="2"/>
    <n v="5"/>
    <n v="9115"/>
    <n v="4557"/>
    <n v="95705"/>
    <n v="0"/>
    <n v="100262"/>
  </r>
  <r>
    <n v="884"/>
    <x v="1"/>
    <s v="Female"/>
    <n v="50"/>
    <s v="Bangalore"/>
    <x v="2"/>
    <n v="67383"/>
    <d v="2023-03-30T00:00:00"/>
    <n v="8"/>
    <n v="1"/>
    <n v="6738"/>
    <n v="3369"/>
    <n v="70752"/>
    <n v="3369"/>
    <n v="77490"/>
  </r>
  <r>
    <n v="885"/>
    <x v="5"/>
    <s v="Male"/>
    <n v="38"/>
    <s v="Bangalore"/>
    <x v="1"/>
    <n v="36604"/>
    <d v="2024-06-07T00:00:00"/>
    <n v="13"/>
    <n v="5"/>
    <n v="3660"/>
    <n v="1830"/>
    <n v="38434"/>
    <n v="1830"/>
    <n v="42094"/>
  </r>
  <r>
    <n v="886"/>
    <x v="3"/>
    <s v="Male"/>
    <n v="29"/>
    <s v="Bangalore"/>
    <x v="0"/>
    <n v="50142"/>
    <d v="2023-12-30T00:00:00"/>
    <n v="16"/>
    <n v="5"/>
    <n v="5014"/>
    <n v="2507"/>
    <n v="52649"/>
    <n v="2507"/>
    <n v="57663"/>
  </r>
  <r>
    <n v="887"/>
    <x v="6"/>
    <s v="Male"/>
    <n v="22"/>
    <s v="Hyderabad"/>
    <x v="1"/>
    <n v="65746"/>
    <d v="2024-09-22T00:00:00"/>
    <n v="13"/>
    <n v="2"/>
    <n v="6575"/>
    <n v="3287"/>
    <n v="69034"/>
    <n v="3287"/>
    <n v="75608"/>
  </r>
  <r>
    <n v="888"/>
    <x v="8"/>
    <s v="Male"/>
    <n v="28"/>
    <s v="Bangalore"/>
    <x v="4"/>
    <n v="40749"/>
    <d v="2022-09-17T00:00:00"/>
    <n v="9"/>
    <n v="2"/>
    <n v="4075"/>
    <n v="2037"/>
    <n v="42787"/>
    <n v="2037"/>
    <n v="46861"/>
  </r>
  <r>
    <n v="889"/>
    <x v="3"/>
    <s v="Female"/>
    <n v="27"/>
    <s v="Mumbai"/>
    <x v="3"/>
    <n v="36225"/>
    <d v="2023-12-06T00:00:00"/>
    <n v="8"/>
    <n v="1"/>
    <n v="3622"/>
    <n v="1811"/>
    <n v="38036"/>
    <n v="1811"/>
    <n v="41658"/>
  </r>
  <r>
    <n v="890"/>
    <x v="3"/>
    <s v="Male"/>
    <n v="40"/>
    <s v="Bangalore"/>
    <x v="1"/>
    <n v="91494"/>
    <d v="2024-01-15T00:00:00"/>
    <n v="19"/>
    <n v="5"/>
    <n v="9149"/>
    <n v="4575"/>
    <n v="96068"/>
    <n v="4575"/>
    <n v="105218"/>
  </r>
  <r>
    <n v="891"/>
    <x v="5"/>
    <s v="Male"/>
    <n v="32"/>
    <s v="Chennai"/>
    <x v="1"/>
    <n v="80256"/>
    <d v="2023-12-14T00:00:00"/>
    <n v="18"/>
    <n v="2"/>
    <n v="8026"/>
    <n v="4013"/>
    <n v="84269"/>
    <n v="4013"/>
    <n v="92295"/>
  </r>
  <r>
    <n v="892"/>
    <x v="6"/>
    <s v="Female"/>
    <n v="46"/>
    <s v="Bangalore"/>
    <x v="4"/>
    <n v="57418"/>
    <d v="2022-03-31T00:00:00"/>
    <n v="7"/>
    <n v="1"/>
    <n v="5742"/>
    <n v="2871"/>
    <n v="60289"/>
    <n v="2871"/>
    <n v="66031"/>
  </r>
  <r>
    <n v="893"/>
    <x v="3"/>
    <s v="Female"/>
    <n v="53"/>
    <s v="Mumbai"/>
    <x v="1"/>
    <n v="56068"/>
    <d v="2022-11-26T00:00:00"/>
    <n v="7"/>
    <n v="1"/>
    <n v="5607"/>
    <n v="2803"/>
    <n v="58872"/>
    <n v="2803"/>
    <n v="64478"/>
  </r>
  <r>
    <n v="894"/>
    <x v="2"/>
    <s v="Male"/>
    <n v="32"/>
    <s v="Delhi"/>
    <x v="2"/>
    <n v="56815"/>
    <d v="2024-03-31T00:00:00"/>
    <n v="9"/>
    <n v="2"/>
    <n v="5682"/>
    <n v="2841"/>
    <n v="59656"/>
    <n v="2841"/>
    <n v="65338"/>
  </r>
  <r>
    <n v="895"/>
    <x v="4"/>
    <s v="Male"/>
    <n v="50"/>
    <s v="Chennai"/>
    <x v="2"/>
    <n v="73947"/>
    <d v="2024-05-24T00:00:00"/>
    <n v="7"/>
    <n v="4"/>
    <n v="7395"/>
    <n v="3697"/>
    <n v="77645"/>
    <n v="3697"/>
    <n v="85039"/>
  </r>
  <r>
    <n v="896"/>
    <x v="3"/>
    <s v="Female"/>
    <n v="44"/>
    <s v="Mumbai"/>
    <x v="1"/>
    <n v="89633"/>
    <d v="2022-02-21T00:00:00"/>
    <n v="11"/>
    <n v="4"/>
    <n v="8963"/>
    <n v="4482"/>
    <n v="94114"/>
    <n v="4482"/>
    <n v="103078"/>
  </r>
  <r>
    <n v="897"/>
    <x v="0"/>
    <s v="Female"/>
    <n v="59"/>
    <s v="Delhi"/>
    <x v="0"/>
    <n v="39857"/>
    <d v="2022-02-02T00:00:00"/>
    <n v="8"/>
    <n v="3"/>
    <n v="3986"/>
    <n v="1993"/>
    <n v="41850"/>
    <n v="1993"/>
    <n v="45836"/>
  </r>
  <r>
    <n v="898"/>
    <x v="2"/>
    <s v="Male"/>
    <n v="57"/>
    <s v="Delhi"/>
    <x v="2"/>
    <n v="41176"/>
    <d v="2022-04-15T00:00:00"/>
    <n v="5"/>
    <n v="3"/>
    <n v="4118"/>
    <n v="2059"/>
    <n v="43235"/>
    <n v="0"/>
    <n v="45294"/>
  </r>
  <r>
    <n v="899"/>
    <x v="3"/>
    <s v="Female"/>
    <n v="27"/>
    <s v="Mumbai"/>
    <x v="3"/>
    <n v="37646"/>
    <d v="2023-07-17T00:00:00"/>
    <n v="7"/>
    <n v="2"/>
    <n v="3765"/>
    <n v="1882"/>
    <n v="39529"/>
    <n v="1882"/>
    <n v="43293"/>
  </r>
  <r>
    <n v="900"/>
    <x v="5"/>
    <s v="Female"/>
    <n v="50"/>
    <s v="Mumbai"/>
    <x v="0"/>
    <n v="55450"/>
    <d v="2023-04-18T00:00:00"/>
    <n v="4"/>
    <n v="3"/>
    <n v="5545"/>
    <n v="2772"/>
    <n v="58223"/>
    <n v="0"/>
    <n v="60995"/>
  </r>
  <r>
    <n v="901"/>
    <x v="9"/>
    <s v="Male"/>
    <n v="32"/>
    <s v="Bangalore"/>
    <x v="2"/>
    <n v="98015"/>
    <d v="2022-03-29T00:00:00"/>
    <n v="20"/>
    <n v="5"/>
    <n v="9802"/>
    <n v="4901"/>
    <n v="102916"/>
    <n v="4901"/>
    <n v="112718"/>
  </r>
  <r>
    <n v="902"/>
    <x v="8"/>
    <s v="Male"/>
    <n v="39"/>
    <s v="Chennai"/>
    <x v="3"/>
    <n v="76694"/>
    <d v="2024-06-01T00:00:00"/>
    <n v="14"/>
    <n v="1"/>
    <n v="7669"/>
    <n v="3835"/>
    <n v="80528"/>
    <n v="3835"/>
    <n v="88198"/>
  </r>
  <r>
    <n v="903"/>
    <x v="7"/>
    <s v="Male"/>
    <n v="25"/>
    <s v="Delhi"/>
    <x v="1"/>
    <n v="46505"/>
    <d v="2022-10-25T00:00:00"/>
    <n v="11"/>
    <n v="2"/>
    <n v="4650"/>
    <n v="2325"/>
    <n v="48830"/>
    <n v="2325"/>
    <n v="53480"/>
  </r>
  <r>
    <n v="904"/>
    <x v="5"/>
    <s v="Male"/>
    <n v="59"/>
    <s v="Delhi"/>
    <x v="4"/>
    <n v="56213"/>
    <d v="2023-08-18T00:00:00"/>
    <n v="20"/>
    <n v="3"/>
    <n v="5621"/>
    <n v="2811"/>
    <n v="59023"/>
    <n v="2811"/>
    <n v="64645"/>
  </r>
  <r>
    <n v="905"/>
    <x v="6"/>
    <s v="Male"/>
    <n v="33"/>
    <s v="Hyderabad"/>
    <x v="1"/>
    <n v="48905"/>
    <d v="2022-07-09T00:00:00"/>
    <n v="3"/>
    <n v="2"/>
    <n v="4890"/>
    <n v="2445"/>
    <n v="51350"/>
    <n v="0"/>
    <n v="53795"/>
  </r>
  <r>
    <n v="906"/>
    <x v="6"/>
    <s v="Male"/>
    <n v="43"/>
    <s v="Mumbai"/>
    <x v="2"/>
    <n v="29091"/>
    <d v="2022-05-26T00:00:00"/>
    <n v="12"/>
    <n v="3"/>
    <n v="2909"/>
    <n v="1455"/>
    <n v="30545"/>
    <n v="1455"/>
    <n v="33455"/>
  </r>
  <r>
    <n v="907"/>
    <x v="7"/>
    <s v="Male"/>
    <n v="28"/>
    <s v="Mumbai"/>
    <x v="0"/>
    <n v="36521"/>
    <d v="2023-02-22T00:00:00"/>
    <n v="8"/>
    <n v="2"/>
    <n v="3652"/>
    <n v="1826"/>
    <n v="38347"/>
    <n v="1826"/>
    <n v="41999"/>
  </r>
  <r>
    <n v="908"/>
    <x v="1"/>
    <s v="Male"/>
    <n v="33"/>
    <s v="Mumbai"/>
    <x v="2"/>
    <n v="36734"/>
    <d v="2024-04-17T00:00:00"/>
    <n v="7"/>
    <n v="2"/>
    <n v="3673"/>
    <n v="1837"/>
    <n v="38570"/>
    <n v="1837"/>
    <n v="42244"/>
  </r>
  <r>
    <n v="909"/>
    <x v="4"/>
    <s v="Male"/>
    <n v="51"/>
    <s v="Mumbai"/>
    <x v="2"/>
    <n v="51541"/>
    <d v="2022-09-06T00:00:00"/>
    <n v="16"/>
    <n v="1"/>
    <n v="5154"/>
    <n v="2577"/>
    <n v="54118"/>
    <n v="2577"/>
    <n v="59272"/>
  </r>
  <r>
    <n v="910"/>
    <x v="9"/>
    <s v="Female"/>
    <n v="42"/>
    <s v="Hyderabad"/>
    <x v="1"/>
    <n v="33195"/>
    <d v="2024-07-12T00:00:00"/>
    <n v="12"/>
    <n v="1"/>
    <n v="3320"/>
    <n v="1660"/>
    <n v="34855"/>
    <n v="1660"/>
    <n v="38175"/>
  </r>
  <r>
    <n v="911"/>
    <x v="3"/>
    <s v="Female"/>
    <n v="27"/>
    <s v="Delhi"/>
    <x v="4"/>
    <n v="28754"/>
    <d v="2023-09-24T00:00:00"/>
    <n v="16"/>
    <n v="5"/>
    <n v="2875"/>
    <n v="1438"/>
    <n v="30191"/>
    <n v="1438"/>
    <n v="33067"/>
  </r>
  <r>
    <n v="912"/>
    <x v="2"/>
    <s v="Female"/>
    <n v="57"/>
    <s v="Hyderabad"/>
    <x v="4"/>
    <n v="70530"/>
    <d v="2024-01-22T00:00:00"/>
    <n v="18"/>
    <n v="3"/>
    <n v="7053"/>
    <n v="3526"/>
    <n v="74057"/>
    <n v="3526"/>
    <n v="81109"/>
  </r>
  <r>
    <n v="913"/>
    <x v="8"/>
    <s v="Female"/>
    <n v="60"/>
    <s v="Bangalore"/>
    <x v="0"/>
    <n v="77507"/>
    <d v="2023-07-19T00:00:00"/>
    <n v="11"/>
    <n v="4"/>
    <n v="7751"/>
    <n v="3875"/>
    <n v="81383"/>
    <n v="3875"/>
    <n v="89133"/>
  </r>
  <r>
    <n v="914"/>
    <x v="5"/>
    <s v="Male"/>
    <n v="59"/>
    <s v="Delhi"/>
    <x v="0"/>
    <n v="44126"/>
    <d v="2022-10-17T00:00:00"/>
    <n v="13"/>
    <n v="5"/>
    <n v="4413"/>
    <n v="2206"/>
    <n v="46333"/>
    <n v="2206"/>
    <n v="50745"/>
  </r>
  <r>
    <n v="915"/>
    <x v="5"/>
    <s v="Female"/>
    <n v="55"/>
    <s v="Delhi"/>
    <x v="4"/>
    <n v="93276"/>
    <d v="2022-08-31T00:00:00"/>
    <n v="1"/>
    <n v="1"/>
    <n v="9328"/>
    <n v="4664"/>
    <n v="97940"/>
    <n v="0"/>
    <n v="102604"/>
  </r>
  <r>
    <n v="916"/>
    <x v="7"/>
    <s v="Female"/>
    <n v="35"/>
    <s v="Mumbai"/>
    <x v="0"/>
    <n v="81832"/>
    <d v="2022-05-07T00:00:00"/>
    <n v="14"/>
    <n v="5"/>
    <n v="8183"/>
    <n v="4092"/>
    <n v="85923"/>
    <n v="4092"/>
    <n v="94107"/>
  </r>
  <r>
    <n v="917"/>
    <x v="2"/>
    <s v="Female"/>
    <n v="43"/>
    <s v="Hyderabad"/>
    <x v="3"/>
    <n v="78913"/>
    <d v="2022-06-15T00:00:00"/>
    <n v="13"/>
    <n v="2"/>
    <n v="7891"/>
    <n v="3946"/>
    <n v="82858"/>
    <n v="3946"/>
    <n v="90750"/>
  </r>
  <r>
    <n v="918"/>
    <x v="7"/>
    <s v="Female"/>
    <n v="60"/>
    <s v="Chennai"/>
    <x v="2"/>
    <n v="48765"/>
    <d v="2024-01-14T00:00:00"/>
    <n v="6"/>
    <n v="3"/>
    <n v="4876"/>
    <n v="2438"/>
    <n v="51203"/>
    <n v="2438"/>
    <n v="56079"/>
  </r>
  <r>
    <n v="919"/>
    <x v="8"/>
    <s v="Male"/>
    <n v="47"/>
    <s v="Bangalore"/>
    <x v="3"/>
    <n v="31985"/>
    <d v="2023-01-16T00:00:00"/>
    <n v="9"/>
    <n v="4"/>
    <n v="3198"/>
    <n v="1599"/>
    <n v="33584"/>
    <n v="1599"/>
    <n v="36782"/>
  </r>
  <r>
    <n v="920"/>
    <x v="4"/>
    <s v="Male"/>
    <n v="54"/>
    <s v="Bangalore"/>
    <x v="0"/>
    <n v="82340"/>
    <d v="2022-12-14T00:00:00"/>
    <n v="6"/>
    <n v="1"/>
    <n v="8234"/>
    <n v="4117"/>
    <n v="86457"/>
    <n v="4117"/>
    <n v="94691"/>
  </r>
  <r>
    <n v="921"/>
    <x v="7"/>
    <s v="Female"/>
    <n v="41"/>
    <s v="Bangalore"/>
    <x v="1"/>
    <n v="37368"/>
    <d v="2023-06-02T00:00:00"/>
    <n v="11"/>
    <n v="1"/>
    <n v="3737"/>
    <n v="1868"/>
    <n v="39237"/>
    <n v="1868"/>
    <n v="42973"/>
  </r>
  <r>
    <n v="922"/>
    <x v="4"/>
    <s v="Male"/>
    <n v="37"/>
    <s v="Mumbai"/>
    <x v="0"/>
    <n v="32246"/>
    <d v="2023-04-01T00:00:00"/>
    <n v="17"/>
    <n v="4"/>
    <n v="3225"/>
    <n v="1612"/>
    <n v="33859"/>
    <n v="1612"/>
    <n v="37083"/>
  </r>
  <r>
    <n v="923"/>
    <x v="5"/>
    <s v="Male"/>
    <n v="43"/>
    <s v="Mumbai"/>
    <x v="3"/>
    <n v="45819"/>
    <d v="2022-01-06T00:00:00"/>
    <n v="14"/>
    <n v="5"/>
    <n v="4582"/>
    <n v="2291"/>
    <n v="48110"/>
    <n v="2291"/>
    <n v="52692"/>
  </r>
  <r>
    <n v="924"/>
    <x v="0"/>
    <s v="Male"/>
    <n v="44"/>
    <s v="Delhi"/>
    <x v="1"/>
    <n v="66659"/>
    <d v="2022-01-20T00:00:00"/>
    <n v="6"/>
    <n v="1"/>
    <n v="6666"/>
    <n v="3333"/>
    <n v="69992"/>
    <n v="3333"/>
    <n v="76658"/>
  </r>
  <r>
    <n v="925"/>
    <x v="6"/>
    <s v="Male"/>
    <n v="35"/>
    <s v="Bangalore"/>
    <x v="2"/>
    <n v="76116"/>
    <d v="2024-04-12T00:00:00"/>
    <n v="12"/>
    <n v="1"/>
    <n v="7612"/>
    <n v="3806"/>
    <n v="79922"/>
    <n v="3806"/>
    <n v="87534"/>
  </r>
  <r>
    <n v="926"/>
    <x v="7"/>
    <s v="Female"/>
    <n v="41"/>
    <s v="Hyderabad"/>
    <x v="4"/>
    <n v="53552"/>
    <d v="2022-11-09T00:00:00"/>
    <n v="5"/>
    <n v="3"/>
    <n v="5355"/>
    <n v="2678"/>
    <n v="56229"/>
    <n v="0"/>
    <n v="58907"/>
  </r>
  <r>
    <n v="927"/>
    <x v="1"/>
    <s v="Male"/>
    <n v="26"/>
    <s v="Chennai"/>
    <x v="4"/>
    <n v="28818"/>
    <d v="2022-12-01T00:00:00"/>
    <n v="6"/>
    <n v="2"/>
    <n v="2882"/>
    <n v="1441"/>
    <n v="30259"/>
    <n v="1441"/>
    <n v="33141"/>
  </r>
  <r>
    <n v="928"/>
    <x v="4"/>
    <s v="Female"/>
    <n v="37"/>
    <s v="Hyderabad"/>
    <x v="2"/>
    <n v="42870"/>
    <d v="2023-06-25T00:00:00"/>
    <n v="10"/>
    <n v="1"/>
    <n v="4287"/>
    <n v="2144"/>
    <n v="45013"/>
    <n v="2144"/>
    <n v="49301"/>
  </r>
  <r>
    <n v="929"/>
    <x v="7"/>
    <s v="Male"/>
    <n v="36"/>
    <s v="Chennai"/>
    <x v="2"/>
    <n v="40881"/>
    <d v="2024-02-04T00:00:00"/>
    <n v="14"/>
    <n v="5"/>
    <n v="4088"/>
    <n v="2044"/>
    <n v="42925"/>
    <n v="2044"/>
    <n v="47013"/>
  </r>
  <r>
    <n v="930"/>
    <x v="9"/>
    <s v="Female"/>
    <n v="24"/>
    <s v="Delhi"/>
    <x v="0"/>
    <n v="76411"/>
    <d v="2024-01-19T00:00:00"/>
    <n v="16"/>
    <n v="2"/>
    <n v="7641"/>
    <n v="3821"/>
    <n v="80231"/>
    <n v="3821"/>
    <n v="87873"/>
  </r>
  <r>
    <n v="931"/>
    <x v="5"/>
    <s v="Female"/>
    <n v="29"/>
    <s v="Bangalore"/>
    <x v="1"/>
    <n v="98243"/>
    <d v="2022-06-23T00:00:00"/>
    <n v="9"/>
    <n v="4"/>
    <n v="9824"/>
    <n v="4912"/>
    <n v="103155"/>
    <n v="4912"/>
    <n v="112979"/>
  </r>
  <r>
    <n v="932"/>
    <x v="6"/>
    <s v="Female"/>
    <n v="34"/>
    <s v="Mumbai"/>
    <x v="0"/>
    <n v="63684"/>
    <d v="2024-06-14T00:00:00"/>
    <n v="8"/>
    <n v="3"/>
    <n v="6368"/>
    <n v="3184"/>
    <n v="66868"/>
    <n v="3184"/>
    <n v="73236"/>
  </r>
  <r>
    <n v="933"/>
    <x v="1"/>
    <s v="Male"/>
    <n v="38"/>
    <s v="Hyderabad"/>
    <x v="2"/>
    <n v="42602"/>
    <d v="2022-08-04T00:00:00"/>
    <n v="2"/>
    <n v="3"/>
    <n v="4260"/>
    <n v="2130"/>
    <n v="44732"/>
    <n v="0"/>
    <n v="46862"/>
  </r>
  <r>
    <n v="934"/>
    <x v="1"/>
    <s v="Female"/>
    <n v="33"/>
    <s v="Hyderabad"/>
    <x v="0"/>
    <n v="41916"/>
    <d v="2022-06-25T00:00:00"/>
    <n v="19"/>
    <n v="3"/>
    <n v="4192"/>
    <n v="2096"/>
    <n v="44012"/>
    <n v="2096"/>
    <n v="48204"/>
  </r>
  <r>
    <n v="935"/>
    <x v="5"/>
    <s v="Female"/>
    <n v="53"/>
    <s v="Hyderabad"/>
    <x v="3"/>
    <n v="46976"/>
    <d v="2022-12-25T00:00:00"/>
    <n v="7"/>
    <n v="4"/>
    <n v="4698"/>
    <n v="2349"/>
    <n v="49325"/>
    <n v="2349"/>
    <n v="54023"/>
  </r>
  <r>
    <n v="936"/>
    <x v="7"/>
    <s v="Male"/>
    <n v="40"/>
    <s v="Hyderabad"/>
    <x v="1"/>
    <n v="38358"/>
    <d v="2023-10-22T00:00:00"/>
    <n v="12"/>
    <n v="3"/>
    <n v="3836"/>
    <n v="1918"/>
    <n v="40276"/>
    <n v="1918"/>
    <n v="44112"/>
  </r>
  <r>
    <n v="937"/>
    <x v="2"/>
    <s v="Male"/>
    <n v="44"/>
    <s v="Mumbai"/>
    <x v="4"/>
    <n v="99476"/>
    <d v="2023-06-15T00:00:00"/>
    <n v="8"/>
    <n v="3"/>
    <n v="9948"/>
    <n v="4974"/>
    <n v="104450"/>
    <n v="4974"/>
    <n v="114398"/>
  </r>
  <r>
    <n v="938"/>
    <x v="7"/>
    <s v="Male"/>
    <n v="33"/>
    <s v="Hyderabad"/>
    <x v="0"/>
    <n v="65841"/>
    <d v="2024-03-24T00:00:00"/>
    <n v="11"/>
    <n v="5"/>
    <n v="6584"/>
    <n v="3292"/>
    <n v="69133"/>
    <n v="3292"/>
    <n v="75717"/>
  </r>
  <r>
    <n v="939"/>
    <x v="5"/>
    <s v="Male"/>
    <n v="21"/>
    <s v="Bangalore"/>
    <x v="2"/>
    <n v="74191"/>
    <d v="2024-05-26T00:00:00"/>
    <n v="15"/>
    <n v="3"/>
    <n v="7419"/>
    <n v="3710"/>
    <n v="77900"/>
    <n v="3710"/>
    <n v="85320"/>
  </r>
  <r>
    <n v="940"/>
    <x v="7"/>
    <s v="Male"/>
    <n v="46"/>
    <s v="Hyderabad"/>
    <x v="2"/>
    <n v="46187"/>
    <d v="2024-05-27T00:00:00"/>
    <n v="11"/>
    <n v="4"/>
    <n v="4619"/>
    <n v="2309"/>
    <n v="48497"/>
    <n v="2309"/>
    <n v="53115"/>
  </r>
  <r>
    <n v="941"/>
    <x v="0"/>
    <s v="Male"/>
    <n v="36"/>
    <s v="Chennai"/>
    <x v="4"/>
    <n v="45402"/>
    <d v="2022-04-02T00:00:00"/>
    <n v="4"/>
    <n v="5"/>
    <n v="4540"/>
    <n v="2270"/>
    <n v="47672"/>
    <n v="0"/>
    <n v="49942"/>
  </r>
  <r>
    <n v="942"/>
    <x v="8"/>
    <s v="Female"/>
    <n v="22"/>
    <s v="Bangalore"/>
    <x v="1"/>
    <n v="74946"/>
    <d v="2024-05-01T00:00:00"/>
    <n v="11"/>
    <n v="5"/>
    <n v="7495"/>
    <n v="3747"/>
    <n v="78694"/>
    <n v="3747"/>
    <n v="86188"/>
  </r>
  <r>
    <n v="943"/>
    <x v="5"/>
    <s v="Male"/>
    <n v="38"/>
    <s v="Mumbai"/>
    <x v="0"/>
    <n v="41838"/>
    <d v="2022-11-24T00:00:00"/>
    <n v="13"/>
    <n v="3"/>
    <n v="4184"/>
    <n v="2092"/>
    <n v="43930"/>
    <n v="2092"/>
    <n v="48114"/>
  </r>
  <r>
    <n v="944"/>
    <x v="2"/>
    <s v="Male"/>
    <n v="48"/>
    <s v="Hyderabad"/>
    <x v="2"/>
    <n v="32687"/>
    <d v="2023-03-19T00:00:00"/>
    <n v="1"/>
    <n v="1"/>
    <n v="3269"/>
    <n v="1634"/>
    <n v="34322"/>
    <n v="0"/>
    <n v="35956"/>
  </r>
  <r>
    <n v="945"/>
    <x v="5"/>
    <s v="Female"/>
    <n v="27"/>
    <s v="Mumbai"/>
    <x v="4"/>
    <n v="56550"/>
    <d v="2022-10-25T00:00:00"/>
    <n v="8"/>
    <n v="3"/>
    <n v="5655"/>
    <n v="2828"/>
    <n v="59377"/>
    <n v="2828"/>
    <n v="65033"/>
  </r>
  <r>
    <n v="946"/>
    <x v="4"/>
    <s v="Male"/>
    <n v="59"/>
    <s v="Hyderabad"/>
    <x v="1"/>
    <n v="97792"/>
    <d v="2023-11-09T00:00:00"/>
    <n v="17"/>
    <n v="4"/>
    <n v="9779"/>
    <n v="4890"/>
    <n v="102681"/>
    <n v="4890"/>
    <n v="112461"/>
  </r>
  <r>
    <n v="947"/>
    <x v="5"/>
    <s v="Female"/>
    <n v="36"/>
    <s v="Chennai"/>
    <x v="3"/>
    <n v="31667"/>
    <d v="2022-01-22T00:00:00"/>
    <n v="2"/>
    <n v="3"/>
    <n v="3167"/>
    <n v="1583"/>
    <n v="33251"/>
    <n v="0"/>
    <n v="34834"/>
  </r>
  <r>
    <n v="948"/>
    <x v="9"/>
    <s v="Male"/>
    <n v="54"/>
    <s v="Bangalore"/>
    <x v="1"/>
    <n v="96115"/>
    <d v="2022-02-17T00:00:00"/>
    <n v="20"/>
    <n v="2"/>
    <n v="9612"/>
    <n v="4806"/>
    <n v="100921"/>
    <n v="4806"/>
    <n v="110533"/>
  </r>
  <r>
    <n v="949"/>
    <x v="9"/>
    <s v="Female"/>
    <n v="45"/>
    <s v="Chennai"/>
    <x v="2"/>
    <n v="72606"/>
    <d v="2024-03-21T00:00:00"/>
    <n v="5"/>
    <n v="2"/>
    <n v="7261"/>
    <n v="3630"/>
    <n v="76237"/>
    <n v="0"/>
    <n v="79867"/>
  </r>
  <r>
    <n v="950"/>
    <x v="2"/>
    <s v="Male"/>
    <n v="38"/>
    <s v="Mumbai"/>
    <x v="1"/>
    <n v="69326"/>
    <d v="2024-01-14T00:00:00"/>
    <n v="17"/>
    <n v="3"/>
    <n v="6933"/>
    <n v="3466"/>
    <n v="72793"/>
    <n v="3466"/>
    <n v="79725"/>
  </r>
  <r>
    <n v="951"/>
    <x v="3"/>
    <s v="Female"/>
    <n v="37"/>
    <s v="Hyderabad"/>
    <x v="3"/>
    <n v="21315"/>
    <d v="2023-01-23T00:00:00"/>
    <n v="2"/>
    <n v="1"/>
    <n v="2132"/>
    <n v="1066"/>
    <n v="22381"/>
    <n v="0"/>
    <n v="23447"/>
  </r>
  <r>
    <n v="952"/>
    <x v="7"/>
    <s v="Male"/>
    <n v="60"/>
    <s v="Hyderabad"/>
    <x v="0"/>
    <n v="36113"/>
    <d v="2023-08-11T00:00:00"/>
    <n v="7"/>
    <n v="1"/>
    <n v="3611"/>
    <n v="1806"/>
    <n v="37918"/>
    <n v="1806"/>
    <n v="41530"/>
  </r>
  <r>
    <n v="953"/>
    <x v="9"/>
    <s v="Female"/>
    <n v="36"/>
    <s v="Chennai"/>
    <x v="2"/>
    <n v="52316"/>
    <d v="2023-04-03T00:00:00"/>
    <n v="3"/>
    <n v="1"/>
    <n v="5232"/>
    <n v="2616"/>
    <n v="54932"/>
    <n v="0"/>
    <n v="57548"/>
  </r>
  <r>
    <n v="954"/>
    <x v="3"/>
    <s v="Male"/>
    <n v="56"/>
    <s v="Chennai"/>
    <x v="4"/>
    <n v="45584"/>
    <d v="2024-09-07T00:00:00"/>
    <n v="15"/>
    <n v="5"/>
    <n v="4558"/>
    <n v="2279"/>
    <n v="47863"/>
    <n v="2279"/>
    <n v="52421"/>
  </r>
  <r>
    <n v="955"/>
    <x v="0"/>
    <s v="Male"/>
    <n v="46"/>
    <s v="Chennai"/>
    <x v="0"/>
    <n v="54238"/>
    <d v="2024-01-17T00:00:00"/>
    <n v="10"/>
    <n v="5"/>
    <n v="5424"/>
    <n v="2712"/>
    <n v="56950"/>
    <n v="2712"/>
    <n v="62374"/>
  </r>
  <r>
    <n v="956"/>
    <x v="4"/>
    <s v="Female"/>
    <n v="27"/>
    <s v="Mumbai"/>
    <x v="0"/>
    <n v="52984"/>
    <d v="2024-03-26T00:00:00"/>
    <n v="19"/>
    <n v="5"/>
    <n v="5298"/>
    <n v="2649"/>
    <n v="55633"/>
    <n v="2649"/>
    <n v="60931"/>
  </r>
  <r>
    <n v="957"/>
    <x v="9"/>
    <s v="Male"/>
    <n v="56"/>
    <s v="Delhi"/>
    <x v="3"/>
    <n v="54316"/>
    <d v="2024-04-21T00:00:00"/>
    <n v="8"/>
    <n v="3"/>
    <n v="5432"/>
    <n v="2716"/>
    <n v="57032"/>
    <n v="2716"/>
    <n v="62464"/>
  </r>
  <r>
    <n v="958"/>
    <x v="3"/>
    <s v="Male"/>
    <n v="55"/>
    <s v="Mumbai"/>
    <x v="2"/>
    <n v="27569"/>
    <d v="2022-12-24T00:00:00"/>
    <n v="16"/>
    <n v="5"/>
    <n v="2757"/>
    <n v="1378"/>
    <n v="28948"/>
    <n v="1378"/>
    <n v="31704"/>
  </r>
  <r>
    <n v="959"/>
    <x v="0"/>
    <s v="Female"/>
    <n v="30"/>
    <s v="Mumbai"/>
    <x v="4"/>
    <n v="64332"/>
    <d v="2022-07-30T00:00:00"/>
    <n v="4"/>
    <n v="5"/>
    <n v="6433"/>
    <n v="3217"/>
    <n v="67548"/>
    <n v="0"/>
    <n v="70765"/>
  </r>
  <r>
    <n v="960"/>
    <x v="2"/>
    <s v="Male"/>
    <n v="31"/>
    <s v="Hyderabad"/>
    <x v="3"/>
    <n v="66344"/>
    <d v="2022-09-19T00:00:00"/>
    <n v="2"/>
    <n v="2"/>
    <n v="6634"/>
    <n v="3317"/>
    <n v="69661"/>
    <n v="0"/>
    <n v="72978"/>
  </r>
  <r>
    <n v="961"/>
    <x v="1"/>
    <s v="Female"/>
    <n v="53"/>
    <s v="Chennai"/>
    <x v="2"/>
    <n v="96910"/>
    <d v="2022-05-21T00:00:00"/>
    <n v="7"/>
    <n v="3"/>
    <n v="9691"/>
    <n v="4846"/>
    <n v="101755"/>
    <n v="4846"/>
    <n v="111447"/>
  </r>
  <r>
    <n v="962"/>
    <x v="9"/>
    <s v="Female"/>
    <n v="37"/>
    <s v="Hyderabad"/>
    <x v="3"/>
    <n v="98659"/>
    <d v="2022-09-14T00:00:00"/>
    <n v="3"/>
    <n v="1"/>
    <n v="9866"/>
    <n v="4933"/>
    <n v="103592"/>
    <n v="0"/>
    <n v="108525"/>
  </r>
  <r>
    <n v="963"/>
    <x v="6"/>
    <s v="Male"/>
    <n v="46"/>
    <s v="Mumbai"/>
    <x v="4"/>
    <n v="97364"/>
    <d v="2023-06-08T00:00:00"/>
    <n v="4"/>
    <n v="4"/>
    <n v="9736"/>
    <n v="4868"/>
    <n v="102232"/>
    <n v="0"/>
    <n v="107100"/>
  </r>
  <r>
    <n v="964"/>
    <x v="9"/>
    <s v="Male"/>
    <n v="21"/>
    <s v="Chennai"/>
    <x v="4"/>
    <n v="34269"/>
    <d v="2023-07-01T00:00:00"/>
    <n v="8"/>
    <n v="3"/>
    <n v="3427"/>
    <n v="1713"/>
    <n v="35983"/>
    <n v="1713"/>
    <n v="39409"/>
  </r>
  <r>
    <n v="965"/>
    <x v="3"/>
    <s v="Female"/>
    <n v="45"/>
    <s v="Delhi"/>
    <x v="4"/>
    <n v="86785"/>
    <d v="2024-02-18T00:00:00"/>
    <n v="14"/>
    <n v="3"/>
    <n v="8678"/>
    <n v="4339"/>
    <n v="91124"/>
    <n v="4339"/>
    <n v="99802"/>
  </r>
  <r>
    <n v="966"/>
    <x v="1"/>
    <s v="Male"/>
    <n v="42"/>
    <s v="Delhi"/>
    <x v="0"/>
    <n v="24151"/>
    <d v="2023-01-31T00:00:00"/>
    <n v="3"/>
    <n v="5"/>
    <n v="2415"/>
    <n v="1208"/>
    <n v="25358"/>
    <n v="0"/>
    <n v="26566"/>
  </r>
  <r>
    <n v="967"/>
    <x v="6"/>
    <s v="Male"/>
    <n v="35"/>
    <s v="Chennai"/>
    <x v="4"/>
    <n v="60565"/>
    <d v="2022-02-04T00:00:00"/>
    <n v="7"/>
    <n v="4"/>
    <n v="6056"/>
    <n v="3028"/>
    <n v="63593"/>
    <n v="3028"/>
    <n v="69649"/>
  </r>
  <r>
    <n v="968"/>
    <x v="3"/>
    <s v="Male"/>
    <n v="22"/>
    <s v="Chennai"/>
    <x v="3"/>
    <n v="70368"/>
    <d v="2022-12-13T00:00:00"/>
    <n v="8"/>
    <n v="5"/>
    <n v="7037"/>
    <n v="3518"/>
    <n v="73887"/>
    <n v="3518"/>
    <n v="80923"/>
  </r>
  <r>
    <n v="969"/>
    <x v="9"/>
    <s v="Female"/>
    <n v="22"/>
    <s v="Delhi"/>
    <x v="0"/>
    <n v="57710"/>
    <d v="2022-08-25T00:00:00"/>
    <n v="18"/>
    <n v="1"/>
    <n v="5771"/>
    <n v="2886"/>
    <n v="60595"/>
    <n v="2886"/>
    <n v="66367"/>
  </r>
  <r>
    <n v="970"/>
    <x v="2"/>
    <s v="Female"/>
    <n v="45"/>
    <s v="Hyderabad"/>
    <x v="0"/>
    <n v="35109"/>
    <d v="2023-05-24T00:00:00"/>
    <n v="13"/>
    <n v="1"/>
    <n v="3511"/>
    <n v="1755"/>
    <n v="36865"/>
    <n v="1755"/>
    <n v="40375"/>
  </r>
  <r>
    <n v="971"/>
    <x v="2"/>
    <s v="Male"/>
    <n v="24"/>
    <s v="Chennai"/>
    <x v="4"/>
    <n v="69927"/>
    <d v="2024-07-12T00:00:00"/>
    <n v="14"/>
    <n v="4"/>
    <n v="6993"/>
    <n v="3496"/>
    <n v="73424"/>
    <n v="3496"/>
    <n v="80416"/>
  </r>
  <r>
    <n v="972"/>
    <x v="8"/>
    <s v="Male"/>
    <n v="34"/>
    <s v="Bangalore"/>
    <x v="4"/>
    <n v="91055"/>
    <d v="2022-11-22T00:00:00"/>
    <n v="10"/>
    <n v="2"/>
    <n v="9106"/>
    <n v="4553"/>
    <n v="95608"/>
    <n v="4553"/>
    <n v="104714"/>
  </r>
  <r>
    <n v="973"/>
    <x v="3"/>
    <s v="Male"/>
    <n v="48"/>
    <s v="Mumbai"/>
    <x v="3"/>
    <n v="31057"/>
    <d v="2022-03-17T00:00:00"/>
    <n v="17"/>
    <n v="4"/>
    <n v="3106"/>
    <n v="1553"/>
    <n v="32610"/>
    <n v="1553"/>
    <n v="35716"/>
  </r>
  <r>
    <n v="974"/>
    <x v="8"/>
    <s v="Male"/>
    <n v="57"/>
    <s v="Bangalore"/>
    <x v="2"/>
    <n v="77685"/>
    <d v="2023-03-15T00:00:00"/>
    <n v="6"/>
    <n v="5"/>
    <n v="7768"/>
    <n v="3884"/>
    <n v="81569"/>
    <n v="3884"/>
    <n v="89337"/>
  </r>
  <r>
    <n v="975"/>
    <x v="0"/>
    <s v="Male"/>
    <n v="27"/>
    <s v="Delhi"/>
    <x v="1"/>
    <n v="75277"/>
    <d v="2022-05-12T00:00:00"/>
    <n v="20"/>
    <n v="1"/>
    <n v="7528"/>
    <n v="3764"/>
    <n v="79041"/>
    <n v="3764"/>
    <n v="86569"/>
  </r>
  <r>
    <n v="976"/>
    <x v="1"/>
    <s v="Female"/>
    <n v="23"/>
    <s v="Chennai"/>
    <x v="4"/>
    <n v="93554"/>
    <d v="2022-03-22T00:00:00"/>
    <n v="7"/>
    <n v="5"/>
    <n v="9355"/>
    <n v="4678"/>
    <n v="98231"/>
    <n v="4678"/>
    <n v="107587"/>
  </r>
  <r>
    <n v="977"/>
    <x v="4"/>
    <s v="Male"/>
    <n v="41"/>
    <s v="Mumbai"/>
    <x v="4"/>
    <n v="27065"/>
    <d v="2024-04-13T00:00:00"/>
    <n v="9"/>
    <n v="3"/>
    <n v="2706"/>
    <n v="1353"/>
    <n v="28418"/>
    <n v="1353"/>
    <n v="31124"/>
  </r>
  <r>
    <n v="978"/>
    <x v="2"/>
    <s v="Male"/>
    <n v="25"/>
    <s v="Delhi"/>
    <x v="4"/>
    <n v="91058"/>
    <d v="2024-03-15T00:00:00"/>
    <n v="4"/>
    <n v="5"/>
    <n v="9106"/>
    <n v="4553"/>
    <n v="95611"/>
    <n v="0"/>
    <n v="100164"/>
  </r>
  <r>
    <n v="979"/>
    <x v="4"/>
    <s v="Female"/>
    <n v="21"/>
    <s v="Bangalore"/>
    <x v="2"/>
    <n v="27528"/>
    <d v="2022-04-08T00:00:00"/>
    <n v="14"/>
    <n v="3"/>
    <n v="2753"/>
    <n v="1376"/>
    <n v="28905"/>
    <n v="1376"/>
    <n v="31657"/>
  </r>
  <r>
    <n v="980"/>
    <x v="5"/>
    <s v="Male"/>
    <n v="24"/>
    <s v="Chennai"/>
    <x v="3"/>
    <n v="31221"/>
    <d v="2024-02-11T00:00:00"/>
    <n v="3"/>
    <n v="5"/>
    <n v="3122"/>
    <n v="1561"/>
    <n v="32782"/>
    <n v="0"/>
    <n v="34343"/>
  </r>
  <r>
    <n v="981"/>
    <x v="2"/>
    <s v="Male"/>
    <n v="58"/>
    <s v="Chennai"/>
    <x v="0"/>
    <n v="62573"/>
    <d v="2023-09-01T00:00:00"/>
    <n v="12"/>
    <n v="2"/>
    <n v="6257"/>
    <n v="3129"/>
    <n v="65701"/>
    <n v="3129"/>
    <n v="71959"/>
  </r>
  <r>
    <n v="982"/>
    <x v="8"/>
    <s v="Female"/>
    <n v="38"/>
    <s v="Bangalore"/>
    <x v="2"/>
    <n v="88939"/>
    <d v="2024-09-04T00:00:00"/>
    <n v="15"/>
    <n v="1"/>
    <n v="8894"/>
    <n v="4447"/>
    <n v="93386"/>
    <n v="4447"/>
    <n v="102280"/>
  </r>
  <r>
    <n v="983"/>
    <x v="1"/>
    <s v="Female"/>
    <n v="27"/>
    <s v="Delhi"/>
    <x v="4"/>
    <n v="47794"/>
    <d v="2023-08-21T00:00:00"/>
    <n v="11"/>
    <n v="4"/>
    <n v="4779"/>
    <n v="2390"/>
    <n v="50183"/>
    <n v="2390"/>
    <n v="54963"/>
  </r>
  <r>
    <n v="984"/>
    <x v="2"/>
    <s v="Female"/>
    <n v="51"/>
    <s v="Hyderabad"/>
    <x v="2"/>
    <n v="86669"/>
    <d v="2023-09-13T00:00:00"/>
    <n v="11"/>
    <n v="2"/>
    <n v="8667"/>
    <n v="4333"/>
    <n v="91003"/>
    <n v="4333"/>
    <n v="99669"/>
  </r>
  <r>
    <n v="985"/>
    <x v="7"/>
    <s v="Female"/>
    <n v="22"/>
    <s v="Chennai"/>
    <x v="3"/>
    <n v="57802"/>
    <d v="2022-06-14T00:00:00"/>
    <n v="18"/>
    <n v="2"/>
    <n v="5780"/>
    <n v="2890"/>
    <n v="60692"/>
    <n v="2890"/>
    <n v="66472"/>
  </r>
  <r>
    <n v="986"/>
    <x v="7"/>
    <s v="Female"/>
    <n v="56"/>
    <s v="Bangalore"/>
    <x v="1"/>
    <n v="68637"/>
    <d v="2022-03-11T00:00:00"/>
    <n v="8"/>
    <n v="5"/>
    <n v="6864"/>
    <n v="3432"/>
    <n v="72069"/>
    <n v="3432"/>
    <n v="78933"/>
  </r>
  <r>
    <n v="987"/>
    <x v="6"/>
    <s v="Female"/>
    <n v="29"/>
    <s v="Mumbai"/>
    <x v="4"/>
    <n v="47588"/>
    <d v="2023-07-19T00:00:00"/>
    <n v="12"/>
    <n v="3"/>
    <n v="4759"/>
    <n v="2379"/>
    <n v="49968"/>
    <n v="2379"/>
    <n v="54726"/>
  </r>
  <r>
    <n v="988"/>
    <x v="9"/>
    <s v="Female"/>
    <n v="53"/>
    <s v="Bangalore"/>
    <x v="2"/>
    <n v="57679"/>
    <d v="2023-09-27T00:00:00"/>
    <n v="18"/>
    <n v="1"/>
    <n v="5768"/>
    <n v="2884"/>
    <n v="60563"/>
    <n v="2884"/>
    <n v="66331"/>
  </r>
  <r>
    <n v="989"/>
    <x v="1"/>
    <s v="Male"/>
    <n v="31"/>
    <s v="Mumbai"/>
    <x v="2"/>
    <n v="32463"/>
    <d v="2022-04-19T00:00:00"/>
    <n v="4"/>
    <n v="1"/>
    <n v="3246"/>
    <n v="1623"/>
    <n v="34086"/>
    <n v="0"/>
    <n v="35709"/>
  </r>
  <r>
    <n v="990"/>
    <x v="4"/>
    <s v="Male"/>
    <n v="55"/>
    <s v="Hyderabad"/>
    <x v="0"/>
    <n v="67545"/>
    <d v="2024-04-03T00:00:00"/>
    <n v="5"/>
    <n v="2"/>
    <n v="6754"/>
    <n v="3377"/>
    <n v="70922"/>
    <n v="0"/>
    <n v="74299"/>
  </r>
  <r>
    <n v="991"/>
    <x v="8"/>
    <s v="Male"/>
    <n v="32"/>
    <s v="Delhi"/>
    <x v="4"/>
    <n v="76836"/>
    <d v="2022-02-12T00:00:00"/>
    <n v="8"/>
    <n v="2"/>
    <n v="7684"/>
    <n v="3842"/>
    <n v="80678"/>
    <n v="3842"/>
    <n v="88362"/>
  </r>
  <r>
    <n v="992"/>
    <x v="6"/>
    <s v="Female"/>
    <n v="49"/>
    <s v="Chennai"/>
    <x v="4"/>
    <n v="97024"/>
    <d v="2023-02-01T00:00:00"/>
    <n v="11"/>
    <n v="5"/>
    <n v="9702"/>
    <n v="4851"/>
    <n v="101875"/>
    <n v="4851"/>
    <n v="111577"/>
  </r>
  <r>
    <n v="993"/>
    <x v="7"/>
    <s v="Female"/>
    <n v="48"/>
    <s v="Hyderabad"/>
    <x v="2"/>
    <n v="31921"/>
    <d v="2023-08-17T00:00:00"/>
    <n v="9"/>
    <n v="3"/>
    <n v="3192"/>
    <n v="1596"/>
    <n v="33517"/>
    <n v="1596"/>
    <n v="36709"/>
  </r>
  <r>
    <n v="994"/>
    <x v="8"/>
    <s v="Female"/>
    <n v="57"/>
    <s v="Chennai"/>
    <x v="3"/>
    <n v="80144"/>
    <d v="2022-08-04T00:00:00"/>
    <n v="20"/>
    <n v="2"/>
    <n v="8014"/>
    <n v="4007"/>
    <n v="84151"/>
    <n v="4007"/>
    <n v="92165"/>
  </r>
  <r>
    <n v="995"/>
    <x v="4"/>
    <s v="Female"/>
    <n v="32"/>
    <s v="Hyderabad"/>
    <x v="1"/>
    <n v="91564"/>
    <d v="2024-07-25T00:00:00"/>
    <n v="18"/>
    <n v="3"/>
    <n v="9156"/>
    <n v="4578"/>
    <n v="96142"/>
    <n v="4578"/>
    <n v="105298"/>
  </r>
  <r>
    <n v="996"/>
    <x v="1"/>
    <s v="Female"/>
    <n v="41"/>
    <s v="Delhi"/>
    <x v="2"/>
    <n v="67752"/>
    <d v="2024-07-12T00:00:00"/>
    <n v="19"/>
    <n v="2"/>
    <n v="6775"/>
    <n v="3388"/>
    <n v="71139"/>
    <n v="3388"/>
    <n v="77915"/>
  </r>
  <r>
    <n v="997"/>
    <x v="4"/>
    <s v="Male"/>
    <n v="49"/>
    <s v="Hyderabad"/>
    <x v="1"/>
    <n v="57259"/>
    <d v="2022-09-17T00:00:00"/>
    <n v="16"/>
    <n v="2"/>
    <n v="5726"/>
    <n v="2863"/>
    <n v="60122"/>
    <n v="2863"/>
    <n v="65848"/>
  </r>
  <r>
    <n v="998"/>
    <x v="5"/>
    <s v="Male"/>
    <n v="34"/>
    <s v="Bangalore"/>
    <x v="2"/>
    <n v="76636"/>
    <d v="2023-10-25T00:00:00"/>
    <n v="16"/>
    <n v="4"/>
    <n v="7664"/>
    <n v="3832"/>
    <n v="80468"/>
    <n v="3832"/>
    <n v="88132"/>
  </r>
  <r>
    <n v="999"/>
    <x v="9"/>
    <s v="Female"/>
    <n v="57"/>
    <s v="Mumbai"/>
    <x v="3"/>
    <n v="54303"/>
    <d v="2022-12-07T00:00:00"/>
    <n v="14"/>
    <n v="4"/>
    <n v="5430"/>
    <n v="2715"/>
    <n v="57018"/>
    <n v="2715"/>
    <n v="62448"/>
  </r>
  <r>
    <n v="1000"/>
    <x v="9"/>
    <s v="Female"/>
    <n v="53"/>
    <s v="Bangalore"/>
    <x v="3"/>
    <n v="25392"/>
    <d v="2022-04-30T00:00:00"/>
    <n v="12"/>
    <n v="5"/>
    <n v="2539"/>
    <n v="1270"/>
    <n v="26661"/>
    <n v="1270"/>
    <n v="29201"/>
  </r>
  <r>
    <n v="1001"/>
    <x v="1"/>
    <s v="Male"/>
    <n v="45"/>
    <s v="Bangalore"/>
    <x v="3"/>
    <n v="20174"/>
    <d v="2022-01-24T00:00:00"/>
    <n v="19"/>
    <n v="2"/>
    <n v="2017"/>
    <n v="1009"/>
    <n v="21182"/>
    <n v="1009"/>
    <n v="23200"/>
  </r>
  <r>
    <n v="1002"/>
    <x v="8"/>
    <s v="Female"/>
    <n v="45"/>
    <s v="Hyderabad"/>
    <x v="1"/>
    <n v="75518"/>
    <d v="2023-07-25T00:00:00"/>
    <n v="16"/>
    <n v="1"/>
    <n v="7552"/>
    <n v="3776"/>
    <n v="79294"/>
    <n v="3776"/>
    <n v="86846"/>
  </r>
  <r>
    <n v="1003"/>
    <x v="8"/>
    <s v="Male"/>
    <n v="22"/>
    <s v="Chennai"/>
    <x v="4"/>
    <n v="49310"/>
    <d v="2023-03-24T00:00:00"/>
    <n v="13"/>
    <n v="5"/>
    <n v="4931"/>
    <n v="2466"/>
    <n v="51775"/>
    <n v="2466"/>
    <n v="56707"/>
  </r>
  <r>
    <n v="1004"/>
    <x v="7"/>
    <s v="Male"/>
    <n v="57"/>
    <s v="Chennai"/>
    <x v="4"/>
    <n v="73992"/>
    <d v="2023-12-31T00:00:00"/>
    <n v="1"/>
    <n v="2"/>
    <n v="7399"/>
    <n v="3700"/>
    <n v="77691"/>
    <n v="0"/>
    <n v="81391"/>
  </r>
  <r>
    <n v="1005"/>
    <x v="5"/>
    <s v="Male"/>
    <n v="27"/>
    <s v="Bangalore"/>
    <x v="3"/>
    <n v="45960"/>
    <d v="2023-06-13T00:00:00"/>
    <n v="9"/>
    <n v="1"/>
    <n v="4596"/>
    <n v="2298"/>
    <n v="48258"/>
    <n v="2298"/>
    <n v="52854"/>
  </r>
  <r>
    <n v="1006"/>
    <x v="8"/>
    <s v="Female"/>
    <n v="31"/>
    <s v="Hyderabad"/>
    <x v="0"/>
    <n v="80935"/>
    <d v="2023-12-15T00:00:00"/>
    <n v="12"/>
    <n v="3"/>
    <n v="8094"/>
    <n v="4047"/>
    <n v="84982"/>
    <n v="4047"/>
    <n v="93076"/>
  </r>
  <r>
    <n v="1007"/>
    <x v="9"/>
    <s v="Female"/>
    <n v="52"/>
    <s v="Hyderabad"/>
    <x v="4"/>
    <n v="89205"/>
    <d v="2022-06-23T00:00:00"/>
    <n v="9"/>
    <n v="5"/>
    <n v="8920"/>
    <n v="4460"/>
    <n v="93665"/>
    <n v="4460"/>
    <n v="102585"/>
  </r>
  <r>
    <n v="1008"/>
    <x v="0"/>
    <s v="Female"/>
    <n v="51"/>
    <s v="Delhi"/>
    <x v="3"/>
    <n v="94229"/>
    <d v="2023-04-07T00:00:00"/>
    <n v="14"/>
    <n v="2"/>
    <n v="9423"/>
    <n v="4711"/>
    <n v="98941"/>
    <n v="4711"/>
    <n v="108363"/>
  </r>
  <r>
    <n v="1009"/>
    <x v="6"/>
    <s v="Male"/>
    <n v="33"/>
    <s v="Delhi"/>
    <x v="4"/>
    <n v="76878"/>
    <d v="2024-03-04T00:00:00"/>
    <n v="13"/>
    <n v="1"/>
    <n v="7688"/>
    <n v="3844"/>
    <n v="80722"/>
    <n v="3844"/>
    <n v="88410"/>
  </r>
  <r>
    <n v="1010"/>
    <x v="6"/>
    <s v="Female"/>
    <n v="24"/>
    <s v="Hyderabad"/>
    <x v="2"/>
    <n v="49756"/>
    <d v="2022-04-02T00:00:00"/>
    <n v="18"/>
    <n v="2"/>
    <n v="4976"/>
    <n v="2488"/>
    <n v="52244"/>
    <n v="2488"/>
    <n v="57220"/>
  </r>
  <r>
    <n v="1011"/>
    <x v="9"/>
    <s v="Male"/>
    <n v="35"/>
    <s v="Bangalore"/>
    <x v="4"/>
    <n v="23953"/>
    <d v="2023-10-18T00:00:00"/>
    <n v="18"/>
    <n v="4"/>
    <n v="2395"/>
    <n v="1198"/>
    <n v="25150"/>
    <n v="1198"/>
    <n v="27546"/>
  </r>
  <r>
    <n v="1012"/>
    <x v="4"/>
    <s v="Female"/>
    <n v="60"/>
    <s v="Hyderabad"/>
    <x v="3"/>
    <n v="22689"/>
    <d v="2024-09-09T00:00:00"/>
    <n v="1"/>
    <n v="2"/>
    <n v="2269"/>
    <n v="1134"/>
    <n v="23824"/>
    <n v="0"/>
    <n v="24958"/>
  </r>
  <r>
    <n v="1013"/>
    <x v="7"/>
    <s v="Female"/>
    <n v="22"/>
    <s v="Hyderabad"/>
    <x v="4"/>
    <n v="51766"/>
    <d v="2024-08-07T00:00:00"/>
    <n v="14"/>
    <n v="3"/>
    <n v="5177"/>
    <n v="2588"/>
    <n v="54355"/>
    <n v="2588"/>
    <n v="59531"/>
  </r>
  <r>
    <n v="1014"/>
    <x v="8"/>
    <s v="Female"/>
    <n v="38"/>
    <s v="Hyderabad"/>
    <x v="4"/>
    <n v="95671"/>
    <d v="2023-09-22T00:00:00"/>
    <n v="10"/>
    <n v="4"/>
    <n v="9567"/>
    <n v="4784"/>
    <n v="100454"/>
    <n v="4784"/>
    <n v="110022"/>
  </r>
  <r>
    <n v="1015"/>
    <x v="0"/>
    <s v="Female"/>
    <n v="50"/>
    <s v="Delhi"/>
    <x v="1"/>
    <n v="61531"/>
    <d v="2023-07-03T00:00:00"/>
    <n v="1"/>
    <n v="3"/>
    <n v="6153"/>
    <n v="3077"/>
    <n v="64607"/>
    <n v="0"/>
    <n v="67684"/>
  </r>
  <r>
    <n v="1016"/>
    <x v="5"/>
    <s v="Female"/>
    <n v="52"/>
    <s v="Mumbai"/>
    <x v="2"/>
    <n v="76530"/>
    <d v="2024-05-28T00:00:00"/>
    <n v="2"/>
    <n v="5"/>
    <n v="7653"/>
    <n v="3826"/>
    <n v="80357"/>
    <n v="0"/>
    <n v="84183"/>
  </r>
  <r>
    <n v="1017"/>
    <x v="2"/>
    <s v="Male"/>
    <n v="24"/>
    <s v="Delhi"/>
    <x v="4"/>
    <n v="87053"/>
    <d v="2023-10-24T00:00:00"/>
    <n v="5"/>
    <n v="1"/>
    <n v="8705"/>
    <n v="4353"/>
    <n v="91405"/>
    <n v="0"/>
    <n v="95758"/>
  </r>
  <r>
    <n v="1018"/>
    <x v="2"/>
    <s v="Female"/>
    <n v="29"/>
    <s v="Hyderabad"/>
    <x v="2"/>
    <n v="74169"/>
    <d v="2023-04-10T00:00:00"/>
    <n v="16"/>
    <n v="5"/>
    <n v="7417"/>
    <n v="3708"/>
    <n v="77878"/>
    <n v="3708"/>
    <n v="85294"/>
  </r>
  <r>
    <n v="1019"/>
    <x v="3"/>
    <s v="Female"/>
    <n v="52"/>
    <s v="Chennai"/>
    <x v="1"/>
    <n v="50252"/>
    <d v="2023-10-05T00:00:00"/>
    <n v="6"/>
    <n v="2"/>
    <n v="5025"/>
    <n v="2513"/>
    <n v="52764"/>
    <n v="2513"/>
    <n v="57790"/>
  </r>
  <r>
    <n v="1020"/>
    <x v="2"/>
    <s v="Male"/>
    <n v="24"/>
    <s v="Chennai"/>
    <x v="3"/>
    <n v="58561"/>
    <d v="2022-05-16T00:00:00"/>
    <n v="17"/>
    <n v="5"/>
    <n v="5856"/>
    <n v="2928"/>
    <n v="61489"/>
    <n v="2928"/>
    <n v="67345"/>
  </r>
  <r>
    <n v="1021"/>
    <x v="8"/>
    <s v="Male"/>
    <n v="43"/>
    <s v="Bangalore"/>
    <x v="0"/>
    <n v="49398"/>
    <d v="2023-08-22T00:00:00"/>
    <n v="16"/>
    <n v="1"/>
    <n v="4940"/>
    <n v="2470"/>
    <n v="51868"/>
    <n v="2470"/>
    <n v="56808"/>
  </r>
  <r>
    <n v="1022"/>
    <x v="2"/>
    <s v="Female"/>
    <n v="37"/>
    <s v="Mumbai"/>
    <x v="1"/>
    <n v="34953"/>
    <d v="2023-11-04T00:00:00"/>
    <n v="11"/>
    <n v="2"/>
    <n v="3495"/>
    <n v="1748"/>
    <n v="36700"/>
    <n v="1748"/>
    <n v="40196"/>
  </r>
  <r>
    <n v="1023"/>
    <x v="7"/>
    <s v="Male"/>
    <n v="25"/>
    <s v="Bangalore"/>
    <x v="1"/>
    <n v="23982"/>
    <d v="2023-04-28T00:00:00"/>
    <n v="2"/>
    <n v="5"/>
    <n v="2398"/>
    <n v="1199"/>
    <n v="25181"/>
    <n v="0"/>
    <n v="26380"/>
  </r>
  <r>
    <n v="1024"/>
    <x v="6"/>
    <s v="Female"/>
    <n v="45"/>
    <s v="Delhi"/>
    <x v="4"/>
    <n v="76939"/>
    <d v="2022-06-19T00:00:00"/>
    <n v="6"/>
    <n v="3"/>
    <n v="7694"/>
    <n v="3847"/>
    <n v="80786"/>
    <n v="3847"/>
    <n v="88480"/>
  </r>
  <r>
    <n v="1025"/>
    <x v="2"/>
    <s v="Male"/>
    <n v="48"/>
    <s v="Hyderabad"/>
    <x v="2"/>
    <n v="55483"/>
    <d v="2022-08-31T00:00:00"/>
    <n v="6"/>
    <n v="3"/>
    <n v="5548"/>
    <n v="2774"/>
    <n v="58257"/>
    <n v="2774"/>
    <n v="63805"/>
  </r>
  <r>
    <n v="1026"/>
    <x v="9"/>
    <s v="Female"/>
    <n v="55"/>
    <s v="Bangalore"/>
    <x v="2"/>
    <n v="87569"/>
    <d v="2023-06-01T00:00:00"/>
    <n v="1"/>
    <n v="5"/>
    <n v="8757"/>
    <n v="4378"/>
    <n v="91948"/>
    <n v="0"/>
    <n v="96326"/>
  </r>
  <r>
    <n v="1027"/>
    <x v="8"/>
    <s v="Male"/>
    <n v="34"/>
    <s v="Mumbai"/>
    <x v="0"/>
    <n v="63468"/>
    <d v="2023-11-21T00:00:00"/>
    <n v="3"/>
    <n v="1"/>
    <n v="6347"/>
    <n v="3173"/>
    <n v="66642"/>
    <n v="0"/>
    <n v="69815"/>
  </r>
  <r>
    <n v="1028"/>
    <x v="2"/>
    <s v="Female"/>
    <n v="55"/>
    <s v="Mumbai"/>
    <x v="2"/>
    <n v="62236"/>
    <d v="2023-11-22T00:00:00"/>
    <n v="16"/>
    <n v="4"/>
    <n v="6224"/>
    <n v="3112"/>
    <n v="65348"/>
    <n v="3112"/>
    <n v="71572"/>
  </r>
  <r>
    <n v="1029"/>
    <x v="7"/>
    <s v="Male"/>
    <n v="39"/>
    <s v="Bangalore"/>
    <x v="0"/>
    <n v="54233"/>
    <d v="2024-06-13T00:00:00"/>
    <n v="5"/>
    <n v="1"/>
    <n v="5423"/>
    <n v="2712"/>
    <n v="56944"/>
    <n v="0"/>
    <n v="59656"/>
  </r>
  <r>
    <n v="1030"/>
    <x v="9"/>
    <s v="Male"/>
    <n v="25"/>
    <s v="Mumbai"/>
    <x v="4"/>
    <n v="23865"/>
    <d v="2022-08-07T00:00:00"/>
    <n v="3"/>
    <n v="1"/>
    <n v="2386"/>
    <n v="1193"/>
    <n v="25058"/>
    <n v="0"/>
    <n v="26251"/>
  </r>
  <r>
    <n v="1031"/>
    <x v="7"/>
    <s v="Female"/>
    <n v="35"/>
    <s v="Mumbai"/>
    <x v="4"/>
    <n v="40995"/>
    <d v="2022-05-30T00:00:00"/>
    <n v="5"/>
    <n v="4"/>
    <n v="4100"/>
    <n v="2050"/>
    <n v="43045"/>
    <n v="0"/>
    <n v="45095"/>
  </r>
  <r>
    <n v="1032"/>
    <x v="5"/>
    <s v="Male"/>
    <n v="49"/>
    <s v="Mumbai"/>
    <x v="4"/>
    <n v="78428"/>
    <d v="2024-03-30T00:00:00"/>
    <n v="15"/>
    <n v="5"/>
    <n v="7843"/>
    <n v="3921"/>
    <n v="82350"/>
    <n v="3921"/>
    <n v="90192"/>
  </r>
  <r>
    <n v="1033"/>
    <x v="0"/>
    <s v="Female"/>
    <n v="60"/>
    <s v="Chennai"/>
    <x v="4"/>
    <n v="48491"/>
    <d v="2022-09-25T00:00:00"/>
    <n v="5"/>
    <n v="4"/>
    <n v="4849"/>
    <n v="2425"/>
    <n v="50915"/>
    <n v="0"/>
    <n v="53340"/>
  </r>
  <r>
    <n v="1034"/>
    <x v="9"/>
    <s v="Male"/>
    <n v="32"/>
    <s v="Bangalore"/>
    <x v="0"/>
    <n v="55342"/>
    <d v="2023-10-29T00:00:00"/>
    <n v="4"/>
    <n v="1"/>
    <n v="5534"/>
    <n v="2767"/>
    <n v="58109"/>
    <n v="0"/>
    <n v="60876"/>
  </r>
  <r>
    <n v="1035"/>
    <x v="4"/>
    <s v="Male"/>
    <n v="52"/>
    <s v="Bangalore"/>
    <x v="4"/>
    <n v="90884"/>
    <d v="2022-04-19T00:00:00"/>
    <n v="18"/>
    <n v="5"/>
    <n v="9088"/>
    <n v="4544"/>
    <n v="95428"/>
    <n v="4544"/>
    <n v="104516"/>
  </r>
  <r>
    <n v="1036"/>
    <x v="8"/>
    <s v="Male"/>
    <n v="27"/>
    <s v="Chennai"/>
    <x v="1"/>
    <n v="54365"/>
    <d v="2022-03-03T00:00:00"/>
    <n v="16"/>
    <n v="2"/>
    <n v="5436"/>
    <n v="2718"/>
    <n v="57083"/>
    <n v="2718"/>
    <n v="62519"/>
  </r>
  <r>
    <n v="1037"/>
    <x v="9"/>
    <s v="Female"/>
    <n v="59"/>
    <s v="Bangalore"/>
    <x v="0"/>
    <n v="83627"/>
    <d v="2024-07-27T00:00:00"/>
    <n v="19"/>
    <n v="1"/>
    <n v="8363"/>
    <n v="4181"/>
    <n v="87809"/>
    <n v="4181"/>
    <n v="96171"/>
  </r>
  <r>
    <n v="1038"/>
    <x v="0"/>
    <s v="Male"/>
    <n v="44"/>
    <s v="Chennai"/>
    <x v="0"/>
    <n v="28193"/>
    <d v="2022-10-04T00:00:00"/>
    <n v="10"/>
    <n v="4"/>
    <n v="2819"/>
    <n v="1410"/>
    <n v="29602"/>
    <n v="1410"/>
    <n v="32422"/>
  </r>
  <r>
    <n v="1039"/>
    <x v="1"/>
    <s v="Female"/>
    <n v="59"/>
    <s v="Mumbai"/>
    <x v="0"/>
    <n v="41047"/>
    <d v="2022-02-05T00:00:00"/>
    <n v="6"/>
    <n v="5"/>
    <n v="4105"/>
    <n v="2052"/>
    <n v="43100"/>
    <n v="2052"/>
    <n v="47204"/>
  </r>
  <r>
    <n v="1040"/>
    <x v="6"/>
    <s v="Female"/>
    <n v="45"/>
    <s v="Hyderabad"/>
    <x v="4"/>
    <n v="26870"/>
    <d v="2022-12-28T00:00:00"/>
    <n v="12"/>
    <n v="5"/>
    <n v="2687"/>
    <n v="1344"/>
    <n v="28213"/>
    <n v="1344"/>
    <n v="30901"/>
  </r>
  <r>
    <n v="1041"/>
    <x v="2"/>
    <s v="Female"/>
    <n v="21"/>
    <s v="Bangalore"/>
    <x v="2"/>
    <n v="82947"/>
    <d v="2024-05-01T00:00:00"/>
    <n v="20"/>
    <n v="3"/>
    <n v="8295"/>
    <n v="4147"/>
    <n v="87095"/>
    <n v="4147"/>
    <n v="95389"/>
  </r>
  <r>
    <n v="1042"/>
    <x v="5"/>
    <s v="Male"/>
    <n v="30"/>
    <s v="Delhi"/>
    <x v="3"/>
    <n v="73026"/>
    <d v="2024-02-23T00:00:00"/>
    <n v="8"/>
    <n v="5"/>
    <n v="7303"/>
    <n v="3651"/>
    <n v="76678"/>
    <n v="3651"/>
    <n v="83980"/>
  </r>
  <r>
    <n v="1043"/>
    <x v="0"/>
    <s v="Female"/>
    <n v="52"/>
    <s v="Mumbai"/>
    <x v="4"/>
    <n v="97121"/>
    <d v="2023-05-15T00:00:00"/>
    <n v="13"/>
    <n v="5"/>
    <n v="9712"/>
    <n v="4856"/>
    <n v="101977"/>
    <n v="4856"/>
    <n v="111689"/>
  </r>
  <r>
    <n v="1044"/>
    <x v="7"/>
    <s v="Female"/>
    <n v="34"/>
    <s v="Delhi"/>
    <x v="0"/>
    <n v="73433"/>
    <d v="2023-10-14T00:00:00"/>
    <n v="13"/>
    <n v="4"/>
    <n v="7343"/>
    <n v="3672"/>
    <n v="77104"/>
    <n v="3672"/>
    <n v="84448"/>
  </r>
  <r>
    <n v="1045"/>
    <x v="6"/>
    <s v="Male"/>
    <n v="33"/>
    <s v="Delhi"/>
    <x v="0"/>
    <n v="92170"/>
    <d v="2024-07-06T00:00:00"/>
    <n v="12"/>
    <n v="3"/>
    <n v="9217"/>
    <n v="4608"/>
    <n v="96779"/>
    <n v="4608"/>
    <n v="105995"/>
  </r>
  <r>
    <n v="1046"/>
    <x v="5"/>
    <s v="Male"/>
    <n v="43"/>
    <s v="Bangalore"/>
    <x v="0"/>
    <n v="91850"/>
    <d v="2024-08-30T00:00:00"/>
    <n v="12"/>
    <n v="2"/>
    <n v="9185"/>
    <n v="4592"/>
    <n v="96443"/>
    <n v="4592"/>
    <n v="105627"/>
  </r>
  <r>
    <n v="1047"/>
    <x v="0"/>
    <s v="Male"/>
    <n v="57"/>
    <s v="Hyderabad"/>
    <x v="4"/>
    <n v="34700"/>
    <d v="2022-07-17T00:00:00"/>
    <n v="15"/>
    <n v="1"/>
    <n v="3470"/>
    <n v="1735"/>
    <n v="36435"/>
    <n v="1735"/>
    <n v="39905"/>
  </r>
  <r>
    <n v="1048"/>
    <x v="2"/>
    <s v="Male"/>
    <n v="34"/>
    <s v="Chennai"/>
    <x v="4"/>
    <n v="38768"/>
    <d v="2022-08-15T00:00:00"/>
    <n v="16"/>
    <n v="2"/>
    <n v="3877"/>
    <n v="1938"/>
    <n v="40707"/>
    <n v="1938"/>
    <n v="44583"/>
  </r>
  <r>
    <n v="1049"/>
    <x v="0"/>
    <s v="Female"/>
    <n v="34"/>
    <s v="Delhi"/>
    <x v="2"/>
    <n v="99495"/>
    <d v="2023-12-20T00:00:00"/>
    <n v="13"/>
    <n v="1"/>
    <n v="9950"/>
    <n v="4975"/>
    <n v="104470"/>
    <n v="4975"/>
    <n v="114420"/>
  </r>
  <r>
    <n v="1050"/>
    <x v="9"/>
    <s v="Female"/>
    <n v="37"/>
    <s v="Delhi"/>
    <x v="4"/>
    <n v="30187"/>
    <d v="2023-03-19T00:00:00"/>
    <n v="10"/>
    <n v="5"/>
    <n v="3019"/>
    <n v="1509"/>
    <n v="31697"/>
    <n v="1509"/>
    <n v="34715"/>
  </r>
  <r>
    <n v="1051"/>
    <x v="7"/>
    <s v="Female"/>
    <n v="25"/>
    <s v="Hyderabad"/>
    <x v="3"/>
    <n v="56831"/>
    <d v="2022-08-19T00:00:00"/>
    <n v="5"/>
    <n v="5"/>
    <n v="5683"/>
    <n v="2842"/>
    <n v="59672"/>
    <n v="0"/>
    <n v="62514"/>
  </r>
  <r>
    <n v="1052"/>
    <x v="8"/>
    <s v="Male"/>
    <n v="34"/>
    <s v="Bangalore"/>
    <x v="1"/>
    <n v="69425"/>
    <d v="2024-04-15T00:00:00"/>
    <n v="8"/>
    <n v="1"/>
    <n v="6942"/>
    <n v="3471"/>
    <n v="72896"/>
    <n v="3471"/>
    <n v="79838"/>
  </r>
  <r>
    <n v="1053"/>
    <x v="7"/>
    <s v="Female"/>
    <n v="51"/>
    <s v="Chennai"/>
    <x v="4"/>
    <n v="46020"/>
    <d v="2024-02-26T00:00:00"/>
    <n v="13"/>
    <n v="5"/>
    <n v="4602"/>
    <n v="2301"/>
    <n v="48321"/>
    <n v="2301"/>
    <n v="52923"/>
  </r>
  <r>
    <n v="1054"/>
    <x v="9"/>
    <s v="Female"/>
    <n v="25"/>
    <s v="Chennai"/>
    <x v="1"/>
    <n v="37130"/>
    <d v="2024-03-31T00:00:00"/>
    <n v="8"/>
    <n v="4"/>
    <n v="3713"/>
    <n v="1856"/>
    <n v="38987"/>
    <n v="1856"/>
    <n v="42699"/>
  </r>
  <r>
    <n v="1055"/>
    <x v="4"/>
    <s v="Male"/>
    <n v="47"/>
    <s v="Bangalore"/>
    <x v="2"/>
    <n v="70895"/>
    <d v="2024-01-27T00:00:00"/>
    <n v="19"/>
    <n v="5"/>
    <n v="7090"/>
    <n v="3545"/>
    <n v="74440"/>
    <n v="3545"/>
    <n v="81530"/>
  </r>
  <r>
    <n v="1056"/>
    <x v="2"/>
    <s v="Female"/>
    <n v="53"/>
    <s v="Mumbai"/>
    <x v="4"/>
    <n v="34171"/>
    <d v="2022-05-06T00:00:00"/>
    <n v="3"/>
    <n v="5"/>
    <n v="3417"/>
    <n v="1709"/>
    <n v="35879"/>
    <n v="0"/>
    <n v="37588"/>
  </r>
  <r>
    <n v="1057"/>
    <x v="2"/>
    <s v="Female"/>
    <n v="35"/>
    <s v="Bangalore"/>
    <x v="1"/>
    <n v="30304"/>
    <d v="2023-03-16T00:00:00"/>
    <n v="15"/>
    <n v="3"/>
    <n v="3030"/>
    <n v="1515"/>
    <n v="31819"/>
    <n v="1515"/>
    <n v="34849"/>
  </r>
  <r>
    <n v="1058"/>
    <x v="7"/>
    <s v="Female"/>
    <n v="56"/>
    <s v="Mumbai"/>
    <x v="4"/>
    <n v="70743"/>
    <d v="2022-01-30T00:00:00"/>
    <n v="19"/>
    <n v="3"/>
    <n v="7074"/>
    <n v="3537"/>
    <n v="74280"/>
    <n v="3537"/>
    <n v="81354"/>
  </r>
  <r>
    <n v="1059"/>
    <x v="0"/>
    <s v="Male"/>
    <n v="58"/>
    <s v="Hyderabad"/>
    <x v="4"/>
    <n v="26711"/>
    <d v="2022-09-29T00:00:00"/>
    <n v="3"/>
    <n v="4"/>
    <n v="2671"/>
    <n v="1336"/>
    <n v="28046"/>
    <n v="0"/>
    <n v="29382"/>
  </r>
  <r>
    <n v="1060"/>
    <x v="2"/>
    <s v="Male"/>
    <n v="37"/>
    <s v="Bangalore"/>
    <x v="1"/>
    <n v="69656"/>
    <d v="2022-07-25T00:00:00"/>
    <n v="10"/>
    <n v="4"/>
    <n v="6966"/>
    <n v="3483"/>
    <n v="73139"/>
    <n v="3483"/>
    <n v="80105"/>
  </r>
  <r>
    <n v="1061"/>
    <x v="1"/>
    <s v="Female"/>
    <n v="37"/>
    <s v="Hyderabad"/>
    <x v="0"/>
    <n v="80078"/>
    <d v="2023-10-19T00:00:00"/>
    <n v="5"/>
    <n v="1"/>
    <n v="8008"/>
    <n v="4004"/>
    <n v="84082"/>
    <n v="0"/>
    <n v="88086"/>
  </r>
  <r>
    <n v="1062"/>
    <x v="6"/>
    <s v="Female"/>
    <n v="34"/>
    <s v="Chennai"/>
    <x v="4"/>
    <n v="73717"/>
    <d v="2023-06-24T00:00:00"/>
    <n v="7"/>
    <n v="4"/>
    <n v="7372"/>
    <n v="3686"/>
    <n v="77403"/>
    <n v="3686"/>
    <n v="84775"/>
  </r>
  <r>
    <n v="1063"/>
    <x v="4"/>
    <s v="Male"/>
    <n v="47"/>
    <s v="Delhi"/>
    <x v="3"/>
    <n v="56155"/>
    <d v="2022-11-08T00:00:00"/>
    <n v="1"/>
    <n v="4"/>
    <n v="5616"/>
    <n v="2808"/>
    <n v="58963"/>
    <n v="0"/>
    <n v="61771"/>
  </r>
  <r>
    <n v="1064"/>
    <x v="2"/>
    <s v="Male"/>
    <n v="51"/>
    <s v="Delhi"/>
    <x v="1"/>
    <n v="29535"/>
    <d v="2022-05-20T00:00:00"/>
    <n v="11"/>
    <n v="3"/>
    <n v="2954"/>
    <n v="1477"/>
    <n v="31012"/>
    <n v="1477"/>
    <n v="33966"/>
  </r>
  <r>
    <n v="1065"/>
    <x v="1"/>
    <s v="Female"/>
    <n v="56"/>
    <s v="Delhi"/>
    <x v="3"/>
    <n v="39311"/>
    <d v="2023-10-07T00:00:00"/>
    <n v="8"/>
    <n v="5"/>
    <n v="3931"/>
    <n v="1966"/>
    <n v="41276"/>
    <n v="1966"/>
    <n v="45208"/>
  </r>
  <r>
    <n v="1066"/>
    <x v="1"/>
    <s v="Female"/>
    <n v="42"/>
    <s v="Delhi"/>
    <x v="2"/>
    <n v="85334"/>
    <d v="2022-09-10T00:00:00"/>
    <n v="5"/>
    <n v="2"/>
    <n v="8533"/>
    <n v="4267"/>
    <n v="89600"/>
    <n v="0"/>
    <n v="93867"/>
  </r>
  <r>
    <n v="1067"/>
    <x v="7"/>
    <s v="Male"/>
    <n v="40"/>
    <s v="Mumbai"/>
    <x v="1"/>
    <n v="80016"/>
    <d v="2022-12-14T00:00:00"/>
    <n v="6"/>
    <n v="5"/>
    <n v="8002"/>
    <n v="4001"/>
    <n v="84017"/>
    <n v="4001"/>
    <n v="92019"/>
  </r>
  <r>
    <n v="1068"/>
    <x v="8"/>
    <s v="Female"/>
    <n v="36"/>
    <s v="Bangalore"/>
    <x v="4"/>
    <n v="24818"/>
    <d v="2022-03-12T00:00:00"/>
    <n v="10"/>
    <n v="2"/>
    <n v="2482"/>
    <n v="1241"/>
    <n v="26059"/>
    <n v="1241"/>
    <n v="28541"/>
  </r>
  <r>
    <n v="1069"/>
    <x v="3"/>
    <s v="Male"/>
    <n v="31"/>
    <s v="Chennai"/>
    <x v="1"/>
    <n v="37758"/>
    <d v="2024-05-11T00:00:00"/>
    <n v="18"/>
    <n v="4"/>
    <n v="3776"/>
    <n v="1888"/>
    <n v="39646"/>
    <n v="1888"/>
    <n v="43422"/>
  </r>
  <r>
    <n v="1070"/>
    <x v="8"/>
    <s v="Female"/>
    <n v="29"/>
    <s v="Mumbai"/>
    <x v="0"/>
    <n v="53712"/>
    <d v="2023-01-22T00:00:00"/>
    <n v="17"/>
    <n v="4"/>
    <n v="5371"/>
    <n v="2686"/>
    <n v="56397"/>
    <n v="2686"/>
    <n v="61769"/>
  </r>
  <r>
    <n v="1071"/>
    <x v="3"/>
    <s v="Male"/>
    <n v="38"/>
    <s v="Bangalore"/>
    <x v="0"/>
    <n v="46687"/>
    <d v="2024-06-29T00:00:00"/>
    <n v="18"/>
    <n v="4"/>
    <n v="4669"/>
    <n v="2334"/>
    <n v="49022"/>
    <n v="2334"/>
    <n v="53690"/>
  </r>
  <r>
    <n v="1072"/>
    <x v="4"/>
    <s v="Male"/>
    <n v="22"/>
    <s v="Hyderabad"/>
    <x v="0"/>
    <n v="92019"/>
    <d v="2023-06-11T00:00:00"/>
    <n v="15"/>
    <n v="3"/>
    <n v="9202"/>
    <n v="4601"/>
    <n v="96620"/>
    <n v="4601"/>
    <n v="105822"/>
  </r>
  <r>
    <n v="1073"/>
    <x v="3"/>
    <s v="Female"/>
    <n v="51"/>
    <s v="Hyderabad"/>
    <x v="4"/>
    <n v="46698"/>
    <d v="2023-09-25T00:00:00"/>
    <n v="11"/>
    <n v="5"/>
    <n v="4670"/>
    <n v="2335"/>
    <n v="49033"/>
    <n v="2335"/>
    <n v="53703"/>
  </r>
  <r>
    <n v="1074"/>
    <x v="1"/>
    <s v="Male"/>
    <n v="28"/>
    <s v="Chennai"/>
    <x v="0"/>
    <n v="92637"/>
    <d v="2022-09-29T00:00:00"/>
    <n v="5"/>
    <n v="3"/>
    <n v="9264"/>
    <n v="4632"/>
    <n v="97269"/>
    <n v="0"/>
    <n v="101901"/>
  </r>
  <r>
    <n v="1075"/>
    <x v="3"/>
    <s v="Male"/>
    <n v="38"/>
    <s v="Bangalore"/>
    <x v="1"/>
    <n v="49412"/>
    <d v="2023-07-09T00:00:00"/>
    <n v="4"/>
    <n v="3"/>
    <n v="4941"/>
    <n v="2471"/>
    <n v="51882"/>
    <n v="0"/>
    <n v="54353"/>
  </r>
  <r>
    <n v="1076"/>
    <x v="3"/>
    <s v="Male"/>
    <n v="40"/>
    <s v="Hyderabad"/>
    <x v="3"/>
    <n v="84198"/>
    <d v="2023-08-21T00:00:00"/>
    <n v="9"/>
    <n v="5"/>
    <n v="8420"/>
    <n v="4210"/>
    <n v="88408"/>
    <n v="4210"/>
    <n v="96828"/>
  </r>
  <r>
    <n v="1077"/>
    <x v="8"/>
    <s v="Male"/>
    <n v="33"/>
    <s v="Hyderabad"/>
    <x v="0"/>
    <n v="38658"/>
    <d v="2023-02-25T00:00:00"/>
    <n v="9"/>
    <n v="3"/>
    <n v="3866"/>
    <n v="1933"/>
    <n v="40591"/>
    <n v="1933"/>
    <n v="44457"/>
  </r>
  <r>
    <n v="1078"/>
    <x v="1"/>
    <s v="Female"/>
    <n v="41"/>
    <s v="Hyderabad"/>
    <x v="4"/>
    <n v="24780"/>
    <d v="2023-02-01T00:00:00"/>
    <n v="9"/>
    <n v="4"/>
    <n v="2478"/>
    <n v="1239"/>
    <n v="26019"/>
    <n v="1239"/>
    <n v="28497"/>
  </r>
  <r>
    <n v="1079"/>
    <x v="6"/>
    <s v="Male"/>
    <n v="22"/>
    <s v="Hyderabad"/>
    <x v="2"/>
    <n v="93618"/>
    <d v="2024-03-29T00:00:00"/>
    <n v="8"/>
    <n v="2"/>
    <n v="9362"/>
    <n v="4681"/>
    <n v="98299"/>
    <n v="4681"/>
    <n v="107661"/>
  </r>
  <r>
    <n v="1080"/>
    <x v="8"/>
    <s v="Female"/>
    <n v="27"/>
    <s v="Delhi"/>
    <x v="4"/>
    <n v="49794"/>
    <d v="2023-04-20T00:00:00"/>
    <n v="15"/>
    <n v="1"/>
    <n v="4979"/>
    <n v="2490"/>
    <n v="52283"/>
    <n v="2490"/>
    <n v="57263"/>
  </r>
  <r>
    <n v="1081"/>
    <x v="0"/>
    <s v="Female"/>
    <n v="36"/>
    <s v="Delhi"/>
    <x v="3"/>
    <n v="70811"/>
    <d v="2023-11-15T00:00:00"/>
    <n v="1"/>
    <n v="2"/>
    <n v="7081"/>
    <n v="3541"/>
    <n v="74351"/>
    <n v="0"/>
    <n v="77892"/>
  </r>
  <r>
    <n v="1082"/>
    <x v="2"/>
    <s v="Male"/>
    <n v="59"/>
    <s v="Hyderabad"/>
    <x v="3"/>
    <n v="61410"/>
    <d v="2023-02-14T00:00:00"/>
    <n v="16"/>
    <n v="2"/>
    <n v="6141"/>
    <n v="3070"/>
    <n v="64481"/>
    <n v="3070"/>
    <n v="70621"/>
  </r>
  <r>
    <n v="1083"/>
    <x v="4"/>
    <s v="Male"/>
    <n v="23"/>
    <s v="Hyderabad"/>
    <x v="4"/>
    <n v="65516"/>
    <d v="2022-11-25T00:00:00"/>
    <n v="4"/>
    <n v="5"/>
    <n v="6552"/>
    <n v="3276"/>
    <n v="68792"/>
    <n v="0"/>
    <n v="72068"/>
  </r>
  <r>
    <n v="1084"/>
    <x v="6"/>
    <s v="Female"/>
    <n v="53"/>
    <s v="Mumbai"/>
    <x v="0"/>
    <n v="99597"/>
    <d v="2022-11-23T00:00:00"/>
    <n v="8"/>
    <n v="4"/>
    <n v="9960"/>
    <n v="4980"/>
    <n v="104577"/>
    <n v="4980"/>
    <n v="114537"/>
  </r>
  <r>
    <n v="1085"/>
    <x v="2"/>
    <s v="Male"/>
    <n v="58"/>
    <s v="Hyderabad"/>
    <x v="2"/>
    <n v="24271"/>
    <d v="2022-10-29T00:00:00"/>
    <n v="7"/>
    <n v="1"/>
    <n v="2427"/>
    <n v="1214"/>
    <n v="25484"/>
    <n v="1214"/>
    <n v="27912"/>
  </r>
  <r>
    <n v="1086"/>
    <x v="3"/>
    <s v="Female"/>
    <n v="55"/>
    <s v="Delhi"/>
    <x v="4"/>
    <n v="77634"/>
    <d v="2022-03-12T00:00:00"/>
    <n v="7"/>
    <n v="2"/>
    <n v="7763"/>
    <n v="3882"/>
    <n v="81515"/>
    <n v="3882"/>
    <n v="89279"/>
  </r>
  <r>
    <n v="1087"/>
    <x v="7"/>
    <s v="Male"/>
    <n v="32"/>
    <s v="Hyderabad"/>
    <x v="4"/>
    <n v="31994"/>
    <d v="2024-01-18T00:00:00"/>
    <n v="5"/>
    <n v="1"/>
    <n v="3199"/>
    <n v="1600"/>
    <n v="33593"/>
    <n v="0"/>
    <n v="35193"/>
  </r>
  <r>
    <n v="1088"/>
    <x v="0"/>
    <s v="Female"/>
    <n v="44"/>
    <s v="Delhi"/>
    <x v="3"/>
    <n v="61592"/>
    <d v="2024-04-26T00:00:00"/>
    <n v="14"/>
    <n v="1"/>
    <n v="6159"/>
    <n v="3080"/>
    <n v="64671"/>
    <n v="3080"/>
    <n v="70831"/>
  </r>
  <r>
    <n v="1089"/>
    <x v="9"/>
    <s v="Male"/>
    <n v="45"/>
    <s v="Chennai"/>
    <x v="1"/>
    <n v="34397"/>
    <d v="2023-08-26T00:00:00"/>
    <n v="18"/>
    <n v="4"/>
    <n v="3440"/>
    <n v="1720"/>
    <n v="36117"/>
    <n v="1720"/>
    <n v="39557"/>
  </r>
  <r>
    <n v="1090"/>
    <x v="4"/>
    <s v="Female"/>
    <n v="57"/>
    <s v="Mumbai"/>
    <x v="0"/>
    <n v="44667"/>
    <d v="2023-02-28T00:00:00"/>
    <n v="1"/>
    <n v="4"/>
    <n v="4467"/>
    <n v="2233"/>
    <n v="46901"/>
    <n v="0"/>
    <n v="49134"/>
  </r>
  <r>
    <n v="1091"/>
    <x v="5"/>
    <s v="Female"/>
    <n v="31"/>
    <s v="Delhi"/>
    <x v="3"/>
    <n v="31283"/>
    <d v="2023-12-27T00:00:00"/>
    <n v="7"/>
    <n v="4"/>
    <n v="3128"/>
    <n v="1564"/>
    <n v="32847"/>
    <n v="1564"/>
    <n v="35975"/>
  </r>
  <r>
    <n v="1092"/>
    <x v="6"/>
    <s v="Female"/>
    <n v="57"/>
    <s v="Chennai"/>
    <x v="2"/>
    <n v="34415"/>
    <d v="2023-05-13T00:00:00"/>
    <n v="1"/>
    <n v="3"/>
    <n v="3442"/>
    <n v="1721"/>
    <n v="36136"/>
    <n v="0"/>
    <n v="37857"/>
  </r>
  <r>
    <n v="1093"/>
    <x v="4"/>
    <s v="Male"/>
    <n v="27"/>
    <s v="Mumbai"/>
    <x v="3"/>
    <n v="26495"/>
    <d v="2022-10-08T00:00:00"/>
    <n v="4"/>
    <n v="2"/>
    <n v="2650"/>
    <n v="1325"/>
    <n v="27820"/>
    <n v="0"/>
    <n v="29145"/>
  </r>
  <r>
    <n v="1094"/>
    <x v="3"/>
    <s v="Male"/>
    <n v="23"/>
    <s v="Delhi"/>
    <x v="2"/>
    <n v="52856"/>
    <d v="2022-08-12T00:00:00"/>
    <n v="14"/>
    <n v="4"/>
    <n v="5286"/>
    <n v="2643"/>
    <n v="55499"/>
    <n v="2643"/>
    <n v="60785"/>
  </r>
  <r>
    <n v="1095"/>
    <x v="2"/>
    <s v="Male"/>
    <n v="46"/>
    <s v="Chennai"/>
    <x v="4"/>
    <n v="62190"/>
    <d v="2023-01-30T00:00:00"/>
    <n v="9"/>
    <n v="5"/>
    <n v="6219"/>
    <n v="3110"/>
    <n v="65299"/>
    <n v="3110"/>
    <n v="71519"/>
  </r>
  <r>
    <n v="1096"/>
    <x v="2"/>
    <s v="Male"/>
    <n v="58"/>
    <s v="Mumbai"/>
    <x v="1"/>
    <n v="47132"/>
    <d v="2022-03-01T00:00:00"/>
    <n v="10"/>
    <n v="3"/>
    <n v="4713"/>
    <n v="2357"/>
    <n v="49488"/>
    <n v="2357"/>
    <n v="54202"/>
  </r>
  <r>
    <n v="1097"/>
    <x v="4"/>
    <s v="Male"/>
    <n v="27"/>
    <s v="Bangalore"/>
    <x v="3"/>
    <n v="76533"/>
    <d v="2024-04-10T00:00:00"/>
    <n v="7"/>
    <n v="2"/>
    <n v="7653"/>
    <n v="3827"/>
    <n v="80359"/>
    <n v="3827"/>
    <n v="88013"/>
  </r>
  <r>
    <n v="1098"/>
    <x v="7"/>
    <s v="Male"/>
    <n v="35"/>
    <s v="Hyderabad"/>
    <x v="3"/>
    <n v="40695"/>
    <d v="2024-06-03T00:00:00"/>
    <n v="6"/>
    <n v="5"/>
    <n v="4070"/>
    <n v="2035"/>
    <n v="42730"/>
    <n v="2035"/>
    <n v="46800"/>
  </r>
  <r>
    <n v="1099"/>
    <x v="9"/>
    <s v="Female"/>
    <n v="25"/>
    <s v="Hyderabad"/>
    <x v="2"/>
    <n v="55357"/>
    <d v="2023-12-27T00:00:00"/>
    <n v="17"/>
    <n v="5"/>
    <n v="5536"/>
    <n v="2768"/>
    <n v="58125"/>
    <n v="2768"/>
    <n v="63661"/>
  </r>
  <r>
    <n v="1100"/>
    <x v="7"/>
    <s v="Male"/>
    <n v="21"/>
    <s v="Hyderabad"/>
    <x v="0"/>
    <n v="49090"/>
    <d v="2022-09-04T00:00:00"/>
    <n v="9"/>
    <n v="4"/>
    <n v="4909"/>
    <n v="2454"/>
    <n v="51545"/>
    <n v="2454"/>
    <n v="56453"/>
  </r>
  <r>
    <n v="1101"/>
    <x v="9"/>
    <s v="Male"/>
    <n v="56"/>
    <s v="Bangalore"/>
    <x v="4"/>
    <n v="65320"/>
    <d v="2022-06-11T00:00:00"/>
    <n v="19"/>
    <n v="2"/>
    <n v="6532"/>
    <n v="3266"/>
    <n v="68586"/>
    <n v="3266"/>
    <n v="75118"/>
  </r>
  <r>
    <n v="1102"/>
    <x v="3"/>
    <s v="Male"/>
    <n v="29"/>
    <s v="Chennai"/>
    <x v="0"/>
    <n v="59372"/>
    <d v="2023-11-03T00:00:00"/>
    <n v="18"/>
    <n v="5"/>
    <n v="5937"/>
    <n v="2969"/>
    <n v="62340"/>
    <n v="2969"/>
    <n v="68278"/>
  </r>
  <r>
    <n v="1103"/>
    <x v="9"/>
    <s v="Male"/>
    <n v="28"/>
    <s v="Hyderabad"/>
    <x v="0"/>
    <n v="96749"/>
    <d v="2022-05-24T00:00:00"/>
    <n v="6"/>
    <n v="4"/>
    <n v="9675"/>
    <n v="4837"/>
    <n v="101587"/>
    <n v="4837"/>
    <n v="111261"/>
  </r>
  <r>
    <n v="1104"/>
    <x v="9"/>
    <s v="Female"/>
    <n v="47"/>
    <s v="Hyderabad"/>
    <x v="1"/>
    <n v="23639"/>
    <d v="2023-05-15T00:00:00"/>
    <n v="12"/>
    <n v="3"/>
    <n v="2364"/>
    <n v="1182"/>
    <n v="24821"/>
    <n v="1182"/>
    <n v="27185"/>
  </r>
  <r>
    <n v="1105"/>
    <x v="6"/>
    <s v="Female"/>
    <n v="44"/>
    <s v="Mumbai"/>
    <x v="4"/>
    <n v="34179"/>
    <d v="2022-01-17T00:00:00"/>
    <n v="18"/>
    <n v="4"/>
    <n v="3418"/>
    <n v="1709"/>
    <n v="35888"/>
    <n v="1709"/>
    <n v="39306"/>
  </r>
  <r>
    <n v="1106"/>
    <x v="4"/>
    <s v="Female"/>
    <n v="36"/>
    <s v="Hyderabad"/>
    <x v="3"/>
    <n v="44827"/>
    <d v="2023-12-04T00:00:00"/>
    <n v="11"/>
    <n v="1"/>
    <n v="4483"/>
    <n v="2241"/>
    <n v="47069"/>
    <n v="2241"/>
    <n v="51551"/>
  </r>
  <r>
    <n v="1107"/>
    <x v="6"/>
    <s v="Male"/>
    <n v="56"/>
    <s v="Mumbai"/>
    <x v="4"/>
    <n v="79231"/>
    <d v="2022-06-17T00:00:00"/>
    <n v="19"/>
    <n v="3"/>
    <n v="7923"/>
    <n v="3962"/>
    <n v="83192"/>
    <n v="3962"/>
    <n v="91116"/>
  </r>
  <r>
    <n v="1108"/>
    <x v="0"/>
    <s v="Female"/>
    <n v="60"/>
    <s v="Hyderabad"/>
    <x v="3"/>
    <n v="55539"/>
    <d v="2022-07-05T00:00:00"/>
    <n v="3"/>
    <n v="2"/>
    <n v="5554"/>
    <n v="2777"/>
    <n v="58316"/>
    <n v="0"/>
    <n v="61093"/>
  </r>
  <r>
    <n v="1109"/>
    <x v="7"/>
    <s v="Female"/>
    <n v="46"/>
    <s v="Bangalore"/>
    <x v="0"/>
    <n v="92316"/>
    <d v="2023-02-26T00:00:00"/>
    <n v="19"/>
    <n v="4"/>
    <n v="9232"/>
    <n v="4616"/>
    <n v="96932"/>
    <n v="4616"/>
    <n v="106164"/>
  </r>
  <r>
    <n v="1110"/>
    <x v="7"/>
    <s v="Male"/>
    <n v="28"/>
    <s v="Bangalore"/>
    <x v="4"/>
    <n v="63435"/>
    <d v="2023-11-30T00:00:00"/>
    <n v="13"/>
    <n v="5"/>
    <n v="6344"/>
    <n v="3172"/>
    <n v="66607"/>
    <n v="3172"/>
    <n v="72951"/>
  </r>
  <r>
    <n v="1111"/>
    <x v="9"/>
    <s v="Female"/>
    <n v="59"/>
    <s v="Delhi"/>
    <x v="0"/>
    <n v="89812"/>
    <d v="2022-02-06T00:00:00"/>
    <n v="14"/>
    <n v="3"/>
    <n v="8981"/>
    <n v="4491"/>
    <n v="94302"/>
    <n v="4491"/>
    <n v="103284"/>
  </r>
  <r>
    <n v="1112"/>
    <x v="7"/>
    <s v="Male"/>
    <n v="30"/>
    <s v="Bangalore"/>
    <x v="0"/>
    <n v="77307"/>
    <d v="2024-08-28T00:00:00"/>
    <n v="4"/>
    <n v="3"/>
    <n v="7731"/>
    <n v="3865"/>
    <n v="81173"/>
    <n v="0"/>
    <n v="85038"/>
  </r>
  <r>
    <n v="1113"/>
    <x v="2"/>
    <s v="Female"/>
    <n v="33"/>
    <s v="Chennai"/>
    <x v="0"/>
    <n v="37434"/>
    <d v="2023-01-18T00:00:00"/>
    <n v="17"/>
    <n v="5"/>
    <n v="3743"/>
    <n v="1872"/>
    <n v="39305"/>
    <n v="1872"/>
    <n v="43049"/>
  </r>
  <r>
    <n v="1114"/>
    <x v="9"/>
    <s v="Male"/>
    <n v="47"/>
    <s v="Delhi"/>
    <x v="1"/>
    <n v="27361"/>
    <d v="2022-09-16T00:00:00"/>
    <n v="14"/>
    <n v="4"/>
    <n v="2736"/>
    <n v="1368"/>
    <n v="28729"/>
    <n v="1368"/>
    <n v="31465"/>
  </r>
  <r>
    <n v="1115"/>
    <x v="8"/>
    <s v="Male"/>
    <n v="47"/>
    <s v="Hyderabad"/>
    <x v="0"/>
    <n v="58361"/>
    <d v="2024-06-01T00:00:00"/>
    <n v="15"/>
    <n v="1"/>
    <n v="5836"/>
    <n v="2918"/>
    <n v="61279"/>
    <n v="2918"/>
    <n v="67115"/>
  </r>
  <r>
    <n v="1116"/>
    <x v="3"/>
    <s v="Female"/>
    <n v="22"/>
    <s v="Chennai"/>
    <x v="2"/>
    <n v="68839"/>
    <d v="2022-07-08T00:00:00"/>
    <n v="16"/>
    <n v="1"/>
    <n v="6884"/>
    <n v="3442"/>
    <n v="72281"/>
    <n v="3442"/>
    <n v="79165"/>
  </r>
  <r>
    <n v="1117"/>
    <x v="0"/>
    <s v="Male"/>
    <n v="22"/>
    <s v="Hyderabad"/>
    <x v="3"/>
    <n v="46682"/>
    <d v="2023-11-04T00:00:00"/>
    <n v="1"/>
    <n v="4"/>
    <n v="4668"/>
    <n v="2334"/>
    <n v="49016"/>
    <n v="0"/>
    <n v="51350"/>
  </r>
  <r>
    <n v="1118"/>
    <x v="7"/>
    <s v="Female"/>
    <n v="51"/>
    <s v="Mumbai"/>
    <x v="4"/>
    <n v="41929"/>
    <d v="2022-10-07T00:00:00"/>
    <n v="13"/>
    <n v="1"/>
    <n v="4193"/>
    <n v="2096"/>
    <n v="44026"/>
    <n v="2096"/>
    <n v="48218"/>
  </r>
  <r>
    <n v="1119"/>
    <x v="0"/>
    <s v="Female"/>
    <n v="43"/>
    <s v="Hyderabad"/>
    <x v="1"/>
    <n v="99795"/>
    <d v="2022-04-16T00:00:00"/>
    <n v="11"/>
    <n v="3"/>
    <n v="9980"/>
    <n v="4990"/>
    <n v="104785"/>
    <n v="4990"/>
    <n v="114765"/>
  </r>
  <r>
    <n v="1120"/>
    <x v="9"/>
    <s v="Female"/>
    <n v="37"/>
    <s v="Mumbai"/>
    <x v="1"/>
    <n v="91409"/>
    <d v="2022-06-14T00:00:00"/>
    <n v="9"/>
    <n v="4"/>
    <n v="9141"/>
    <n v="4570"/>
    <n v="95980"/>
    <n v="4570"/>
    <n v="105120"/>
  </r>
  <r>
    <n v="1121"/>
    <x v="8"/>
    <s v="Male"/>
    <n v="42"/>
    <s v="Mumbai"/>
    <x v="3"/>
    <n v="44161"/>
    <d v="2024-02-27T00:00:00"/>
    <n v="16"/>
    <n v="4"/>
    <n v="4416"/>
    <n v="2208"/>
    <n v="46369"/>
    <n v="2208"/>
    <n v="50785"/>
  </r>
  <r>
    <n v="1122"/>
    <x v="1"/>
    <s v="Female"/>
    <n v="21"/>
    <s v="Hyderabad"/>
    <x v="1"/>
    <n v="65648"/>
    <d v="2022-07-10T00:00:00"/>
    <n v="4"/>
    <n v="2"/>
    <n v="6565"/>
    <n v="3282"/>
    <n v="68931"/>
    <n v="0"/>
    <n v="72213"/>
  </r>
  <r>
    <n v="1123"/>
    <x v="7"/>
    <s v="Female"/>
    <n v="31"/>
    <s v="Hyderabad"/>
    <x v="4"/>
    <n v="87940"/>
    <d v="2022-12-09T00:00:00"/>
    <n v="16"/>
    <n v="5"/>
    <n v="8794"/>
    <n v="4397"/>
    <n v="92337"/>
    <n v="4397"/>
    <n v="101131"/>
  </r>
  <r>
    <n v="1124"/>
    <x v="5"/>
    <s v="Male"/>
    <n v="25"/>
    <s v="Chennai"/>
    <x v="0"/>
    <n v="97642"/>
    <d v="2023-10-07T00:00:00"/>
    <n v="2"/>
    <n v="1"/>
    <n v="9764"/>
    <n v="4882"/>
    <n v="102524"/>
    <n v="0"/>
    <n v="107406"/>
  </r>
  <r>
    <n v="1125"/>
    <x v="8"/>
    <s v="Male"/>
    <n v="56"/>
    <s v="Bangalore"/>
    <x v="2"/>
    <n v="64784"/>
    <d v="2023-11-13T00:00:00"/>
    <n v="6"/>
    <n v="2"/>
    <n v="6478"/>
    <n v="3239"/>
    <n v="68023"/>
    <n v="3239"/>
    <n v="74501"/>
  </r>
  <r>
    <n v="1126"/>
    <x v="7"/>
    <s v="Female"/>
    <n v="36"/>
    <s v="Chennai"/>
    <x v="4"/>
    <n v="83071"/>
    <d v="2024-07-01T00:00:00"/>
    <n v="6"/>
    <n v="2"/>
    <n v="8307"/>
    <n v="4154"/>
    <n v="87224"/>
    <n v="4154"/>
    <n v="95532"/>
  </r>
  <r>
    <n v="1127"/>
    <x v="4"/>
    <s v="Male"/>
    <n v="43"/>
    <s v="Chennai"/>
    <x v="2"/>
    <n v="30133"/>
    <d v="2022-04-15T00:00:00"/>
    <n v="6"/>
    <n v="3"/>
    <n v="3013"/>
    <n v="1507"/>
    <n v="31639"/>
    <n v="1507"/>
    <n v="34653"/>
  </r>
  <r>
    <n v="1128"/>
    <x v="8"/>
    <s v="Male"/>
    <n v="45"/>
    <s v="Chennai"/>
    <x v="3"/>
    <n v="52123"/>
    <d v="2023-07-10T00:00:00"/>
    <n v="11"/>
    <n v="1"/>
    <n v="5212"/>
    <n v="2606"/>
    <n v="54729"/>
    <n v="2606"/>
    <n v="59941"/>
  </r>
  <r>
    <n v="1129"/>
    <x v="0"/>
    <s v="Male"/>
    <n v="26"/>
    <s v="Bangalore"/>
    <x v="4"/>
    <n v="28792"/>
    <d v="2022-01-02T00:00:00"/>
    <n v="3"/>
    <n v="2"/>
    <n v="2879"/>
    <n v="1440"/>
    <n v="30231"/>
    <n v="0"/>
    <n v="31671"/>
  </r>
  <r>
    <n v="1130"/>
    <x v="9"/>
    <s v="Male"/>
    <n v="42"/>
    <s v="Bangalore"/>
    <x v="2"/>
    <n v="44221"/>
    <d v="2022-08-23T00:00:00"/>
    <n v="14"/>
    <n v="5"/>
    <n v="4422"/>
    <n v="2211"/>
    <n v="46432"/>
    <n v="2211"/>
    <n v="50854"/>
  </r>
  <r>
    <n v="1131"/>
    <x v="9"/>
    <s v="Male"/>
    <n v="34"/>
    <s v="Chennai"/>
    <x v="3"/>
    <n v="94709"/>
    <d v="2022-05-24T00:00:00"/>
    <n v="16"/>
    <n v="1"/>
    <n v="9471"/>
    <n v="4735"/>
    <n v="99445"/>
    <n v="4735"/>
    <n v="108915"/>
  </r>
  <r>
    <n v="1132"/>
    <x v="9"/>
    <s v="Male"/>
    <n v="21"/>
    <s v="Hyderabad"/>
    <x v="2"/>
    <n v="51357"/>
    <d v="2023-06-11T00:00:00"/>
    <n v="11"/>
    <n v="3"/>
    <n v="5136"/>
    <n v="2568"/>
    <n v="53925"/>
    <n v="2568"/>
    <n v="59061"/>
  </r>
  <r>
    <n v="1133"/>
    <x v="3"/>
    <s v="Female"/>
    <n v="51"/>
    <s v="Bangalore"/>
    <x v="0"/>
    <n v="46395"/>
    <d v="2022-07-19T00:00:00"/>
    <n v="3"/>
    <n v="1"/>
    <n v="4640"/>
    <n v="2320"/>
    <n v="48715"/>
    <n v="0"/>
    <n v="51035"/>
  </r>
  <r>
    <n v="1134"/>
    <x v="1"/>
    <s v="Female"/>
    <n v="23"/>
    <s v="Hyderabad"/>
    <x v="1"/>
    <n v="69891"/>
    <d v="2023-03-21T00:00:00"/>
    <n v="3"/>
    <n v="2"/>
    <n v="6989"/>
    <n v="3495"/>
    <n v="73385"/>
    <n v="0"/>
    <n v="76880"/>
  </r>
  <r>
    <n v="1135"/>
    <x v="5"/>
    <s v="Female"/>
    <n v="42"/>
    <s v="Chennai"/>
    <x v="0"/>
    <n v="51812"/>
    <d v="2022-03-11T00:00:00"/>
    <n v="8"/>
    <n v="3"/>
    <n v="5181"/>
    <n v="2591"/>
    <n v="54402"/>
    <n v="2591"/>
    <n v="59584"/>
  </r>
  <r>
    <n v="1136"/>
    <x v="5"/>
    <s v="Female"/>
    <n v="58"/>
    <s v="Mumbai"/>
    <x v="2"/>
    <n v="97585"/>
    <d v="2022-10-09T00:00:00"/>
    <n v="3"/>
    <n v="5"/>
    <n v="9758"/>
    <n v="4879"/>
    <n v="102464"/>
    <n v="0"/>
    <n v="107343"/>
  </r>
  <r>
    <n v="1137"/>
    <x v="7"/>
    <s v="Male"/>
    <n v="41"/>
    <s v="Hyderabad"/>
    <x v="3"/>
    <n v="42542"/>
    <d v="2023-05-04T00:00:00"/>
    <n v="6"/>
    <n v="3"/>
    <n v="4254"/>
    <n v="2127"/>
    <n v="44669"/>
    <n v="2127"/>
    <n v="48923"/>
  </r>
  <r>
    <n v="1138"/>
    <x v="8"/>
    <s v="Female"/>
    <n v="58"/>
    <s v="Delhi"/>
    <x v="4"/>
    <n v="64441"/>
    <d v="2023-10-31T00:00:00"/>
    <n v="8"/>
    <n v="2"/>
    <n v="6444"/>
    <n v="3222"/>
    <n v="67663"/>
    <n v="3222"/>
    <n v="74107"/>
  </r>
  <r>
    <n v="1139"/>
    <x v="4"/>
    <s v="Male"/>
    <n v="45"/>
    <s v="Chennai"/>
    <x v="0"/>
    <n v="83732"/>
    <d v="2022-12-28T00:00:00"/>
    <n v="1"/>
    <n v="2"/>
    <n v="8373"/>
    <n v="4187"/>
    <n v="87918"/>
    <n v="0"/>
    <n v="92105"/>
  </r>
  <r>
    <n v="1140"/>
    <x v="6"/>
    <s v="Male"/>
    <n v="47"/>
    <s v="Bangalore"/>
    <x v="1"/>
    <n v="23605"/>
    <d v="2022-09-13T00:00:00"/>
    <n v="13"/>
    <n v="5"/>
    <n v="2360"/>
    <n v="1180"/>
    <n v="24785"/>
    <n v="1180"/>
    <n v="27145"/>
  </r>
  <r>
    <n v="1141"/>
    <x v="2"/>
    <s v="Female"/>
    <n v="25"/>
    <s v="Bangalore"/>
    <x v="4"/>
    <n v="31704"/>
    <d v="2022-12-08T00:00:00"/>
    <n v="1"/>
    <n v="2"/>
    <n v="3170"/>
    <n v="1585"/>
    <n v="33289"/>
    <n v="0"/>
    <n v="34874"/>
  </r>
  <r>
    <n v="1142"/>
    <x v="1"/>
    <s v="Female"/>
    <n v="23"/>
    <s v="Hyderabad"/>
    <x v="4"/>
    <n v="99406"/>
    <d v="2022-12-05T00:00:00"/>
    <n v="4"/>
    <n v="2"/>
    <n v="9941"/>
    <n v="4970"/>
    <n v="104377"/>
    <n v="0"/>
    <n v="109347"/>
  </r>
  <r>
    <n v="1143"/>
    <x v="5"/>
    <s v="Male"/>
    <n v="56"/>
    <s v="Mumbai"/>
    <x v="1"/>
    <n v="74226"/>
    <d v="2023-03-16T00:00:00"/>
    <n v="15"/>
    <n v="3"/>
    <n v="7423"/>
    <n v="3711"/>
    <n v="77938"/>
    <n v="3711"/>
    <n v="85360"/>
  </r>
  <r>
    <n v="1144"/>
    <x v="4"/>
    <s v="Male"/>
    <n v="35"/>
    <s v="Hyderabad"/>
    <x v="4"/>
    <n v="46397"/>
    <d v="2022-11-19T00:00:00"/>
    <n v="19"/>
    <n v="5"/>
    <n v="4640"/>
    <n v="2320"/>
    <n v="48717"/>
    <n v="2320"/>
    <n v="53357"/>
  </r>
  <r>
    <n v="1145"/>
    <x v="0"/>
    <s v="Male"/>
    <n v="45"/>
    <s v="Mumbai"/>
    <x v="0"/>
    <n v="41704"/>
    <d v="2023-07-22T00:00:00"/>
    <n v="7"/>
    <n v="1"/>
    <n v="4170"/>
    <n v="2085"/>
    <n v="43789"/>
    <n v="2085"/>
    <n v="47959"/>
  </r>
  <r>
    <n v="1146"/>
    <x v="6"/>
    <s v="Male"/>
    <n v="24"/>
    <s v="Bangalore"/>
    <x v="0"/>
    <n v="89927"/>
    <d v="2023-07-20T00:00:00"/>
    <n v="3"/>
    <n v="5"/>
    <n v="8993"/>
    <n v="4496"/>
    <n v="94424"/>
    <n v="0"/>
    <n v="98920"/>
  </r>
  <r>
    <n v="1147"/>
    <x v="8"/>
    <s v="Female"/>
    <n v="48"/>
    <s v="Mumbai"/>
    <x v="2"/>
    <n v="88645"/>
    <d v="2023-06-16T00:00:00"/>
    <n v="19"/>
    <n v="2"/>
    <n v="8864"/>
    <n v="4432"/>
    <n v="93077"/>
    <n v="4432"/>
    <n v="101941"/>
  </r>
  <r>
    <n v="1148"/>
    <x v="7"/>
    <s v="Female"/>
    <n v="26"/>
    <s v="Hyderabad"/>
    <x v="3"/>
    <n v="91364"/>
    <d v="2023-07-02T00:00:00"/>
    <n v="13"/>
    <n v="4"/>
    <n v="9136"/>
    <n v="4568"/>
    <n v="95932"/>
    <n v="4568"/>
    <n v="105068"/>
  </r>
  <r>
    <n v="1149"/>
    <x v="0"/>
    <s v="Male"/>
    <n v="54"/>
    <s v="Hyderabad"/>
    <x v="0"/>
    <n v="49533"/>
    <d v="2024-02-03T00:00:00"/>
    <n v="8"/>
    <n v="2"/>
    <n v="4953"/>
    <n v="2477"/>
    <n v="52009"/>
    <n v="2477"/>
    <n v="56963"/>
  </r>
  <r>
    <n v="1150"/>
    <x v="3"/>
    <s v="Male"/>
    <n v="40"/>
    <s v="Bangalore"/>
    <x v="4"/>
    <n v="82278"/>
    <d v="2022-05-23T00:00:00"/>
    <n v="14"/>
    <n v="5"/>
    <n v="8228"/>
    <n v="4114"/>
    <n v="86392"/>
    <n v="4114"/>
    <n v="94620"/>
  </r>
  <r>
    <n v="1151"/>
    <x v="2"/>
    <s v="Male"/>
    <n v="30"/>
    <s v="Bangalore"/>
    <x v="3"/>
    <n v="80714"/>
    <d v="2024-07-25T00:00:00"/>
    <n v="18"/>
    <n v="2"/>
    <n v="8071"/>
    <n v="4036"/>
    <n v="84749"/>
    <n v="4036"/>
    <n v="92821"/>
  </r>
  <r>
    <n v="1152"/>
    <x v="7"/>
    <s v="Male"/>
    <n v="24"/>
    <s v="Chennai"/>
    <x v="1"/>
    <n v="29238"/>
    <d v="2023-02-19T00:00:00"/>
    <n v="11"/>
    <n v="2"/>
    <n v="2924"/>
    <n v="1462"/>
    <n v="30700"/>
    <n v="1462"/>
    <n v="33624"/>
  </r>
  <r>
    <n v="1153"/>
    <x v="9"/>
    <s v="Female"/>
    <n v="24"/>
    <s v="Mumbai"/>
    <x v="4"/>
    <n v="21603"/>
    <d v="2022-11-12T00:00:00"/>
    <n v="3"/>
    <n v="2"/>
    <n v="2160"/>
    <n v="1080"/>
    <n v="22683"/>
    <n v="0"/>
    <n v="23763"/>
  </r>
  <r>
    <n v="1154"/>
    <x v="5"/>
    <s v="Female"/>
    <n v="56"/>
    <s v="Mumbai"/>
    <x v="3"/>
    <n v="99347"/>
    <d v="2023-12-17T00:00:00"/>
    <n v="10"/>
    <n v="2"/>
    <n v="9935"/>
    <n v="4967"/>
    <n v="104315"/>
    <n v="4967"/>
    <n v="114249"/>
  </r>
  <r>
    <n v="1155"/>
    <x v="9"/>
    <s v="Female"/>
    <n v="54"/>
    <s v="Hyderabad"/>
    <x v="2"/>
    <n v="94056"/>
    <d v="2022-04-26T00:00:00"/>
    <n v="9"/>
    <n v="1"/>
    <n v="9406"/>
    <n v="4703"/>
    <n v="98759"/>
    <n v="4703"/>
    <n v="108165"/>
  </r>
  <r>
    <n v="1156"/>
    <x v="8"/>
    <s v="Female"/>
    <n v="50"/>
    <s v="Mumbai"/>
    <x v="4"/>
    <n v="88690"/>
    <d v="2023-03-28T00:00:00"/>
    <n v="9"/>
    <n v="4"/>
    <n v="8869"/>
    <n v="4434"/>
    <n v="93125"/>
    <n v="4434"/>
    <n v="101993"/>
  </r>
  <r>
    <n v="1157"/>
    <x v="8"/>
    <s v="Male"/>
    <n v="46"/>
    <s v="Delhi"/>
    <x v="0"/>
    <n v="92747"/>
    <d v="2024-04-09T00:00:00"/>
    <n v="8"/>
    <n v="3"/>
    <n v="9275"/>
    <n v="4637"/>
    <n v="97385"/>
    <n v="4637"/>
    <n v="106659"/>
  </r>
  <r>
    <n v="1158"/>
    <x v="4"/>
    <s v="Male"/>
    <n v="38"/>
    <s v="Hyderabad"/>
    <x v="2"/>
    <n v="96433"/>
    <d v="2024-05-11T00:00:00"/>
    <n v="9"/>
    <n v="1"/>
    <n v="9643"/>
    <n v="4822"/>
    <n v="101254"/>
    <n v="4822"/>
    <n v="110898"/>
  </r>
  <r>
    <n v="1159"/>
    <x v="9"/>
    <s v="Male"/>
    <n v="23"/>
    <s v="Chennai"/>
    <x v="1"/>
    <n v="58880"/>
    <d v="2023-09-09T00:00:00"/>
    <n v="6"/>
    <n v="4"/>
    <n v="5888"/>
    <n v="2944"/>
    <n v="61824"/>
    <n v="2944"/>
    <n v="67712"/>
  </r>
  <r>
    <n v="1160"/>
    <x v="5"/>
    <s v="Female"/>
    <n v="28"/>
    <s v="Delhi"/>
    <x v="3"/>
    <n v="90317"/>
    <d v="2022-11-29T00:00:00"/>
    <n v="18"/>
    <n v="2"/>
    <n v="9032"/>
    <n v="4516"/>
    <n v="94833"/>
    <n v="4516"/>
    <n v="103865"/>
  </r>
  <r>
    <n v="1161"/>
    <x v="5"/>
    <s v="Female"/>
    <n v="48"/>
    <s v="Hyderabad"/>
    <x v="2"/>
    <n v="27552"/>
    <d v="2022-06-25T00:00:00"/>
    <n v="5"/>
    <n v="1"/>
    <n v="2755"/>
    <n v="1378"/>
    <n v="28929"/>
    <n v="0"/>
    <n v="30307"/>
  </r>
  <r>
    <n v="1162"/>
    <x v="2"/>
    <s v="Male"/>
    <n v="24"/>
    <s v="Delhi"/>
    <x v="2"/>
    <n v="84484"/>
    <d v="2023-04-21T00:00:00"/>
    <n v="8"/>
    <n v="4"/>
    <n v="8448"/>
    <n v="4224"/>
    <n v="88708"/>
    <n v="4224"/>
    <n v="97156"/>
  </r>
  <r>
    <n v="1163"/>
    <x v="5"/>
    <s v="Female"/>
    <n v="53"/>
    <s v="Bangalore"/>
    <x v="4"/>
    <n v="72269"/>
    <d v="2024-06-30T00:00:00"/>
    <n v="10"/>
    <n v="2"/>
    <n v="7227"/>
    <n v="3613"/>
    <n v="75883"/>
    <n v="3613"/>
    <n v="83109"/>
  </r>
  <r>
    <n v="1164"/>
    <x v="0"/>
    <s v="Female"/>
    <n v="55"/>
    <s v="Bangalore"/>
    <x v="2"/>
    <n v="49670"/>
    <d v="2024-05-02T00:00:00"/>
    <n v="10"/>
    <n v="5"/>
    <n v="4967"/>
    <n v="2484"/>
    <n v="52153"/>
    <n v="2484"/>
    <n v="57121"/>
  </r>
  <r>
    <n v="1165"/>
    <x v="0"/>
    <s v="Male"/>
    <n v="42"/>
    <s v="Chennai"/>
    <x v="1"/>
    <n v="88230"/>
    <d v="2022-03-01T00:00:00"/>
    <n v="4"/>
    <n v="4"/>
    <n v="8823"/>
    <n v="4412"/>
    <n v="92641"/>
    <n v="0"/>
    <n v="97053"/>
  </r>
  <r>
    <n v="1166"/>
    <x v="8"/>
    <s v="Male"/>
    <n v="38"/>
    <s v="Bangalore"/>
    <x v="3"/>
    <n v="70216"/>
    <d v="2023-06-05T00:00:00"/>
    <n v="9"/>
    <n v="1"/>
    <n v="7022"/>
    <n v="3511"/>
    <n v="73727"/>
    <n v="3511"/>
    <n v="80749"/>
  </r>
  <r>
    <n v="1167"/>
    <x v="7"/>
    <s v="Female"/>
    <n v="28"/>
    <s v="Delhi"/>
    <x v="2"/>
    <n v="56622"/>
    <d v="2024-03-12T00:00:00"/>
    <n v="10"/>
    <n v="4"/>
    <n v="5662"/>
    <n v="2831"/>
    <n v="59453"/>
    <n v="2831"/>
    <n v="65115"/>
  </r>
  <r>
    <n v="1168"/>
    <x v="6"/>
    <s v="Female"/>
    <n v="31"/>
    <s v="Hyderabad"/>
    <x v="3"/>
    <n v="76010"/>
    <d v="2023-06-25T00:00:00"/>
    <n v="2"/>
    <n v="4"/>
    <n v="7601"/>
    <n v="3800"/>
    <n v="79811"/>
    <n v="0"/>
    <n v="83611"/>
  </r>
  <r>
    <n v="1169"/>
    <x v="3"/>
    <s v="Male"/>
    <n v="49"/>
    <s v="Hyderabad"/>
    <x v="0"/>
    <n v="99377"/>
    <d v="2022-10-18T00:00:00"/>
    <n v="12"/>
    <n v="2"/>
    <n v="9938"/>
    <n v="4969"/>
    <n v="104346"/>
    <n v="4969"/>
    <n v="114284"/>
  </r>
  <r>
    <n v="1170"/>
    <x v="0"/>
    <s v="Male"/>
    <n v="52"/>
    <s v="Hyderabad"/>
    <x v="4"/>
    <n v="82628"/>
    <d v="2022-07-24T00:00:00"/>
    <n v="18"/>
    <n v="2"/>
    <n v="8263"/>
    <n v="4131"/>
    <n v="86760"/>
    <n v="4131"/>
    <n v="95022"/>
  </r>
  <r>
    <n v="1171"/>
    <x v="9"/>
    <s v="Female"/>
    <n v="45"/>
    <s v="Chennai"/>
    <x v="3"/>
    <n v="82086"/>
    <d v="2024-05-06T00:00:00"/>
    <n v="2"/>
    <n v="5"/>
    <n v="8209"/>
    <n v="4104"/>
    <n v="86191"/>
    <n v="0"/>
    <n v="90295"/>
  </r>
  <r>
    <n v="1172"/>
    <x v="3"/>
    <s v="Female"/>
    <n v="54"/>
    <s v="Delhi"/>
    <x v="2"/>
    <n v="37597"/>
    <d v="2024-08-17T00:00:00"/>
    <n v="10"/>
    <n v="1"/>
    <n v="3760"/>
    <n v="1880"/>
    <n v="39477"/>
    <n v="1880"/>
    <n v="43237"/>
  </r>
  <r>
    <n v="1173"/>
    <x v="5"/>
    <s v="Female"/>
    <n v="57"/>
    <s v="Bangalore"/>
    <x v="1"/>
    <n v="79020"/>
    <d v="2022-03-23T00:00:00"/>
    <n v="10"/>
    <n v="4"/>
    <n v="7902"/>
    <n v="3951"/>
    <n v="82971"/>
    <n v="3951"/>
    <n v="90873"/>
  </r>
  <r>
    <n v="1174"/>
    <x v="5"/>
    <s v="Male"/>
    <n v="59"/>
    <s v="Delhi"/>
    <x v="4"/>
    <n v="46222"/>
    <d v="2023-12-19T00:00:00"/>
    <n v="10"/>
    <n v="4"/>
    <n v="4622"/>
    <n v="2311"/>
    <n v="48533"/>
    <n v="2311"/>
    <n v="53155"/>
  </r>
  <r>
    <n v="1175"/>
    <x v="4"/>
    <s v="Female"/>
    <n v="33"/>
    <s v="Chennai"/>
    <x v="3"/>
    <n v="36668"/>
    <d v="2023-08-12T00:00:00"/>
    <n v="16"/>
    <n v="1"/>
    <n v="3667"/>
    <n v="1833"/>
    <n v="38502"/>
    <n v="1833"/>
    <n v="42168"/>
  </r>
  <r>
    <n v="1176"/>
    <x v="8"/>
    <s v="Male"/>
    <n v="29"/>
    <s v="Hyderabad"/>
    <x v="3"/>
    <n v="53800"/>
    <d v="2023-12-17T00:00:00"/>
    <n v="12"/>
    <n v="3"/>
    <n v="5380"/>
    <n v="2690"/>
    <n v="56490"/>
    <n v="2690"/>
    <n v="61870"/>
  </r>
  <r>
    <n v="1177"/>
    <x v="4"/>
    <s v="Male"/>
    <n v="38"/>
    <s v="Mumbai"/>
    <x v="0"/>
    <n v="79419"/>
    <d v="2024-04-30T00:00:00"/>
    <n v="3"/>
    <n v="5"/>
    <n v="7942"/>
    <n v="3971"/>
    <n v="83390"/>
    <n v="0"/>
    <n v="87361"/>
  </r>
  <r>
    <n v="1178"/>
    <x v="8"/>
    <s v="Female"/>
    <n v="50"/>
    <s v="Mumbai"/>
    <x v="0"/>
    <n v="34722"/>
    <d v="2022-10-17T00:00:00"/>
    <n v="7"/>
    <n v="4"/>
    <n v="3472"/>
    <n v="1736"/>
    <n v="36458"/>
    <n v="1736"/>
    <n v="39930"/>
  </r>
  <r>
    <n v="1179"/>
    <x v="6"/>
    <s v="Male"/>
    <n v="40"/>
    <s v="Mumbai"/>
    <x v="4"/>
    <n v="84523"/>
    <d v="2022-11-06T00:00:00"/>
    <n v="18"/>
    <n v="1"/>
    <n v="8452"/>
    <n v="4226"/>
    <n v="88749"/>
    <n v="4226"/>
    <n v="97201"/>
  </r>
  <r>
    <n v="1180"/>
    <x v="8"/>
    <s v="Male"/>
    <n v="54"/>
    <s v="Bangalore"/>
    <x v="0"/>
    <n v="86851"/>
    <d v="2023-02-11T00:00:00"/>
    <n v="1"/>
    <n v="5"/>
    <n v="8685"/>
    <n v="4343"/>
    <n v="91193"/>
    <n v="0"/>
    <n v="95536"/>
  </r>
  <r>
    <n v="1181"/>
    <x v="0"/>
    <s v="Male"/>
    <n v="44"/>
    <s v="Bangalore"/>
    <x v="0"/>
    <n v="30693"/>
    <d v="2023-08-26T00:00:00"/>
    <n v="3"/>
    <n v="2"/>
    <n v="3069"/>
    <n v="1535"/>
    <n v="32227"/>
    <n v="0"/>
    <n v="33762"/>
  </r>
  <r>
    <n v="1182"/>
    <x v="7"/>
    <s v="Female"/>
    <n v="59"/>
    <s v="Hyderabad"/>
    <x v="3"/>
    <n v="63518"/>
    <d v="2022-04-07T00:00:00"/>
    <n v="1"/>
    <n v="5"/>
    <n v="6352"/>
    <n v="3176"/>
    <n v="66694"/>
    <n v="0"/>
    <n v="69870"/>
  </r>
  <r>
    <n v="1183"/>
    <x v="0"/>
    <s v="Male"/>
    <n v="29"/>
    <s v="Bangalore"/>
    <x v="1"/>
    <n v="46952"/>
    <d v="2023-03-10T00:00:00"/>
    <n v="9"/>
    <n v="4"/>
    <n v="4695"/>
    <n v="2348"/>
    <n v="49299"/>
    <n v="2348"/>
    <n v="53995"/>
  </r>
  <r>
    <n v="1184"/>
    <x v="6"/>
    <s v="Female"/>
    <n v="51"/>
    <s v="Mumbai"/>
    <x v="4"/>
    <n v="72545"/>
    <d v="2024-05-26T00:00:00"/>
    <n v="14"/>
    <n v="3"/>
    <n v="7254"/>
    <n v="3627"/>
    <n v="76172"/>
    <n v="3627"/>
    <n v="83426"/>
  </r>
  <r>
    <n v="1185"/>
    <x v="3"/>
    <s v="Male"/>
    <n v="45"/>
    <s v="Chennai"/>
    <x v="0"/>
    <n v="83775"/>
    <d v="2023-06-19T00:00:00"/>
    <n v="8"/>
    <n v="4"/>
    <n v="8378"/>
    <n v="4189"/>
    <n v="87964"/>
    <n v="4189"/>
    <n v="96342"/>
  </r>
  <r>
    <n v="1186"/>
    <x v="1"/>
    <s v="Female"/>
    <n v="49"/>
    <s v="Hyderabad"/>
    <x v="2"/>
    <n v="20889"/>
    <d v="2024-08-30T00:00:00"/>
    <n v="11"/>
    <n v="4"/>
    <n v="2089"/>
    <n v="1044"/>
    <n v="21934"/>
    <n v="1044"/>
    <n v="24022"/>
  </r>
  <r>
    <n v="1187"/>
    <x v="3"/>
    <s v="Male"/>
    <n v="21"/>
    <s v="Delhi"/>
    <x v="0"/>
    <n v="47771"/>
    <d v="2022-04-29T00:00:00"/>
    <n v="14"/>
    <n v="4"/>
    <n v="4777"/>
    <n v="2389"/>
    <n v="50159"/>
    <n v="2389"/>
    <n v="54937"/>
  </r>
  <r>
    <n v="1188"/>
    <x v="1"/>
    <s v="Male"/>
    <n v="53"/>
    <s v="Mumbai"/>
    <x v="1"/>
    <n v="23773"/>
    <d v="2022-07-06T00:00:00"/>
    <n v="8"/>
    <n v="3"/>
    <n v="2377"/>
    <n v="1189"/>
    <n v="24961"/>
    <n v="1189"/>
    <n v="27339"/>
  </r>
  <r>
    <n v="1189"/>
    <x v="2"/>
    <s v="Male"/>
    <n v="47"/>
    <s v="Hyderabad"/>
    <x v="3"/>
    <n v="69234"/>
    <d v="2024-09-27T00:00:00"/>
    <n v="1"/>
    <n v="3"/>
    <n v="6923"/>
    <n v="3462"/>
    <n v="72695"/>
    <n v="0"/>
    <n v="76157"/>
  </r>
  <r>
    <n v="1190"/>
    <x v="3"/>
    <s v="Female"/>
    <n v="60"/>
    <s v="Hyderabad"/>
    <x v="2"/>
    <n v="68777"/>
    <d v="2024-05-06T00:00:00"/>
    <n v="7"/>
    <n v="5"/>
    <n v="6878"/>
    <n v="3439"/>
    <n v="72216"/>
    <n v="3439"/>
    <n v="79094"/>
  </r>
  <r>
    <n v="1191"/>
    <x v="1"/>
    <s v="Female"/>
    <n v="33"/>
    <s v="Chennai"/>
    <x v="2"/>
    <n v="75422"/>
    <d v="2023-01-26T00:00:00"/>
    <n v="9"/>
    <n v="1"/>
    <n v="7542"/>
    <n v="3771"/>
    <n v="79193"/>
    <n v="3771"/>
    <n v="86735"/>
  </r>
  <r>
    <n v="1192"/>
    <x v="9"/>
    <s v="Male"/>
    <n v="32"/>
    <s v="Hyderabad"/>
    <x v="1"/>
    <n v="62721"/>
    <d v="2022-04-05T00:00:00"/>
    <n v="13"/>
    <n v="1"/>
    <n v="6272"/>
    <n v="3136"/>
    <n v="65857"/>
    <n v="3136"/>
    <n v="72129"/>
  </r>
  <r>
    <n v="1193"/>
    <x v="0"/>
    <s v="Male"/>
    <n v="39"/>
    <s v="Chennai"/>
    <x v="4"/>
    <n v="77014"/>
    <d v="2024-06-28T00:00:00"/>
    <n v="4"/>
    <n v="2"/>
    <n v="7701"/>
    <n v="3851"/>
    <n v="80864"/>
    <n v="0"/>
    <n v="84715"/>
  </r>
  <r>
    <n v="1194"/>
    <x v="7"/>
    <s v="Male"/>
    <n v="31"/>
    <s v="Mumbai"/>
    <x v="4"/>
    <n v="95531"/>
    <d v="2022-01-09T00:00:00"/>
    <n v="14"/>
    <n v="4"/>
    <n v="9553"/>
    <n v="4777"/>
    <n v="100307"/>
    <n v="4777"/>
    <n v="109861"/>
  </r>
  <r>
    <n v="1195"/>
    <x v="9"/>
    <s v="Female"/>
    <n v="38"/>
    <s v="Mumbai"/>
    <x v="3"/>
    <n v="66024"/>
    <d v="2023-03-20T00:00:00"/>
    <n v="18"/>
    <n v="5"/>
    <n v="6602"/>
    <n v="3301"/>
    <n v="69325"/>
    <n v="3301"/>
    <n v="75927"/>
  </r>
  <r>
    <n v="1196"/>
    <x v="8"/>
    <s v="Male"/>
    <n v="43"/>
    <s v="Bangalore"/>
    <x v="0"/>
    <n v="48286"/>
    <d v="2024-02-10T00:00:00"/>
    <n v="5"/>
    <n v="3"/>
    <n v="4829"/>
    <n v="2414"/>
    <n v="50701"/>
    <n v="0"/>
    <n v="53115"/>
  </r>
  <r>
    <n v="1197"/>
    <x v="0"/>
    <s v="Male"/>
    <n v="29"/>
    <s v="Mumbai"/>
    <x v="4"/>
    <n v="20133"/>
    <d v="2022-05-02T00:00:00"/>
    <n v="18"/>
    <n v="2"/>
    <n v="2013"/>
    <n v="1007"/>
    <n v="21139"/>
    <n v="1007"/>
    <n v="23153"/>
  </r>
  <r>
    <n v="1198"/>
    <x v="9"/>
    <s v="Female"/>
    <n v="29"/>
    <s v="Chennai"/>
    <x v="4"/>
    <n v="98045"/>
    <d v="2023-09-20T00:00:00"/>
    <n v="20"/>
    <n v="3"/>
    <n v="9804"/>
    <n v="4902"/>
    <n v="102947"/>
    <n v="4902"/>
    <n v="112751"/>
  </r>
  <r>
    <n v="1199"/>
    <x v="0"/>
    <s v="Female"/>
    <n v="47"/>
    <s v="Hyderabad"/>
    <x v="3"/>
    <n v="84180"/>
    <d v="2023-05-13T00:00:00"/>
    <n v="1"/>
    <n v="2"/>
    <n v="8418"/>
    <n v="4209"/>
    <n v="88389"/>
    <n v="0"/>
    <n v="92598"/>
  </r>
  <r>
    <n v="1200"/>
    <x v="5"/>
    <s v="Female"/>
    <n v="31"/>
    <s v="Chennai"/>
    <x v="3"/>
    <n v="79939"/>
    <d v="2024-01-18T00:00:00"/>
    <n v="14"/>
    <n v="1"/>
    <n v="7994"/>
    <n v="3997"/>
    <n v="83936"/>
    <n v="3997"/>
    <n v="91930"/>
  </r>
  <r>
    <n v="1201"/>
    <x v="1"/>
    <s v="Female"/>
    <n v="51"/>
    <s v="Chennai"/>
    <x v="0"/>
    <n v="65964"/>
    <d v="2024-08-06T00:00:00"/>
    <n v="16"/>
    <n v="1"/>
    <n v="6596"/>
    <n v="3298"/>
    <n v="69262"/>
    <n v="3298"/>
    <n v="75858"/>
  </r>
  <r>
    <n v="1202"/>
    <x v="9"/>
    <s v="Female"/>
    <n v="39"/>
    <s v="Mumbai"/>
    <x v="4"/>
    <n v="51828"/>
    <d v="2023-12-06T00:00:00"/>
    <n v="18"/>
    <n v="4"/>
    <n v="5183"/>
    <n v="2591"/>
    <n v="54420"/>
    <n v="2591"/>
    <n v="59602"/>
  </r>
  <r>
    <n v="1203"/>
    <x v="6"/>
    <s v="Female"/>
    <n v="37"/>
    <s v="Chennai"/>
    <x v="1"/>
    <n v="80075"/>
    <d v="2022-09-28T00:00:00"/>
    <n v="10"/>
    <n v="3"/>
    <n v="8008"/>
    <n v="4004"/>
    <n v="84079"/>
    <n v="4004"/>
    <n v="92087"/>
  </r>
  <r>
    <n v="1204"/>
    <x v="3"/>
    <s v="Female"/>
    <n v="38"/>
    <s v="Mumbai"/>
    <x v="0"/>
    <n v="26613"/>
    <d v="2022-08-02T00:00:00"/>
    <n v="1"/>
    <n v="2"/>
    <n v="2661"/>
    <n v="1331"/>
    <n v="27943"/>
    <n v="0"/>
    <n v="29274"/>
  </r>
  <r>
    <n v="1205"/>
    <x v="9"/>
    <s v="Female"/>
    <n v="42"/>
    <s v="Delhi"/>
    <x v="3"/>
    <n v="22324"/>
    <d v="2024-08-10T00:00:00"/>
    <n v="19"/>
    <n v="1"/>
    <n v="2232"/>
    <n v="1116"/>
    <n v="23440"/>
    <n v="1116"/>
    <n v="25672"/>
  </r>
  <r>
    <n v="1206"/>
    <x v="5"/>
    <s v="Male"/>
    <n v="54"/>
    <s v="Delhi"/>
    <x v="4"/>
    <n v="50479"/>
    <d v="2022-06-06T00:00:00"/>
    <n v="5"/>
    <n v="1"/>
    <n v="5048"/>
    <n v="2524"/>
    <n v="53003"/>
    <n v="0"/>
    <n v="55527"/>
  </r>
  <r>
    <n v="1207"/>
    <x v="3"/>
    <s v="Male"/>
    <n v="41"/>
    <s v="Chennai"/>
    <x v="2"/>
    <n v="26815"/>
    <d v="2024-06-12T00:00:00"/>
    <n v="13"/>
    <n v="2"/>
    <n v="2682"/>
    <n v="1341"/>
    <n v="28156"/>
    <n v="1341"/>
    <n v="30838"/>
  </r>
  <r>
    <n v="1208"/>
    <x v="6"/>
    <s v="Male"/>
    <n v="22"/>
    <s v="Bangalore"/>
    <x v="1"/>
    <n v="60074"/>
    <d v="2024-02-06T00:00:00"/>
    <n v="5"/>
    <n v="1"/>
    <n v="6007"/>
    <n v="3004"/>
    <n v="63077"/>
    <n v="0"/>
    <n v="66081"/>
  </r>
  <r>
    <n v="1209"/>
    <x v="6"/>
    <s v="Female"/>
    <n v="45"/>
    <s v="Mumbai"/>
    <x v="3"/>
    <n v="98166"/>
    <d v="2022-09-12T00:00:00"/>
    <n v="15"/>
    <n v="4"/>
    <n v="9817"/>
    <n v="4908"/>
    <n v="103075"/>
    <n v="4908"/>
    <n v="112891"/>
  </r>
  <r>
    <n v="1210"/>
    <x v="9"/>
    <s v="Male"/>
    <n v="38"/>
    <s v="Hyderabad"/>
    <x v="1"/>
    <n v="95146"/>
    <d v="2024-08-02T00:00:00"/>
    <n v="4"/>
    <n v="4"/>
    <n v="9515"/>
    <n v="4757"/>
    <n v="99904"/>
    <n v="0"/>
    <n v="104661"/>
  </r>
  <r>
    <n v="1211"/>
    <x v="1"/>
    <s v="Female"/>
    <n v="42"/>
    <s v="Bangalore"/>
    <x v="2"/>
    <n v="78437"/>
    <d v="2023-07-09T00:00:00"/>
    <n v="3"/>
    <n v="5"/>
    <n v="7844"/>
    <n v="3922"/>
    <n v="82359"/>
    <n v="0"/>
    <n v="86281"/>
  </r>
  <r>
    <n v="1212"/>
    <x v="9"/>
    <s v="Male"/>
    <n v="51"/>
    <s v="Hyderabad"/>
    <x v="4"/>
    <n v="55776"/>
    <d v="2022-07-24T00:00:00"/>
    <n v="19"/>
    <n v="2"/>
    <n v="5578"/>
    <n v="2789"/>
    <n v="58565"/>
    <n v="2789"/>
    <n v="64143"/>
  </r>
  <r>
    <n v="1213"/>
    <x v="8"/>
    <s v="Male"/>
    <n v="46"/>
    <s v="Mumbai"/>
    <x v="4"/>
    <n v="27907"/>
    <d v="2023-08-20T00:00:00"/>
    <n v="13"/>
    <n v="1"/>
    <n v="2791"/>
    <n v="1395"/>
    <n v="29303"/>
    <n v="1395"/>
    <n v="32093"/>
  </r>
  <r>
    <n v="1214"/>
    <x v="9"/>
    <s v="Male"/>
    <n v="36"/>
    <s v="Chennai"/>
    <x v="1"/>
    <n v="20254"/>
    <d v="2024-02-15T00:00:00"/>
    <n v="7"/>
    <n v="2"/>
    <n v="2025"/>
    <n v="1013"/>
    <n v="21266"/>
    <n v="1013"/>
    <n v="23292"/>
  </r>
  <r>
    <n v="1215"/>
    <x v="3"/>
    <s v="Female"/>
    <n v="43"/>
    <s v="Mumbai"/>
    <x v="3"/>
    <n v="59081"/>
    <d v="2023-02-04T00:00:00"/>
    <n v="19"/>
    <n v="2"/>
    <n v="5908"/>
    <n v="2954"/>
    <n v="62035"/>
    <n v="2954"/>
    <n v="67943"/>
  </r>
  <r>
    <n v="1216"/>
    <x v="7"/>
    <s v="Female"/>
    <n v="59"/>
    <s v="Mumbai"/>
    <x v="0"/>
    <n v="94510"/>
    <d v="2023-11-21T00:00:00"/>
    <n v="17"/>
    <n v="4"/>
    <n v="9451"/>
    <n v="4726"/>
    <n v="99235"/>
    <n v="4726"/>
    <n v="108687"/>
  </r>
  <r>
    <n v="1217"/>
    <x v="7"/>
    <s v="Female"/>
    <n v="48"/>
    <s v="Hyderabad"/>
    <x v="0"/>
    <n v="85224"/>
    <d v="2023-03-10T00:00:00"/>
    <n v="5"/>
    <n v="1"/>
    <n v="8522"/>
    <n v="4261"/>
    <n v="89485"/>
    <n v="0"/>
    <n v="93746"/>
  </r>
  <r>
    <n v="1218"/>
    <x v="7"/>
    <s v="Female"/>
    <n v="28"/>
    <s v="Mumbai"/>
    <x v="3"/>
    <n v="43183"/>
    <d v="2024-07-09T00:00:00"/>
    <n v="10"/>
    <n v="1"/>
    <n v="4318"/>
    <n v="2159"/>
    <n v="45342"/>
    <n v="2159"/>
    <n v="49660"/>
  </r>
  <r>
    <n v="1219"/>
    <x v="8"/>
    <s v="Male"/>
    <n v="37"/>
    <s v="Mumbai"/>
    <x v="0"/>
    <n v="69672"/>
    <d v="2022-07-09T00:00:00"/>
    <n v="14"/>
    <n v="2"/>
    <n v="6967"/>
    <n v="3484"/>
    <n v="73155"/>
    <n v="3484"/>
    <n v="80123"/>
  </r>
  <r>
    <n v="1220"/>
    <x v="0"/>
    <s v="Female"/>
    <n v="55"/>
    <s v="Bangalore"/>
    <x v="0"/>
    <n v="50059"/>
    <d v="2023-06-03T00:00:00"/>
    <n v="17"/>
    <n v="3"/>
    <n v="5006"/>
    <n v="2503"/>
    <n v="52562"/>
    <n v="2503"/>
    <n v="57568"/>
  </r>
  <r>
    <n v="1221"/>
    <x v="9"/>
    <s v="Male"/>
    <n v="24"/>
    <s v="Delhi"/>
    <x v="0"/>
    <n v="70806"/>
    <d v="2023-12-03T00:00:00"/>
    <n v="11"/>
    <n v="4"/>
    <n v="7081"/>
    <n v="3540"/>
    <n v="74347"/>
    <n v="3540"/>
    <n v="81427"/>
  </r>
  <r>
    <n v="1222"/>
    <x v="0"/>
    <s v="Male"/>
    <n v="50"/>
    <s v="Delhi"/>
    <x v="3"/>
    <n v="46345"/>
    <d v="2022-11-22T00:00:00"/>
    <n v="4"/>
    <n v="4"/>
    <n v="4634"/>
    <n v="2317"/>
    <n v="48662"/>
    <n v="0"/>
    <n v="50979"/>
  </r>
  <r>
    <n v="1223"/>
    <x v="1"/>
    <s v="Male"/>
    <n v="30"/>
    <s v="Hyderabad"/>
    <x v="0"/>
    <n v="83440"/>
    <d v="2024-07-14T00:00:00"/>
    <n v="18"/>
    <n v="5"/>
    <n v="8344"/>
    <n v="4172"/>
    <n v="87612"/>
    <n v="4172"/>
    <n v="95956"/>
  </r>
  <r>
    <n v="1224"/>
    <x v="0"/>
    <s v="Female"/>
    <n v="35"/>
    <s v="Bangalore"/>
    <x v="1"/>
    <n v="22619"/>
    <d v="2022-03-09T00:00:00"/>
    <n v="4"/>
    <n v="1"/>
    <n v="2262"/>
    <n v="1131"/>
    <n v="23750"/>
    <n v="0"/>
    <n v="24881"/>
  </r>
  <r>
    <n v="1225"/>
    <x v="4"/>
    <s v="Male"/>
    <n v="23"/>
    <s v="Hyderabad"/>
    <x v="4"/>
    <n v="63361"/>
    <d v="2023-08-31T00:00:00"/>
    <n v="11"/>
    <n v="5"/>
    <n v="6336"/>
    <n v="3168"/>
    <n v="66529"/>
    <n v="3168"/>
    <n v="72865"/>
  </r>
  <r>
    <n v="1226"/>
    <x v="7"/>
    <s v="Female"/>
    <n v="38"/>
    <s v="Mumbai"/>
    <x v="0"/>
    <n v="96966"/>
    <d v="2023-02-25T00:00:00"/>
    <n v="16"/>
    <n v="4"/>
    <n v="9697"/>
    <n v="4848"/>
    <n v="101815"/>
    <n v="4848"/>
    <n v="111511"/>
  </r>
  <r>
    <n v="1227"/>
    <x v="7"/>
    <s v="Female"/>
    <n v="46"/>
    <s v="Mumbai"/>
    <x v="4"/>
    <n v="33022"/>
    <d v="2022-01-22T00:00:00"/>
    <n v="6"/>
    <n v="4"/>
    <n v="3302"/>
    <n v="1651"/>
    <n v="34673"/>
    <n v="1651"/>
    <n v="37975"/>
  </r>
  <r>
    <n v="1228"/>
    <x v="2"/>
    <s v="Male"/>
    <n v="24"/>
    <s v="Chennai"/>
    <x v="2"/>
    <n v="24055"/>
    <d v="2022-12-11T00:00:00"/>
    <n v="10"/>
    <n v="5"/>
    <n v="2406"/>
    <n v="1203"/>
    <n v="25258"/>
    <n v="1203"/>
    <n v="27664"/>
  </r>
  <r>
    <n v="1229"/>
    <x v="7"/>
    <s v="Male"/>
    <n v="41"/>
    <s v="Bangalore"/>
    <x v="4"/>
    <n v="71966"/>
    <d v="2023-11-20T00:00:00"/>
    <n v="8"/>
    <n v="5"/>
    <n v="7197"/>
    <n v="3598"/>
    <n v="75565"/>
    <n v="3598"/>
    <n v="82761"/>
  </r>
  <r>
    <n v="1230"/>
    <x v="3"/>
    <s v="Male"/>
    <n v="53"/>
    <s v="Chennai"/>
    <x v="4"/>
    <n v="41798"/>
    <d v="2022-03-30T00:00:00"/>
    <n v="5"/>
    <n v="2"/>
    <n v="4180"/>
    <n v="2090"/>
    <n v="43888"/>
    <n v="0"/>
    <n v="45978"/>
  </r>
  <r>
    <n v="1231"/>
    <x v="1"/>
    <s v="Male"/>
    <n v="60"/>
    <s v="Mumbai"/>
    <x v="3"/>
    <n v="43143"/>
    <d v="2023-06-21T00:00:00"/>
    <n v="17"/>
    <n v="2"/>
    <n v="4314"/>
    <n v="2157"/>
    <n v="45300"/>
    <n v="2157"/>
    <n v="49614"/>
  </r>
  <r>
    <n v="1232"/>
    <x v="0"/>
    <s v="Male"/>
    <n v="37"/>
    <s v="Chennai"/>
    <x v="1"/>
    <n v="63822"/>
    <d v="2022-03-10T00:00:00"/>
    <n v="18"/>
    <n v="5"/>
    <n v="6382"/>
    <n v="3191"/>
    <n v="67013"/>
    <n v="3191"/>
    <n v="73395"/>
  </r>
  <r>
    <n v="1233"/>
    <x v="9"/>
    <s v="Male"/>
    <n v="36"/>
    <s v="Chennai"/>
    <x v="4"/>
    <n v="56107"/>
    <d v="2022-05-25T00:00:00"/>
    <n v="18"/>
    <n v="5"/>
    <n v="5611"/>
    <n v="2805"/>
    <n v="58913"/>
    <n v="2805"/>
    <n v="64523"/>
  </r>
  <r>
    <n v="1234"/>
    <x v="6"/>
    <s v="Male"/>
    <n v="51"/>
    <s v="Delhi"/>
    <x v="3"/>
    <n v="76899"/>
    <d v="2023-02-05T00:00:00"/>
    <n v="3"/>
    <n v="4"/>
    <n v="7690"/>
    <n v="3845"/>
    <n v="80744"/>
    <n v="0"/>
    <n v="84589"/>
  </r>
  <r>
    <n v="1235"/>
    <x v="1"/>
    <s v="Male"/>
    <n v="33"/>
    <s v="Hyderabad"/>
    <x v="3"/>
    <n v="41001"/>
    <d v="2024-09-03T00:00:00"/>
    <n v="11"/>
    <n v="2"/>
    <n v="4100"/>
    <n v="2050"/>
    <n v="43051"/>
    <n v="2050"/>
    <n v="47151"/>
  </r>
  <r>
    <n v="1236"/>
    <x v="8"/>
    <s v="Male"/>
    <n v="60"/>
    <s v="Mumbai"/>
    <x v="0"/>
    <n v="82672"/>
    <d v="2024-09-10T00:00:00"/>
    <n v="9"/>
    <n v="1"/>
    <n v="8267"/>
    <n v="4134"/>
    <n v="86805"/>
    <n v="4134"/>
    <n v="95073"/>
  </r>
  <r>
    <n v="1237"/>
    <x v="7"/>
    <s v="Male"/>
    <n v="48"/>
    <s v="Mumbai"/>
    <x v="3"/>
    <n v="71064"/>
    <d v="2024-01-22T00:00:00"/>
    <n v="8"/>
    <n v="1"/>
    <n v="7106"/>
    <n v="3553"/>
    <n v="74617"/>
    <n v="3553"/>
    <n v="81723"/>
  </r>
  <r>
    <n v="1238"/>
    <x v="5"/>
    <s v="Female"/>
    <n v="54"/>
    <s v="Mumbai"/>
    <x v="1"/>
    <n v="65140"/>
    <d v="2022-04-17T00:00:00"/>
    <n v="8"/>
    <n v="2"/>
    <n v="6514"/>
    <n v="3257"/>
    <n v="68397"/>
    <n v="3257"/>
    <n v="74911"/>
  </r>
  <r>
    <n v="1239"/>
    <x v="3"/>
    <s v="Female"/>
    <n v="57"/>
    <s v="Chennai"/>
    <x v="2"/>
    <n v="47524"/>
    <d v="2022-10-28T00:00:00"/>
    <n v="9"/>
    <n v="4"/>
    <n v="4752"/>
    <n v="2376"/>
    <n v="49900"/>
    <n v="2376"/>
    <n v="54652"/>
  </r>
  <r>
    <n v="1240"/>
    <x v="7"/>
    <s v="Male"/>
    <n v="59"/>
    <s v="Chennai"/>
    <x v="2"/>
    <n v="76149"/>
    <d v="2024-08-18T00:00:00"/>
    <n v="4"/>
    <n v="3"/>
    <n v="7615"/>
    <n v="3807"/>
    <n v="79957"/>
    <n v="0"/>
    <n v="83764"/>
  </r>
  <r>
    <n v="1241"/>
    <x v="3"/>
    <s v="Female"/>
    <n v="23"/>
    <s v="Mumbai"/>
    <x v="4"/>
    <n v="59534"/>
    <d v="2022-02-23T00:00:00"/>
    <n v="17"/>
    <n v="3"/>
    <n v="5953"/>
    <n v="2977"/>
    <n v="62510"/>
    <n v="2977"/>
    <n v="68464"/>
  </r>
  <r>
    <n v="1242"/>
    <x v="5"/>
    <s v="Female"/>
    <n v="50"/>
    <s v="Delhi"/>
    <x v="0"/>
    <n v="90789"/>
    <d v="2024-08-05T00:00:00"/>
    <n v="17"/>
    <n v="3"/>
    <n v="9079"/>
    <n v="4539"/>
    <n v="95329"/>
    <n v="4539"/>
    <n v="104407"/>
  </r>
  <r>
    <n v="1243"/>
    <x v="3"/>
    <s v="Female"/>
    <n v="29"/>
    <s v="Mumbai"/>
    <x v="0"/>
    <n v="79628"/>
    <d v="2023-08-07T00:00:00"/>
    <n v="18"/>
    <n v="3"/>
    <n v="7963"/>
    <n v="3981"/>
    <n v="83610"/>
    <n v="3981"/>
    <n v="91572"/>
  </r>
  <r>
    <n v="1244"/>
    <x v="8"/>
    <s v="Male"/>
    <n v="43"/>
    <s v="Hyderabad"/>
    <x v="3"/>
    <n v="42217"/>
    <d v="2022-08-12T00:00:00"/>
    <n v="6"/>
    <n v="5"/>
    <n v="4222"/>
    <n v="2111"/>
    <n v="44328"/>
    <n v="2111"/>
    <n v="48550"/>
  </r>
  <r>
    <n v="1245"/>
    <x v="5"/>
    <s v="Female"/>
    <n v="45"/>
    <s v="Hyderabad"/>
    <x v="0"/>
    <n v="34854"/>
    <d v="2024-07-21T00:00:00"/>
    <n v="19"/>
    <n v="2"/>
    <n v="3485"/>
    <n v="1743"/>
    <n v="36596"/>
    <n v="1743"/>
    <n v="40082"/>
  </r>
  <r>
    <n v="1246"/>
    <x v="8"/>
    <s v="Female"/>
    <n v="39"/>
    <s v="Chennai"/>
    <x v="0"/>
    <n v="69219"/>
    <d v="2022-07-03T00:00:00"/>
    <n v="16"/>
    <n v="2"/>
    <n v="6922"/>
    <n v="3461"/>
    <n v="72680"/>
    <n v="3461"/>
    <n v="79602"/>
  </r>
  <r>
    <n v="1247"/>
    <x v="9"/>
    <s v="Male"/>
    <n v="23"/>
    <s v="Chennai"/>
    <x v="3"/>
    <n v="52827"/>
    <d v="2022-05-17T00:00:00"/>
    <n v="7"/>
    <n v="3"/>
    <n v="5283"/>
    <n v="2641"/>
    <n v="55469"/>
    <n v="2641"/>
    <n v="60751"/>
  </r>
  <r>
    <n v="1248"/>
    <x v="8"/>
    <s v="Male"/>
    <n v="28"/>
    <s v="Bangalore"/>
    <x v="2"/>
    <n v="84734"/>
    <d v="2023-02-03T00:00:00"/>
    <n v="15"/>
    <n v="1"/>
    <n v="8473"/>
    <n v="4237"/>
    <n v="88970"/>
    <n v="4237"/>
    <n v="97444"/>
  </r>
  <r>
    <n v="1249"/>
    <x v="6"/>
    <s v="Male"/>
    <n v="52"/>
    <s v="Hyderabad"/>
    <x v="2"/>
    <n v="59706"/>
    <d v="2024-06-23T00:00:00"/>
    <n v="2"/>
    <n v="5"/>
    <n v="5971"/>
    <n v="2985"/>
    <n v="62692"/>
    <n v="0"/>
    <n v="65677"/>
  </r>
  <r>
    <n v="1250"/>
    <x v="1"/>
    <s v="Male"/>
    <n v="51"/>
    <s v="Delhi"/>
    <x v="2"/>
    <n v="41837"/>
    <d v="2023-04-25T00:00:00"/>
    <n v="16"/>
    <n v="3"/>
    <n v="4184"/>
    <n v="2092"/>
    <n v="43929"/>
    <n v="2092"/>
    <n v="48113"/>
  </r>
  <r>
    <n v="1251"/>
    <x v="7"/>
    <s v="Female"/>
    <n v="48"/>
    <s v="Bangalore"/>
    <x v="1"/>
    <n v="61885"/>
    <d v="2023-04-02T00:00:00"/>
    <n v="10"/>
    <n v="5"/>
    <n v="6188"/>
    <n v="3094"/>
    <n v="64979"/>
    <n v="3094"/>
    <n v="71167"/>
  </r>
  <r>
    <n v="1252"/>
    <x v="6"/>
    <s v="Male"/>
    <n v="24"/>
    <s v="Hyderabad"/>
    <x v="3"/>
    <n v="58869"/>
    <d v="2024-03-29T00:00:00"/>
    <n v="17"/>
    <n v="2"/>
    <n v="5887"/>
    <n v="2943"/>
    <n v="61813"/>
    <n v="2943"/>
    <n v="67699"/>
  </r>
  <r>
    <n v="1253"/>
    <x v="0"/>
    <s v="Male"/>
    <n v="41"/>
    <s v="Hyderabad"/>
    <x v="2"/>
    <n v="66762"/>
    <d v="2022-08-31T00:00:00"/>
    <n v="2"/>
    <n v="1"/>
    <n v="6676"/>
    <n v="3338"/>
    <n v="70100"/>
    <n v="0"/>
    <n v="73438"/>
  </r>
  <r>
    <n v="1254"/>
    <x v="8"/>
    <s v="Male"/>
    <n v="58"/>
    <s v="Hyderabad"/>
    <x v="2"/>
    <n v="54392"/>
    <d v="2022-02-22T00:00:00"/>
    <n v="12"/>
    <n v="1"/>
    <n v="5439"/>
    <n v="2720"/>
    <n v="57111"/>
    <n v="2720"/>
    <n v="62551"/>
  </r>
  <r>
    <n v="1255"/>
    <x v="7"/>
    <s v="Female"/>
    <n v="35"/>
    <s v="Hyderabad"/>
    <x v="4"/>
    <n v="66881"/>
    <d v="2024-07-31T00:00:00"/>
    <n v="9"/>
    <n v="1"/>
    <n v="6688"/>
    <n v="3344"/>
    <n v="70225"/>
    <n v="3344"/>
    <n v="76913"/>
  </r>
  <r>
    <n v="1256"/>
    <x v="0"/>
    <s v="Male"/>
    <n v="36"/>
    <s v="Bangalore"/>
    <x v="4"/>
    <n v="78101"/>
    <d v="2022-10-04T00:00:00"/>
    <n v="1"/>
    <n v="2"/>
    <n v="7810"/>
    <n v="3905"/>
    <n v="82006"/>
    <n v="0"/>
    <n v="85911"/>
  </r>
  <r>
    <n v="1257"/>
    <x v="6"/>
    <s v="Male"/>
    <n v="48"/>
    <s v="Bangalore"/>
    <x v="4"/>
    <n v="58594"/>
    <d v="2022-11-13T00:00:00"/>
    <n v="13"/>
    <n v="5"/>
    <n v="5859"/>
    <n v="2930"/>
    <n v="61523"/>
    <n v="2930"/>
    <n v="67383"/>
  </r>
  <r>
    <n v="1258"/>
    <x v="1"/>
    <s v="Female"/>
    <n v="60"/>
    <s v="Mumbai"/>
    <x v="2"/>
    <n v="99194"/>
    <d v="2023-05-17T00:00:00"/>
    <n v="16"/>
    <n v="5"/>
    <n v="9919"/>
    <n v="4960"/>
    <n v="104153"/>
    <n v="4960"/>
    <n v="114073"/>
  </r>
  <r>
    <n v="1259"/>
    <x v="9"/>
    <s v="Male"/>
    <n v="50"/>
    <s v="Mumbai"/>
    <x v="2"/>
    <n v="45619"/>
    <d v="2023-09-26T00:00:00"/>
    <n v="10"/>
    <n v="4"/>
    <n v="4562"/>
    <n v="2281"/>
    <n v="47900"/>
    <n v="2281"/>
    <n v="52462"/>
  </r>
  <r>
    <n v="1260"/>
    <x v="6"/>
    <s v="Female"/>
    <n v="22"/>
    <s v="Chennai"/>
    <x v="3"/>
    <n v="31993"/>
    <d v="2023-07-24T00:00:00"/>
    <n v="8"/>
    <n v="5"/>
    <n v="3199"/>
    <n v="1600"/>
    <n v="33592"/>
    <n v="1600"/>
    <n v="36792"/>
  </r>
  <r>
    <n v="1261"/>
    <x v="8"/>
    <s v="Female"/>
    <n v="47"/>
    <s v="Delhi"/>
    <x v="1"/>
    <n v="51521"/>
    <d v="2024-04-10T00:00:00"/>
    <n v="11"/>
    <n v="5"/>
    <n v="5152"/>
    <n v="2576"/>
    <n v="54097"/>
    <n v="2576"/>
    <n v="59249"/>
  </r>
  <r>
    <n v="1262"/>
    <x v="6"/>
    <s v="Female"/>
    <n v="42"/>
    <s v="Delhi"/>
    <x v="4"/>
    <n v="20648"/>
    <d v="2022-10-15T00:00:00"/>
    <n v="16"/>
    <n v="5"/>
    <n v="2065"/>
    <n v="1032"/>
    <n v="21681"/>
    <n v="1032"/>
    <n v="23745"/>
  </r>
  <r>
    <n v="1263"/>
    <x v="8"/>
    <s v="Male"/>
    <n v="43"/>
    <s v="Mumbai"/>
    <x v="3"/>
    <n v="43470"/>
    <d v="2023-08-19T00:00:00"/>
    <n v="7"/>
    <n v="1"/>
    <n v="4347"/>
    <n v="2174"/>
    <n v="45643"/>
    <n v="2174"/>
    <n v="49991"/>
  </r>
  <r>
    <n v="1264"/>
    <x v="7"/>
    <s v="Female"/>
    <n v="32"/>
    <s v="Chennai"/>
    <x v="1"/>
    <n v="32208"/>
    <d v="2022-02-01T00:00:00"/>
    <n v="15"/>
    <n v="1"/>
    <n v="3221"/>
    <n v="1610"/>
    <n v="33819"/>
    <n v="1610"/>
    <n v="37039"/>
  </r>
  <r>
    <n v="1265"/>
    <x v="4"/>
    <s v="Male"/>
    <n v="42"/>
    <s v="Mumbai"/>
    <x v="2"/>
    <n v="55757"/>
    <d v="2023-01-19T00:00:00"/>
    <n v="9"/>
    <n v="4"/>
    <n v="5576"/>
    <n v="2788"/>
    <n v="58545"/>
    <n v="2788"/>
    <n v="64121"/>
  </r>
  <r>
    <n v="1266"/>
    <x v="5"/>
    <s v="Male"/>
    <n v="53"/>
    <s v="Delhi"/>
    <x v="0"/>
    <n v="35947"/>
    <d v="2024-07-04T00:00:00"/>
    <n v="10"/>
    <n v="2"/>
    <n v="3595"/>
    <n v="1797"/>
    <n v="37745"/>
    <n v="1797"/>
    <n v="41339"/>
  </r>
  <r>
    <n v="1267"/>
    <x v="9"/>
    <s v="Male"/>
    <n v="50"/>
    <s v="Chennai"/>
    <x v="4"/>
    <n v="83050"/>
    <d v="2022-12-13T00:00:00"/>
    <n v="10"/>
    <n v="3"/>
    <n v="8305"/>
    <n v="4152"/>
    <n v="87203"/>
    <n v="4152"/>
    <n v="95507"/>
  </r>
  <r>
    <n v="1268"/>
    <x v="8"/>
    <s v="Female"/>
    <n v="40"/>
    <s v="Hyderabad"/>
    <x v="3"/>
    <n v="21542"/>
    <d v="2022-06-19T00:00:00"/>
    <n v="7"/>
    <n v="5"/>
    <n v="2154"/>
    <n v="1077"/>
    <n v="22619"/>
    <n v="1077"/>
    <n v="24773"/>
  </r>
  <r>
    <n v="1269"/>
    <x v="6"/>
    <s v="Male"/>
    <n v="22"/>
    <s v="Delhi"/>
    <x v="1"/>
    <n v="58486"/>
    <d v="2024-07-24T00:00:00"/>
    <n v="10"/>
    <n v="1"/>
    <n v="5849"/>
    <n v="2924"/>
    <n v="61411"/>
    <n v="2924"/>
    <n v="67259"/>
  </r>
  <r>
    <n v="1270"/>
    <x v="7"/>
    <s v="Female"/>
    <n v="40"/>
    <s v="Hyderabad"/>
    <x v="0"/>
    <n v="63441"/>
    <d v="2023-12-05T00:00:00"/>
    <n v="17"/>
    <n v="3"/>
    <n v="6344"/>
    <n v="3172"/>
    <n v="66613"/>
    <n v="3172"/>
    <n v="72957"/>
  </r>
  <r>
    <n v="1271"/>
    <x v="6"/>
    <s v="Male"/>
    <n v="49"/>
    <s v="Chennai"/>
    <x v="4"/>
    <n v="22516"/>
    <d v="2022-07-16T00:00:00"/>
    <n v="16"/>
    <n v="3"/>
    <n v="2252"/>
    <n v="1126"/>
    <n v="23642"/>
    <n v="1126"/>
    <n v="25894"/>
  </r>
  <r>
    <n v="1272"/>
    <x v="7"/>
    <s v="Male"/>
    <n v="51"/>
    <s v="Delhi"/>
    <x v="2"/>
    <n v="45364"/>
    <d v="2023-12-08T00:00:00"/>
    <n v="6"/>
    <n v="5"/>
    <n v="4536"/>
    <n v="2268"/>
    <n v="47632"/>
    <n v="2268"/>
    <n v="52168"/>
  </r>
  <r>
    <n v="1273"/>
    <x v="0"/>
    <s v="Female"/>
    <n v="39"/>
    <s v="Delhi"/>
    <x v="2"/>
    <n v="99979"/>
    <d v="2024-04-15T00:00:00"/>
    <n v="14"/>
    <n v="3"/>
    <n v="9998"/>
    <n v="4999"/>
    <n v="104978"/>
    <n v="4999"/>
    <n v="114976"/>
  </r>
  <r>
    <n v="1274"/>
    <x v="5"/>
    <s v="Male"/>
    <n v="35"/>
    <s v="Bangalore"/>
    <x v="3"/>
    <n v="26224"/>
    <d v="2023-09-30T00:00:00"/>
    <n v="6"/>
    <n v="4"/>
    <n v="2622"/>
    <n v="1311"/>
    <n v="27535"/>
    <n v="1311"/>
    <n v="30157"/>
  </r>
  <r>
    <n v="1275"/>
    <x v="9"/>
    <s v="Male"/>
    <n v="44"/>
    <s v="Chennai"/>
    <x v="1"/>
    <n v="48886"/>
    <d v="2023-06-19T00:00:00"/>
    <n v="16"/>
    <n v="3"/>
    <n v="4889"/>
    <n v="2444"/>
    <n v="51331"/>
    <n v="2444"/>
    <n v="56219"/>
  </r>
  <r>
    <n v="1276"/>
    <x v="9"/>
    <s v="Female"/>
    <n v="22"/>
    <s v="Mumbai"/>
    <x v="4"/>
    <n v="44401"/>
    <d v="2023-06-16T00:00:00"/>
    <n v="12"/>
    <n v="1"/>
    <n v="4440"/>
    <n v="2220"/>
    <n v="46621"/>
    <n v="2220"/>
    <n v="51061"/>
  </r>
  <r>
    <n v="1277"/>
    <x v="3"/>
    <s v="Male"/>
    <n v="49"/>
    <s v="Chennai"/>
    <x v="1"/>
    <n v="94318"/>
    <d v="2023-11-20T00:00:00"/>
    <n v="8"/>
    <n v="1"/>
    <n v="9432"/>
    <n v="4716"/>
    <n v="99034"/>
    <n v="4716"/>
    <n v="108466"/>
  </r>
  <r>
    <n v="1278"/>
    <x v="9"/>
    <s v="Male"/>
    <n v="55"/>
    <s v="Delhi"/>
    <x v="1"/>
    <n v="97109"/>
    <d v="2024-01-10T00:00:00"/>
    <n v="16"/>
    <n v="4"/>
    <n v="9711"/>
    <n v="4855"/>
    <n v="101965"/>
    <n v="4855"/>
    <n v="111675"/>
  </r>
  <r>
    <n v="1279"/>
    <x v="0"/>
    <s v="Male"/>
    <n v="21"/>
    <s v="Chennai"/>
    <x v="4"/>
    <n v="70830"/>
    <d v="2024-06-25T00:00:00"/>
    <n v="16"/>
    <n v="1"/>
    <n v="7083"/>
    <n v="3542"/>
    <n v="74371"/>
    <n v="3542"/>
    <n v="81455"/>
  </r>
  <r>
    <n v="1280"/>
    <x v="6"/>
    <s v="Female"/>
    <n v="38"/>
    <s v="Chennai"/>
    <x v="1"/>
    <n v="52592"/>
    <d v="2022-09-02T00:00:00"/>
    <n v="5"/>
    <n v="2"/>
    <n v="5259"/>
    <n v="2630"/>
    <n v="55221"/>
    <n v="0"/>
    <n v="57851"/>
  </r>
  <r>
    <n v="1281"/>
    <x v="8"/>
    <s v="Male"/>
    <n v="34"/>
    <s v="Mumbai"/>
    <x v="3"/>
    <n v="53230"/>
    <d v="2022-03-11T00:00:00"/>
    <n v="1"/>
    <n v="1"/>
    <n v="5323"/>
    <n v="2662"/>
    <n v="55891"/>
    <n v="0"/>
    <n v="58553"/>
  </r>
  <r>
    <n v="1282"/>
    <x v="3"/>
    <s v="Male"/>
    <n v="51"/>
    <s v="Delhi"/>
    <x v="3"/>
    <n v="29299"/>
    <d v="2023-04-24T00:00:00"/>
    <n v="10"/>
    <n v="3"/>
    <n v="2930"/>
    <n v="1465"/>
    <n v="30764"/>
    <n v="1465"/>
    <n v="33694"/>
  </r>
  <r>
    <n v="1283"/>
    <x v="9"/>
    <s v="Female"/>
    <n v="59"/>
    <s v="Hyderabad"/>
    <x v="1"/>
    <n v="28769"/>
    <d v="2024-02-27T00:00:00"/>
    <n v="9"/>
    <n v="3"/>
    <n v="2877"/>
    <n v="1438"/>
    <n v="30208"/>
    <n v="1438"/>
    <n v="33084"/>
  </r>
  <r>
    <n v="1284"/>
    <x v="9"/>
    <s v="Female"/>
    <n v="45"/>
    <s v="Delhi"/>
    <x v="3"/>
    <n v="49407"/>
    <d v="2023-04-06T00:00:00"/>
    <n v="16"/>
    <n v="2"/>
    <n v="4941"/>
    <n v="2470"/>
    <n v="51878"/>
    <n v="2470"/>
    <n v="56818"/>
  </r>
  <r>
    <n v="1285"/>
    <x v="9"/>
    <s v="Male"/>
    <n v="51"/>
    <s v="Delhi"/>
    <x v="2"/>
    <n v="40164"/>
    <d v="2023-05-21T00:00:00"/>
    <n v="3"/>
    <n v="5"/>
    <n v="4016"/>
    <n v="2008"/>
    <n v="42172"/>
    <n v="0"/>
    <n v="44180"/>
  </r>
  <r>
    <n v="1286"/>
    <x v="6"/>
    <s v="Male"/>
    <n v="38"/>
    <s v="Bangalore"/>
    <x v="0"/>
    <n v="47928"/>
    <d v="2023-01-22T00:00:00"/>
    <n v="10"/>
    <n v="4"/>
    <n v="4793"/>
    <n v="2396"/>
    <n v="50325"/>
    <n v="2396"/>
    <n v="55117"/>
  </r>
  <r>
    <n v="1287"/>
    <x v="5"/>
    <s v="Female"/>
    <n v="33"/>
    <s v="Bangalore"/>
    <x v="2"/>
    <n v="64036"/>
    <d v="2022-06-20T00:00:00"/>
    <n v="3"/>
    <n v="4"/>
    <n v="6404"/>
    <n v="3202"/>
    <n v="67238"/>
    <n v="0"/>
    <n v="70440"/>
  </r>
  <r>
    <n v="1288"/>
    <x v="3"/>
    <s v="Male"/>
    <n v="38"/>
    <s v="Delhi"/>
    <x v="3"/>
    <n v="24037"/>
    <d v="2022-06-14T00:00:00"/>
    <n v="11"/>
    <n v="2"/>
    <n v="2404"/>
    <n v="1202"/>
    <n v="25239"/>
    <n v="1202"/>
    <n v="27643"/>
  </r>
  <r>
    <n v="1289"/>
    <x v="4"/>
    <s v="Female"/>
    <n v="55"/>
    <s v="Hyderabad"/>
    <x v="1"/>
    <n v="87077"/>
    <d v="2022-09-08T00:00:00"/>
    <n v="7"/>
    <n v="3"/>
    <n v="8708"/>
    <n v="4354"/>
    <n v="91431"/>
    <n v="4354"/>
    <n v="100139"/>
  </r>
  <r>
    <n v="1290"/>
    <x v="2"/>
    <s v="Male"/>
    <n v="58"/>
    <s v="Bangalore"/>
    <x v="0"/>
    <n v="72333"/>
    <d v="2023-11-29T00:00:00"/>
    <n v="18"/>
    <n v="2"/>
    <n v="7233"/>
    <n v="3617"/>
    <n v="75949"/>
    <n v="3617"/>
    <n v="83183"/>
  </r>
  <r>
    <n v="1291"/>
    <x v="0"/>
    <s v="Male"/>
    <n v="22"/>
    <s v="Delhi"/>
    <x v="4"/>
    <n v="99890"/>
    <d v="2022-01-18T00:00:00"/>
    <n v="15"/>
    <n v="1"/>
    <n v="9989"/>
    <n v="4994"/>
    <n v="104885"/>
    <n v="4994"/>
    <n v="114873"/>
  </r>
  <r>
    <n v="1292"/>
    <x v="1"/>
    <s v="Male"/>
    <n v="38"/>
    <s v="Bangalore"/>
    <x v="2"/>
    <n v="94563"/>
    <d v="2024-06-11T00:00:00"/>
    <n v="8"/>
    <n v="3"/>
    <n v="9456"/>
    <n v="4728"/>
    <n v="99291"/>
    <n v="4728"/>
    <n v="108747"/>
  </r>
  <r>
    <n v="1293"/>
    <x v="9"/>
    <s v="Male"/>
    <n v="33"/>
    <s v="Chennai"/>
    <x v="1"/>
    <n v="55911"/>
    <d v="2022-03-14T00:00:00"/>
    <n v="12"/>
    <n v="4"/>
    <n v="5591"/>
    <n v="2796"/>
    <n v="58706"/>
    <n v="2796"/>
    <n v="64298"/>
  </r>
  <r>
    <n v="1294"/>
    <x v="7"/>
    <s v="Female"/>
    <n v="32"/>
    <s v="Delhi"/>
    <x v="1"/>
    <n v="38552"/>
    <d v="2023-01-11T00:00:00"/>
    <n v="17"/>
    <n v="4"/>
    <n v="3855"/>
    <n v="1928"/>
    <n v="40479"/>
    <n v="1928"/>
    <n v="44335"/>
  </r>
  <r>
    <n v="1295"/>
    <x v="2"/>
    <s v="Female"/>
    <n v="60"/>
    <s v="Bangalore"/>
    <x v="0"/>
    <n v="72425"/>
    <d v="2023-05-17T00:00:00"/>
    <n v="7"/>
    <n v="2"/>
    <n v="7242"/>
    <n v="3621"/>
    <n v="76046"/>
    <n v="3621"/>
    <n v="83288"/>
  </r>
  <r>
    <n v="1296"/>
    <x v="2"/>
    <s v="Female"/>
    <n v="25"/>
    <s v="Hyderabad"/>
    <x v="4"/>
    <n v="20628"/>
    <d v="2022-09-04T00:00:00"/>
    <n v="17"/>
    <n v="5"/>
    <n v="2063"/>
    <n v="1031"/>
    <n v="21660"/>
    <n v="1031"/>
    <n v="23722"/>
  </r>
  <r>
    <n v="1297"/>
    <x v="9"/>
    <s v="Female"/>
    <n v="59"/>
    <s v="Chennai"/>
    <x v="0"/>
    <n v="76456"/>
    <d v="2024-03-29T00:00:00"/>
    <n v="17"/>
    <n v="2"/>
    <n v="7646"/>
    <n v="3823"/>
    <n v="80279"/>
    <n v="3823"/>
    <n v="87925"/>
  </r>
  <r>
    <n v="1298"/>
    <x v="5"/>
    <s v="Female"/>
    <n v="44"/>
    <s v="Mumbai"/>
    <x v="1"/>
    <n v="40516"/>
    <d v="2024-01-26T00:00:00"/>
    <n v="7"/>
    <n v="2"/>
    <n v="4052"/>
    <n v="2026"/>
    <n v="42542"/>
    <n v="2026"/>
    <n v="46594"/>
  </r>
  <r>
    <n v="1299"/>
    <x v="5"/>
    <s v="Female"/>
    <n v="38"/>
    <s v="Chennai"/>
    <x v="3"/>
    <n v="25712"/>
    <d v="2023-07-27T00:00:00"/>
    <n v="5"/>
    <n v="5"/>
    <n v="2571"/>
    <n v="1286"/>
    <n v="26997"/>
    <n v="0"/>
    <n v="28283"/>
  </r>
  <r>
    <n v="1300"/>
    <x v="8"/>
    <s v="Female"/>
    <n v="38"/>
    <s v="Chennai"/>
    <x v="4"/>
    <n v="21296"/>
    <d v="2024-02-14T00:00:00"/>
    <n v="14"/>
    <n v="1"/>
    <n v="2130"/>
    <n v="1065"/>
    <n v="22361"/>
    <n v="1065"/>
    <n v="24491"/>
  </r>
  <r>
    <n v="1301"/>
    <x v="2"/>
    <s v="Female"/>
    <n v="42"/>
    <s v="Delhi"/>
    <x v="1"/>
    <n v="42790"/>
    <d v="2023-11-12T00:00:00"/>
    <n v="1"/>
    <n v="2"/>
    <n v="4279"/>
    <n v="2140"/>
    <n v="44929"/>
    <n v="0"/>
    <n v="47069"/>
  </r>
  <r>
    <n v="1302"/>
    <x v="4"/>
    <s v="Female"/>
    <n v="22"/>
    <s v="Bangalore"/>
    <x v="4"/>
    <n v="98111"/>
    <d v="2023-09-01T00:00:00"/>
    <n v="12"/>
    <n v="3"/>
    <n v="9811"/>
    <n v="4906"/>
    <n v="103016"/>
    <n v="4906"/>
    <n v="112828"/>
  </r>
  <r>
    <n v="1303"/>
    <x v="2"/>
    <s v="Female"/>
    <n v="59"/>
    <s v="Delhi"/>
    <x v="0"/>
    <n v="55089"/>
    <d v="2022-06-05T00:00:00"/>
    <n v="12"/>
    <n v="3"/>
    <n v="5509"/>
    <n v="2754"/>
    <n v="57844"/>
    <n v="2754"/>
    <n v="63352"/>
  </r>
  <r>
    <n v="1304"/>
    <x v="0"/>
    <s v="Male"/>
    <n v="22"/>
    <s v="Hyderabad"/>
    <x v="3"/>
    <n v="81105"/>
    <d v="2022-12-21T00:00:00"/>
    <n v="10"/>
    <n v="2"/>
    <n v="8110"/>
    <n v="4055"/>
    <n v="85160"/>
    <n v="4055"/>
    <n v="93270"/>
  </r>
  <r>
    <n v="1305"/>
    <x v="1"/>
    <s v="Female"/>
    <n v="26"/>
    <s v="Mumbai"/>
    <x v="1"/>
    <n v="20502"/>
    <d v="2022-06-18T00:00:00"/>
    <n v="12"/>
    <n v="1"/>
    <n v="2050"/>
    <n v="1025"/>
    <n v="21527"/>
    <n v="1025"/>
    <n v="23577"/>
  </r>
  <r>
    <n v="1306"/>
    <x v="1"/>
    <s v="Male"/>
    <n v="55"/>
    <s v="Hyderabad"/>
    <x v="4"/>
    <n v="72604"/>
    <d v="2022-07-30T00:00:00"/>
    <n v="17"/>
    <n v="3"/>
    <n v="7260"/>
    <n v="3630"/>
    <n v="76234"/>
    <n v="3630"/>
    <n v="83494"/>
  </r>
  <r>
    <n v="1307"/>
    <x v="3"/>
    <s v="Male"/>
    <n v="42"/>
    <s v="Hyderabad"/>
    <x v="0"/>
    <n v="26981"/>
    <d v="2023-04-22T00:00:00"/>
    <n v="8"/>
    <n v="1"/>
    <n v="2698"/>
    <n v="1349"/>
    <n v="28330"/>
    <n v="1349"/>
    <n v="31028"/>
  </r>
  <r>
    <n v="1308"/>
    <x v="6"/>
    <s v="Male"/>
    <n v="36"/>
    <s v="Chennai"/>
    <x v="1"/>
    <n v="37943"/>
    <d v="2023-12-03T00:00:00"/>
    <n v="10"/>
    <n v="5"/>
    <n v="3794"/>
    <n v="1897"/>
    <n v="39840"/>
    <n v="1897"/>
    <n v="43634"/>
  </r>
  <r>
    <n v="1309"/>
    <x v="4"/>
    <s v="Female"/>
    <n v="44"/>
    <s v="Chennai"/>
    <x v="0"/>
    <n v="71657"/>
    <d v="2022-08-07T00:00:00"/>
    <n v="17"/>
    <n v="1"/>
    <n v="7166"/>
    <n v="3583"/>
    <n v="75240"/>
    <n v="3583"/>
    <n v="82406"/>
  </r>
  <r>
    <n v="1310"/>
    <x v="7"/>
    <s v="Male"/>
    <n v="47"/>
    <s v="Mumbai"/>
    <x v="3"/>
    <n v="39242"/>
    <d v="2022-07-20T00:00:00"/>
    <n v="11"/>
    <n v="3"/>
    <n v="3924"/>
    <n v="1962"/>
    <n v="41204"/>
    <n v="1962"/>
    <n v="45128"/>
  </r>
  <r>
    <n v="1311"/>
    <x v="8"/>
    <s v="Male"/>
    <n v="23"/>
    <s v="Delhi"/>
    <x v="1"/>
    <n v="33916"/>
    <d v="2023-06-10T00:00:00"/>
    <n v="16"/>
    <n v="4"/>
    <n v="3392"/>
    <n v="1696"/>
    <n v="35612"/>
    <n v="1696"/>
    <n v="39004"/>
  </r>
  <r>
    <n v="1312"/>
    <x v="2"/>
    <s v="Female"/>
    <n v="28"/>
    <s v="Mumbai"/>
    <x v="2"/>
    <n v="57662"/>
    <d v="2023-01-10T00:00:00"/>
    <n v="13"/>
    <n v="5"/>
    <n v="5766"/>
    <n v="2883"/>
    <n v="60545"/>
    <n v="2883"/>
    <n v="66311"/>
  </r>
  <r>
    <n v="1313"/>
    <x v="1"/>
    <s v="Female"/>
    <n v="56"/>
    <s v="Hyderabad"/>
    <x v="3"/>
    <n v="54562"/>
    <d v="2022-04-05T00:00:00"/>
    <n v="12"/>
    <n v="3"/>
    <n v="5456"/>
    <n v="2728"/>
    <n v="57290"/>
    <n v="2728"/>
    <n v="62746"/>
  </r>
  <r>
    <n v="1314"/>
    <x v="5"/>
    <s v="Male"/>
    <n v="57"/>
    <s v="Bangalore"/>
    <x v="3"/>
    <n v="44290"/>
    <d v="2024-05-07T00:00:00"/>
    <n v="6"/>
    <n v="1"/>
    <n v="4429"/>
    <n v="2214"/>
    <n v="46505"/>
    <n v="2214"/>
    <n v="50933"/>
  </r>
  <r>
    <n v="1315"/>
    <x v="7"/>
    <s v="Female"/>
    <n v="43"/>
    <s v="Bangalore"/>
    <x v="0"/>
    <n v="73073"/>
    <d v="2022-09-10T00:00:00"/>
    <n v="15"/>
    <n v="1"/>
    <n v="7307"/>
    <n v="3654"/>
    <n v="76726"/>
    <n v="3654"/>
    <n v="84034"/>
  </r>
  <r>
    <n v="1316"/>
    <x v="1"/>
    <s v="Female"/>
    <n v="25"/>
    <s v="Chennai"/>
    <x v="1"/>
    <n v="41305"/>
    <d v="2022-01-14T00:00:00"/>
    <n v="13"/>
    <n v="3"/>
    <n v="4130"/>
    <n v="2065"/>
    <n v="43370"/>
    <n v="2065"/>
    <n v="47500"/>
  </r>
  <r>
    <n v="1317"/>
    <x v="2"/>
    <s v="Female"/>
    <n v="52"/>
    <s v="Delhi"/>
    <x v="1"/>
    <n v="78834"/>
    <d v="2022-05-22T00:00:00"/>
    <n v="20"/>
    <n v="4"/>
    <n v="7883"/>
    <n v="3942"/>
    <n v="82775"/>
    <n v="3942"/>
    <n v="90659"/>
  </r>
  <r>
    <n v="1318"/>
    <x v="0"/>
    <s v="Male"/>
    <n v="48"/>
    <s v="Delhi"/>
    <x v="3"/>
    <n v="35873"/>
    <d v="2022-02-18T00:00:00"/>
    <n v="17"/>
    <n v="5"/>
    <n v="3587"/>
    <n v="1794"/>
    <n v="37666"/>
    <n v="1794"/>
    <n v="41254"/>
  </r>
  <r>
    <n v="1319"/>
    <x v="2"/>
    <s v="Female"/>
    <n v="38"/>
    <s v="Chennai"/>
    <x v="0"/>
    <n v="37080"/>
    <d v="2023-01-11T00:00:00"/>
    <n v="9"/>
    <n v="4"/>
    <n v="3708"/>
    <n v="1854"/>
    <n v="38934"/>
    <n v="1854"/>
    <n v="42642"/>
  </r>
  <r>
    <n v="1320"/>
    <x v="3"/>
    <s v="Male"/>
    <n v="43"/>
    <s v="Bangalore"/>
    <x v="4"/>
    <n v="72243"/>
    <d v="2024-06-09T00:00:00"/>
    <n v="7"/>
    <n v="4"/>
    <n v="7224"/>
    <n v="3612"/>
    <n v="75855"/>
    <n v="3612"/>
    <n v="83079"/>
  </r>
  <r>
    <n v="1321"/>
    <x v="6"/>
    <s v="Male"/>
    <n v="56"/>
    <s v="Hyderabad"/>
    <x v="4"/>
    <n v="30962"/>
    <d v="2023-03-12T00:00:00"/>
    <n v="11"/>
    <n v="3"/>
    <n v="3096"/>
    <n v="1548"/>
    <n v="32510"/>
    <n v="1548"/>
    <n v="35606"/>
  </r>
  <r>
    <n v="1322"/>
    <x v="8"/>
    <s v="Male"/>
    <n v="25"/>
    <s v="Bangalore"/>
    <x v="2"/>
    <n v="52181"/>
    <d v="2023-04-08T00:00:00"/>
    <n v="6"/>
    <n v="3"/>
    <n v="5218"/>
    <n v="2609"/>
    <n v="54790"/>
    <n v="2609"/>
    <n v="60008"/>
  </r>
  <r>
    <n v="1323"/>
    <x v="0"/>
    <s v="Female"/>
    <n v="60"/>
    <s v="Hyderabad"/>
    <x v="4"/>
    <n v="67524"/>
    <d v="2022-04-11T00:00:00"/>
    <n v="10"/>
    <n v="2"/>
    <n v="6752"/>
    <n v="3376"/>
    <n v="70900"/>
    <n v="3376"/>
    <n v="77652"/>
  </r>
  <r>
    <n v="1324"/>
    <x v="4"/>
    <s v="Male"/>
    <n v="27"/>
    <s v="Bangalore"/>
    <x v="0"/>
    <n v="38305"/>
    <d v="2022-10-19T00:00:00"/>
    <n v="11"/>
    <n v="1"/>
    <n v="3830"/>
    <n v="1915"/>
    <n v="40220"/>
    <n v="1915"/>
    <n v="44050"/>
  </r>
  <r>
    <n v="1325"/>
    <x v="7"/>
    <s v="Female"/>
    <n v="42"/>
    <s v="Bangalore"/>
    <x v="2"/>
    <n v="60146"/>
    <d v="2023-04-07T00:00:00"/>
    <n v="18"/>
    <n v="3"/>
    <n v="6015"/>
    <n v="3007"/>
    <n v="63154"/>
    <n v="3007"/>
    <n v="69168"/>
  </r>
  <r>
    <n v="1326"/>
    <x v="8"/>
    <s v="Male"/>
    <n v="48"/>
    <s v="Delhi"/>
    <x v="2"/>
    <n v="88256"/>
    <d v="2022-02-09T00:00:00"/>
    <n v="17"/>
    <n v="1"/>
    <n v="8826"/>
    <n v="4413"/>
    <n v="92669"/>
    <n v="4413"/>
    <n v="101495"/>
  </r>
  <r>
    <n v="1327"/>
    <x v="3"/>
    <s v="Male"/>
    <n v="30"/>
    <s v="Hyderabad"/>
    <x v="2"/>
    <n v="43684"/>
    <d v="2024-07-15T00:00:00"/>
    <n v="8"/>
    <n v="3"/>
    <n v="4368"/>
    <n v="2184"/>
    <n v="45868"/>
    <n v="2184"/>
    <n v="50236"/>
  </r>
  <r>
    <n v="1328"/>
    <x v="9"/>
    <s v="Male"/>
    <n v="40"/>
    <s v="Hyderabad"/>
    <x v="0"/>
    <n v="77088"/>
    <d v="2022-02-02T00:00:00"/>
    <n v="16"/>
    <n v="4"/>
    <n v="7709"/>
    <n v="3854"/>
    <n v="80943"/>
    <n v="3854"/>
    <n v="88651"/>
  </r>
  <r>
    <n v="1329"/>
    <x v="1"/>
    <s v="Male"/>
    <n v="39"/>
    <s v="Delhi"/>
    <x v="3"/>
    <n v="69055"/>
    <d v="2024-08-03T00:00:00"/>
    <n v="12"/>
    <n v="1"/>
    <n v="6906"/>
    <n v="3453"/>
    <n v="72508"/>
    <n v="3453"/>
    <n v="79414"/>
  </r>
  <r>
    <n v="1330"/>
    <x v="6"/>
    <s v="Female"/>
    <n v="38"/>
    <s v="Mumbai"/>
    <x v="1"/>
    <n v="88121"/>
    <d v="2023-01-03T00:00:00"/>
    <n v="6"/>
    <n v="5"/>
    <n v="8812"/>
    <n v="4406"/>
    <n v="92527"/>
    <n v="4406"/>
    <n v="101339"/>
  </r>
  <r>
    <n v="1331"/>
    <x v="4"/>
    <s v="Male"/>
    <n v="26"/>
    <s v="Delhi"/>
    <x v="2"/>
    <n v="43759"/>
    <d v="2023-11-09T00:00:00"/>
    <n v="14"/>
    <n v="2"/>
    <n v="4376"/>
    <n v="2188"/>
    <n v="45947"/>
    <n v="2188"/>
    <n v="50323"/>
  </r>
  <r>
    <n v="1332"/>
    <x v="4"/>
    <s v="Female"/>
    <n v="53"/>
    <s v="Hyderabad"/>
    <x v="2"/>
    <n v="94439"/>
    <d v="2023-12-03T00:00:00"/>
    <n v="13"/>
    <n v="2"/>
    <n v="9444"/>
    <n v="4722"/>
    <n v="99161"/>
    <n v="4722"/>
    <n v="108605"/>
  </r>
  <r>
    <n v="1333"/>
    <x v="9"/>
    <s v="Male"/>
    <n v="21"/>
    <s v="Chennai"/>
    <x v="3"/>
    <n v="26777"/>
    <d v="2023-05-02T00:00:00"/>
    <n v="8"/>
    <n v="1"/>
    <n v="2678"/>
    <n v="1339"/>
    <n v="28116"/>
    <n v="1339"/>
    <n v="30794"/>
  </r>
  <r>
    <n v="1334"/>
    <x v="5"/>
    <s v="Female"/>
    <n v="59"/>
    <s v="Chennai"/>
    <x v="3"/>
    <n v="27660"/>
    <d v="2022-02-28T00:00:00"/>
    <n v="18"/>
    <n v="2"/>
    <n v="2766"/>
    <n v="1383"/>
    <n v="29043"/>
    <n v="1383"/>
    <n v="31809"/>
  </r>
  <r>
    <n v="1335"/>
    <x v="2"/>
    <s v="Male"/>
    <n v="59"/>
    <s v="Chennai"/>
    <x v="3"/>
    <n v="41842"/>
    <d v="2022-12-24T00:00:00"/>
    <n v="16"/>
    <n v="2"/>
    <n v="4184"/>
    <n v="2092"/>
    <n v="43934"/>
    <n v="2092"/>
    <n v="48118"/>
  </r>
  <r>
    <n v="1336"/>
    <x v="4"/>
    <s v="Female"/>
    <n v="47"/>
    <s v="Bangalore"/>
    <x v="4"/>
    <n v="75967"/>
    <d v="2022-01-28T00:00:00"/>
    <n v="5"/>
    <n v="2"/>
    <n v="7597"/>
    <n v="3798"/>
    <n v="79766"/>
    <n v="0"/>
    <n v="83564"/>
  </r>
  <r>
    <n v="1337"/>
    <x v="8"/>
    <s v="Male"/>
    <n v="33"/>
    <s v="Mumbai"/>
    <x v="4"/>
    <n v="50895"/>
    <d v="2023-03-10T00:00:00"/>
    <n v="19"/>
    <n v="2"/>
    <n v="5090"/>
    <n v="2545"/>
    <n v="53440"/>
    <n v="2545"/>
    <n v="58530"/>
  </r>
  <r>
    <n v="1338"/>
    <x v="8"/>
    <s v="Female"/>
    <n v="26"/>
    <s v="Delhi"/>
    <x v="3"/>
    <n v="75245"/>
    <d v="2022-01-13T00:00:00"/>
    <n v="13"/>
    <n v="1"/>
    <n v="7524"/>
    <n v="3762"/>
    <n v="79007"/>
    <n v="3762"/>
    <n v="86531"/>
  </r>
  <r>
    <n v="1339"/>
    <x v="5"/>
    <s v="Female"/>
    <n v="57"/>
    <s v="Bangalore"/>
    <x v="4"/>
    <n v="89250"/>
    <d v="2023-09-26T00:00:00"/>
    <n v="7"/>
    <n v="4"/>
    <n v="8925"/>
    <n v="4462"/>
    <n v="93713"/>
    <n v="4462"/>
    <n v="102637"/>
  </r>
  <r>
    <n v="1340"/>
    <x v="7"/>
    <s v="Male"/>
    <n v="35"/>
    <s v="Hyderabad"/>
    <x v="0"/>
    <n v="39834"/>
    <d v="2022-04-12T00:00:00"/>
    <n v="5"/>
    <n v="3"/>
    <n v="3983"/>
    <n v="1992"/>
    <n v="41825"/>
    <n v="0"/>
    <n v="43817"/>
  </r>
  <r>
    <n v="1341"/>
    <x v="1"/>
    <s v="Male"/>
    <n v="24"/>
    <s v="Hyderabad"/>
    <x v="2"/>
    <n v="25701"/>
    <d v="2023-02-16T00:00:00"/>
    <n v="10"/>
    <n v="2"/>
    <n v="2570"/>
    <n v="1285"/>
    <n v="26986"/>
    <n v="1285"/>
    <n v="29556"/>
  </r>
  <r>
    <n v="1342"/>
    <x v="2"/>
    <s v="Female"/>
    <n v="39"/>
    <s v="Delhi"/>
    <x v="4"/>
    <n v="70349"/>
    <d v="2023-06-26T00:00:00"/>
    <n v="17"/>
    <n v="5"/>
    <n v="7035"/>
    <n v="3517"/>
    <n v="73867"/>
    <n v="3517"/>
    <n v="80901"/>
  </r>
  <r>
    <n v="1343"/>
    <x v="9"/>
    <s v="Male"/>
    <n v="36"/>
    <s v="Hyderabad"/>
    <x v="1"/>
    <n v="86287"/>
    <d v="2023-01-19T00:00:00"/>
    <n v="6"/>
    <n v="4"/>
    <n v="8629"/>
    <n v="4314"/>
    <n v="90602"/>
    <n v="4314"/>
    <n v="99230"/>
  </r>
  <r>
    <n v="1344"/>
    <x v="2"/>
    <s v="Male"/>
    <n v="38"/>
    <s v="Chennai"/>
    <x v="4"/>
    <n v="32878"/>
    <d v="2022-03-25T00:00:00"/>
    <n v="6"/>
    <n v="5"/>
    <n v="3288"/>
    <n v="1644"/>
    <n v="34522"/>
    <n v="1644"/>
    <n v="37810"/>
  </r>
  <r>
    <n v="1345"/>
    <x v="4"/>
    <s v="Female"/>
    <n v="56"/>
    <s v="Mumbai"/>
    <x v="0"/>
    <n v="58725"/>
    <d v="2023-11-02T00:00:00"/>
    <n v="11"/>
    <n v="1"/>
    <n v="5872"/>
    <n v="2936"/>
    <n v="61661"/>
    <n v="2936"/>
    <n v="67533"/>
  </r>
  <r>
    <n v="1346"/>
    <x v="6"/>
    <s v="Male"/>
    <n v="36"/>
    <s v="Chennai"/>
    <x v="0"/>
    <n v="51296"/>
    <d v="2024-04-29T00:00:00"/>
    <n v="7"/>
    <n v="2"/>
    <n v="5130"/>
    <n v="2565"/>
    <n v="53861"/>
    <n v="2565"/>
    <n v="58991"/>
  </r>
  <r>
    <n v="1347"/>
    <x v="4"/>
    <s v="Female"/>
    <n v="57"/>
    <s v="Chennai"/>
    <x v="3"/>
    <n v="65255"/>
    <d v="2022-05-06T00:00:00"/>
    <n v="9"/>
    <n v="2"/>
    <n v="6526"/>
    <n v="3263"/>
    <n v="68518"/>
    <n v="3263"/>
    <n v="75044"/>
  </r>
  <r>
    <n v="1348"/>
    <x v="5"/>
    <s v="Female"/>
    <n v="38"/>
    <s v="Hyderabad"/>
    <x v="3"/>
    <n v="72100"/>
    <d v="2024-03-29T00:00:00"/>
    <n v="17"/>
    <n v="5"/>
    <n v="7210"/>
    <n v="3605"/>
    <n v="75705"/>
    <n v="3605"/>
    <n v="82915"/>
  </r>
  <r>
    <n v="1349"/>
    <x v="4"/>
    <s v="Female"/>
    <n v="23"/>
    <s v="Hyderabad"/>
    <x v="0"/>
    <n v="72012"/>
    <d v="2023-08-08T00:00:00"/>
    <n v="11"/>
    <n v="3"/>
    <n v="7201"/>
    <n v="3601"/>
    <n v="75612"/>
    <n v="3601"/>
    <n v="82814"/>
  </r>
  <r>
    <n v="1350"/>
    <x v="5"/>
    <s v="Male"/>
    <n v="38"/>
    <s v="Hyderabad"/>
    <x v="0"/>
    <n v="60383"/>
    <d v="2023-07-31T00:00:00"/>
    <n v="16"/>
    <n v="4"/>
    <n v="6038"/>
    <n v="3019"/>
    <n v="63402"/>
    <n v="3019"/>
    <n v="69440"/>
  </r>
  <r>
    <n v="1351"/>
    <x v="8"/>
    <s v="Female"/>
    <n v="40"/>
    <s v="Chennai"/>
    <x v="4"/>
    <n v="49958"/>
    <d v="2023-10-11T00:00:00"/>
    <n v="2"/>
    <n v="1"/>
    <n v="4996"/>
    <n v="2498"/>
    <n v="52456"/>
    <n v="0"/>
    <n v="54954"/>
  </r>
  <r>
    <n v="1352"/>
    <x v="3"/>
    <s v="Male"/>
    <n v="32"/>
    <s v="Hyderabad"/>
    <x v="1"/>
    <n v="76962"/>
    <d v="2024-01-30T00:00:00"/>
    <n v="13"/>
    <n v="3"/>
    <n v="7696"/>
    <n v="3848"/>
    <n v="80810"/>
    <n v="3848"/>
    <n v="88506"/>
  </r>
  <r>
    <n v="1353"/>
    <x v="7"/>
    <s v="Male"/>
    <n v="56"/>
    <s v="Delhi"/>
    <x v="3"/>
    <n v="80384"/>
    <d v="2024-02-01T00:00:00"/>
    <n v="8"/>
    <n v="3"/>
    <n v="8038"/>
    <n v="4019"/>
    <n v="84403"/>
    <n v="4019"/>
    <n v="92441"/>
  </r>
  <r>
    <n v="1354"/>
    <x v="7"/>
    <s v="Female"/>
    <n v="27"/>
    <s v="Delhi"/>
    <x v="2"/>
    <n v="29097"/>
    <d v="2023-04-07T00:00:00"/>
    <n v="4"/>
    <n v="4"/>
    <n v="2910"/>
    <n v="1455"/>
    <n v="30552"/>
    <n v="0"/>
    <n v="32007"/>
  </r>
  <r>
    <n v="1355"/>
    <x v="7"/>
    <s v="Female"/>
    <n v="45"/>
    <s v="Mumbai"/>
    <x v="3"/>
    <n v="40974"/>
    <d v="2022-06-05T00:00:00"/>
    <n v="13"/>
    <n v="1"/>
    <n v="4097"/>
    <n v="2049"/>
    <n v="43022"/>
    <n v="2049"/>
    <n v="47120"/>
  </r>
  <r>
    <n v="1356"/>
    <x v="4"/>
    <s v="Female"/>
    <n v="36"/>
    <s v="Chennai"/>
    <x v="2"/>
    <n v="24576"/>
    <d v="2024-09-08T00:00:00"/>
    <n v="13"/>
    <n v="2"/>
    <n v="2458"/>
    <n v="1229"/>
    <n v="25805"/>
    <n v="1229"/>
    <n v="28263"/>
  </r>
  <r>
    <n v="1357"/>
    <x v="2"/>
    <s v="Male"/>
    <n v="30"/>
    <s v="Chennai"/>
    <x v="3"/>
    <n v="51720"/>
    <d v="2023-05-01T00:00:00"/>
    <n v="5"/>
    <n v="4"/>
    <n v="5172"/>
    <n v="2586"/>
    <n v="54306"/>
    <n v="0"/>
    <n v="56892"/>
  </r>
  <r>
    <n v="1358"/>
    <x v="6"/>
    <s v="Male"/>
    <n v="37"/>
    <s v="Chennai"/>
    <x v="1"/>
    <n v="85439"/>
    <d v="2024-05-30T00:00:00"/>
    <n v="3"/>
    <n v="2"/>
    <n v="8544"/>
    <n v="4272"/>
    <n v="89711"/>
    <n v="0"/>
    <n v="93983"/>
  </r>
  <r>
    <n v="1359"/>
    <x v="1"/>
    <s v="Male"/>
    <n v="56"/>
    <s v="Mumbai"/>
    <x v="4"/>
    <n v="81539"/>
    <d v="2023-07-09T00:00:00"/>
    <n v="9"/>
    <n v="4"/>
    <n v="8154"/>
    <n v="4077"/>
    <n v="85616"/>
    <n v="4077"/>
    <n v="93770"/>
  </r>
  <r>
    <n v="1360"/>
    <x v="9"/>
    <s v="Female"/>
    <n v="45"/>
    <s v="Hyderabad"/>
    <x v="0"/>
    <n v="34313"/>
    <d v="2022-11-25T00:00:00"/>
    <n v="13"/>
    <n v="4"/>
    <n v="3431"/>
    <n v="1716"/>
    <n v="36028"/>
    <n v="1716"/>
    <n v="39460"/>
  </r>
  <r>
    <n v="1361"/>
    <x v="2"/>
    <s v="Female"/>
    <n v="30"/>
    <s v="Hyderabad"/>
    <x v="2"/>
    <n v="66882"/>
    <d v="2023-03-05T00:00:00"/>
    <n v="12"/>
    <n v="2"/>
    <n v="6688"/>
    <n v="3344"/>
    <n v="70226"/>
    <n v="3344"/>
    <n v="76914"/>
  </r>
  <r>
    <n v="1362"/>
    <x v="9"/>
    <s v="Male"/>
    <n v="29"/>
    <s v="Hyderabad"/>
    <x v="1"/>
    <n v="76549"/>
    <d v="2023-03-02T00:00:00"/>
    <n v="16"/>
    <n v="5"/>
    <n v="7655"/>
    <n v="3827"/>
    <n v="80377"/>
    <n v="3827"/>
    <n v="88031"/>
  </r>
  <r>
    <n v="1363"/>
    <x v="8"/>
    <s v="Male"/>
    <n v="43"/>
    <s v="Hyderabad"/>
    <x v="3"/>
    <n v="33347"/>
    <d v="2024-06-11T00:00:00"/>
    <n v="11"/>
    <n v="4"/>
    <n v="3335"/>
    <n v="1667"/>
    <n v="35015"/>
    <n v="1667"/>
    <n v="38349"/>
  </r>
  <r>
    <n v="1364"/>
    <x v="4"/>
    <s v="Female"/>
    <n v="24"/>
    <s v="Bangalore"/>
    <x v="4"/>
    <n v="34609"/>
    <d v="2023-10-16T00:00:00"/>
    <n v="20"/>
    <n v="5"/>
    <n v="3461"/>
    <n v="1730"/>
    <n v="36340"/>
    <n v="1730"/>
    <n v="39800"/>
  </r>
  <r>
    <n v="1365"/>
    <x v="8"/>
    <s v="Female"/>
    <n v="36"/>
    <s v="Bangalore"/>
    <x v="0"/>
    <n v="74543"/>
    <d v="2024-02-11T00:00:00"/>
    <n v="15"/>
    <n v="2"/>
    <n v="7454"/>
    <n v="3727"/>
    <n v="78270"/>
    <n v="3727"/>
    <n v="85724"/>
  </r>
  <r>
    <n v="1366"/>
    <x v="3"/>
    <s v="Male"/>
    <n v="58"/>
    <s v="Hyderabad"/>
    <x v="1"/>
    <n v="76976"/>
    <d v="2024-03-31T00:00:00"/>
    <n v="9"/>
    <n v="2"/>
    <n v="7698"/>
    <n v="3849"/>
    <n v="80825"/>
    <n v="3849"/>
    <n v="88523"/>
  </r>
  <r>
    <n v="1367"/>
    <x v="9"/>
    <s v="Female"/>
    <n v="56"/>
    <s v="Hyderabad"/>
    <x v="2"/>
    <n v="74109"/>
    <d v="2024-07-22T00:00:00"/>
    <n v="15"/>
    <n v="3"/>
    <n v="7411"/>
    <n v="3705"/>
    <n v="77815"/>
    <n v="3705"/>
    <n v="85225"/>
  </r>
  <r>
    <n v="1368"/>
    <x v="1"/>
    <s v="Female"/>
    <n v="60"/>
    <s v="Delhi"/>
    <x v="0"/>
    <n v="87385"/>
    <d v="2023-10-14T00:00:00"/>
    <n v="2"/>
    <n v="3"/>
    <n v="8738"/>
    <n v="4369"/>
    <n v="91754"/>
    <n v="0"/>
    <n v="96123"/>
  </r>
  <r>
    <n v="1369"/>
    <x v="7"/>
    <s v="Male"/>
    <n v="28"/>
    <s v="Delhi"/>
    <x v="0"/>
    <n v="76495"/>
    <d v="2023-05-21T00:00:00"/>
    <n v="1"/>
    <n v="1"/>
    <n v="7650"/>
    <n v="3825"/>
    <n v="80320"/>
    <n v="0"/>
    <n v="84145"/>
  </r>
  <r>
    <n v="1370"/>
    <x v="8"/>
    <s v="Male"/>
    <n v="38"/>
    <s v="Chennai"/>
    <x v="4"/>
    <n v="43525"/>
    <d v="2022-01-27T00:00:00"/>
    <n v="7"/>
    <n v="3"/>
    <n v="4352"/>
    <n v="2176"/>
    <n v="45701"/>
    <n v="2176"/>
    <n v="50053"/>
  </r>
  <r>
    <n v="1371"/>
    <x v="2"/>
    <s v="Female"/>
    <n v="23"/>
    <s v="Mumbai"/>
    <x v="0"/>
    <n v="48333"/>
    <d v="2024-04-26T00:00:00"/>
    <n v="15"/>
    <n v="4"/>
    <n v="4833"/>
    <n v="2417"/>
    <n v="50749"/>
    <n v="2417"/>
    <n v="55583"/>
  </r>
  <r>
    <n v="1372"/>
    <x v="7"/>
    <s v="Female"/>
    <n v="47"/>
    <s v="Hyderabad"/>
    <x v="2"/>
    <n v="95086"/>
    <d v="2022-06-20T00:00:00"/>
    <n v="18"/>
    <n v="2"/>
    <n v="9509"/>
    <n v="4754"/>
    <n v="99841"/>
    <n v="4754"/>
    <n v="109349"/>
  </r>
  <r>
    <n v="1373"/>
    <x v="1"/>
    <s v="Female"/>
    <n v="49"/>
    <s v="Delhi"/>
    <x v="2"/>
    <n v="38022"/>
    <d v="2024-06-16T00:00:00"/>
    <n v="9"/>
    <n v="5"/>
    <n v="3802"/>
    <n v="1901"/>
    <n v="39923"/>
    <n v="1901"/>
    <n v="43725"/>
  </r>
  <r>
    <n v="1374"/>
    <x v="4"/>
    <s v="Male"/>
    <n v="41"/>
    <s v="Mumbai"/>
    <x v="1"/>
    <n v="47731"/>
    <d v="2024-04-04T00:00:00"/>
    <n v="5"/>
    <n v="3"/>
    <n v="4773"/>
    <n v="2387"/>
    <n v="50117"/>
    <n v="0"/>
    <n v="52504"/>
  </r>
  <r>
    <n v="1375"/>
    <x v="9"/>
    <s v="Male"/>
    <n v="23"/>
    <s v="Hyderabad"/>
    <x v="3"/>
    <n v="36988"/>
    <d v="2023-02-16T00:00:00"/>
    <n v="9"/>
    <n v="2"/>
    <n v="3699"/>
    <n v="1849"/>
    <n v="38838"/>
    <n v="1849"/>
    <n v="42536"/>
  </r>
  <r>
    <n v="1376"/>
    <x v="4"/>
    <s v="Female"/>
    <n v="28"/>
    <s v="Hyderabad"/>
    <x v="1"/>
    <n v="27442"/>
    <d v="2022-03-27T00:00:00"/>
    <n v="18"/>
    <n v="5"/>
    <n v="2744"/>
    <n v="1372"/>
    <n v="28814"/>
    <n v="1372"/>
    <n v="31558"/>
  </r>
  <r>
    <n v="1377"/>
    <x v="2"/>
    <s v="Female"/>
    <n v="43"/>
    <s v="Hyderabad"/>
    <x v="4"/>
    <n v="39500"/>
    <d v="2024-07-07T00:00:00"/>
    <n v="9"/>
    <n v="2"/>
    <n v="3950"/>
    <n v="1975"/>
    <n v="41475"/>
    <n v="1975"/>
    <n v="45425"/>
  </r>
  <r>
    <n v="1378"/>
    <x v="0"/>
    <s v="Female"/>
    <n v="39"/>
    <s v="Delhi"/>
    <x v="4"/>
    <n v="99222"/>
    <d v="2023-01-18T00:00:00"/>
    <n v="18"/>
    <n v="3"/>
    <n v="9922"/>
    <n v="4961"/>
    <n v="104183"/>
    <n v="4961"/>
    <n v="114105"/>
  </r>
  <r>
    <n v="1379"/>
    <x v="4"/>
    <s v="Male"/>
    <n v="44"/>
    <s v="Hyderabad"/>
    <x v="4"/>
    <n v="43770"/>
    <d v="2023-05-19T00:00:00"/>
    <n v="16"/>
    <n v="3"/>
    <n v="4377"/>
    <n v="2188"/>
    <n v="45959"/>
    <n v="2188"/>
    <n v="50335"/>
  </r>
  <r>
    <n v="1380"/>
    <x v="0"/>
    <s v="Female"/>
    <n v="47"/>
    <s v="Bangalore"/>
    <x v="1"/>
    <n v="65303"/>
    <d v="2023-09-08T00:00:00"/>
    <n v="17"/>
    <n v="1"/>
    <n v="6530"/>
    <n v="3265"/>
    <n v="68568"/>
    <n v="3265"/>
    <n v="75098"/>
  </r>
  <r>
    <n v="1381"/>
    <x v="5"/>
    <s v="Female"/>
    <n v="42"/>
    <s v="Bangalore"/>
    <x v="0"/>
    <n v="98215"/>
    <d v="2023-10-17T00:00:00"/>
    <n v="16"/>
    <n v="2"/>
    <n v="9822"/>
    <n v="4911"/>
    <n v="103126"/>
    <n v="4911"/>
    <n v="112948"/>
  </r>
  <r>
    <n v="1382"/>
    <x v="4"/>
    <s v="Female"/>
    <n v="48"/>
    <s v="Delhi"/>
    <x v="2"/>
    <n v="61356"/>
    <d v="2022-02-26T00:00:00"/>
    <n v="2"/>
    <n v="5"/>
    <n v="6136"/>
    <n v="3068"/>
    <n v="64424"/>
    <n v="0"/>
    <n v="67492"/>
  </r>
  <r>
    <n v="1383"/>
    <x v="7"/>
    <s v="Male"/>
    <n v="27"/>
    <s v="Bangalore"/>
    <x v="1"/>
    <n v="64035"/>
    <d v="2024-03-20T00:00:00"/>
    <n v="8"/>
    <n v="4"/>
    <n v="6404"/>
    <n v="3202"/>
    <n v="67237"/>
    <n v="3202"/>
    <n v="73641"/>
  </r>
  <r>
    <n v="1384"/>
    <x v="8"/>
    <s v="Female"/>
    <n v="36"/>
    <s v="Bangalore"/>
    <x v="3"/>
    <n v="33309"/>
    <d v="2022-07-12T00:00:00"/>
    <n v="18"/>
    <n v="5"/>
    <n v="3331"/>
    <n v="1665"/>
    <n v="34975"/>
    <n v="1665"/>
    <n v="38305"/>
  </r>
  <r>
    <n v="1385"/>
    <x v="7"/>
    <s v="Female"/>
    <n v="21"/>
    <s v="Delhi"/>
    <x v="1"/>
    <n v="77581"/>
    <d v="2024-01-31T00:00:00"/>
    <n v="19"/>
    <n v="1"/>
    <n v="7758"/>
    <n v="3879"/>
    <n v="81460"/>
    <n v="3879"/>
    <n v="89218"/>
  </r>
  <r>
    <n v="1386"/>
    <x v="6"/>
    <s v="Female"/>
    <n v="48"/>
    <s v="Delhi"/>
    <x v="4"/>
    <n v="92939"/>
    <d v="2022-04-16T00:00:00"/>
    <n v="9"/>
    <n v="4"/>
    <n v="9294"/>
    <n v="4647"/>
    <n v="97586"/>
    <n v="4647"/>
    <n v="106880"/>
  </r>
  <r>
    <n v="1387"/>
    <x v="7"/>
    <s v="Male"/>
    <n v="30"/>
    <s v="Chennai"/>
    <x v="4"/>
    <n v="70396"/>
    <d v="2022-05-07T00:00:00"/>
    <n v="6"/>
    <n v="5"/>
    <n v="7040"/>
    <n v="3520"/>
    <n v="73916"/>
    <n v="3520"/>
    <n v="80956"/>
  </r>
  <r>
    <n v="1388"/>
    <x v="8"/>
    <s v="Male"/>
    <n v="23"/>
    <s v="Hyderabad"/>
    <x v="4"/>
    <n v="22530"/>
    <d v="2022-08-23T00:00:00"/>
    <n v="18"/>
    <n v="3"/>
    <n v="2253"/>
    <n v="1126"/>
    <n v="23657"/>
    <n v="1126"/>
    <n v="25909"/>
  </r>
  <r>
    <n v="1389"/>
    <x v="6"/>
    <s v="Female"/>
    <n v="59"/>
    <s v="Delhi"/>
    <x v="2"/>
    <n v="34947"/>
    <d v="2024-04-02T00:00:00"/>
    <n v="17"/>
    <n v="3"/>
    <n v="3495"/>
    <n v="1747"/>
    <n v="36695"/>
    <n v="1747"/>
    <n v="40189"/>
  </r>
  <r>
    <n v="1390"/>
    <x v="0"/>
    <s v="Male"/>
    <n v="47"/>
    <s v="Delhi"/>
    <x v="3"/>
    <n v="31911"/>
    <d v="2022-01-18T00:00:00"/>
    <n v="5"/>
    <n v="3"/>
    <n v="3191"/>
    <n v="1596"/>
    <n v="33506"/>
    <n v="0"/>
    <n v="35102"/>
  </r>
  <r>
    <n v="1391"/>
    <x v="8"/>
    <s v="Female"/>
    <n v="51"/>
    <s v="Hyderabad"/>
    <x v="4"/>
    <n v="67262"/>
    <d v="2022-09-10T00:00:00"/>
    <n v="4"/>
    <n v="2"/>
    <n v="6726"/>
    <n v="3363"/>
    <n v="70625"/>
    <n v="0"/>
    <n v="73988"/>
  </r>
  <r>
    <n v="1392"/>
    <x v="6"/>
    <s v="Male"/>
    <n v="35"/>
    <s v="Chennai"/>
    <x v="3"/>
    <n v="22497"/>
    <d v="2022-03-26T00:00:00"/>
    <n v="2"/>
    <n v="4"/>
    <n v="2250"/>
    <n v="1125"/>
    <n v="23622"/>
    <n v="0"/>
    <n v="24747"/>
  </r>
  <r>
    <n v="1393"/>
    <x v="5"/>
    <s v="Female"/>
    <n v="51"/>
    <s v="Hyderabad"/>
    <x v="4"/>
    <n v="59315"/>
    <d v="2023-05-01T00:00:00"/>
    <n v="8"/>
    <n v="5"/>
    <n v="5932"/>
    <n v="2966"/>
    <n v="62281"/>
    <n v="2966"/>
    <n v="68213"/>
  </r>
  <r>
    <n v="1394"/>
    <x v="0"/>
    <s v="Male"/>
    <n v="22"/>
    <s v="Chennai"/>
    <x v="2"/>
    <n v="67090"/>
    <d v="2022-01-30T00:00:00"/>
    <n v="8"/>
    <n v="4"/>
    <n v="6709"/>
    <n v="3354"/>
    <n v="70445"/>
    <n v="3354"/>
    <n v="77153"/>
  </r>
  <r>
    <n v="1395"/>
    <x v="2"/>
    <s v="Male"/>
    <n v="33"/>
    <s v="Mumbai"/>
    <x v="4"/>
    <n v="90002"/>
    <d v="2022-07-20T00:00:00"/>
    <n v="19"/>
    <n v="4"/>
    <n v="9000"/>
    <n v="4500"/>
    <n v="94502"/>
    <n v="4500"/>
    <n v="103502"/>
  </r>
  <r>
    <n v="1396"/>
    <x v="3"/>
    <s v="Female"/>
    <n v="29"/>
    <s v="Chennai"/>
    <x v="2"/>
    <n v="71809"/>
    <d v="2022-12-07T00:00:00"/>
    <n v="8"/>
    <n v="3"/>
    <n v="7181"/>
    <n v="3590"/>
    <n v="75400"/>
    <n v="3590"/>
    <n v="82580"/>
  </r>
  <r>
    <n v="1397"/>
    <x v="1"/>
    <s v="Male"/>
    <n v="47"/>
    <s v="Hyderabad"/>
    <x v="1"/>
    <n v="83489"/>
    <d v="2023-04-24T00:00:00"/>
    <n v="13"/>
    <n v="2"/>
    <n v="8349"/>
    <n v="4174"/>
    <n v="87664"/>
    <n v="4174"/>
    <n v="96012"/>
  </r>
  <r>
    <n v="1398"/>
    <x v="5"/>
    <s v="Female"/>
    <n v="53"/>
    <s v="Mumbai"/>
    <x v="4"/>
    <n v="57658"/>
    <d v="2022-04-18T00:00:00"/>
    <n v="20"/>
    <n v="1"/>
    <n v="5766"/>
    <n v="2883"/>
    <n v="60541"/>
    <n v="2883"/>
    <n v="66307"/>
  </r>
  <r>
    <n v="1399"/>
    <x v="0"/>
    <s v="Female"/>
    <n v="23"/>
    <s v="Delhi"/>
    <x v="4"/>
    <n v="57422"/>
    <d v="2024-07-15T00:00:00"/>
    <n v="7"/>
    <n v="3"/>
    <n v="5742"/>
    <n v="2871"/>
    <n v="60293"/>
    <n v="2871"/>
    <n v="66035"/>
  </r>
  <r>
    <n v="1400"/>
    <x v="8"/>
    <s v="Male"/>
    <n v="42"/>
    <s v="Mumbai"/>
    <x v="0"/>
    <n v="33257"/>
    <d v="2023-05-20T00:00:00"/>
    <n v="7"/>
    <n v="5"/>
    <n v="3326"/>
    <n v="1663"/>
    <n v="34920"/>
    <n v="1663"/>
    <n v="38246"/>
  </r>
  <r>
    <n v="1401"/>
    <x v="8"/>
    <s v="Female"/>
    <n v="32"/>
    <s v="Mumbai"/>
    <x v="2"/>
    <n v="70100"/>
    <d v="2022-12-10T00:00:00"/>
    <n v="7"/>
    <n v="3"/>
    <n v="7010"/>
    <n v="3505"/>
    <n v="73605"/>
    <n v="3505"/>
    <n v="80615"/>
  </r>
  <r>
    <n v="1402"/>
    <x v="5"/>
    <s v="Male"/>
    <n v="56"/>
    <s v="Bangalore"/>
    <x v="4"/>
    <n v="60470"/>
    <d v="2023-01-20T00:00:00"/>
    <n v="16"/>
    <n v="2"/>
    <n v="6047"/>
    <n v="3024"/>
    <n v="63493"/>
    <n v="3024"/>
    <n v="69541"/>
  </r>
  <r>
    <n v="1403"/>
    <x v="2"/>
    <s v="Male"/>
    <n v="42"/>
    <s v="Mumbai"/>
    <x v="1"/>
    <n v="39734"/>
    <d v="2024-03-12T00:00:00"/>
    <n v="13"/>
    <n v="2"/>
    <n v="3973"/>
    <n v="1987"/>
    <n v="41720"/>
    <n v="1987"/>
    <n v="45694"/>
  </r>
  <r>
    <n v="1404"/>
    <x v="3"/>
    <s v="Male"/>
    <n v="31"/>
    <s v="Chennai"/>
    <x v="1"/>
    <n v="45221"/>
    <d v="2022-04-03T00:00:00"/>
    <n v="5"/>
    <n v="3"/>
    <n v="4522"/>
    <n v="2261"/>
    <n v="47482"/>
    <n v="0"/>
    <n v="49743"/>
  </r>
  <r>
    <n v="1405"/>
    <x v="2"/>
    <s v="Female"/>
    <n v="58"/>
    <s v="Chennai"/>
    <x v="3"/>
    <n v="91276"/>
    <d v="2022-12-17T00:00:00"/>
    <n v="10"/>
    <n v="2"/>
    <n v="9128"/>
    <n v="4564"/>
    <n v="95840"/>
    <n v="4564"/>
    <n v="104968"/>
  </r>
  <r>
    <n v="1406"/>
    <x v="2"/>
    <s v="Female"/>
    <n v="42"/>
    <s v="Chennai"/>
    <x v="3"/>
    <n v="76808"/>
    <d v="2023-12-14T00:00:00"/>
    <n v="15"/>
    <n v="3"/>
    <n v="7681"/>
    <n v="3840"/>
    <n v="80649"/>
    <n v="3840"/>
    <n v="88329"/>
  </r>
  <r>
    <n v="1407"/>
    <x v="9"/>
    <s v="Female"/>
    <n v="28"/>
    <s v="Chennai"/>
    <x v="1"/>
    <n v="53596"/>
    <d v="2022-04-10T00:00:00"/>
    <n v="6"/>
    <n v="2"/>
    <n v="5360"/>
    <n v="2680"/>
    <n v="56276"/>
    <n v="2680"/>
    <n v="61636"/>
  </r>
  <r>
    <n v="1408"/>
    <x v="6"/>
    <s v="Female"/>
    <n v="40"/>
    <s v="Mumbai"/>
    <x v="0"/>
    <n v="96527"/>
    <d v="2024-08-31T00:00:00"/>
    <n v="12"/>
    <n v="4"/>
    <n v="9653"/>
    <n v="4826"/>
    <n v="101354"/>
    <n v="4826"/>
    <n v="111006"/>
  </r>
  <r>
    <n v="1409"/>
    <x v="8"/>
    <s v="Female"/>
    <n v="50"/>
    <s v="Chennai"/>
    <x v="1"/>
    <n v="28046"/>
    <d v="2023-10-09T00:00:00"/>
    <n v="13"/>
    <n v="1"/>
    <n v="2805"/>
    <n v="1402"/>
    <n v="29449"/>
    <n v="1402"/>
    <n v="32253"/>
  </r>
  <r>
    <n v="1410"/>
    <x v="2"/>
    <s v="Female"/>
    <n v="58"/>
    <s v="Bangalore"/>
    <x v="0"/>
    <n v="28294"/>
    <d v="2022-05-25T00:00:00"/>
    <n v="11"/>
    <n v="5"/>
    <n v="2829"/>
    <n v="1415"/>
    <n v="29708"/>
    <n v="1415"/>
    <n v="32538"/>
  </r>
  <r>
    <n v="1411"/>
    <x v="7"/>
    <s v="Female"/>
    <n v="55"/>
    <s v="Delhi"/>
    <x v="3"/>
    <n v="21960"/>
    <d v="2023-02-21T00:00:00"/>
    <n v="7"/>
    <n v="2"/>
    <n v="2196"/>
    <n v="1098"/>
    <n v="23058"/>
    <n v="1098"/>
    <n v="25254"/>
  </r>
  <r>
    <n v="1412"/>
    <x v="5"/>
    <s v="Male"/>
    <n v="46"/>
    <s v="Hyderabad"/>
    <x v="2"/>
    <n v="29499"/>
    <d v="2024-01-31T00:00:00"/>
    <n v="20"/>
    <n v="2"/>
    <n v="2950"/>
    <n v="1475"/>
    <n v="30974"/>
    <n v="1475"/>
    <n v="33924"/>
  </r>
  <r>
    <n v="1413"/>
    <x v="4"/>
    <s v="Female"/>
    <n v="46"/>
    <s v="Hyderabad"/>
    <x v="4"/>
    <n v="44250"/>
    <d v="2022-12-06T00:00:00"/>
    <n v="4"/>
    <n v="1"/>
    <n v="4425"/>
    <n v="2212"/>
    <n v="46463"/>
    <n v="0"/>
    <n v="48675"/>
  </r>
  <r>
    <n v="1414"/>
    <x v="1"/>
    <s v="Male"/>
    <n v="25"/>
    <s v="Chennai"/>
    <x v="0"/>
    <n v="94883"/>
    <d v="2022-11-08T00:00:00"/>
    <n v="6"/>
    <n v="3"/>
    <n v="9488"/>
    <n v="4744"/>
    <n v="99627"/>
    <n v="4744"/>
    <n v="109115"/>
  </r>
  <r>
    <n v="1415"/>
    <x v="3"/>
    <s v="Male"/>
    <n v="42"/>
    <s v="Chennai"/>
    <x v="0"/>
    <n v="28943"/>
    <d v="2022-01-31T00:00:00"/>
    <n v="4"/>
    <n v="5"/>
    <n v="2894"/>
    <n v="1447"/>
    <n v="30390"/>
    <n v="0"/>
    <n v="31837"/>
  </r>
  <r>
    <n v="1416"/>
    <x v="1"/>
    <s v="Male"/>
    <n v="31"/>
    <s v="Bangalore"/>
    <x v="4"/>
    <n v="53008"/>
    <d v="2022-03-28T00:00:00"/>
    <n v="18"/>
    <n v="1"/>
    <n v="5301"/>
    <n v="2650"/>
    <n v="55659"/>
    <n v="2650"/>
    <n v="60959"/>
  </r>
  <r>
    <n v="1417"/>
    <x v="7"/>
    <s v="Male"/>
    <n v="26"/>
    <s v="Mumbai"/>
    <x v="0"/>
    <n v="32222"/>
    <d v="2024-03-31T00:00:00"/>
    <n v="15"/>
    <n v="5"/>
    <n v="3222"/>
    <n v="1611"/>
    <n v="33833"/>
    <n v="1611"/>
    <n v="37055"/>
  </r>
  <r>
    <n v="1418"/>
    <x v="3"/>
    <s v="Female"/>
    <n v="45"/>
    <s v="Chennai"/>
    <x v="1"/>
    <n v="77519"/>
    <d v="2024-01-20T00:00:00"/>
    <n v="1"/>
    <n v="1"/>
    <n v="7752"/>
    <n v="3876"/>
    <n v="81395"/>
    <n v="0"/>
    <n v="85271"/>
  </r>
  <r>
    <n v="1419"/>
    <x v="1"/>
    <s v="Male"/>
    <n v="42"/>
    <s v="Bangalore"/>
    <x v="0"/>
    <n v="72494"/>
    <d v="2024-08-11T00:00:00"/>
    <n v="1"/>
    <n v="5"/>
    <n v="7249"/>
    <n v="3625"/>
    <n v="76118"/>
    <n v="0"/>
    <n v="79743"/>
  </r>
  <r>
    <n v="1420"/>
    <x v="7"/>
    <s v="Female"/>
    <n v="37"/>
    <s v="Delhi"/>
    <x v="1"/>
    <n v="30260"/>
    <d v="2024-07-21T00:00:00"/>
    <n v="7"/>
    <n v="1"/>
    <n v="3026"/>
    <n v="1513"/>
    <n v="31773"/>
    <n v="1513"/>
    <n v="34799"/>
  </r>
  <r>
    <n v="1421"/>
    <x v="6"/>
    <s v="Female"/>
    <n v="47"/>
    <s v="Delhi"/>
    <x v="2"/>
    <n v="65289"/>
    <d v="2023-08-18T00:00:00"/>
    <n v="14"/>
    <n v="1"/>
    <n v="6529"/>
    <n v="3264"/>
    <n v="68554"/>
    <n v="3264"/>
    <n v="75082"/>
  </r>
  <r>
    <n v="1422"/>
    <x v="2"/>
    <s v="Male"/>
    <n v="51"/>
    <s v="Chennai"/>
    <x v="3"/>
    <n v="53966"/>
    <d v="2022-02-03T00:00:00"/>
    <n v="2"/>
    <n v="4"/>
    <n v="5397"/>
    <n v="2698"/>
    <n v="56665"/>
    <n v="0"/>
    <n v="59363"/>
  </r>
  <r>
    <n v="1423"/>
    <x v="8"/>
    <s v="Female"/>
    <n v="23"/>
    <s v="Mumbai"/>
    <x v="1"/>
    <n v="64122"/>
    <d v="2024-03-02T00:00:00"/>
    <n v="15"/>
    <n v="3"/>
    <n v="6412"/>
    <n v="3206"/>
    <n v="67328"/>
    <n v="3206"/>
    <n v="73740"/>
  </r>
  <r>
    <n v="1424"/>
    <x v="9"/>
    <s v="Female"/>
    <n v="55"/>
    <s v="Delhi"/>
    <x v="2"/>
    <n v="29301"/>
    <d v="2022-08-10T00:00:00"/>
    <n v="7"/>
    <n v="3"/>
    <n v="2930"/>
    <n v="1465"/>
    <n v="30766"/>
    <n v="1465"/>
    <n v="33696"/>
  </r>
  <r>
    <n v="1425"/>
    <x v="4"/>
    <s v="Male"/>
    <n v="49"/>
    <s v="Mumbai"/>
    <x v="4"/>
    <n v="41891"/>
    <d v="2024-08-28T00:00:00"/>
    <n v="18"/>
    <n v="4"/>
    <n v="4189"/>
    <n v="2095"/>
    <n v="43985"/>
    <n v="2095"/>
    <n v="48175"/>
  </r>
  <r>
    <n v="1426"/>
    <x v="3"/>
    <s v="Female"/>
    <n v="53"/>
    <s v="Mumbai"/>
    <x v="3"/>
    <n v="86768"/>
    <d v="2024-02-15T00:00:00"/>
    <n v="19"/>
    <n v="4"/>
    <n v="8677"/>
    <n v="4338"/>
    <n v="91107"/>
    <n v="4338"/>
    <n v="99783"/>
  </r>
  <r>
    <n v="1427"/>
    <x v="3"/>
    <s v="Female"/>
    <n v="56"/>
    <s v="Bangalore"/>
    <x v="3"/>
    <n v="81789"/>
    <d v="2023-12-20T00:00:00"/>
    <n v="6"/>
    <n v="5"/>
    <n v="8179"/>
    <n v="4089"/>
    <n v="85879"/>
    <n v="4089"/>
    <n v="94057"/>
  </r>
  <r>
    <n v="1428"/>
    <x v="8"/>
    <s v="Male"/>
    <n v="34"/>
    <s v="Hyderabad"/>
    <x v="3"/>
    <n v="67795"/>
    <d v="2022-05-19T00:00:00"/>
    <n v="2"/>
    <n v="5"/>
    <n v="6780"/>
    <n v="3390"/>
    <n v="71185"/>
    <n v="0"/>
    <n v="74575"/>
  </r>
  <r>
    <n v="1429"/>
    <x v="3"/>
    <s v="Female"/>
    <n v="24"/>
    <s v="Delhi"/>
    <x v="0"/>
    <n v="21448"/>
    <d v="2024-03-16T00:00:00"/>
    <n v="12"/>
    <n v="4"/>
    <n v="2145"/>
    <n v="1072"/>
    <n v="22521"/>
    <n v="1072"/>
    <n v="24665"/>
  </r>
  <r>
    <n v="1430"/>
    <x v="7"/>
    <s v="Male"/>
    <n v="43"/>
    <s v="Bangalore"/>
    <x v="0"/>
    <n v="36138"/>
    <d v="2024-04-03T00:00:00"/>
    <n v="12"/>
    <n v="5"/>
    <n v="3614"/>
    <n v="1807"/>
    <n v="37945"/>
    <n v="1807"/>
    <n v="41559"/>
  </r>
  <r>
    <n v="1431"/>
    <x v="9"/>
    <s v="Male"/>
    <n v="45"/>
    <s v="Bangalore"/>
    <x v="0"/>
    <n v="76985"/>
    <d v="2023-11-09T00:00:00"/>
    <n v="13"/>
    <n v="1"/>
    <n v="7698"/>
    <n v="3849"/>
    <n v="80834"/>
    <n v="3849"/>
    <n v="88532"/>
  </r>
  <r>
    <n v="1432"/>
    <x v="5"/>
    <s v="Male"/>
    <n v="44"/>
    <s v="Bangalore"/>
    <x v="0"/>
    <n v="74560"/>
    <d v="2022-07-05T00:00:00"/>
    <n v="2"/>
    <n v="5"/>
    <n v="7456"/>
    <n v="3728"/>
    <n v="78288"/>
    <n v="0"/>
    <n v="82016"/>
  </r>
  <r>
    <n v="1433"/>
    <x v="2"/>
    <s v="Male"/>
    <n v="33"/>
    <s v="Chennai"/>
    <x v="0"/>
    <n v="30579"/>
    <d v="2023-06-18T00:00:00"/>
    <n v="17"/>
    <n v="5"/>
    <n v="3058"/>
    <n v="1529"/>
    <n v="32108"/>
    <n v="1529"/>
    <n v="35166"/>
  </r>
  <r>
    <n v="1434"/>
    <x v="0"/>
    <s v="Female"/>
    <n v="43"/>
    <s v="Chennai"/>
    <x v="4"/>
    <n v="86676"/>
    <d v="2024-08-11T00:00:00"/>
    <n v="18"/>
    <n v="3"/>
    <n v="8668"/>
    <n v="4334"/>
    <n v="91010"/>
    <n v="4334"/>
    <n v="99678"/>
  </r>
  <r>
    <n v="1435"/>
    <x v="6"/>
    <s v="Female"/>
    <n v="31"/>
    <s v="Chennai"/>
    <x v="2"/>
    <n v="63700"/>
    <d v="2024-09-17T00:00:00"/>
    <n v="12"/>
    <n v="4"/>
    <n v="6370"/>
    <n v="3185"/>
    <n v="66885"/>
    <n v="3185"/>
    <n v="73255"/>
  </r>
  <r>
    <n v="1436"/>
    <x v="0"/>
    <s v="Female"/>
    <n v="31"/>
    <s v="Chennai"/>
    <x v="0"/>
    <n v="44635"/>
    <d v="2024-06-25T00:00:00"/>
    <n v="3"/>
    <n v="4"/>
    <n v="4464"/>
    <n v="2232"/>
    <n v="46867"/>
    <n v="0"/>
    <n v="49099"/>
  </r>
  <r>
    <n v="1437"/>
    <x v="4"/>
    <s v="Male"/>
    <n v="25"/>
    <s v="Delhi"/>
    <x v="1"/>
    <n v="70696"/>
    <d v="2024-08-07T00:00:00"/>
    <n v="18"/>
    <n v="3"/>
    <n v="7070"/>
    <n v="3535"/>
    <n v="74231"/>
    <n v="3535"/>
    <n v="81301"/>
  </r>
  <r>
    <n v="1438"/>
    <x v="5"/>
    <s v="Male"/>
    <n v="34"/>
    <s v="Mumbai"/>
    <x v="3"/>
    <n v="80190"/>
    <d v="2024-04-27T00:00:00"/>
    <n v="8"/>
    <n v="1"/>
    <n v="8019"/>
    <n v="4010"/>
    <n v="84199"/>
    <n v="4010"/>
    <n v="92219"/>
  </r>
  <r>
    <n v="1439"/>
    <x v="0"/>
    <s v="Male"/>
    <n v="53"/>
    <s v="Hyderabad"/>
    <x v="4"/>
    <n v="51281"/>
    <d v="2022-05-18T00:00:00"/>
    <n v="17"/>
    <n v="5"/>
    <n v="5128"/>
    <n v="2564"/>
    <n v="53845"/>
    <n v="2564"/>
    <n v="58973"/>
  </r>
  <r>
    <n v="1440"/>
    <x v="3"/>
    <s v="Male"/>
    <n v="38"/>
    <s v="Chennai"/>
    <x v="2"/>
    <n v="33201"/>
    <d v="2023-03-11T00:00:00"/>
    <n v="14"/>
    <n v="5"/>
    <n v="3320"/>
    <n v="1660"/>
    <n v="34861"/>
    <n v="1660"/>
    <n v="38181"/>
  </r>
  <r>
    <n v="1441"/>
    <x v="6"/>
    <s v="Female"/>
    <n v="33"/>
    <s v="Chennai"/>
    <x v="4"/>
    <n v="38109"/>
    <d v="2024-07-19T00:00:00"/>
    <n v="12"/>
    <n v="2"/>
    <n v="3811"/>
    <n v="1905"/>
    <n v="40015"/>
    <n v="1905"/>
    <n v="43825"/>
  </r>
  <r>
    <n v="1442"/>
    <x v="2"/>
    <s v="Male"/>
    <n v="37"/>
    <s v="Chennai"/>
    <x v="4"/>
    <n v="49722"/>
    <d v="2024-07-11T00:00:00"/>
    <n v="7"/>
    <n v="4"/>
    <n v="4972"/>
    <n v="2486"/>
    <n v="52208"/>
    <n v="2486"/>
    <n v="57180"/>
  </r>
  <r>
    <n v="1443"/>
    <x v="4"/>
    <s v="Male"/>
    <n v="52"/>
    <s v="Delhi"/>
    <x v="3"/>
    <n v="78536"/>
    <d v="2023-07-08T00:00:00"/>
    <n v="14"/>
    <n v="4"/>
    <n v="7854"/>
    <n v="3927"/>
    <n v="82463"/>
    <n v="3927"/>
    <n v="90317"/>
  </r>
  <r>
    <n v="1444"/>
    <x v="0"/>
    <s v="Male"/>
    <n v="60"/>
    <s v="Delhi"/>
    <x v="0"/>
    <n v="35375"/>
    <d v="2023-01-20T00:00:00"/>
    <n v="8"/>
    <n v="1"/>
    <n v="3538"/>
    <n v="1769"/>
    <n v="37144"/>
    <n v="1769"/>
    <n v="40682"/>
  </r>
  <r>
    <n v="1445"/>
    <x v="4"/>
    <s v="Male"/>
    <n v="24"/>
    <s v="Delhi"/>
    <x v="4"/>
    <n v="66732"/>
    <d v="2023-02-02T00:00:00"/>
    <n v="18"/>
    <n v="4"/>
    <n v="6673"/>
    <n v="3337"/>
    <n v="70068"/>
    <n v="3337"/>
    <n v="76742"/>
  </r>
  <r>
    <n v="1446"/>
    <x v="9"/>
    <s v="Female"/>
    <n v="53"/>
    <s v="Mumbai"/>
    <x v="2"/>
    <n v="40201"/>
    <d v="2023-04-27T00:00:00"/>
    <n v="17"/>
    <n v="3"/>
    <n v="4020"/>
    <n v="2010"/>
    <n v="42211"/>
    <n v="2010"/>
    <n v="46231"/>
  </r>
  <r>
    <n v="1447"/>
    <x v="1"/>
    <s v="Male"/>
    <n v="37"/>
    <s v="Chennai"/>
    <x v="3"/>
    <n v="30789"/>
    <d v="2023-12-27T00:00:00"/>
    <n v="18"/>
    <n v="5"/>
    <n v="3079"/>
    <n v="1539"/>
    <n v="32329"/>
    <n v="1539"/>
    <n v="35407"/>
  </r>
  <r>
    <n v="1448"/>
    <x v="6"/>
    <s v="Male"/>
    <n v="32"/>
    <s v="Delhi"/>
    <x v="0"/>
    <n v="24169"/>
    <d v="2024-05-20T00:00:00"/>
    <n v="6"/>
    <n v="3"/>
    <n v="2417"/>
    <n v="1208"/>
    <n v="25378"/>
    <n v="1208"/>
    <n v="27794"/>
  </r>
  <r>
    <n v="1449"/>
    <x v="5"/>
    <s v="Male"/>
    <n v="36"/>
    <s v="Mumbai"/>
    <x v="4"/>
    <n v="80839"/>
    <d v="2023-08-26T00:00:00"/>
    <n v="5"/>
    <n v="5"/>
    <n v="8084"/>
    <n v="4042"/>
    <n v="84881"/>
    <n v="0"/>
    <n v="88923"/>
  </r>
  <r>
    <n v="1450"/>
    <x v="7"/>
    <s v="Female"/>
    <n v="43"/>
    <s v="Chennai"/>
    <x v="4"/>
    <n v="21847"/>
    <d v="2024-04-06T00:00:00"/>
    <n v="16"/>
    <n v="5"/>
    <n v="2185"/>
    <n v="1092"/>
    <n v="22940"/>
    <n v="1092"/>
    <n v="25124"/>
  </r>
  <r>
    <n v="1451"/>
    <x v="1"/>
    <s v="Male"/>
    <n v="32"/>
    <s v="Mumbai"/>
    <x v="2"/>
    <n v="33164"/>
    <d v="2024-05-10T00:00:00"/>
    <n v="15"/>
    <n v="1"/>
    <n v="3316"/>
    <n v="1658"/>
    <n v="34822"/>
    <n v="1658"/>
    <n v="38138"/>
  </r>
  <r>
    <n v="1452"/>
    <x v="6"/>
    <s v="Female"/>
    <n v="31"/>
    <s v="Bangalore"/>
    <x v="3"/>
    <n v="71462"/>
    <d v="2023-05-15T00:00:00"/>
    <n v="8"/>
    <n v="4"/>
    <n v="7146"/>
    <n v="3573"/>
    <n v="75035"/>
    <n v="3573"/>
    <n v="82181"/>
  </r>
  <r>
    <n v="1453"/>
    <x v="0"/>
    <s v="Male"/>
    <n v="21"/>
    <s v="Mumbai"/>
    <x v="0"/>
    <n v="90255"/>
    <d v="2023-09-08T00:00:00"/>
    <n v="15"/>
    <n v="3"/>
    <n v="9026"/>
    <n v="4513"/>
    <n v="94768"/>
    <n v="4513"/>
    <n v="103794"/>
  </r>
  <r>
    <n v="1454"/>
    <x v="9"/>
    <s v="Male"/>
    <n v="51"/>
    <s v="Hyderabad"/>
    <x v="2"/>
    <n v="29766"/>
    <d v="2022-07-18T00:00:00"/>
    <n v="20"/>
    <n v="1"/>
    <n v="2977"/>
    <n v="1488"/>
    <n v="31255"/>
    <n v="1488"/>
    <n v="34231"/>
  </r>
  <r>
    <n v="1455"/>
    <x v="7"/>
    <s v="Female"/>
    <n v="60"/>
    <s v="Bangalore"/>
    <x v="2"/>
    <n v="52994"/>
    <d v="2022-05-29T00:00:00"/>
    <n v="1"/>
    <n v="5"/>
    <n v="5299"/>
    <n v="2650"/>
    <n v="55643"/>
    <n v="0"/>
    <n v="58293"/>
  </r>
  <r>
    <n v="1456"/>
    <x v="5"/>
    <s v="Male"/>
    <n v="48"/>
    <s v="Bangalore"/>
    <x v="4"/>
    <n v="27675"/>
    <d v="2022-08-10T00:00:00"/>
    <n v="16"/>
    <n v="3"/>
    <n v="2768"/>
    <n v="1384"/>
    <n v="29059"/>
    <n v="1384"/>
    <n v="31827"/>
  </r>
  <r>
    <n v="1457"/>
    <x v="1"/>
    <s v="Female"/>
    <n v="43"/>
    <s v="Hyderabad"/>
    <x v="1"/>
    <n v="59137"/>
    <d v="2024-03-18T00:00:00"/>
    <n v="8"/>
    <n v="1"/>
    <n v="5914"/>
    <n v="2957"/>
    <n v="62094"/>
    <n v="2957"/>
    <n v="68008"/>
  </r>
  <r>
    <n v="1458"/>
    <x v="2"/>
    <s v="Male"/>
    <n v="44"/>
    <s v="Mumbai"/>
    <x v="3"/>
    <n v="39033"/>
    <d v="2023-02-09T00:00:00"/>
    <n v="11"/>
    <n v="2"/>
    <n v="3903"/>
    <n v="1952"/>
    <n v="40984"/>
    <n v="1952"/>
    <n v="44888"/>
  </r>
  <r>
    <n v="1459"/>
    <x v="5"/>
    <s v="Female"/>
    <n v="42"/>
    <s v="Chennai"/>
    <x v="4"/>
    <n v="46112"/>
    <d v="2023-06-04T00:00:00"/>
    <n v="17"/>
    <n v="1"/>
    <n v="4611"/>
    <n v="2306"/>
    <n v="48417"/>
    <n v="2306"/>
    <n v="53029"/>
  </r>
  <r>
    <n v="1460"/>
    <x v="3"/>
    <s v="Male"/>
    <n v="58"/>
    <s v="Bangalore"/>
    <x v="2"/>
    <n v="47759"/>
    <d v="2022-03-24T00:00:00"/>
    <n v="13"/>
    <n v="5"/>
    <n v="4776"/>
    <n v="2388"/>
    <n v="50147"/>
    <n v="2388"/>
    <n v="54923"/>
  </r>
  <r>
    <n v="1461"/>
    <x v="5"/>
    <s v="Male"/>
    <n v="44"/>
    <s v="Hyderabad"/>
    <x v="4"/>
    <n v="99741"/>
    <d v="2022-08-31T00:00:00"/>
    <n v="6"/>
    <n v="4"/>
    <n v="9974"/>
    <n v="4987"/>
    <n v="104728"/>
    <n v="4987"/>
    <n v="114702"/>
  </r>
  <r>
    <n v="1462"/>
    <x v="5"/>
    <s v="Female"/>
    <n v="23"/>
    <s v="Hyderabad"/>
    <x v="0"/>
    <n v="86925"/>
    <d v="2022-08-22T00:00:00"/>
    <n v="7"/>
    <n v="3"/>
    <n v="8692"/>
    <n v="4346"/>
    <n v="91271"/>
    <n v="4346"/>
    <n v="99963"/>
  </r>
  <r>
    <n v="1463"/>
    <x v="0"/>
    <s v="Male"/>
    <n v="25"/>
    <s v="Bangalore"/>
    <x v="3"/>
    <n v="33912"/>
    <d v="2022-12-24T00:00:00"/>
    <n v="16"/>
    <n v="1"/>
    <n v="3391"/>
    <n v="1696"/>
    <n v="35607"/>
    <n v="1696"/>
    <n v="38999"/>
  </r>
  <r>
    <n v="1464"/>
    <x v="2"/>
    <s v="Male"/>
    <n v="45"/>
    <s v="Delhi"/>
    <x v="3"/>
    <n v="84093"/>
    <d v="2022-07-27T00:00:00"/>
    <n v="19"/>
    <n v="1"/>
    <n v="8409"/>
    <n v="4205"/>
    <n v="88297"/>
    <n v="4205"/>
    <n v="96707"/>
  </r>
  <r>
    <n v="1465"/>
    <x v="5"/>
    <s v="Male"/>
    <n v="60"/>
    <s v="Chennai"/>
    <x v="1"/>
    <n v="72442"/>
    <d v="2022-08-05T00:00:00"/>
    <n v="13"/>
    <n v="3"/>
    <n v="7244"/>
    <n v="3622"/>
    <n v="76064"/>
    <n v="3622"/>
    <n v="83308"/>
  </r>
  <r>
    <n v="1466"/>
    <x v="1"/>
    <s v="Female"/>
    <n v="50"/>
    <s v="Chennai"/>
    <x v="1"/>
    <n v="23162"/>
    <d v="2022-01-27T00:00:00"/>
    <n v="11"/>
    <n v="3"/>
    <n v="2316"/>
    <n v="1158"/>
    <n v="24320"/>
    <n v="1158"/>
    <n v="26636"/>
  </r>
  <r>
    <n v="1467"/>
    <x v="5"/>
    <s v="Male"/>
    <n v="52"/>
    <s v="Chennai"/>
    <x v="0"/>
    <n v="66783"/>
    <d v="2023-10-30T00:00:00"/>
    <n v="4"/>
    <n v="1"/>
    <n v="6678"/>
    <n v="3339"/>
    <n v="70122"/>
    <n v="0"/>
    <n v="73461"/>
  </r>
  <r>
    <n v="1468"/>
    <x v="8"/>
    <s v="Male"/>
    <n v="26"/>
    <s v="Bangalore"/>
    <x v="3"/>
    <n v="25585"/>
    <d v="2022-11-05T00:00:00"/>
    <n v="11"/>
    <n v="2"/>
    <n v="2558"/>
    <n v="1279"/>
    <n v="26864"/>
    <n v="1279"/>
    <n v="29422"/>
  </r>
  <r>
    <n v="1469"/>
    <x v="4"/>
    <s v="Female"/>
    <n v="44"/>
    <s v="Chennai"/>
    <x v="4"/>
    <n v="95740"/>
    <d v="2023-01-05T00:00:00"/>
    <n v="13"/>
    <n v="3"/>
    <n v="9574"/>
    <n v="4787"/>
    <n v="100527"/>
    <n v="4787"/>
    <n v="110101"/>
  </r>
  <r>
    <n v="1470"/>
    <x v="9"/>
    <s v="Female"/>
    <n v="25"/>
    <s v="Hyderabad"/>
    <x v="0"/>
    <n v="93683"/>
    <d v="2022-07-21T00:00:00"/>
    <n v="9"/>
    <n v="2"/>
    <n v="9368"/>
    <n v="4684"/>
    <n v="98367"/>
    <n v="4684"/>
    <n v="107735"/>
  </r>
  <r>
    <n v="1471"/>
    <x v="1"/>
    <s v="Male"/>
    <n v="34"/>
    <s v="Mumbai"/>
    <x v="4"/>
    <n v="22800"/>
    <d v="2024-04-05T00:00:00"/>
    <n v="9"/>
    <n v="2"/>
    <n v="2280"/>
    <n v="1140"/>
    <n v="23940"/>
    <n v="1140"/>
    <n v="26220"/>
  </r>
  <r>
    <n v="1472"/>
    <x v="2"/>
    <s v="Female"/>
    <n v="33"/>
    <s v="Mumbai"/>
    <x v="0"/>
    <n v="70584"/>
    <d v="2024-01-27T00:00:00"/>
    <n v="10"/>
    <n v="5"/>
    <n v="7058"/>
    <n v="3529"/>
    <n v="74113"/>
    <n v="3529"/>
    <n v="81171"/>
  </r>
  <r>
    <n v="1473"/>
    <x v="6"/>
    <s v="Male"/>
    <n v="30"/>
    <s v="Hyderabad"/>
    <x v="0"/>
    <n v="50179"/>
    <d v="2023-11-07T00:00:00"/>
    <n v="18"/>
    <n v="2"/>
    <n v="5018"/>
    <n v="2509"/>
    <n v="52688"/>
    <n v="2509"/>
    <n v="57706"/>
  </r>
  <r>
    <n v="1474"/>
    <x v="4"/>
    <s v="Female"/>
    <n v="50"/>
    <s v="Bangalore"/>
    <x v="0"/>
    <n v="62838"/>
    <d v="2024-05-25T00:00:00"/>
    <n v="15"/>
    <n v="1"/>
    <n v="6284"/>
    <n v="3142"/>
    <n v="65980"/>
    <n v="3142"/>
    <n v="72264"/>
  </r>
  <r>
    <n v="1475"/>
    <x v="7"/>
    <s v="Female"/>
    <n v="53"/>
    <s v="Hyderabad"/>
    <x v="1"/>
    <n v="73563"/>
    <d v="2024-05-02T00:00:00"/>
    <n v="11"/>
    <n v="3"/>
    <n v="7356"/>
    <n v="3678"/>
    <n v="77241"/>
    <n v="3678"/>
    <n v="84597"/>
  </r>
  <r>
    <n v="1476"/>
    <x v="2"/>
    <s v="Female"/>
    <n v="24"/>
    <s v="Delhi"/>
    <x v="3"/>
    <n v="23341"/>
    <d v="2022-05-30T00:00:00"/>
    <n v="8"/>
    <n v="5"/>
    <n v="2334"/>
    <n v="1167"/>
    <n v="24508"/>
    <n v="1167"/>
    <n v="26842"/>
  </r>
  <r>
    <n v="1477"/>
    <x v="8"/>
    <s v="Male"/>
    <n v="26"/>
    <s v="Bangalore"/>
    <x v="4"/>
    <n v="79643"/>
    <d v="2023-06-09T00:00:00"/>
    <n v="13"/>
    <n v="1"/>
    <n v="7964"/>
    <n v="3982"/>
    <n v="83625"/>
    <n v="3982"/>
    <n v="91589"/>
  </r>
  <r>
    <n v="1478"/>
    <x v="6"/>
    <s v="Male"/>
    <n v="47"/>
    <s v="Delhi"/>
    <x v="0"/>
    <n v="46501"/>
    <d v="2023-07-31T00:00:00"/>
    <n v="10"/>
    <n v="2"/>
    <n v="4650"/>
    <n v="2325"/>
    <n v="48826"/>
    <n v="2325"/>
    <n v="53476"/>
  </r>
  <r>
    <n v="1479"/>
    <x v="1"/>
    <s v="Male"/>
    <n v="53"/>
    <s v="Hyderabad"/>
    <x v="1"/>
    <n v="87914"/>
    <d v="2024-01-05T00:00:00"/>
    <n v="14"/>
    <n v="3"/>
    <n v="8791"/>
    <n v="4396"/>
    <n v="92309"/>
    <n v="4396"/>
    <n v="101101"/>
  </r>
  <r>
    <n v="1480"/>
    <x v="6"/>
    <s v="Female"/>
    <n v="40"/>
    <s v="Delhi"/>
    <x v="4"/>
    <n v="92595"/>
    <d v="2022-03-10T00:00:00"/>
    <n v="6"/>
    <n v="1"/>
    <n v="9260"/>
    <n v="4630"/>
    <n v="97225"/>
    <n v="4630"/>
    <n v="106485"/>
  </r>
  <r>
    <n v="1481"/>
    <x v="7"/>
    <s v="Male"/>
    <n v="27"/>
    <s v="Delhi"/>
    <x v="1"/>
    <n v="95866"/>
    <d v="2022-11-20T00:00:00"/>
    <n v="20"/>
    <n v="4"/>
    <n v="9587"/>
    <n v="4793"/>
    <n v="100660"/>
    <n v="4793"/>
    <n v="110246"/>
  </r>
  <r>
    <n v="1482"/>
    <x v="6"/>
    <s v="Male"/>
    <n v="51"/>
    <s v="Mumbai"/>
    <x v="2"/>
    <n v="20938"/>
    <d v="2023-02-11T00:00:00"/>
    <n v="5"/>
    <n v="3"/>
    <n v="2094"/>
    <n v="1047"/>
    <n v="21985"/>
    <n v="0"/>
    <n v="23032"/>
  </r>
  <r>
    <n v="1483"/>
    <x v="0"/>
    <s v="Female"/>
    <n v="31"/>
    <s v="Hyderabad"/>
    <x v="4"/>
    <n v="90041"/>
    <d v="2023-10-17T00:00:00"/>
    <n v="8"/>
    <n v="3"/>
    <n v="9004"/>
    <n v="4502"/>
    <n v="94543"/>
    <n v="4502"/>
    <n v="103547"/>
  </r>
  <r>
    <n v="1484"/>
    <x v="7"/>
    <s v="Male"/>
    <n v="39"/>
    <s v="Hyderabad"/>
    <x v="1"/>
    <n v="85929"/>
    <d v="2022-04-26T00:00:00"/>
    <n v="18"/>
    <n v="1"/>
    <n v="8593"/>
    <n v="4296"/>
    <n v="90226"/>
    <n v="4296"/>
    <n v="98818"/>
  </r>
  <r>
    <n v="1485"/>
    <x v="2"/>
    <s v="Male"/>
    <n v="52"/>
    <s v="Delhi"/>
    <x v="3"/>
    <n v="23525"/>
    <d v="2024-01-29T00:00:00"/>
    <n v="12"/>
    <n v="3"/>
    <n v="2352"/>
    <n v="1176"/>
    <n v="24701"/>
    <n v="1176"/>
    <n v="27053"/>
  </r>
  <r>
    <n v="1486"/>
    <x v="1"/>
    <s v="Male"/>
    <n v="33"/>
    <s v="Mumbai"/>
    <x v="2"/>
    <n v="85857"/>
    <d v="2022-09-20T00:00:00"/>
    <n v="3"/>
    <n v="5"/>
    <n v="8586"/>
    <n v="4293"/>
    <n v="90150"/>
    <n v="0"/>
    <n v="94443"/>
  </r>
  <r>
    <n v="1487"/>
    <x v="5"/>
    <s v="Male"/>
    <n v="53"/>
    <s v="Chennai"/>
    <x v="2"/>
    <n v="30778"/>
    <d v="2022-09-06T00:00:00"/>
    <n v="14"/>
    <n v="4"/>
    <n v="3078"/>
    <n v="1539"/>
    <n v="32317"/>
    <n v="1539"/>
    <n v="35395"/>
  </r>
  <r>
    <n v="1488"/>
    <x v="1"/>
    <s v="Female"/>
    <n v="59"/>
    <s v="Hyderabad"/>
    <x v="2"/>
    <n v="57115"/>
    <d v="2024-08-08T00:00:00"/>
    <n v="13"/>
    <n v="3"/>
    <n v="5712"/>
    <n v="2856"/>
    <n v="59971"/>
    <n v="2856"/>
    <n v="65683"/>
  </r>
  <r>
    <n v="1489"/>
    <x v="1"/>
    <s v="Female"/>
    <n v="46"/>
    <s v="Chennai"/>
    <x v="4"/>
    <n v="76573"/>
    <d v="2024-05-05T00:00:00"/>
    <n v="13"/>
    <n v="2"/>
    <n v="7657"/>
    <n v="3829"/>
    <n v="80401"/>
    <n v="3829"/>
    <n v="88059"/>
  </r>
  <r>
    <n v="1490"/>
    <x v="0"/>
    <s v="Male"/>
    <n v="45"/>
    <s v="Chennai"/>
    <x v="2"/>
    <n v="64430"/>
    <d v="2024-05-15T00:00:00"/>
    <n v="15"/>
    <n v="2"/>
    <n v="6443"/>
    <n v="3222"/>
    <n v="67651"/>
    <n v="3222"/>
    <n v="74095"/>
  </r>
  <r>
    <n v="1491"/>
    <x v="2"/>
    <s v="Female"/>
    <n v="30"/>
    <s v="Mumbai"/>
    <x v="0"/>
    <n v="38249"/>
    <d v="2023-12-26T00:00:00"/>
    <n v="11"/>
    <n v="4"/>
    <n v="3825"/>
    <n v="1912"/>
    <n v="40162"/>
    <n v="1912"/>
    <n v="43986"/>
  </r>
  <r>
    <n v="1492"/>
    <x v="7"/>
    <s v="Male"/>
    <n v="22"/>
    <s v="Chennai"/>
    <x v="3"/>
    <n v="24566"/>
    <d v="2023-09-26T00:00:00"/>
    <n v="2"/>
    <n v="3"/>
    <n v="2457"/>
    <n v="1228"/>
    <n v="25795"/>
    <n v="0"/>
    <n v="27023"/>
  </r>
  <r>
    <n v="1493"/>
    <x v="8"/>
    <s v="Male"/>
    <n v="45"/>
    <s v="Delhi"/>
    <x v="4"/>
    <n v="54136"/>
    <d v="2023-04-18T00:00:00"/>
    <n v="9"/>
    <n v="5"/>
    <n v="5414"/>
    <n v="2707"/>
    <n v="56843"/>
    <n v="2707"/>
    <n v="62257"/>
  </r>
  <r>
    <n v="1494"/>
    <x v="2"/>
    <s v="Male"/>
    <n v="54"/>
    <s v="Hyderabad"/>
    <x v="0"/>
    <n v="73838"/>
    <d v="2023-01-15T00:00:00"/>
    <n v="5"/>
    <n v="5"/>
    <n v="7384"/>
    <n v="3692"/>
    <n v="77530"/>
    <n v="0"/>
    <n v="81222"/>
  </r>
  <r>
    <n v="1495"/>
    <x v="0"/>
    <s v="Male"/>
    <n v="60"/>
    <s v="Bangalore"/>
    <x v="4"/>
    <n v="70709"/>
    <d v="2022-03-02T00:00:00"/>
    <n v="1"/>
    <n v="5"/>
    <n v="7071"/>
    <n v="3535"/>
    <n v="74245"/>
    <n v="0"/>
    <n v="77780"/>
  </r>
  <r>
    <n v="1496"/>
    <x v="3"/>
    <s v="Female"/>
    <n v="59"/>
    <s v="Bangalore"/>
    <x v="0"/>
    <n v="34747"/>
    <d v="2024-08-10T00:00:00"/>
    <n v="8"/>
    <n v="5"/>
    <n v="3475"/>
    <n v="1737"/>
    <n v="36485"/>
    <n v="1737"/>
    <n v="39959"/>
  </r>
  <r>
    <n v="1497"/>
    <x v="5"/>
    <s v="Female"/>
    <n v="34"/>
    <s v="Hyderabad"/>
    <x v="0"/>
    <n v="94171"/>
    <d v="2024-03-31T00:00:00"/>
    <n v="10"/>
    <n v="3"/>
    <n v="9417"/>
    <n v="4709"/>
    <n v="98879"/>
    <n v="4709"/>
    <n v="108297"/>
  </r>
  <r>
    <n v="1498"/>
    <x v="4"/>
    <s v="Female"/>
    <n v="57"/>
    <s v="Chennai"/>
    <x v="0"/>
    <n v="64175"/>
    <d v="2023-03-09T00:00:00"/>
    <n v="4"/>
    <n v="2"/>
    <n v="6418"/>
    <n v="3209"/>
    <n v="67384"/>
    <n v="0"/>
    <n v="70593"/>
  </r>
  <r>
    <n v="1499"/>
    <x v="1"/>
    <s v="Female"/>
    <n v="36"/>
    <s v="Delhi"/>
    <x v="0"/>
    <n v="60324"/>
    <d v="2022-04-29T00:00:00"/>
    <n v="3"/>
    <n v="4"/>
    <n v="6032"/>
    <n v="3016"/>
    <n v="63340"/>
    <n v="0"/>
    <n v="66356"/>
  </r>
  <r>
    <n v="1500"/>
    <x v="1"/>
    <s v="Male"/>
    <n v="59"/>
    <s v="Delhi"/>
    <x v="0"/>
    <n v="48742"/>
    <d v="2022-02-15T00:00:00"/>
    <n v="15"/>
    <n v="3"/>
    <n v="4874"/>
    <n v="2437"/>
    <n v="51179"/>
    <n v="2437"/>
    <n v="56053"/>
  </r>
  <r>
    <n v="1501"/>
    <x v="1"/>
    <s v="Female"/>
    <n v="35"/>
    <s v="Hyderabad"/>
    <x v="2"/>
    <n v="70094"/>
    <d v="2023-03-24T00:00:00"/>
    <n v="14"/>
    <n v="1"/>
    <n v="7009"/>
    <n v="3505"/>
    <n v="73598"/>
    <n v="3505"/>
    <n v="80608"/>
  </r>
  <r>
    <n v="1502"/>
    <x v="1"/>
    <s v="Male"/>
    <n v="26"/>
    <s v="Mumbai"/>
    <x v="3"/>
    <n v="90788"/>
    <d v="2022-01-27T00:00:00"/>
    <n v="19"/>
    <n v="4"/>
    <n v="9079"/>
    <n v="4539"/>
    <n v="95328"/>
    <n v="4539"/>
    <n v="104406"/>
  </r>
  <r>
    <n v="1503"/>
    <x v="9"/>
    <s v="Female"/>
    <n v="60"/>
    <s v="Chennai"/>
    <x v="3"/>
    <n v="92370"/>
    <d v="2022-09-07T00:00:00"/>
    <n v="2"/>
    <n v="4"/>
    <n v="9237"/>
    <n v="4618"/>
    <n v="96989"/>
    <n v="0"/>
    <n v="101607"/>
  </r>
  <r>
    <n v="1504"/>
    <x v="9"/>
    <s v="Male"/>
    <n v="41"/>
    <s v="Bangalore"/>
    <x v="4"/>
    <n v="35049"/>
    <d v="2024-06-11T00:00:00"/>
    <n v="4"/>
    <n v="1"/>
    <n v="3505"/>
    <n v="1752"/>
    <n v="36802"/>
    <n v="0"/>
    <n v="38554"/>
  </r>
  <r>
    <n v="1505"/>
    <x v="6"/>
    <s v="Male"/>
    <n v="49"/>
    <s v="Chennai"/>
    <x v="0"/>
    <n v="88561"/>
    <d v="2023-01-29T00:00:00"/>
    <n v="8"/>
    <n v="5"/>
    <n v="8856"/>
    <n v="4428"/>
    <n v="92989"/>
    <n v="4428"/>
    <n v="101845"/>
  </r>
  <r>
    <n v="1506"/>
    <x v="1"/>
    <s v="Male"/>
    <n v="40"/>
    <s v="Mumbai"/>
    <x v="2"/>
    <n v="84455"/>
    <d v="2023-01-12T00:00:00"/>
    <n v="3"/>
    <n v="4"/>
    <n v="8446"/>
    <n v="4223"/>
    <n v="88678"/>
    <n v="0"/>
    <n v="92901"/>
  </r>
  <r>
    <n v="1507"/>
    <x v="7"/>
    <s v="Male"/>
    <n v="29"/>
    <s v="Hyderabad"/>
    <x v="3"/>
    <n v="40901"/>
    <d v="2022-04-06T00:00:00"/>
    <n v="4"/>
    <n v="4"/>
    <n v="4090"/>
    <n v="2045"/>
    <n v="42946"/>
    <n v="0"/>
    <n v="44991"/>
  </r>
  <r>
    <n v="1508"/>
    <x v="3"/>
    <s v="Male"/>
    <n v="28"/>
    <s v="Bangalore"/>
    <x v="4"/>
    <n v="70191"/>
    <d v="2023-08-31T00:00:00"/>
    <n v="8"/>
    <n v="5"/>
    <n v="7019"/>
    <n v="3510"/>
    <n v="73700"/>
    <n v="3510"/>
    <n v="80720"/>
  </r>
  <r>
    <n v="1509"/>
    <x v="8"/>
    <s v="Female"/>
    <n v="48"/>
    <s v="Delhi"/>
    <x v="4"/>
    <n v="88476"/>
    <d v="2023-08-10T00:00:00"/>
    <n v="17"/>
    <n v="5"/>
    <n v="8848"/>
    <n v="4424"/>
    <n v="92900"/>
    <n v="4424"/>
    <n v="101748"/>
  </r>
  <r>
    <n v="1510"/>
    <x v="1"/>
    <s v="Male"/>
    <n v="27"/>
    <s v="Bangalore"/>
    <x v="2"/>
    <n v="38703"/>
    <d v="2022-09-11T00:00:00"/>
    <n v="3"/>
    <n v="3"/>
    <n v="3870"/>
    <n v="1935"/>
    <n v="40638"/>
    <n v="0"/>
    <n v="42573"/>
  </r>
  <r>
    <n v="1511"/>
    <x v="9"/>
    <s v="Female"/>
    <n v="37"/>
    <s v="Bangalore"/>
    <x v="2"/>
    <n v="40102"/>
    <d v="2022-09-18T00:00:00"/>
    <n v="8"/>
    <n v="4"/>
    <n v="4010"/>
    <n v="2005"/>
    <n v="42107"/>
    <n v="2005"/>
    <n v="46117"/>
  </r>
  <r>
    <n v="1512"/>
    <x v="3"/>
    <s v="Male"/>
    <n v="57"/>
    <s v="Mumbai"/>
    <x v="4"/>
    <n v="90625"/>
    <d v="2022-01-07T00:00:00"/>
    <n v="19"/>
    <n v="2"/>
    <n v="9062"/>
    <n v="4531"/>
    <n v="95156"/>
    <n v="4531"/>
    <n v="104218"/>
  </r>
  <r>
    <n v="1513"/>
    <x v="8"/>
    <s v="Male"/>
    <n v="51"/>
    <s v="Delhi"/>
    <x v="4"/>
    <n v="59862"/>
    <d v="2023-08-29T00:00:00"/>
    <n v="20"/>
    <n v="4"/>
    <n v="5986"/>
    <n v="2993"/>
    <n v="62855"/>
    <n v="2993"/>
    <n v="68841"/>
  </r>
  <r>
    <n v="1514"/>
    <x v="3"/>
    <s v="Female"/>
    <n v="38"/>
    <s v="Chennai"/>
    <x v="2"/>
    <n v="63472"/>
    <d v="2022-07-18T00:00:00"/>
    <n v="16"/>
    <n v="4"/>
    <n v="6347"/>
    <n v="3174"/>
    <n v="66645"/>
    <n v="3174"/>
    <n v="72993"/>
  </r>
  <r>
    <n v="1515"/>
    <x v="0"/>
    <s v="Female"/>
    <n v="38"/>
    <s v="Mumbai"/>
    <x v="3"/>
    <n v="99562"/>
    <d v="2023-06-29T00:00:00"/>
    <n v="19"/>
    <n v="3"/>
    <n v="9956"/>
    <n v="4978"/>
    <n v="104540"/>
    <n v="4978"/>
    <n v="114496"/>
  </r>
  <r>
    <n v="1516"/>
    <x v="4"/>
    <s v="Female"/>
    <n v="48"/>
    <s v="Mumbai"/>
    <x v="0"/>
    <n v="65902"/>
    <d v="2022-10-17T00:00:00"/>
    <n v="13"/>
    <n v="1"/>
    <n v="6590"/>
    <n v="3295"/>
    <n v="69197"/>
    <n v="3295"/>
    <n v="75787"/>
  </r>
  <r>
    <n v="1517"/>
    <x v="2"/>
    <s v="Female"/>
    <n v="50"/>
    <s v="Delhi"/>
    <x v="0"/>
    <n v="80631"/>
    <d v="2022-07-11T00:00:00"/>
    <n v="15"/>
    <n v="5"/>
    <n v="8063"/>
    <n v="4032"/>
    <n v="84662"/>
    <n v="4032"/>
    <n v="92726"/>
  </r>
  <r>
    <n v="1518"/>
    <x v="6"/>
    <s v="Female"/>
    <n v="23"/>
    <s v="Hyderabad"/>
    <x v="1"/>
    <n v="58968"/>
    <d v="2024-07-05T00:00:00"/>
    <n v="1"/>
    <n v="1"/>
    <n v="5897"/>
    <n v="2948"/>
    <n v="61917"/>
    <n v="0"/>
    <n v="64865"/>
  </r>
  <r>
    <n v="1519"/>
    <x v="3"/>
    <s v="Female"/>
    <n v="21"/>
    <s v="Chennai"/>
    <x v="3"/>
    <n v="98706"/>
    <d v="2022-09-07T00:00:00"/>
    <n v="3"/>
    <n v="2"/>
    <n v="9871"/>
    <n v="4935"/>
    <n v="103642"/>
    <n v="0"/>
    <n v="108577"/>
  </r>
  <r>
    <n v="1520"/>
    <x v="5"/>
    <s v="Male"/>
    <n v="46"/>
    <s v="Hyderabad"/>
    <x v="1"/>
    <n v="32689"/>
    <d v="2024-06-11T00:00:00"/>
    <n v="5"/>
    <n v="3"/>
    <n v="3269"/>
    <n v="1634"/>
    <n v="34324"/>
    <n v="0"/>
    <n v="35958"/>
  </r>
  <r>
    <n v="1521"/>
    <x v="3"/>
    <s v="Female"/>
    <n v="25"/>
    <s v="Mumbai"/>
    <x v="1"/>
    <n v="21469"/>
    <d v="2022-09-22T00:00:00"/>
    <n v="17"/>
    <n v="2"/>
    <n v="2147"/>
    <n v="1073"/>
    <n v="22543"/>
    <n v="1073"/>
    <n v="24689"/>
  </r>
  <r>
    <n v="1522"/>
    <x v="1"/>
    <s v="Female"/>
    <n v="34"/>
    <s v="Mumbai"/>
    <x v="2"/>
    <n v="85008"/>
    <d v="2022-01-26T00:00:00"/>
    <n v="17"/>
    <n v="1"/>
    <n v="8501"/>
    <n v="4250"/>
    <n v="89259"/>
    <n v="4250"/>
    <n v="97759"/>
  </r>
  <r>
    <n v="1523"/>
    <x v="0"/>
    <s v="Female"/>
    <n v="44"/>
    <s v="Mumbai"/>
    <x v="2"/>
    <n v="20018"/>
    <d v="2024-03-20T00:00:00"/>
    <n v="5"/>
    <n v="3"/>
    <n v="2002"/>
    <n v="1001"/>
    <n v="21019"/>
    <n v="0"/>
    <n v="22020"/>
  </r>
  <r>
    <n v="1524"/>
    <x v="8"/>
    <s v="Female"/>
    <n v="48"/>
    <s v="Hyderabad"/>
    <x v="0"/>
    <n v="34245"/>
    <d v="2023-07-26T00:00:00"/>
    <n v="15"/>
    <n v="3"/>
    <n v="3424"/>
    <n v="1712"/>
    <n v="35957"/>
    <n v="1712"/>
    <n v="39381"/>
  </r>
  <r>
    <n v="1525"/>
    <x v="1"/>
    <s v="Female"/>
    <n v="56"/>
    <s v="Chennai"/>
    <x v="1"/>
    <n v="41103"/>
    <d v="2023-10-08T00:00:00"/>
    <n v="10"/>
    <n v="2"/>
    <n v="4110"/>
    <n v="2055"/>
    <n v="43158"/>
    <n v="2055"/>
    <n v="47268"/>
  </r>
  <r>
    <n v="1526"/>
    <x v="3"/>
    <s v="Male"/>
    <n v="55"/>
    <s v="Delhi"/>
    <x v="2"/>
    <n v="53013"/>
    <d v="2024-09-10T00:00:00"/>
    <n v="1"/>
    <n v="5"/>
    <n v="5301"/>
    <n v="2651"/>
    <n v="55663"/>
    <n v="0"/>
    <n v="58314"/>
  </r>
  <r>
    <n v="1527"/>
    <x v="6"/>
    <s v="Female"/>
    <n v="31"/>
    <s v="Mumbai"/>
    <x v="0"/>
    <n v="99546"/>
    <d v="2022-04-22T00:00:00"/>
    <n v="14"/>
    <n v="1"/>
    <n v="9955"/>
    <n v="4977"/>
    <n v="104524"/>
    <n v="4977"/>
    <n v="114478"/>
  </r>
  <r>
    <n v="1528"/>
    <x v="4"/>
    <s v="Female"/>
    <n v="28"/>
    <s v="Delhi"/>
    <x v="1"/>
    <n v="44205"/>
    <d v="2022-09-05T00:00:00"/>
    <n v="2"/>
    <n v="4"/>
    <n v="4420"/>
    <n v="2210"/>
    <n v="46415"/>
    <n v="0"/>
    <n v="48625"/>
  </r>
  <r>
    <n v="1529"/>
    <x v="5"/>
    <s v="Female"/>
    <n v="39"/>
    <s v="Chennai"/>
    <x v="4"/>
    <n v="70919"/>
    <d v="2024-04-05T00:00:00"/>
    <n v="3"/>
    <n v="2"/>
    <n v="7092"/>
    <n v="3546"/>
    <n v="74465"/>
    <n v="0"/>
    <n v="78011"/>
  </r>
  <r>
    <n v="1530"/>
    <x v="3"/>
    <s v="Female"/>
    <n v="31"/>
    <s v="Bangalore"/>
    <x v="4"/>
    <n v="24608"/>
    <d v="2023-04-29T00:00:00"/>
    <n v="3"/>
    <n v="5"/>
    <n v="2461"/>
    <n v="1230"/>
    <n v="25839"/>
    <n v="0"/>
    <n v="27069"/>
  </r>
  <r>
    <n v="1531"/>
    <x v="7"/>
    <s v="Female"/>
    <n v="56"/>
    <s v="Mumbai"/>
    <x v="3"/>
    <n v="79160"/>
    <d v="2024-02-27T00:00:00"/>
    <n v="4"/>
    <n v="2"/>
    <n v="7916"/>
    <n v="3958"/>
    <n v="83118"/>
    <n v="0"/>
    <n v="87076"/>
  </r>
  <r>
    <n v="1532"/>
    <x v="0"/>
    <s v="Male"/>
    <n v="59"/>
    <s v="Delhi"/>
    <x v="1"/>
    <n v="27939"/>
    <d v="2023-05-02T00:00:00"/>
    <n v="5"/>
    <n v="3"/>
    <n v="2794"/>
    <n v="1397"/>
    <n v="29336"/>
    <n v="0"/>
    <n v="30733"/>
  </r>
  <r>
    <n v="1533"/>
    <x v="3"/>
    <s v="Male"/>
    <n v="44"/>
    <s v="Hyderabad"/>
    <x v="1"/>
    <n v="29796"/>
    <d v="2023-04-07T00:00:00"/>
    <n v="11"/>
    <n v="1"/>
    <n v="2980"/>
    <n v="1490"/>
    <n v="31286"/>
    <n v="1490"/>
    <n v="34266"/>
  </r>
  <r>
    <n v="1534"/>
    <x v="2"/>
    <s v="Female"/>
    <n v="54"/>
    <s v="Delhi"/>
    <x v="2"/>
    <n v="47855"/>
    <d v="2024-05-06T00:00:00"/>
    <n v="2"/>
    <n v="3"/>
    <n v="4786"/>
    <n v="2393"/>
    <n v="50248"/>
    <n v="0"/>
    <n v="52641"/>
  </r>
  <r>
    <n v="1535"/>
    <x v="6"/>
    <s v="Female"/>
    <n v="43"/>
    <s v="Chennai"/>
    <x v="0"/>
    <n v="31871"/>
    <d v="2024-02-22T00:00:00"/>
    <n v="4"/>
    <n v="1"/>
    <n v="3187"/>
    <n v="1594"/>
    <n v="33464"/>
    <n v="0"/>
    <n v="35058"/>
  </r>
  <r>
    <n v="1536"/>
    <x v="1"/>
    <s v="Male"/>
    <n v="25"/>
    <s v="Bangalore"/>
    <x v="2"/>
    <n v="44872"/>
    <d v="2023-05-19T00:00:00"/>
    <n v="11"/>
    <n v="5"/>
    <n v="4487"/>
    <n v="2244"/>
    <n v="47115"/>
    <n v="2244"/>
    <n v="51603"/>
  </r>
  <r>
    <n v="1537"/>
    <x v="7"/>
    <s v="Male"/>
    <n v="52"/>
    <s v="Delhi"/>
    <x v="0"/>
    <n v="31702"/>
    <d v="2022-05-06T00:00:00"/>
    <n v="13"/>
    <n v="3"/>
    <n v="3170"/>
    <n v="1585"/>
    <n v="33287"/>
    <n v="1585"/>
    <n v="36457"/>
  </r>
  <r>
    <n v="1538"/>
    <x v="6"/>
    <s v="Female"/>
    <n v="53"/>
    <s v="Hyderabad"/>
    <x v="3"/>
    <n v="71107"/>
    <d v="2022-06-28T00:00:00"/>
    <n v="9"/>
    <n v="4"/>
    <n v="7111"/>
    <n v="3555"/>
    <n v="74663"/>
    <n v="3555"/>
    <n v="81773"/>
  </r>
  <r>
    <n v="1539"/>
    <x v="2"/>
    <s v="Female"/>
    <n v="51"/>
    <s v="Bangalore"/>
    <x v="2"/>
    <n v="61018"/>
    <d v="2024-08-24T00:00:00"/>
    <n v="15"/>
    <n v="1"/>
    <n v="6102"/>
    <n v="3051"/>
    <n v="64069"/>
    <n v="3051"/>
    <n v="70171"/>
  </r>
  <r>
    <n v="1540"/>
    <x v="4"/>
    <s v="Female"/>
    <n v="46"/>
    <s v="Delhi"/>
    <x v="1"/>
    <n v="94401"/>
    <d v="2024-08-14T00:00:00"/>
    <n v="5"/>
    <n v="5"/>
    <n v="9440"/>
    <n v="4720"/>
    <n v="99121"/>
    <n v="0"/>
    <n v="103841"/>
  </r>
  <r>
    <n v="1541"/>
    <x v="5"/>
    <s v="Female"/>
    <n v="27"/>
    <s v="Bangalore"/>
    <x v="2"/>
    <n v="56596"/>
    <d v="2022-04-16T00:00:00"/>
    <n v="10"/>
    <n v="5"/>
    <n v="5660"/>
    <n v="2830"/>
    <n v="59426"/>
    <n v="2830"/>
    <n v="65086"/>
  </r>
  <r>
    <n v="1542"/>
    <x v="1"/>
    <s v="Male"/>
    <n v="46"/>
    <s v="Bangalore"/>
    <x v="1"/>
    <n v="78920"/>
    <d v="2024-08-13T00:00:00"/>
    <n v="18"/>
    <n v="5"/>
    <n v="7892"/>
    <n v="3946"/>
    <n v="82866"/>
    <n v="3946"/>
    <n v="90758"/>
  </r>
  <r>
    <n v="1543"/>
    <x v="8"/>
    <s v="Female"/>
    <n v="44"/>
    <s v="Delhi"/>
    <x v="4"/>
    <n v="91488"/>
    <d v="2024-09-09T00:00:00"/>
    <n v="13"/>
    <n v="3"/>
    <n v="9149"/>
    <n v="4574"/>
    <n v="96063"/>
    <n v="4574"/>
    <n v="105211"/>
  </r>
  <r>
    <n v="1544"/>
    <x v="3"/>
    <s v="Female"/>
    <n v="45"/>
    <s v="Chennai"/>
    <x v="2"/>
    <n v="37939"/>
    <d v="2023-10-02T00:00:00"/>
    <n v="12"/>
    <n v="1"/>
    <n v="3794"/>
    <n v="1897"/>
    <n v="39836"/>
    <n v="1897"/>
    <n v="43630"/>
  </r>
  <r>
    <n v="1545"/>
    <x v="2"/>
    <s v="Male"/>
    <n v="27"/>
    <s v="Bangalore"/>
    <x v="3"/>
    <n v="53095"/>
    <d v="2023-10-13T00:00:00"/>
    <n v="3"/>
    <n v="5"/>
    <n v="5310"/>
    <n v="2655"/>
    <n v="55750"/>
    <n v="0"/>
    <n v="58405"/>
  </r>
  <r>
    <n v="1546"/>
    <x v="8"/>
    <s v="Female"/>
    <n v="32"/>
    <s v="Hyderabad"/>
    <x v="0"/>
    <n v="70047"/>
    <d v="2022-02-17T00:00:00"/>
    <n v="18"/>
    <n v="2"/>
    <n v="7005"/>
    <n v="3502"/>
    <n v="73550"/>
    <n v="3502"/>
    <n v="80554"/>
  </r>
  <r>
    <n v="1547"/>
    <x v="1"/>
    <s v="Female"/>
    <n v="26"/>
    <s v="Bangalore"/>
    <x v="2"/>
    <n v="58150"/>
    <d v="2022-04-13T00:00:00"/>
    <n v="7"/>
    <n v="5"/>
    <n v="5815"/>
    <n v="2908"/>
    <n v="61057"/>
    <n v="2908"/>
    <n v="66873"/>
  </r>
  <r>
    <n v="1548"/>
    <x v="6"/>
    <s v="Male"/>
    <n v="51"/>
    <s v="Bangalore"/>
    <x v="3"/>
    <n v="57587"/>
    <d v="2024-08-08T00:00:00"/>
    <n v="11"/>
    <n v="2"/>
    <n v="5759"/>
    <n v="2879"/>
    <n v="60467"/>
    <n v="2879"/>
    <n v="66225"/>
  </r>
  <r>
    <n v="1549"/>
    <x v="8"/>
    <s v="Female"/>
    <n v="36"/>
    <s v="Delhi"/>
    <x v="3"/>
    <n v="63043"/>
    <d v="2022-12-25T00:00:00"/>
    <n v="7"/>
    <n v="3"/>
    <n v="6304"/>
    <n v="3152"/>
    <n v="66195"/>
    <n v="3152"/>
    <n v="72499"/>
  </r>
  <r>
    <n v="1550"/>
    <x v="5"/>
    <s v="Female"/>
    <n v="38"/>
    <s v="Chennai"/>
    <x v="3"/>
    <n v="24046"/>
    <d v="2024-08-16T00:00:00"/>
    <n v="3"/>
    <n v="2"/>
    <n v="2405"/>
    <n v="1202"/>
    <n v="25249"/>
    <n v="0"/>
    <n v="26451"/>
  </r>
  <r>
    <n v="1551"/>
    <x v="7"/>
    <s v="Female"/>
    <n v="27"/>
    <s v="Bangalore"/>
    <x v="4"/>
    <n v="40597"/>
    <d v="2022-08-09T00:00:00"/>
    <n v="12"/>
    <n v="2"/>
    <n v="4060"/>
    <n v="2030"/>
    <n v="42627"/>
    <n v="2030"/>
    <n v="46687"/>
  </r>
  <r>
    <n v="1552"/>
    <x v="3"/>
    <s v="Female"/>
    <n v="41"/>
    <s v="Mumbai"/>
    <x v="3"/>
    <n v="71467"/>
    <d v="2022-10-04T00:00:00"/>
    <n v="7"/>
    <n v="4"/>
    <n v="7147"/>
    <n v="3573"/>
    <n v="75041"/>
    <n v="3573"/>
    <n v="82187"/>
  </r>
  <r>
    <n v="1553"/>
    <x v="1"/>
    <s v="Male"/>
    <n v="52"/>
    <s v="Bangalore"/>
    <x v="0"/>
    <n v="21244"/>
    <d v="2022-11-27T00:00:00"/>
    <n v="9"/>
    <n v="1"/>
    <n v="2124"/>
    <n v="1062"/>
    <n v="22306"/>
    <n v="1062"/>
    <n v="24430"/>
  </r>
  <r>
    <n v="1554"/>
    <x v="2"/>
    <s v="Male"/>
    <n v="24"/>
    <s v="Mumbai"/>
    <x v="4"/>
    <n v="40572"/>
    <d v="2024-01-25T00:00:00"/>
    <n v="13"/>
    <n v="5"/>
    <n v="4057"/>
    <n v="2029"/>
    <n v="42600"/>
    <n v="2029"/>
    <n v="46658"/>
  </r>
  <r>
    <n v="1555"/>
    <x v="2"/>
    <s v="Male"/>
    <n v="27"/>
    <s v="Delhi"/>
    <x v="0"/>
    <n v="70764"/>
    <d v="2024-07-29T00:00:00"/>
    <n v="16"/>
    <n v="1"/>
    <n v="7076"/>
    <n v="3538"/>
    <n v="74302"/>
    <n v="3538"/>
    <n v="81378"/>
  </r>
  <r>
    <n v="1556"/>
    <x v="8"/>
    <s v="Female"/>
    <n v="36"/>
    <s v="Bangalore"/>
    <x v="2"/>
    <n v="59260"/>
    <d v="2023-10-29T00:00:00"/>
    <n v="1"/>
    <n v="5"/>
    <n v="5926"/>
    <n v="2963"/>
    <n v="62223"/>
    <n v="0"/>
    <n v="65186"/>
  </r>
  <r>
    <n v="1557"/>
    <x v="2"/>
    <s v="Male"/>
    <n v="42"/>
    <s v="Hyderabad"/>
    <x v="3"/>
    <n v="95379"/>
    <d v="2023-01-13T00:00:00"/>
    <n v="20"/>
    <n v="4"/>
    <n v="9538"/>
    <n v="4769"/>
    <n v="100148"/>
    <n v="4769"/>
    <n v="109686"/>
  </r>
  <r>
    <n v="1558"/>
    <x v="3"/>
    <s v="Male"/>
    <n v="34"/>
    <s v="Delhi"/>
    <x v="1"/>
    <n v="29309"/>
    <d v="2022-07-30T00:00:00"/>
    <n v="3"/>
    <n v="3"/>
    <n v="2931"/>
    <n v="1465"/>
    <n v="30775"/>
    <n v="0"/>
    <n v="32240"/>
  </r>
  <r>
    <n v="1559"/>
    <x v="8"/>
    <s v="Male"/>
    <n v="31"/>
    <s v="Bangalore"/>
    <x v="2"/>
    <n v="64878"/>
    <d v="2024-01-01T00:00:00"/>
    <n v="1"/>
    <n v="5"/>
    <n v="6488"/>
    <n v="3244"/>
    <n v="68122"/>
    <n v="0"/>
    <n v="71366"/>
  </r>
  <r>
    <n v="1560"/>
    <x v="9"/>
    <s v="Female"/>
    <n v="60"/>
    <s v="Chennai"/>
    <x v="2"/>
    <n v="98978"/>
    <d v="2022-12-26T00:00:00"/>
    <n v="17"/>
    <n v="3"/>
    <n v="9898"/>
    <n v="4949"/>
    <n v="103927"/>
    <n v="4949"/>
    <n v="113825"/>
  </r>
  <r>
    <n v="1561"/>
    <x v="6"/>
    <s v="Male"/>
    <n v="24"/>
    <s v="Mumbai"/>
    <x v="2"/>
    <n v="36537"/>
    <d v="2023-04-14T00:00:00"/>
    <n v="19"/>
    <n v="3"/>
    <n v="3654"/>
    <n v="1827"/>
    <n v="38364"/>
    <n v="1827"/>
    <n v="42018"/>
  </r>
  <r>
    <n v="1562"/>
    <x v="7"/>
    <s v="Male"/>
    <n v="38"/>
    <s v="Mumbai"/>
    <x v="1"/>
    <n v="20808"/>
    <d v="2022-12-04T00:00:00"/>
    <n v="17"/>
    <n v="4"/>
    <n v="2081"/>
    <n v="1040"/>
    <n v="21849"/>
    <n v="1040"/>
    <n v="23929"/>
  </r>
  <r>
    <n v="1563"/>
    <x v="9"/>
    <s v="Male"/>
    <n v="45"/>
    <s v="Bangalore"/>
    <x v="2"/>
    <n v="91791"/>
    <d v="2023-07-14T00:00:00"/>
    <n v="3"/>
    <n v="1"/>
    <n v="9179"/>
    <n v="4590"/>
    <n v="96380"/>
    <n v="0"/>
    <n v="100970"/>
  </r>
  <r>
    <n v="1564"/>
    <x v="0"/>
    <s v="Male"/>
    <n v="59"/>
    <s v="Chennai"/>
    <x v="1"/>
    <n v="82984"/>
    <d v="2024-04-09T00:00:00"/>
    <n v="17"/>
    <n v="4"/>
    <n v="8298"/>
    <n v="4149"/>
    <n v="87133"/>
    <n v="4149"/>
    <n v="95431"/>
  </r>
  <r>
    <n v="1565"/>
    <x v="2"/>
    <s v="Female"/>
    <n v="51"/>
    <s v="Bangalore"/>
    <x v="2"/>
    <n v="69218"/>
    <d v="2024-06-24T00:00:00"/>
    <n v="3"/>
    <n v="1"/>
    <n v="6922"/>
    <n v="3461"/>
    <n v="72679"/>
    <n v="0"/>
    <n v="76140"/>
  </r>
  <r>
    <n v="1566"/>
    <x v="3"/>
    <s v="Female"/>
    <n v="39"/>
    <s v="Mumbai"/>
    <x v="3"/>
    <n v="77849"/>
    <d v="2024-05-24T00:00:00"/>
    <n v="18"/>
    <n v="2"/>
    <n v="7785"/>
    <n v="3892"/>
    <n v="81742"/>
    <n v="3892"/>
    <n v="89526"/>
  </r>
  <r>
    <n v="1567"/>
    <x v="8"/>
    <s v="Female"/>
    <n v="47"/>
    <s v="Delhi"/>
    <x v="4"/>
    <n v="20720"/>
    <d v="2024-05-04T00:00:00"/>
    <n v="8"/>
    <n v="2"/>
    <n v="2072"/>
    <n v="1036"/>
    <n v="21756"/>
    <n v="1036"/>
    <n v="23828"/>
  </r>
  <r>
    <n v="1568"/>
    <x v="9"/>
    <s v="Female"/>
    <n v="44"/>
    <s v="Delhi"/>
    <x v="3"/>
    <n v="85377"/>
    <d v="2024-08-30T00:00:00"/>
    <n v="3"/>
    <n v="2"/>
    <n v="8538"/>
    <n v="4269"/>
    <n v="89646"/>
    <n v="0"/>
    <n v="93915"/>
  </r>
  <r>
    <n v="1569"/>
    <x v="9"/>
    <s v="Female"/>
    <n v="31"/>
    <s v="Hyderabad"/>
    <x v="3"/>
    <n v="23121"/>
    <d v="2023-04-30T00:00:00"/>
    <n v="7"/>
    <n v="4"/>
    <n v="2312"/>
    <n v="1156"/>
    <n v="24277"/>
    <n v="1156"/>
    <n v="26589"/>
  </r>
  <r>
    <n v="1570"/>
    <x v="0"/>
    <s v="Male"/>
    <n v="34"/>
    <s v="Mumbai"/>
    <x v="4"/>
    <n v="61891"/>
    <d v="2024-01-21T00:00:00"/>
    <n v="14"/>
    <n v="3"/>
    <n v="6189"/>
    <n v="3095"/>
    <n v="64985"/>
    <n v="3095"/>
    <n v="71175"/>
  </r>
  <r>
    <n v="1571"/>
    <x v="6"/>
    <s v="Female"/>
    <n v="38"/>
    <s v="Hyderabad"/>
    <x v="3"/>
    <n v="62583"/>
    <d v="2022-03-28T00:00:00"/>
    <n v="15"/>
    <n v="1"/>
    <n v="6258"/>
    <n v="3129"/>
    <n v="65712"/>
    <n v="3129"/>
    <n v="71970"/>
  </r>
  <r>
    <n v="1572"/>
    <x v="4"/>
    <s v="Male"/>
    <n v="32"/>
    <s v="Bangalore"/>
    <x v="3"/>
    <n v="65263"/>
    <d v="2024-04-29T00:00:00"/>
    <n v="7"/>
    <n v="4"/>
    <n v="6526"/>
    <n v="3263"/>
    <n v="68526"/>
    <n v="3263"/>
    <n v="75052"/>
  </r>
  <r>
    <n v="1573"/>
    <x v="6"/>
    <s v="Female"/>
    <n v="48"/>
    <s v="Chennai"/>
    <x v="2"/>
    <n v="75406"/>
    <d v="2022-03-15T00:00:00"/>
    <n v="17"/>
    <n v="2"/>
    <n v="7541"/>
    <n v="3770"/>
    <n v="79177"/>
    <n v="3770"/>
    <n v="86717"/>
  </r>
  <r>
    <n v="1574"/>
    <x v="7"/>
    <s v="Female"/>
    <n v="56"/>
    <s v="Hyderabad"/>
    <x v="1"/>
    <n v="70709"/>
    <d v="2022-10-21T00:00:00"/>
    <n v="13"/>
    <n v="4"/>
    <n v="7071"/>
    <n v="3535"/>
    <n v="74245"/>
    <n v="3535"/>
    <n v="81315"/>
  </r>
  <r>
    <n v="1575"/>
    <x v="8"/>
    <s v="Female"/>
    <n v="36"/>
    <s v="Delhi"/>
    <x v="2"/>
    <n v="38590"/>
    <d v="2024-09-04T00:00:00"/>
    <n v="13"/>
    <n v="2"/>
    <n v="3859"/>
    <n v="1930"/>
    <n v="40519"/>
    <n v="1930"/>
    <n v="44379"/>
  </r>
  <r>
    <n v="1576"/>
    <x v="1"/>
    <s v="Female"/>
    <n v="22"/>
    <s v="Bangalore"/>
    <x v="1"/>
    <n v="84753"/>
    <d v="2022-10-17T00:00:00"/>
    <n v="1"/>
    <n v="1"/>
    <n v="8475"/>
    <n v="4238"/>
    <n v="88990"/>
    <n v="0"/>
    <n v="93228"/>
  </r>
  <r>
    <n v="1577"/>
    <x v="4"/>
    <s v="Male"/>
    <n v="32"/>
    <s v="Bangalore"/>
    <x v="1"/>
    <n v="86477"/>
    <d v="2024-06-10T00:00:00"/>
    <n v="16"/>
    <n v="2"/>
    <n v="8648"/>
    <n v="4324"/>
    <n v="90801"/>
    <n v="4324"/>
    <n v="99449"/>
  </r>
  <r>
    <n v="1578"/>
    <x v="4"/>
    <s v="Male"/>
    <n v="32"/>
    <s v="Bangalore"/>
    <x v="2"/>
    <n v="40648"/>
    <d v="2023-04-26T00:00:00"/>
    <n v="9"/>
    <n v="1"/>
    <n v="4065"/>
    <n v="2032"/>
    <n v="42681"/>
    <n v="2032"/>
    <n v="46745"/>
  </r>
  <r>
    <n v="1579"/>
    <x v="9"/>
    <s v="Female"/>
    <n v="31"/>
    <s v="Hyderabad"/>
    <x v="4"/>
    <n v="28744"/>
    <d v="2022-04-04T00:00:00"/>
    <n v="1"/>
    <n v="2"/>
    <n v="2874"/>
    <n v="1437"/>
    <n v="30181"/>
    <n v="0"/>
    <n v="31618"/>
  </r>
  <r>
    <n v="1580"/>
    <x v="6"/>
    <s v="Female"/>
    <n v="27"/>
    <s v="Chennai"/>
    <x v="3"/>
    <n v="85510"/>
    <d v="2024-07-25T00:00:00"/>
    <n v="8"/>
    <n v="4"/>
    <n v="8551"/>
    <n v="4276"/>
    <n v="89785"/>
    <n v="4276"/>
    <n v="98337"/>
  </r>
  <r>
    <n v="1581"/>
    <x v="2"/>
    <s v="Female"/>
    <n v="55"/>
    <s v="Delhi"/>
    <x v="3"/>
    <n v="51728"/>
    <d v="2024-08-31T00:00:00"/>
    <n v="5"/>
    <n v="3"/>
    <n v="5173"/>
    <n v="2586"/>
    <n v="54315"/>
    <n v="0"/>
    <n v="56901"/>
  </r>
  <r>
    <n v="1582"/>
    <x v="8"/>
    <s v="Male"/>
    <n v="54"/>
    <s v="Bangalore"/>
    <x v="1"/>
    <n v="47064"/>
    <d v="2024-07-03T00:00:00"/>
    <n v="14"/>
    <n v="2"/>
    <n v="4706"/>
    <n v="2353"/>
    <n v="49417"/>
    <n v="2353"/>
    <n v="54123"/>
  </r>
  <r>
    <n v="1583"/>
    <x v="9"/>
    <s v="Male"/>
    <n v="38"/>
    <s v="Mumbai"/>
    <x v="4"/>
    <n v="56463"/>
    <d v="2022-06-01T00:00:00"/>
    <n v="11"/>
    <n v="3"/>
    <n v="5646"/>
    <n v="2823"/>
    <n v="59286"/>
    <n v="2823"/>
    <n v="64932"/>
  </r>
  <r>
    <n v="1584"/>
    <x v="0"/>
    <s v="Female"/>
    <n v="53"/>
    <s v="Delhi"/>
    <x v="0"/>
    <n v="46570"/>
    <d v="2022-01-04T00:00:00"/>
    <n v="10"/>
    <n v="3"/>
    <n v="4657"/>
    <n v="2328"/>
    <n v="48899"/>
    <n v="2328"/>
    <n v="53555"/>
  </r>
  <r>
    <n v="1585"/>
    <x v="0"/>
    <s v="Female"/>
    <n v="35"/>
    <s v="Delhi"/>
    <x v="3"/>
    <n v="71641"/>
    <d v="2022-09-20T00:00:00"/>
    <n v="17"/>
    <n v="4"/>
    <n v="7164"/>
    <n v="3582"/>
    <n v="75223"/>
    <n v="3582"/>
    <n v="82387"/>
  </r>
  <r>
    <n v="1586"/>
    <x v="3"/>
    <s v="Female"/>
    <n v="52"/>
    <s v="Bangalore"/>
    <x v="2"/>
    <n v="91962"/>
    <d v="2023-01-13T00:00:00"/>
    <n v="4"/>
    <n v="5"/>
    <n v="9196"/>
    <n v="4598"/>
    <n v="96560"/>
    <n v="0"/>
    <n v="101158"/>
  </r>
  <r>
    <n v="1587"/>
    <x v="9"/>
    <s v="Female"/>
    <n v="34"/>
    <s v="Mumbai"/>
    <x v="0"/>
    <n v="29325"/>
    <d v="2024-08-05T00:00:00"/>
    <n v="14"/>
    <n v="1"/>
    <n v="2932"/>
    <n v="1466"/>
    <n v="30791"/>
    <n v="1466"/>
    <n v="33723"/>
  </r>
  <r>
    <n v="1588"/>
    <x v="5"/>
    <s v="Male"/>
    <n v="31"/>
    <s v="Delhi"/>
    <x v="2"/>
    <n v="74083"/>
    <d v="2024-07-21T00:00:00"/>
    <n v="11"/>
    <n v="4"/>
    <n v="7408"/>
    <n v="3704"/>
    <n v="77787"/>
    <n v="3704"/>
    <n v="85195"/>
  </r>
  <r>
    <n v="1589"/>
    <x v="9"/>
    <s v="Female"/>
    <n v="26"/>
    <s v="Hyderabad"/>
    <x v="3"/>
    <n v="77251"/>
    <d v="2024-09-05T00:00:00"/>
    <n v="16"/>
    <n v="5"/>
    <n v="7725"/>
    <n v="3863"/>
    <n v="81113"/>
    <n v="3863"/>
    <n v="88839"/>
  </r>
  <r>
    <n v="1590"/>
    <x v="9"/>
    <s v="Male"/>
    <n v="49"/>
    <s v="Delhi"/>
    <x v="2"/>
    <n v="40474"/>
    <d v="2023-12-17T00:00:00"/>
    <n v="14"/>
    <n v="4"/>
    <n v="4047"/>
    <n v="2024"/>
    <n v="42497"/>
    <n v="2024"/>
    <n v="46545"/>
  </r>
  <r>
    <n v="1591"/>
    <x v="2"/>
    <s v="Female"/>
    <n v="42"/>
    <s v="Hyderabad"/>
    <x v="3"/>
    <n v="82067"/>
    <d v="2023-12-13T00:00:00"/>
    <n v="1"/>
    <n v="4"/>
    <n v="8207"/>
    <n v="4103"/>
    <n v="86171"/>
    <n v="0"/>
    <n v="90274"/>
  </r>
  <r>
    <n v="1592"/>
    <x v="0"/>
    <s v="Male"/>
    <n v="27"/>
    <s v="Delhi"/>
    <x v="1"/>
    <n v="39741"/>
    <d v="2024-02-23T00:00:00"/>
    <n v="19"/>
    <n v="3"/>
    <n v="3974"/>
    <n v="1987"/>
    <n v="41728"/>
    <n v="1987"/>
    <n v="45702"/>
  </r>
  <r>
    <n v="1593"/>
    <x v="7"/>
    <s v="Male"/>
    <n v="35"/>
    <s v="Mumbai"/>
    <x v="4"/>
    <n v="93926"/>
    <d v="2024-08-12T00:00:00"/>
    <n v="6"/>
    <n v="1"/>
    <n v="9393"/>
    <n v="4696"/>
    <n v="98623"/>
    <n v="4696"/>
    <n v="108015"/>
  </r>
  <r>
    <n v="1594"/>
    <x v="5"/>
    <s v="Male"/>
    <n v="50"/>
    <s v="Mumbai"/>
    <x v="3"/>
    <n v="89025"/>
    <d v="2024-08-29T00:00:00"/>
    <n v="19"/>
    <n v="4"/>
    <n v="8902"/>
    <n v="4451"/>
    <n v="93476"/>
    <n v="4451"/>
    <n v="102378"/>
  </r>
  <r>
    <n v="1595"/>
    <x v="0"/>
    <s v="Female"/>
    <n v="47"/>
    <s v="Bangalore"/>
    <x v="0"/>
    <n v="76797"/>
    <d v="2022-04-06T00:00:00"/>
    <n v="15"/>
    <n v="5"/>
    <n v="7680"/>
    <n v="3840"/>
    <n v="80637"/>
    <n v="3840"/>
    <n v="88317"/>
  </r>
  <r>
    <n v="1596"/>
    <x v="1"/>
    <s v="Female"/>
    <n v="23"/>
    <s v="Bangalore"/>
    <x v="3"/>
    <n v="55007"/>
    <d v="2022-10-08T00:00:00"/>
    <n v="14"/>
    <n v="4"/>
    <n v="5501"/>
    <n v="2750"/>
    <n v="57758"/>
    <n v="2750"/>
    <n v="63258"/>
  </r>
  <r>
    <n v="1597"/>
    <x v="3"/>
    <s v="Female"/>
    <n v="47"/>
    <s v="Chennai"/>
    <x v="3"/>
    <n v="46336"/>
    <d v="2023-09-29T00:00:00"/>
    <n v="1"/>
    <n v="5"/>
    <n v="4634"/>
    <n v="2317"/>
    <n v="48653"/>
    <n v="0"/>
    <n v="50970"/>
  </r>
  <r>
    <n v="1598"/>
    <x v="2"/>
    <s v="Female"/>
    <n v="45"/>
    <s v="Hyderabad"/>
    <x v="4"/>
    <n v="29908"/>
    <d v="2022-09-09T00:00:00"/>
    <n v="20"/>
    <n v="2"/>
    <n v="2991"/>
    <n v="1495"/>
    <n v="31404"/>
    <n v="1495"/>
    <n v="34394"/>
  </r>
  <r>
    <n v="1599"/>
    <x v="4"/>
    <s v="Male"/>
    <n v="43"/>
    <s v="Hyderabad"/>
    <x v="0"/>
    <n v="97541"/>
    <d v="2022-11-16T00:00:00"/>
    <n v="13"/>
    <n v="2"/>
    <n v="9754"/>
    <n v="4877"/>
    <n v="102418"/>
    <n v="4877"/>
    <n v="112172"/>
  </r>
  <r>
    <n v="1600"/>
    <x v="4"/>
    <s v="Female"/>
    <n v="53"/>
    <s v="Delhi"/>
    <x v="1"/>
    <n v="77213"/>
    <d v="2022-09-03T00:00:00"/>
    <n v="7"/>
    <n v="5"/>
    <n v="7721"/>
    <n v="3861"/>
    <n v="81073"/>
    <n v="3861"/>
    <n v="88795"/>
  </r>
  <r>
    <n v="1601"/>
    <x v="7"/>
    <s v="Male"/>
    <n v="25"/>
    <s v="Bangalore"/>
    <x v="2"/>
    <n v="21560"/>
    <d v="2023-07-09T00:00:00"/>
    <n v="3"/>
    <n v="1"/>
    <n v="2156"/>
    <n v="1078"/>
    <n v="22638"/>
    <n v="0"/>
    <n v="23716"/>
  </r>
  <r>
    <n v="1602"/>
    <x v="8"/>
    <s v="Male"/>
    <n v="52"/>
    <s v="Delhi"/>
    <x v="1"/>
    <n v="83667"/>
    <d v="2023-09-27T00:00:00"/>
    <n v="1"/>
    <n v="5"/>
    <n v="8367"/>
    <n v="4183"/>
    <n v="87851"/>
    <n v="0"/>
    <n v="92034"/>
  </r>
  <r>
    <n v="1603"/>
    <x v="2"/>
    <s v="Female"/>
    <n v="29"/>
    <s v="Delhi"/>
    <x v="2"/>
    <n v="25083"/>
    <d v="2023-08-31T00:00:00"/>
    <n v="12"/>
    <n v="3"/>
    <n v="2508"/>
    <n v="1254"/>
    <n v="26337"/>
    <n v="1254"/>
    <n v="28845"/>
  </r>
  <r>
    <n v="1604"/>
    <x v="2"/>
    <s v="Female"/>
    <n v="58"/>
    <s v="Hyderabad"/>
    <x v="3"/>
    <n v="23134"/>
    <d v="2024-07-11T00:00:00"/>
    <n v="14"/>
    <n v="5"/>
    <n v="2313"/>
    <n v="1157"/>
    <n v="24290"/>
    <n v="1157"/>
    <n v="26604"/>
  </r>
  <r>
    <n v="1605"/>
    <x v="1"/>
    <s v="Female"/>
    <n v="24"/>
    <s v="Hyderabad"/>
    <x v="1"/>
    <n v="61455"/>
    <d v="2022-03-27T00:00:00"/>
    <n v="8"/>
    <n v="3"/>
    <n v="6146"/>
    <n v="3073"/>
    <n v="64528"/>
    <n v="3073"/>
    <n v="70674"/>
  </r>
  <r>
    <n v="1606"/>
    <x v="4"/>
    <s v="Male"/>
    <n v="30"/>
    <s v="Bangalore"/>
    <x v="3"/>
    <n v="62982"/>
    <d v="2023-02-02T00:00:00"/>
    <n v="7"/>
    <n v="5"/>
    <n v="6298"/>
    <n v="3149"/>
    <n v="66131"/>
    <n v="3149"/>
    <n v="72429"/>
  </r>
  <r>
    <n v="1607"/>
    <x v="7"/>
    <s v="Female"/>
    <n v="48"/>
    <s v="Bangalore"/>
    <x v="1"/>
    <n v="36397"/>
    <d v="2022-07-19T00:00:00"/>
    <n v="8"/>
    <n v="1"/>
    <n v="3640"/>
    <n v="1820"/>
    <n v="38217"/>
    <n v="1820"/>
    <n v="41857"/>
  </r>
  <r>
    <n v="1608"/>
    <x v="1"/>
    <s v="Male"/>
    <n v="50"/>
    <s v="Delhi"/>
    <x v="3"/>
    <n v="90116"/>
    <d v="2022-06-26T00:00:00"/>
    <n v="9"/>
    <n v="2"/>
    <n v="9012"/>
    <n v="4506"/>
    <n v="94622"/>
    <n v="4506"/>
    <n v="103634"/>
  </r>
  <r>
    <n v="1609"/>
    <x v="9"/>
    <s v="Female"/>
    <n v="53"/>
    <s v="Mumbai"/>
    <x v="3"/>
    <n v="23259"/>
    <d v="2024-08-24T00:00:00"/>
    <n v="20"/>
    <n v="2"/>
    <n v="2326"/>
    <n v="1163"/>
    <n v="24422"/>
    <n v="1163"/>
    <n v="26748"/>
  </r>
  <r>
    <n v="1610"/>
    <x v="0"/>
    <s v="Male"/>
    <n v="32"/>
    <s v="Delhi"/>
    <x v="0"/>
    <n v="95806"/>
    <d v="2024-08-18T00:00:00"/>
    <n v="11"/>
    <n v="1"/>
    <n v="9581"/>
    <n v="4790"/>
    <n v="100597"/>
    <n v="4790"/>
    <n v="110177"/>
  </r>
  <r>
    <n v="1611"/>
    <x v="0"/>
    <s v="Male"/>
    <n v="28"/>
    <s v="Mumbai"/>
    <x v="2"/>
    <n v="26399"/>
    <d v="2024-03-06T00:00:00"/>
    <n v="15"/>
    <n v="2"/>
    <n v="2640"/>
    <n v="1320"/>
    <n v="27719"/>
    <n v="1320"/>
    <n v="30359"/>
  </r>
  <r>
    <n v="1612"/>
    <x v="2"/>
    <s v="Female"/>
    <n v="36"/>
    <s v="Chennai"/>
    <x v="0"/>
    <n v="93233"/>
    <d v="2024-03-13T00:00:00"/>
    <n v="18"/>
    <n v="2"/>
    <n v="9323"/>
    <n v="4662"/>
    <n v="97894"/>
    <n v="4662"/>
    <n v="107218"/>
  </r>
  <r>
    <n v="1613"/>
    <x v="8"/>
    <s v="Male"/>
    <n v="60"/>
    <s v="Delhi"/>
    <x v="1"/>
    <n v="40487"/>
    <d v="2022-12-06T00:00:00"/>
    <n v="13"/>
    <n v="5"/>
    <n v="4049"/>
    <n v="2024"/>
    <n v="42512"/>
    <n v="2024"/>
    <n v="46560"/>
  </r>
  <r>
    <n v="1614"/>
    <x v="8"/>
    <s v="Male"/>
    <n v="28"/>
    <s v="Bangalore"/>
    <x v="3"/>
    <n v="31302"/>
    <d v="2023-12-04T00:00:00"/>
    <n v="4"/>
    <n v="4"/>
    <n v="3130"/>
    <n v="1565"/>
    <n v="32867"/>
    <n v="0"/>
    <n v="34432"/>
  </r>
  <r>
    <n v="1615"/>
    <x v="8"/>
    <s v="Male"/>
    <n v="60"/>
    <s v="Hyderabad"/>
    <x v="2"/>
    <n v="96432"/>
    <d v="2023-05-24T00:00:00"/>
    <n v="13"/>
    <n v="4"/>
    <n v="9643"/>
    <n v="4822"/>
    <n v="101253"/>
    <n v="4822"/>
    <n v="110897"/>
  </r>
  <r>
    <n v="1616"/>
    <x v="9"/>
    <s v="Female"/>
    <n v="41"/>
    <s v="Delhi"/>
    <x v="0"/>
    <n v="85440"/>
    <d v="2024-04-05T00:00:00"/>
    <n v="7"/>
    <n v="1"/>
    <n v="8544"/>
    <n v="4272"/>
    <n v="89712"/>
    <n v="4272"/>
    <n v="98256"/>
  </r>
  <r>
    <n v="1617"/>
    <x v="0"/>
    <s v="Male"/>
    <n v="49"/>
    <s v="Chennai"/>
    <x v="1"/>
    <n v="40682"/>
    <d v="2022-01-31T00:00:00"/>
    <n v="12"/>
    <n v="3"/>
    <n v="4068"/>
    <n v="2034"/>
    <n v="42716"/>
    <n v="2034"/>
    <n v="46784"/>
  </r>
  <r>
    <n v="1618"/>
    <x v="4"/>
    <s v="Male"/>
    <n v="53"/>
    <s v="Hyderabad"/>
    <x v="1"/>
    <n v="60718"/>
    <d v="2022-06-09T00:00:00"/>
    <n v="7"/>
    <n v="3"/>
    <n v="6072"/>
    <n v="3036"/>
    <n v="63754"/>
    <n v="3036"/>
    <n v="69826"/>
  </r>
  <r>
    <n v="1619"/>
    <x v="9"/>
    <s v="Female"/>
    <n v="57"/>
    <s v="Bangalore"/>
    <x v="2"/>
    <n v="46377"/>
    <d v="2023-03-01T00:00:00"/>
    <n v="2"/>
    <n v="5"/>
    <n v="4638"/>
    <n v="2319"/>
    <n v="48696"/>
    <n v="0"/>
    <n v="51015"/>
  </r>
  <r>
    <n v="1620"/>
    <x v="8"/>
    <s v="Female"/>
    <n v="25"/>
    <s v="Chennai"/>
    <x v="1"/>
    <n v="92491"/>
    <d v="2023-07-16T00:00:00"/>
    <n v="1"/>
    <n v="5"/>
    <n v="9249"/>
    <n v="4625"/>
    <n v="97115"/>
    <n v="0"/>
    <n v="101740"/>
  </r>
  <r>
    <n v="1621"/>
    <x v="8"/>
    <s v="Female"/>
    <n v="58"/>
    <s v="Bangalore"/>
    <x v="2"/>
    <n v="50094"/>
    <d v="2023-05-15T00:00:00"/>
    <n v="9"/>
    <n v="5"/>
    <n v="5009"/>
    <n v="2505"/>
    <n v="52598"/>
    <n v="2505"/>
    <n v="57608"/>
  </r>
  <r>
    <n v="1622"/>
    <x v="4"/>
    <s v="Male"/>
    <n v="21"/>
    <s v="Chennai"/>
    <x v="4"/>
    <n v="37472"/>
    <d v="2022-05-15T00:00:00"/>
    <n v="4"/>
    <n v="5"/>
    <n v="3747"/>
    <n v="1874"/>
    <n v="39345"/>
    <n v="0"/>
    <n v="41219"/>
  </r>
  <r>
    <n v="1623"/>
    <x v="4"/>
    <s v="Male"/>
    <n v="45"/>
    <s v="Bangalore"/>
    <x v="4"/>
    <n v="86986"/>
    <d v="2023-03-13T00:00:00"/>
    <n v="18"/>
    <n v="3"/>
    <n v="8699"/>
    <n v="4349"/>
    <n v="91336"/>
    <n v="4349"/>
    <n v="100034"/>
  </r>
  <r>
    <n v="1624"/>
    <x v="9"/>
    <s v="Male"/>
    <n v="37"/>
    <s v="Bangalore"/>
    <x v="3"/>
    <n v="86449"/>
    <d v="2022-03-23T00:00:00"/>
    <n v="5"/>
    <n v="2"/>
    <n v="8645"/>
    <n v="4322"/>
    <n v="90772"/>
    <n v="0"/>
    <n v="95094"/>
  </r>
  <r>
    <n v="1625"/>
    <x v="1"/>
    <s v="Female"/>
    <n v="30"/>
    <s v="Delhi"/>
    <x v="1"/>
    <n v="29084"/>
    <d v="2022-05-06T00:00:00"/>
    <n v="4"/>
    <n v="5"/>
    <n v="2908"/>
    <n v="1454"/>
    <n v="30538"/>
    <n v="0"/>
    <n v="31992"/>
  </r>
  <r>
    <n v="1626"/>
    <x v="6"/>
    <s v="Male"/>
    <n v="52"/>
    <s v="Delhi"/>
    <x v="1"/>
    <n v="76758"/>
    <d v="2022-06-15T00:00:00"/>
    <n v="1"/>
    <n v="2"/>
    <n v="7676"/>
    <n v="3838"/>
    <n v="80596"/>
    <n v="0"/>
    <n v="84434"/>
  </r>
  <r>
    <n v="1627"/>
    <x v="2"/>
    <s v="Male"/>
    <n v="38"/>
    <s v="Bangalore"/>
    <x v="2"/>
    <n v="38572"/>
    <d v="2022-10-06T00:00:00"/>
    <n v="1"/>
    <n v="1"/>
    <n v="3857"/>
    <n v="1929"/>
    <n v="40500"/>
    <n v="0"/>
    <n v="42429"/>
  </r>
  <r>
    <n v="1628"/>
    <x v="9"/>
    <s v="Male"/>
    <n v="60"/>
    <s v="Bangalore"/>
    <x v="1"/>
    <n v="84889"/>
    <d v="2022-10-31T00:00:00"/>
    <n v="14"/>
    <n v="3"/>
    <n v="8489"/>
    <n v="4244"/>
    <n v="89134"/>
    <n v="4244"/>
    <n v="97622"/>
  </r>
  <r>
    <n v="1629"/>
    <x v="0"/>
    <s v="Male"/>
    <n v="27"/>
    <s v="Delhi"/>
    <x v="0"/>
    <n v="55671"/>
    <d v="2022-07-09T00:00:00"/>
    <n v="4"/>
    <n v="5"/>
    <n v="5567"/>
    <n v="2784"/>
    <n v="58454"/>
    <n v="0"/>
    <n v="61238"/>
  </r>
  <r>
    <n v="1630"/>
    <x v="6"/>
    <s v="Female"/>
    <n v="50"/>
    <s v="Delhi"/>
    <x v="4"/>
    <n v="60761"/>
    <d v="2023-01-09T00:00:00"/>
    <n v="3"/>
    <n v="3"/>
    <n v="6076"/>
    <n v="3038"/>
    <n v="63799"/>
    <n v="0"/>
    <n v="66837"/>
  </r>
  <r>
    <n v="1631"/>
    <x v="8"/>
    <s v="Male"/>
    <n v="46"/>
    <s v="Chennai"/>
    <x v="3"/>
    <n v="94239"/>
    <d v="2022-11-06T00:00:00"/>
    <n v="9"/>
    <n v="4"/>
    <n v="9424"/>
    <n v="4712"/>
    <n v="98951"/>
    <n v="4712"/>
    <n v="108375"/>
  </r>
  <r>
    <n v="1632"/>
    <x v="5"/>
    <s v="Female"/>
    <n v="60"/>
    <s v="Delhi"/>
    <x v="1"/>
    <n v="49517"/>
    <d v="2022-12-19T00:00:00"/>
    <n v="13"/>
    <n v="3"/>
    <n v="4952"/>
    <n v="2476"/>
    <n v="51993"/>
    <n v="2476"/>
    <n v="56945"/>
  </r>
  <r>
    <n v="1633"/>
    <x v="6"/>
    <s v="Male"/>
    <n v="52"/>
    <s v="Mumbai"/>
    <x v="2"/>
    <n v="26359"/>
    <d v="2024-01-20T00:00:00"/>
    <n v="13"/>
    <n v="3"/>
    <n v="2636"/>
    <n v="1318"/>
    <n v="27677"/>
    <n v="1318"/>
    <n v="30313"/>
  </r>
  <r>
    <n v="1634"/>
    <x v="7"/>
    <s v="Male"/>
    <n v="45"/>
    <s v="Bangalore"/>
    <x v="0"/>
    <n v="82088"/>
    <d v="2022-06-29T00:00:00"/>
    <n v="4"/>
    <n v="4"/>
    <n v="8209"/>
    <n v="4104"/>
    <n v="86193"/>
    <n v="0"/>
    <n v="90297"/>
  </r>
  <r>
    <n v="1635"/>
    <x v="1"/>
    <s v="Male"/>
    <n v="46"/>
    <s v="Mumbai"/>
    <x v="3"/>
    <n v="68270"/>
    <d v="2022-06-24T00:00:00"/>
    <n v="9"/>
    <n v="2"/>
    <n v="6827"/>
    <n v="3414"/>
    <n v="71683"/>
    <n v="3414"/>
    <n v="78511"/>
  </r>
  <r>
    <n v="1636"/>
    <x v="8"/>
    <s v="Male"/>
    <n v="55"/>
    <s v="Hyderabad"/>
    <x v="2"/>
    <n v="65248"/>
    <d v="2024-07-06T00:00:00"/>
    <n v="1"/>
    <n v="4"/>
    <n v="6525"/>
    <n v="3262"/>
    <n v="68511"/>
    <n v="0"/>
    <n v="71773"/>
  </r>
  <r>
    <n v="1637"/>
    <x v="9"/>
    <s v="Male"/>
    <n v="42"/>
    <s v="Hyderabad"/>
    <x v="2"/>
    <n v="36416"/>
    <d v="2024-03-21T00:00:00"/>
    <n v="14"/>
    <n v="4"/>
    <n v="3642"/>
    <n v="1821"/>
    <n v="38237"/>
    <n v="1821"/>
    <n v="41879"/>
  </r>
  <r>
    <n v="1638"/>
    <x v="1"/>
    <s v="Male"/>
    <n v="26"/>
    <s v="Delhi"/>
    <x v="2"/>
    <n v="72551"/>
    <d v="2022-04-30T00:00:00"/>
    <n v="2"/>
    <n v="3"/>
    <n v="7255"/>
    <n v="3628"/>
    <n v="76178"/>
    <n v="0"/>
    <n v="79806"/>
  </r>
  <r>
    <n v="1639"/>
    <x v="9"/>
    <s v="Male"/>
    <n v="47"/>
    <s v="Chennai"/>
    <x v="1"/>
    <n v="37946"/>
    <d v="2022-06-30T00:00:00"/>
    <n v="4"/>
    <n v="1"/>
    <n v="3795"/>
    <n v="1897"/>
    <n v="39844"/>
    <n v="0"/>
    <n v="41741"/>
  </r>
  <r>
    <n v="1640"/>
    <x v="0"/>
    <s v="Male"/>
    <n v="30"/>
    <s v="Chennai"/>
    <x v="2"/>
    <n v="48969"/>
    <d v="2022-01-26T00:00:00"/>
    <n v="19"/>
    <n v="5"/>
    <n v="4897"/>
    <n v="2448"/>
    <n v="51418"/>
    <n v="2448"/>
    <n v="56314"/>
  </r>
  <r>
    <n v="1641"/>
    <x v="7"/>
    <s v="Female"/>
    <n v="52"/>
    <s v="Hyderabad"/>
    <x v="4"/>
    <n v="89564"/>
    <d v="2022-09-12T00:00:00"/>
    <n v="19"/>
    <n v="5"/>
    <n v="8956"/>
    <n v="4478"/>
    <n v="94042"/>
    <n v="4478"/>
    <n v="102998"/>
  </r>
  <r>
    <n v="1642"/>
    <x v="4"/>
    <s v="Female"/>
    <n v="34"/>
    <s v="Bangalore"/>
    <x v="1"/>
    <n v="59780"/>
    <d v="2024-03-01T00:00:00"/>
    <n v="7"/>
    <n v="4"/>
    <n v="5978"/>
    <n v="2989"/>
    <n v="62769"/>
    <n v="2989"/>
    <n v="68747"/>
  </r>
  <r>
    <n v="1643"/>
    <x v="3"/>
    <s v="Female"/>
    <n v="56"/>
    <s v="Delhi"/>
    <x v="3"/>
    <n v="42022"/>
    <d v="2023-03-01T00:00:00"/>
    <n v="1"/>
    <n v="4"/>
    <n v="4202"/>
    <n v="2101"/>
    <n v="44123"/>
    <n v="0"/>
    <n v="46224"/>
  </r>
  <r>
    <n v="1644"/>
    <x v="7"/>
    <s v="Female"/>
    <n v="31"/>
    <s v="Bangalore"/>
    <x v="1"/>
    <n v="84035"/>
    <d v="2024-06-29T00:00:00"/>
    <n v="10"/>
    <n v="4"/>
    <n v="8404"/>
    <n v="4202"/>
    <n v="88237"/>
    <n v="4202"/>
    <n v="96641"/>
  </r>
  <r>
    <n v="1645"/>
    <x v="2"/>
    <s v="Female"/>
    <n v="60"/>
    <s v="Bangalore"/>
    <x v="4"/>
    <n v="92846"/>
    <d v="2024-01-09T00:00:00"/>
    <n v="13"/>
    <n v="2"/>
    <n v="9285"/>
    <n v="4642"/>
    <n v="97489"/>
    <n v="4642"/>
    <n v="106773"/>
  </r>
  <r>
    <n v="1646"/>
    <x v="1"/>
    <s v="Male"/>
    <n v="57"/>
    <s v="Hyderabad"/>
    <x v="2"/>
    <n v="65744"/>
    <d v="2024-02-03T00:00:00"/>
    <n v="16"/>
    <n v="2"/>
    <n v="6574"/>
    <n v="3287"/>
    <n v="69031"/>
    <n v="3287"/>
    <n v="75605"/>
  </r>
  <r>
    <n v="1647"/>
    <x v="6"/>
    <s v="Female"/>
    <n v="44"/>
    <s v="Mumbai"/>
    <x v="2"/>
    <n v="94751"/>
    <d v="2023-08-07T00:00:00"/>
    <n v="3"/>
    <n v="4"/>
    <n v="9475"/>
    <n v="4738"/>
    <n v="99488"/>
    <n v="0"/>
    <n v="104226"/>
  </r>
  <r>
    <n v="1648"/>
    <x v="0"/>
    <s v="Male"/>
    <n v="21"/>
    <s v="Bangalore"/>
    <x v="3"/>
    <n v="72187"/>
    <d v="2022-06-26T00:00:00"/>
    <n v="13"/>
    <n v="1"/>
    <n v="7219"/>
    <n v="3609"/>
    <n v="75797"/>
    <n v="3609"/>
    <n v="83015"/>
  </r>
  <r>
    <n v="1649"/>
    <x v="2"/>
    <s v="Female"/>
    <n v="42"/>
    <s v="Hyderabad"/>
    <x v="0"/>
    <n v="70383"/>
    <d v="2022-11-10T00:00:00"/>
    <n v="1"/>
    <n v="5"/>
    <n v="7038"/>
    <n v="3519"/>
    <n v="73902"/>
    <n v="0"/>
    <n v="77421"/>
  </r>
  <r>
    <n v="1650"/>
    <x v="4"/>
    <s v="Male"/>
    <n v="25"/>
    <s v="Mumbai"/>
    <x v="4"/>
    <n v="39664"/>
    <d v="2022-12-04T00:00:00"/>
    <n v="6"/>
    <n v="1"/>
    <n v="3966"/>
    <n v="1983"/>
    <n v="41647"/>
    <n v="1983"/>
    <n v="45613"/>
  </r>
  <r>
    <n v="1651"/>
    <x v="2"/>
    <s v="Female"/>
    <n v="51"/>
    <s v="Mumbai"/>
    <x v="3"/>
    <n v="53924"/>
    <d v="2023-01-12T00:00:00"/>
    <n v="16"/>
    <n v="5"/>
    <n v="5392"/>
    <n v="2696"/>
    <n v="56620"/>
    <n v="2696"/>
    <n v="62012"/>
  </r>
  <r>
    <n v="1652"/>
    <x v="0"/>
    <s v="Male"/>
    <n v="31"/>
    <s v="Bangalore"/>
    <x v="2"/>
    <n v="30206"/>
    <d v="2024-04-02T00:00:00"/>
    <n v="15"/>
    <n v="3"/>
    <n v="3021"/>
    <n v="1510"/>
    <n v="31717"/>
    <n v="1510"/>
    <n v="34737"/>
  </r>
  <r>
    <n v="1653"/>
    <x v="7"/>
    <s v="Male"/>
    <n v="39"/>
    <s v="Chennai"/>
    <x v="4"/>
    <n v="93406"/>
    <d v="2023-04-10T00:00:00"/>
    <n v="17"/>
    <n v="5"/>
    <n v="9341"/>
    <n v="4670"/>
    <n v="98077"/>
    <n v="4670"/>
    <n v="107417"/>
  </r>
  <r>
    <n v="1654"/>
    <x v="9"/>
    <s v="Female"/>
    <n v="59"/>
    <s v="Hyderabad"/>
    <x v="3"/>
    <n v="21459"/>
    <d v="2023-02-27T00:00:00"/>
    <n v="3"/>
    <n v="1"/>
    <n v="2146"/>
    <n v="1073"/>
    <n v="22532"/>
    <n v="0"/>
    <n v="23605"/>
  </r>
  <r>
    <n v="1655"/>
    <x v="8"/>
    <s v="Female"/>
    <n v="39"/>
    <s v="Chennai"/>
    <x v="2"/>
    <n v="53394"/>
    <d v="2024-03-27T00:00:00"/>
    <n v="14"/>
    <n v="3"/>
    <n v="5339"/>
    <n v="2670"/>
    <n v="56063"/>
    <n v="2670"/>
    <n v="61403"/>
  </r>
  <r>
    <n v="1656"/>
    <x v="3"/>
    <s v="Male"/>
    <n v="47"/>
    <s v="Chennai"/>
    <x v="0"/>
    <n v="57560"/>
    <d v="2024-05-29T00:00:00"/>
    <n v="4"/>
    <n v="3"/>
    <n v="5756"/>
    <n v="2878"/>
    <n v="60438"/>
    <n v="0"/>
    <n v="63316"/>
  </r>
  <r>
    <n v="1657"/>
    <x v="5"/>
    <s v="Female"/>
    <n v="32"/>
    <s v="Chennai"/>
    <x v="3"/>
    <n v="54701"/>
    <d v="2023-05-09T00:00:00"/>
    <n v="11"/>
    <n v="1"/>
    <n v="5470"/>
    <n v="2735"/>
    <n v="57436"/>
    <n v="2735"/>
    <n v="62906"/>
  </r>
  <r>
    <n v="1658"/>
    <x v="0"/>
    <s v="Male"/>
    <n v="40"/>
    <s v="Hyderabad"/>
    <x v="4"/>
    <n v="66657"/>
    <d v="2024-06-16T00:00:00"/>
    <n v="6"/>
    <n v="3"/>
    <n v="6666"/>
    <n v="3333"/>
    <n v="69990"/>
    <n v="3333"/>
    <n v="76656"/>
  </r>
  <r>
    <n v="1659"/>
    <x v="5"/>
    <s v="Female"/>
    <n v="46"/>
    <s v="Hyderabad"/>
    <x v="1"/>
    <n v="20888"/>
    <d v="2022-12-13T00:00:00"/>
    <n v="2"/>
    <n v="4"/>
    <n v="2089"/>
    <n v="1044"/>
    <n v="21933"/>
    <n v="0"/>
    <n v="22977"/>
  </r>
  <r>
    <n v="1660"/>
    <x v="2"/>
    <s v="Female"/>
    <n v="24"/>
    <s v="Mumbai"/>
    <x v="3"/>
    <n v="98905"/>
    <d v="2023-01-21T00:00:00"/>
    <n v="15"/>
    <n v="3"/>
    <n v="9890"/>
    <n v="4945"/>
    <n v="103850"/>
    <n v="4945"/>
    <n v="113740"/>
  </r>
  <r>
    <n v="1661"/>
    <x v="2"/>
    <s v="Male"/>
    <n v="48"/>
    <s v="Delhi"/>
    <x v="3"/>
    <n v="91019"/>
    <d v="2023-11-29T00:00:00"/>
    <n v="17"/>
    <n v="2"/>
    <n v="9102"/>
    <n v="4551"/>
    <n v="95570"/>
    <n v="4551"/>
    <n v="104672"/>
  </r>
  <r>
    <n v="1662"/>
    <x v="9"/>
    <s v="Male"/>
    <n v="56"/>
    <s v="Hyderabad"/>
    <x v="1"/>
    <n v="80648"/>
    <d v="2023-10-20T00:00:00"/>
    <n v="13"/>
    <n v="1"/>
    <n v="8065"/>
    <n v="4032"/>
    <n v="84681"/>
    <n v="4032"/>
    <n v="92745"/>
  </r>
  <r>
    <n v="1663"/>
    <x v="1"/>
    <s v="Male"/>
    <n v="22"/>
    <s v="Delhi"/>
    <x v="2"/>
    <n v="87077"/>
    <d v="2023-08-31T00:00:00"/>
    <n v="2"/>
    <n v="3"/>
    <n v="8708"/>
    <n v="4354"/>
    <n v="91431"/>
    <n v="0"/>
    <n v="95785"/>
  </r>
  <r>
    <n v="1664"/>
    <x v="0"/>
    <s v="Female"/>
    <n v="23"/>
    <s v="Hyderabad"/>
    <x v="3"/>
    <n v="57888"/>
    <d v="2023-09-03T00:00:00"/>
    <n v="15"/>
    <n v="1"/>
    <n v="5789"/>
    <n v="2894"/>
    <n v="60783"/>
    <n v="2894"/>
    <n v="66571"/>
  </r>
  <r>
    <n v="1665"/>
    <x v="8"/>
    <s v="Female"/>
    <n v="41"/>
    <s v="Chennai"/>
    <x v="0"/>
    <n v="36806"/>
    <d v="2024-03-17T00:00:00"/>
    <n v="2"/>
    <n v="5"/>
    <n v="3681"/>
    <n v="1840"/>
    <n v="38647"/>
    <n v="0"/>
    <n v="40487"/>
  </r>
  <r>
    <n v="1666"/>
    <x v="3"/>
    <s v="Male"/>
    <n v="46"/>
    <s v="Hyderabad"/>
    <x v="0"/>
    <n v="87757"/>
    <d v="2023-02-01T00:00:00"/>
    <n v="19"/>
    <n v="1"/>
    <n v="8776"/>
    <n v="4388"/>
    <n v="92145"/>
    <n v="4388"/>
    <n v="100921"/>
  </r>
  <r>
    <n v="1667"/>
    <x v="2"/>
    <s v="Female"/>
    <n v="54"/>
    <s v="Mumbai"/>
    <x v="2"/>
    <n v="96345"/>
    <d v="2023-11-14T00:00:00"/>
    <n v="16"/>
    <n v="4"/>
    <n v="9634"/>
    <n v="4817"/>
    <n v="101162"/>
    <n v="4817"/>
    <n v="110796"/>
  </r>
  <r>
    <n v="1668"/>
    <x v="8"/>
    <s v="Male"/>
    <n v="35"/>
    <s v="Mumbai"/>
    <x v="4"/>
    <n v="53502"/>
    <d v="2023-11-30T00:00:00"/>
    <n v="4"/>
    <n v="4"/>
    <n v="5350"/>
    <n v="2675"/>
    <n v="56177"/>
    <n v="0"/>
    <n v="58852"/>
  </r>
  <r>
    <n v="1669"/>
    <x v="1"/>
    <s v="Female"/>
    <n v="29"/>
    <s v="Hyderabad"/>
    <x v="4"/>
    <n v="28488"/>
    <d v="2023-10-10T00:00:00"/>
    <n v="16"/>
    <n v="3"/>
    <n v="2849"/>
    <n v="1424"/>
    <n v="29913"/>
    <n v="1424"/>
    <n v="32761"/>
  </r>
  <r>
    <n v="1670"/>
    <x v="3"/>
    <s v="Female"/>
    <n v="47"/>
    <s v="Mumbai"/>
    <x v="1"/>
    <n v="70041"/>
    <d v="2022-10-02T00:00:00"/>
    <n v="8"/>
    <n v="3"/>
    <n v="7004"/>
    <n v="3502"/>
    <n v="73543"/>
    <n v="3502"/>
    <n v="80547"/>
  </r>
  <r>
    <n v="1671"/>
    <x v="0"/>
    <s v="Female"/>
    <n v="43"/>
    <s v="Chennai"/>
    <x v="2"/>
    <n v="49259"/>
    <d v="2023-10-26T00:00:00"/>
    <n v="15"/>
    <n v="4"/>
    <n v="4926"/>
    <n v="2463"/>
    <n v="51722"/>
    <n v="2463"/>
    <n v="56648"/>
  </r>
  <r>
    <n v="1672"/>
    <x v="4"/>
    <s v="Male"/>
    <n v="46"/>
    <s v="Hyderabad"/>
    <x v="4"/>
    <n v="89707"/>
    <d v="2024-09-14T00:00:00"/>
    <n v="2"/>
    <n v="2"/>
    <n v="8971"/>
    <n v="4485"/>
    <n v="94193"/>
    <n v="0"/>
    <n v="98678"/>
  </r>
  <r>
    <n v="1673"/>
    <x v="0"/>
    <s v="Female"/>
    <n v="26"/>
    <s v="Chennai"/>
    <x v="3"/>
    <n v="36677"/>
    <d v="2022-03-22T00:00:00"/>
    <n v="9"/>
    <n v="2"/>
    <n v="3668"/>
    <n v="1834"/>
    <n v="38511"/>
    <n v="1834"/>
    <n v="42179"/>
  </r>
  <r>
    <n v="1674"/>
    <x v="3"/>
    <s v="Male"/>
    <n v="31"/>
    <s v="Delhi"/>
    <x v="1"/>
    <n v="59587"/>
    <d v="2022-09-06T00:00:00"/>
    <n v="14"/>
    <n v="2"/>
    <n v="5959"/>
    <n v="2979"/>
    <n v="62567"/>
    <n v="2979"/>
    <n v="68525"/>
  </r>
  <r>
    <n v="1675"/>
    <x v="7"/>
    <s v="Female"/>
    <n v="40"/>
    <s v="Hyderabad"/>
    <x v="2"/>
    <n v="36163"/>
    <d v="2024-05-02T00:00:00"/>
    <n v="12"/>
    <n v="1"/>
    <n v="3616"/>
    <n v="1808"/>
    <n v="37971"/>
    <n v="1808"/>
    <n v="41587"/>
  </r>
  <r>
    <n v="1676"/>
    <x v="1"/>
    <s v="Male"/>
    <n v="50"/>
    <s v="Mumbai"/>
    <x v="1"/>
    <n v="92371"/>
    <d v="2022-09-08T00:00:00"/>
    <n v="4"/>
    <n v="4"/>
    <n v="9237"/>
    <n v="4619"/>
    <n v="96989"/>
    <n v="0"/>
    <n v="101608"/>
  </r>
  <r>
    <n v="1677"/>
    <x v="3"/>
    <s v="Male"/>
    <n v="58"/>
    <s v="Chennai"/>
    <x v="3"/>
    <n v="59545"/>
    <d v="2023-11-12T00:00:00"/>
    <n v="19"/>
    <n v="2"/>
    <n v="5954"/>
    <n v="2977"/>
    <n v="62522"/>
    <n v="2977"/>
    <n v="68476"/>
  </r>
  <r>
    <n v="1678"/>
    <x v="2"/>
    <s v="Female"/>
    <n v="23"/>
    <s v="Chennai"/>
    <x v="2"/>
    <n v="21697"/>
    <d v="2022-09-03T00:00:00"/>
    <n v="16"/>
    <n v="2"/>
    <n v="2170"/>
    <n v="1085"/>
    <n v="22782"/>
    <n v="1085"/>
    <n v="24952"/>
  </r>
  <r>
    <n v="1679"/>
    <x v="6"/>
    <s v="Female"/>
    <n v="48"/>
    <s v="Hyderabad"/>
    <x v="3"/>
    <n v="26741"/>
    <d v="2023-12-02T00:00:00"/>
    <n v="4"/>
    <n v="3"/>
    <n v="2674"/>
    <n v="1337"/>
    <n v="28078"/>
    <n v="0"/>
    <n v="29415"/>
  </r>
  <r>
    <n v="1680"/>
    <x v="3"/>
    <s v="Female"/>
    <n v="37"/>
    <s v="Bangalore"/>
    <x v="3"/>
    <n v="42730"/>
    <d v="2023-05-31T00:00:00"/>
    <n v="5"/>
    <n v="1"/>
    <n v="4273"/>
    <n v="2136"/>
    <n v="44867"/>
    <n v="0"/>
    <n v="47003"/>
  </r>
  <r>
    <n v="1681"/>
    <x v="0"/>
    <s v="Male"/>
    <n v="53"/>
    <s v="Delhi"/>
    <x v="2"/>
    <n v="78555"/>
    <d v="2024-04-15T00:00:00"/>
    <n v="6"/>
    <n v="1"/>
    <n v="7856"/>
    <n v="3928"/>
    <n v="82483"/>
    <n v="3928"/>
    <n v="90339"/>
  </r>
  <r>
    <n v="1682"/>
    <x v="0"/>
    <s v="Female"/>
    <n v="43"/>
    <s v="Bangalore"/>
    <x v="1"/>
    <n v="82817"/>
    <d v="2023-01-18T00:00:00"/>
    <n v="17"/>
    <n v="4"/>
    <n v="8282"/>
    <n v="4141"/>
    <n v="86958"/>
    <n v="4141"/>
    <n v="95240"/>
  </r>
  <r>
    <n v="1683"/>
    <x v="8"/>
    <s v="Female"/>
    <n v="47"/>
    <s v="Hyderabad"/>
    <x v="2"/>
    <n v="87645"/>
    <d v="2022-08-16T00:00:00"/>
    <n v="19"/>
    <n v="4"/>
    <n v="8764"/>
    <n v="4382"/>
    <n v="92027"/>
    <n v="4382"/>
    <n v="100791"/>
  </r>
  <r>
    <n v="1684"/>
    <x v="4"/>
    <s v="Male"/>
    <n v="28"/>
    <s v="Mumbai"/>
    <x v="2"/>
    <n v="97050"/>
    <d v="2022-02-23T00:00:00"/>
    <n v="12"/>
    <n v="1"/>
    <n v="9705"/>
    <n v="4852"/>
    <n v="101903"/>
    <n v="4852"/>
    <n v="111607"/>
  </r>
  <r>
    <n v="1685"/>
    <x v="2"/>
    <s v="Female"/>
    <n v="27"/>
    <s v="Hyderabad"/>
    <x v="1"/>
    <n v="71463"/>
    <d v="2023-08-14T00:00:00"/>
    <n v="1"/>
    <n v="3"/>
    <n v="7146"/>
    <n v="3573"/>
    <n v="75036"/>
    <n v="0"/>
    <n v="78609"/>
  </r>
  <r>
    <n v="1686"/>
    <x v="7"/>
    <s v="Male"/>
    <n v="34"/>
    <s v="Delhi"/>
    <x v="2"/>
    <n v="83506"/>
    <d v="2023-01-25T00:00:00"/>
    <n v="4"/>
    <n v="5"/>
    <n v="8351"/>
    <n v="4175"/>
    <n v="87682"/>
    <n v="0"/>
    <n v="91857"/>
  </r>
  <r>
    <n v="1687"/>
    <x v="9"/>
    <s v="Female"/>
    <n v="59"/>
    <s v="Chennai"/>
    <x v="0"/>
    <n v="33463"/>
    <d v="2024-01-07T00:00:00"/>
    <n v="4"/>
    <n v="1"/>
    <n v="3346"/>
    <n v="1673"/>
    <n v="35136"/>
    <n v="0"/>
    <n v="36809"/>
  </r>
  <r>
    <n v="1688"/>
    <x v="3"/>
    <s v="Female"/>
    <n v="25"/>
    <s v="Bangalore"/>
    <x v="0"/>
    <n v="90391"/>
    <d v="2023-03-05T00:00:00"/>
    <n v="19"/>
    <n v="1"/>
    <n v="9039"/>
    <n v="4520"/>
    <n v="94910"/>
    <n v="4520"/>
    <n v="103950"/>
  </r>
  <r>
    <n v="1689"/>
    <x v="4"/>
    <s v="Male"/>
    <n v="27"/>
    <s v="Chennai"/>
    <x v="4"/>
    <n v="95208"/>
    <d v="2022-11-25T00:00:00"/>
    <n v="6"/>
    <n v="2"/>
    <n v="9521"/>
    <n v="4760"/>
    <n v="99969"/>
    <n v="4760"/>
    <n v="109489"/>
  </r>
  <r>
    <n v="1690"/>
    <x v="3"/>
    <s v="Male"/>
    <n v="37"/>
    <s v="Delhi"/>
    <x v="0"/>
    <n v="27915"/>
    <d v="2024-06-29T00:00:00"/>
    <n v="9"/>
    <n v="3"/>
    <n v="2792"/>
    <n v="1396"/>
    <n v="29311"/>
    <n v="1396"/>
    <n v="32103"/>
  </r>
  <r>
    <n v="1691"/>
    <x v="2"/>
    <s v="Female"/>
    <n v="22"/>
    <s v="Chennai"/>
    <x v="4"/>
    <n v="46144"/>
    <d v="2023-11-16T00:00:00"/>
    <n v="1"/>
    <n v="2"/>
    <n v="4614"/>
    <n v="2307"/>
    <n v="48451"/>
    <n v="0"/>
    <n v="50758"/>
  </r>
  <r>
    <n v="1692"/>
    <x v="0"/>
    <s v="Male"/>
    <n v="29"/>
    <s v="Mumbai"/>
    <x v="0"/>
    <n v="22247"/>
    <d v="2023-08-11T00:00:00"/>
    <n v="6"/>
    <n v="5"/>
    <n v="2225"/>
    <n v="1112"/>
    <n v="23360"/>
    <n v="1112"/>
    <n v="25584"/>
  </r>
  <r>
    <n v="1693"/>
    <x v="4"/>
    <s v="Male"/>
    <n v="26"/>
    <s v="Delhi"/>
    <x v="4"/>
    <n v="72083"/>
    <d v="2024-04-13T00:00:00"/>
    <n v="5"/>
    <n v="5"/>
    <n v="7208"/>
    <n v="3604"/>
    <n v="75687"/>
    <n v="0"/>
    <n v="79291"/>
  </r>
  <r>
    <n v="1694"/>
    <x v="9"/>
    <s v="Female"/>
    <n v="54"/>
    <s v="Chennai"/>
    <x v="3"/>
    <n v="59595"/>
    <d v="2024-08-12T00:00:00"/>
    <n v="19"/>
    <n v="1"/>
    <n v="5960"/>
    <n v="2980"/>
    <n v="62575"/>
    <n v="2980"/>
    <n v="68535"/>
  </r>
  <r>
    <n v="1695"/>
    <x v="6"/>
    <s v="Male"/>
    <n v="22"/>
    <s v="Bangalore"/>
    <x v="3"/>
    <n v="62936"/>
    <d v="2024-07-16T00:00:00"/>
    <n v="19"/>
    <n v="5"/>
    <n v="6294"/>
    <n v="3147"/>
    <n v="66083"/>
    <n v="3147"/>
    <n v="72377"/>
  </r>
  <r>
    <n v="1696"/>
    <x v="7"/>
    <s v="Female"/>
    <n v="59"/>
    <s v="Hyderabad"/>
    <x v="3"/>
    <n v="83932"/>
    <d v="2023-06-19T00:00:00"/>
    <n v="6"/>
    <n v="1"/>
    <n v="8393"/>
    <n v="4197"/>
    <n v="88128"/>
    <n v="4197"/>
    <n v="96522"/>
  </r>
  <r>
    <n v="1697"/>
    <x v="1"/>
    <s v="Male"/>
    <n v="34"/>
    <s v="Delhi"/>
    <x v="0"/>
    <n v="71876"/>
    <d v="2022-01-11T00:00:00"/>
    <n v="12"/>
    <n v="2"/>
    <n v="7188"/>
    <n v="3594"/>
    <n v="75470"/>
    <n v="3594"/>
    <n v="82658"/>
  </r>
  <r>
    <n v="1698"/>
    <x v="2"/>
    <s v="Female"/>
    <n v="47"/>
    <s v="Chennai"/>
    <x v="4"/>
    <n v="87210"/>
    <d v="2022-04-21T00:00:00"/>
    <n v="15"/>
    <n v="3"/>
    <n v="8721"/>
    <n v="4360"/>
    <n v="91571"/>
    <n v="4360"/>
    <n v="100291"/>
  </r>
  <r>
    <n v="1699"/>
    <x v="9"/>
    <s v="Male"/>
    <n v="43"/>
    <s v="Mumbai"/>
    <x v="4"/>
    <n v="25007"/>
    <d v="2024-05-13T00:00:00"/>
    <n v="10"/>
    <n v="3"/>
    <n v="2501"/>
    <n v="1250"/>
    <n v="26258"/>
    <n v="1250"/>
    <n v="28758"/>
  </r>
  <r>
    <n v="1700"/>
    <x v="5"/>
    <s v="Male"/>
    <n v="24"/>
    <s v="Hyderabad"/>
    <x v="0"/>
    <n v="78820"/>
    <d v="2023-02-11T00:00:00"/>
    <n v="9"/>
    <n v="5"/>
    <n v="7882"/>
    <n v="3941"/>
    <n v="82761"/>
    <n v="3941"/>
    <n v="90643"/>
  </r>
  <r>
    <n v="1701"/>
    <x v="2"/>
    <s v="Female"/>
    <n v="23"/>
    <s v="Mumbai"/>
    <x v="1"/>
    <n v="50111"/>
    <d v="2022-06-14T00:00:00"/>
    <n v="3"/>
    <n v="4"/>
    <n v="5011"/>
    <n v="2506"/>
    <n v="52616"/>
    <n v="0"/>
    <n v="55122"/>
  </r>
  <r>
    <n v="1702"/>
    <x v="4"/>
    <s v="Female"/>
    <n v="29"/>
    <s v="Chennai"/>
    <x v="2"/>
    <n v="52848"/>
    <d v="2023-09-30T00:00:00"/>
    <n v="12"/>
    <n v="2"/>
    <n v="5285"/>
    <n v="2642"/>
    <n v="55491"/>
    <n v="2642"/>
    <n v="60775"/>
  </r>
  <r>
    <n v="1703"/>
    <x v="6"/>
    <s v="Female"/>
    <n v="28"/>
    <s v="Chennai"/>
    <x v="2"/>
    <n v="64212"/>
    <d v="2024-02-14T00:00:00"/>
    <n v="7"/>
    <n v="4"/>
    <n v="6421"/>
    <n v="3211"/>
    <n v="67422"/>
    <n v="3211"/>
    <n v="73844"/>
  </r>
  <r>
    <n v="1704"/>
    <x v="3"/>
    <s v="Female"/>
    <n v="46"/>
    <s v="Hyderabad"/>
    <x v="2"/>
    <n v="31445"/>
    <d v="2023-06-28T00:00:00"/>
    <n v="10"/>
    <n v="5"/>
    <n v="3144"/>
    <n v="1572"/>
    <n v="33017"/>
    <n v="1572"/>
    <n v="36161"/>
  </r>
  <r>
    <n v="1705"/>
    <x v="1"/>
    <s v="Male"/>
    <n v="34"/>
    <s v="Hyderabad"/>
    <x v="0"/>
    <n v="42888"/>
    <d v="2022-09-17T00:00:00"/>
    <n v="6"/>
    <n v="1"/>
    <n v="4289"/>
    <n v="2144"/>
    <n v="45033"/>
    <n v="2144"/>
    <n v="49321"/>
  </r>
  <r>
    <n v="1706"/>
    <x v="4"/>
    <s v="Male"/>
    <n v="36"/>
    <s v="Bangalore"/>
    <x v="2"/>
    <n v="42084"/>
    <d v="2024-08-15T00:00:00"/>
    <n v="9"/>
    <n v="2"/>
    <n v="4208"/>
    <n v="2104"/>
    <n v="44188"/>
    <n v="2104"/>
    <n v="48396"/>
  </r>
  <r>
    <n v="1707"/>
    <x v="6"/>
    <s v="Male"/>
    <n v="40"/>
    <s v="Bangalore"/>
    <x v="3"/>
    <n v="23582"/>
    <d v="2022-01-09T00:00:00"/>
    <n v="3"/>
    <n v="5"/>
    <n v="2358"/>
    <n v="1179"/>
    <n v="24761"/>
    <n v="0"/>
    <n v="25940"/>
  </r>
  <r>
    <n v="1708"/>
    <x v="2"/>
    <s v="Female"/>
    <n v="44"/>
    <s v="Mumbai"/>
    <x v="3"/>
    <n v="80530"/>
    <d v="2023-01-26T00:00:00"/>
    <n v="7"/>
    <n v="4"/>
    <n v="8053"/>
    <n v="4026"/>
    <n v="84557"/>
    <n v="4026"/>
    <n v="92609"/>
  </r>
  <r>
    <n v="1709"/>
    <x v="3"/>
    <s v="Female"/>
    <n v="36"/>
    <s v="Chennai"/>
    <x v="0"/>
    <n v="70329"/>
    <d v="2023-12-06T00:00:00"/>
    <n v="14"/>
    <n v="3"/>
    <n v="7033"/>
    <n v="3516"/>
    <n v="73846"/>
    <n v="3516"/>
    <n v="80878"/>
  </r>
  <r>
    <n v="1710"/>
    <x v="9"/>
    <s v="Male"/>
    <n v="51"/>
    <s v="Hyderabad"/>
    <x v="1"/>
    <n v="48912"/>
    <d v="2024-04-17T00:00:00"/>
    <n v="2"/>
    <n v="5"/>
    <n v="4891"/>
    <n v="2446"/>
    <n v="51357"/>
    <n v="0"/>
    <n v="53803"/>
  </r>
  <r>
    <n v="1711"/>
    <x v="8"/>
    <s v="Female"/>
    <n v="24"/>
    <s v="Delhi"/>
    <x v="2"/>
    <n v="63113"/>
    <d v="2023-12-04T00:00:00"/>
    <n v="2"/>
    <n v="3"/>
    <n v="6311"/>
    <n v="3156"/>
    <n v="66268"/>
    <n v="0"/>
    <n v="69424"/>
  </r>
  <r>
    <n v="1712"/>
    <x v="6"/>
    <s v="Male"/>
    <n v="60"/>
    <s v="Delhi"/>
    <x v="2"/>
    <n v="41360"/>
    <d v="2024-06-12T00:00:00"/>
    <n v="4"/>
    <n v="1"/>
    <n v="4136"/>
    <n v="2068"/>
    <n v="43428"/>
    <n v="0"/>
    <n v="45496"/>
  </r>
  <r>
    <n v="1713"/>
    <x v="6"/>
    <s v="Male"/>
    <n v="42"/>
    <s v="Chennai"/>
    <x v="0"/>
    <n v="98396"/>
    <d v="2022-05-05T00:00:00"/>
    <n v="3"/>
    <n v="5"/>
    <n v="9840"/>
    <n v="4920"/>
    <n v="103316"/>
    <n v="0"/>
    <n v="108236"/>
  </r>
  <r>
    <n v="1714"/>
    <x v="2"/>
    <s v="Male"/>
    <n v="37"/>
    <s v="Delhi"/>
    <x v="0"/>
    <n v="99996"/>
    <d v="2022-12-20T00:00:00"/>
    <n v="3"/>
    <n v="5"/>
    <n v="10000"/>
    <n v="5000"/>
    <n v="104996"/>
    <n v="0"/>
    <n v="109996"/>
  </r>
  <r>
    <n v="1715"/>
    <x v="7"/>
    <s v="Male"/>
    <n v="47"/>
    <s v="Mumbai"/>
    <x v="2"/>
    <n v="85163"/>
    <d v="2023-10-28T00:00:00"/>
    <n v="16"/>
    <n v="5"/>
    <n v="8516"/>
    <n v="4258"/>
    <n v="89421"/>
    <n v="4258"/>
    <n v="97937"/>
  </r>
  <r>
    <n v="1716"/>
    <x v="6"/>
    <s v="Male"/>
    <n v="44"/>
    <s v="Hyderabad"/>
    <x v="1"/>
    <n v="62006"/>
    <d v="2024-09-12T00:00:00"/>
    <n v="14"/>
    <n v="4"/>
    <n v="6201"/>
    <n v="3100"/>
    <n v="65107"/>
    <n v="3100"/>
    <n v="71307"/>
  </r>
  <r>
    <n v="1717"/>
    <x v="9"/>
    <s v="Female"/>
    <n v="27"/>
    <s v="Delhi"/>
    <x v="0"/>
    <n v="65608"/>
    <d v="2023-11-16T00:00:00"/>
    <n v="6"/>
    <n v="2"/>
    <n v="6561"/>
    <n v="3280"/>
    <n v="68889"/>
    <n v="3280"/>
    <n v="75449"/>
  </r>
  <r>
    <n v="1718"/>
    <x v="0"/>
    <s v="Male"/>
    <n v="24"/>
    <s v="Delhi"/>
    <x v="4"/>
    <n v="70755"/>
    <d v="2023-07-20T00:00:00"/>
    <n v="20"/>
    <n v="3"/>
    <n v="7076"/>
    <n v="3538"/>
    <n v="74293"/>
    <n v="3538"/>
    <n v="81369"/>
  </r>
  <r>
    <n v="1719"/>
    <x v="9"/>
    <s v="Male"/>
    <n v="25"/>
    <s v="Hyderabad"/>
    <x v="3"/>
    <n v="60756"/>
    <d v="2023-07-30T00:00:00"/>
    <n v="10"/>
    <n v="5"/>
    <n v="6076"/>
    <n v="3038"/>
    <n v="63794"/>
    <n v="3038"/>
    <n v="69870"/>
  </r>
  <r>
    <n v="1720"/>
    <x v="3"/>
    <s v="Female"/>
    <n v="51"/>
    <s v="Hyderabad"/>
    <x v="2"/>
    <n v="67110"/>
    <d v="2023-05-15T00:00:00"/>
    <n v="10"/>
    <n v="1"/>
    <n v="6711"/>
    <n v="3356"/>
    <n v="70465"/>
    <n v="3356"/>
    <n v="77177"/>
  </r>
  <r>
    <n v="1721"/>
    <x v="6"/>
    <s v="Female"/>
    <n v="48"/>
    <s v="Bangalore"/>
    <x v="4"/>
    <n v="77784"/>
    <d v="2023-08-01T00:00:00"/>
    <n v="16"/>
    <n v="3"/>
    <n v="7778"/>
    <n v="3889"/>
    <n v="81673"/>
    <n v="3889"/>
    <n v="89451"/>
  </r>
  <r>
    <n v="1722"/>
    <x v="5"/>
    <s v="Female"/>
    <n v="22"/>
    <s v="Chennai"/>
    <x v="3"/>
    <n v="76735"/>
    <d v="2024-06-09T00:00:00"/>
    <n v="19"/>
    <n v="4"/>
    <n v="7674"/>
    <n v="3837"/>
    <n v="80572"/>
    <n v="3837"/>
    <n v="88246"/>
  </r>
  <r>
    <n v="1723"/>
    <x v="9"/>
    <s v="Female"/>
    <n v="51"/>
    <s v="Delhi"/>
    <x v="0"/>
    <n v="75425"/>
    <d v="2024-02-18T00:00:00"/>
    <n v="10"/>
    <n v="2"/>
    <n v="7542"/>
    <n v="3771"/>
    <n v="79196"/>
    <n v="3771"/>
    <n v="86738"/>
  </r>
  <r>
    <n v="1724"/>
    <x v="1"/>
    <s v="Male"/>
    <n v="36"/>
    <s v="Chennai"/>
    <x v="0"/>
    <n v="30531"/>
    <d v="2022-01-21T00:00:00"/>
    <n v="18"/>
    <n v="5"/>
    <n v="3053"/>
    <n v="1527"/>
    <n v="32057"/>
    <n v="1527"/>
    <n v="35111"/>
  </r>
  <r>
    <n v="1725"/>
    <x v="8"/>
    <s v="Female"/>
    <n v="37"/>
    <s v="Delhi"/>
    <x v="4"/>
    <n v="98608"/>
    <d v="2023-03-17T00:00:00"/>
    <n v="12"/>
    <n v="4"/>
    <n v="9861"/>
    <n v="4930"/>
    <n v="103539"/>
    <n v="4930"/>
    <n v="113399"/>
  </r>
  <r>
    <n v="1726"/>
    <x v="6"/>
    <s v="Male"/>
    <n v="38"/>
    <s v="Bangalore"/>
    <x v="0"/>
    <n v="39130"/>
    <d v="2023-07-11T00:00:00"/>
    <n v="2"/>
    <n v="4"/>
    <n v="3913"/>
    <n v="1956"/>
    <n v="41087"/>
    <n v="0"/>
    <n v="43043"/>
  </r>
  <r>
    <n v="1727"/>
    <x v="5"/>
    <s v="Male"/>
    <n v="47"/>
    <s v="Hyderabad"/>
    <x v="1"/>
    <n v="20107"/>
    <d v="2022-08-22T00:00:00"/>
    <n v="18"/>
    <n v="3"/>
    <n v="2011"/>
    <n v="1005"/>
    <n v="21113"/>
    <n v="1005"/>
    <n v="23123"/>
  </r>
  <r>
    <n v="1728"/>
    <x v="7"/>
    <s v="Male"/>
    <n v="37"/>
    <s v="Delhi"/>
    <x v="2"/>
    <n v="50341"/>
    <d v="2023-03-17T00:00:00"/>
    <n v="1"/>
    <n v="1"/>
    <n v="5034"/>
    <n v="2517"/>
    <n v="52858"/>
    <n v="0"/>
    <n v="55375"/>
  </r>
  <r>
    <n v="1729"/>
    <x v="9"/>
    <s v="Male"/>
    <n v="56"/>
    <s v="Mumbai"/>
    <x v="0"/>
    <n v="68755"/>
    <d v="2024-08-02T00:00:00"/>
    <n v="5"/>
    <n v="1"/>
    <n v="6876"/>
    <n v="3438"/>
    <n v="72193"/>
    <n v="0"/>
    <n v="75631"/>
  </r>
  <r>
    <n v="1730"/>
    <x v="2"/>
    <s v="Female"/>
    <n v="54"/>
    <s v="Chennai"/>
    <x v="2"/>
    <n v="95516"/>
    <d v="2024-02-22T00:00:00"/>
    <n v="10"/>
    <n v="2"/>
    <n v="9552"/>
    <n v="4776"/>
    <n v="100292"/>
    <n v="4776"/>
    <n v="109844"/>
  </r>
  <r>
    <n v="1731"/>
    <x v="8"/>
    <s v="Female"/>
    <n v="33"/>
    <s v="Chennai"/>
    <x v="0"/>
    <n v="70194"/>
    <d v="2022-04-21T00:00:00"/>
    <n v="13"/>
    <n v="4"/>
    <n v="7019"/>
    <n v="3510"/>
    <n v="73703"/>
    <n v="3510"/>
    <n v="80723"/>
  </r>
  <r>
    <n v="1732"/>
    <x v="3"/>
    <s v="Female"/>
    <n v="25"/>
    <s v="Hyderabad"/>
    <x v="3"/>
    <n v="86649"/>
    <d v="2022-05-22T00:00:00"/>
    <n v="1"/>
    <n v="3"/>
    <n v="8665"/>
    <n v="4332"/>
    <n v="90982"/>
    <n v="0"/>
    <n v="95314"/>
  </r>
  <r>
    <n v="1733"/>
    <x v="7"/>
    <s v="Female"/>
    <n v="50"/>
    <s v="Bangalore"/>
    <x v="1"/>
    <n v="23579"/>
    <d v="2022-06-28T00:00:00"/>
    <n v="4"/>
    <n v="5"/>
    <n v="2358"/>
    <n v="1179"/>
    <n v="24758"/>
    <n v="0"/>
    <n v="25937"/>
  </r>
  <r>
    <n v="1734"/>
    <x v="9"/>
    <s v="Female"/>
    <n v="38"/>
    <s v="Bangalore"/>
    <x v="3"/>
    <n v="75347"/>
    <d v="2023-01-15T00:00:00"/>
    <n v="2"/>
    <n v="1"/>
    <n v="7535"/>
    <n v="3767"/>
    <n v="79115"/>
    <n v="0"/>
    <n v="82882"/>
  </r>
  <r>
    <n v="1735"/>
    <x v="6"/>
    <s v="Female"/>
    <n v="52"/>
    <s v="Mumbai"/>
    <x v="3"/>
    <n v="79778"/>
    <d v="2023-08-11T00:00:00"/>
    <n v="14"/>
    <n v="3"/>
    <n v="7978"/>
    <n v="3989"/>
    <n v="83767"/>
    <n v="3989"/>
    <n v="91745"/>
  </r>
  <r>
    <n v="1736"/>
    <x v="4"/>
    <s v="Female"/>
    <n v="37"/>
    <s v="Chennai"/>
    <x v="2"/>
    <n v="84066"/>
    <d v="2022-08-12T00:00:00"/>
    <n v="8"/>
    <n v="1"/>
    <n v="8407"/>
    <n v="4203"/>
    <n v="88270"/>
    <n v="4203"/>
    <n v="96676"/>
  </r>
  <r>
    <n v="1737"/>
    <x v="1"/>
    <s v="Male"/>
    <n v="60"/>
    <s v="Hyderabad"/>
    <x v="1"/>
    <n v="86092"/>
    <d v="2024-02-02T00:00:00"/>
    <n v="7"/>
    <n v="1"/>
    <n v="8609"/>
    <n v="4305"/>
    <n v="90396"/>
    <n v="4305"/>
    <n v="99006"/>
  </r>
  <r>
    <n v="1738"/>
    <x v="3"/>
    <s v="Female"/>
    <n v="56"/>
    <s v="Chennai"/>
    <x v="4"/>
    <n v="34604"/>
    <d v="2022-04-01T00:00:00"/>
    <n v="2"/>
    <n v="5"/>
    <n v="3460"/>
    <n v="1730"/>
    <n v="36334"/>
    <n v="0"/>
    <n v="38064"/>
  </r>
  <r>
    <n v="1739"/>
    <x v="4"/>
    <s v="Female"/>
    <n v="54"/>
    <s v="Delhi"/>
    <x v="0"/>
    <n v="33988"/>
    <d v="2024-07-15T00:00:00"/>
    <n v="19"/>
    <n v="1"/>
    <n v="3399"/>
    <n v="1699"/>
    <n v="35688"/>
    <n v="1699"/>
    <n v="39086"/>
  </r>
  <r>
    <n v="1740"/>
    <x v="2"/>
    <s v="Male"/>
    <n v="44"/>
    <s v="Bangalore"/>
    <x v="1"/>
    <n v="91614"/>
    <d v="2023-11-24T00:00:00"/>
    <n v="18"/>
    <n v="2"/>
    <n v="9161"/>
    <n v="4581"/>
    <n v="96194"/>
    <n v="4581"/>
    <n v="105356"/>
  </r>
  <r>
    <n v="1741"/>
    <x v="2"/>
    <s v="Male"/>
    <n v="58"/>
    <s v="Delhi"/>
    <x v="2"/>
    <n v="26193"/>
    <d v="2023-08-25T00:00:00"/>
    <n v="8"/>
    <n v="5"/>
    <n v="2619"/>
    <n v="1310"/>
    <n v="27502"/>
    <n v="1310"/>
    <n v="30122"/>
  </r>
  <r>
    <n v="1742"/>
    <x v="4"/>
    <s v="Female"/>
    <n v="44"/>
    <s v="Mumbai"/>
    <x v="4"/>
    <n v="21283"/>
    <d v="2023-08-16T00:00:00"/>
    <n v="10"/>
    <n v="3"/>
    <n v="2128"/>
    <n v="1064"/>
    <n v="22347"/>
    <n v="1064"/>
    <n v="24475"/>
  </r>
  <r>
    <n v="1743"/>
    <x v="1"/>
    <s v="Female"/>
    <n v="38"/>
    <s v="Delhi"/>
    <x v="0"/>
    <n v="25371"/>
    <d v="2023-02-26T00:00:00"/>
    <n v="11"/>
    <n v="5"/>
    <n v="2537"/>
    <n v="1269"/>
    <n v="26639"/>
    <n v="1269"/>
    <n v="29177"/>
  </r>
  <r>
    <n v="1744"/>
    <x v="6"/>
    <s v="Male"/>
    <n v="52"/>
    <s v="Bangalore"/>
    <x v="3"/>
    <n v="99011"/>
    <d v="2023-12-24T00:00:00"/>
    <n v="1"/>
    <n v="5"/>
    <n v="9901"/>
    <n v="4951"/>
    <n v="103961"/>
    <n v="0"/>
    <n v="108912"/>
  </r>
  <r>
    <n v="1745"/>
    <x v="3"/>
    <s v="Female"/>
    <n v="39"/>
    <s v="Delhi"/>
    <x v="2"/>
    <n v="36772"/>
    <d v="2023-06-05T00:00:00"/>
    <n v="13"/>
    <n v="3"/>
    <n v="3677"/>
    <n v="1839"/>
    <n v="38610"/>
    <n v="1839"/>
    <n v="42288"/>
  </r>
  <r>
    <n v="1746"/>
    <x v="9"/>
    <s v="Male"/>
    <n v="56"/>
    <s v="Delhi"/>
    <x v="1"/>
    <n v="30068"/>
    <d v="2022-10-21T00:00:00"/>
    <n v="4"/>
    <n v="1"/>
    <n v="3007"/>
    <n v="1503"/>
    <n v="31572"/>
    <n v="0"/>
    <n v="33075"/>
  </r>
  <r>
    <n v="1747"/>
    <x v="5"/>
    <s v="Female"/>
    <n v="31"/>
    <s v="Mumbai"/>
    <x v="1"/>
    <n v="78513"/>
    <d v="2022-08-17T00:00:00"/>
    <n v="8"/>
    <n v="2"/>
    <n v="7851"/>
    <n v="3926"/>
    <n v="82438"/>
    <n v="3926"/>
    <n v="90290"/>
  </r>
  <r>
    <n v="1748"/>
    <x v="5"/>
    <s v="Female"/>
    <n v="23"/>
    <s v="Delhi"/>
    <x v="4"/>
    <n v="36594"/>
    <d v="2022-02-11T00:00:00"/>
    <n v="7"/>
    <n v="2"/>
    <n v="3659"/>
    <n v="1830"/>
    <n v="38423"/>
    <n v="1830"/>
    <n v="42083"/>
  </r>
  <r>
    <n v="1749"/>
    <x v="7"/>
    <s v="Male"/>
    <n v="51"/>
    <s v="Chennai"/>
    <x v="4"/>
    <n v="27642"/>
    <d v="2022-07-31T00:00:00"/>
    <n v="7"/>
    <n v="2"/>
    <n v="2764"/>
    <n v="1382"/>
    <n v="29024"/>
    <n v="1382"/>
    <n v="31788"/>
  </r>
  <r>
    <n v="1750"/>
    <x v="6"/>
    <s v="Male"/>
    <n v="34"/>
    <s v="Chennai"/>
    <x v="3"/>
    <n v="28785"/>
    <d v="2022-06-23T00:00:00"/>
    <n v="7"/>
    <n v="5"/>
    <n v="2878"/>
    <n v="1439"/>
    <n v="30224"/>
    <n v="1439"/>
    <n v="33102"/>
  </r>
  <r>
    <n v="1751"/>
    <x v="5"/>
    <s v="Female"/>
    <n v="52"/>
    <s v="Delhi"/>
    <x v="0"/>
    <n v="41532"/>
    <d v="2022-03-02T00:00:00"/>
    <n v="19"/>
    <n v="2"/>
    <n v="4153"/>
    <n v="2077"/>
    <n v="43608"/>
    <n v="2077"/>
    <n v="47762"/>
  </r>
  <r>
    <n v="1752"/>
    <x v="5"/>
    <s v="Female"/>
    <n v="41"/>
    <s v="Bangalore"/>
    <x v="2"/>
    <n v="47225"/>
    <d v="2023-10-06T00:00:00"/>
    <n v="17"/>
    <n v="4"/>
    <n v="4722"/>
    <n v="2361"/>
    <n v="49586"/>
    <n v="2361"/>
    <n v="54308"/>
  </r>
  <r>
    <n v="1753"/>
    <x v="0"/>
    <s v="Female"/>
    <n v="35"/>
    <s v="Delhi"/>
    <x v="4"/>
    <n v="59483"/>
    <d v="2022-11-14T00:00:00"/>
    <n v="17"/>
    <n v="5"/>
    <n v="5948"/>
    <n v="2974"/>
    <n v="62457"/>
    <n v="2974"/>
    <n v="68405"/>
  </r>
  <r>
    <n v="1754"/>
    <x v="3"/>
    <s v="Female"/>
    <n v="30"/>
    <s v="Hyderabad"/>
    <x v="1"/>
    <n v="57178"/>
    <d v="2023-11-10T00:00:00"/>
    <n v="10"/>
    <n v="1"/>
    <n v="5718"/>
    <n v="2859"/>
    <n v="60037"/>
    <n v="2859"/>
    <n v="65755"/>
  </r>
  <r>
    <n v="1755"/>
    <x v="8"/>
    <s v="Female"/>
    <n v="51"/>
    <s v="Mumbai"/>
    <x v="3"/>
    <n v="28315"/>
    <d v="2023-05-06T00:00:00"/>
    <n v="12"/>
    <n v="3"/>
    <n v="2832"/>
    <n v="1416"/>
    <n v="29731"/>
    <n v="1416"/>
    <n v="32563"/>
  </r>
  <r>
    <n v="1756"/>
    <x v="6"/>
    <s v="Female"/>
    <n v="38"/>
    <s v="Bangalore"/>
    <x v="0"/>
    <n v="66821"/>
    <d v="2023-12-20T00:00:00"/>
    <n v="18"/>
    <n v="3"/>
    <n v="6682"/>
    <n v="3341"/>
    <n v="70162"/>
    <n v="3341"/>
    <n v="76844"/>
  </r>
  <r>
    <n v="1757"/>
    <x v="6"/>
    <s v="Male"/>
    <n v="32"/>
    <s v="Bangalore"/>
    <x v="3"/>
    <n v="74398"/>
    <d v="2023-09-17T00:00:00"/>
    <n v="7"/>
    <n v="5"/>
    <n v="7440"/>
    <n v="3720"/>
    <n v="78118"/>
    <n v="3720"/>
    <n v="85558"/>
  </r>
  <r>
    <n v="1758"/>
    <x v="8"/>
    <s v="Female"/>
    <n v="27"/>
    <s v="Bangalore"/>
    <x v="4"/>
    <n v="50227"/>
    <d v="2024-07-04T00:00:00"/>
    <n v="4"/>
    <n v="3"/>
    <n v="5023"/>
    <n v="2511"/>
    <n v="52739"/>
    <n v="0"/>
    <n v="55250"/>
  </r>
  <r>
    <n v="1759"/>
    <x v="6"/>
    <s v="Male"/>
    <n v="31"/>
    <s v="Bangalore"/>
    <x v="2"/>
    <n v="20471"/>
    <d v="2022-08-13T00:00:00"/>
    <n v="17"/>
    <n v="4"/>
    <n v="2047"/>
    <n v="1024"/>
    <n v="21494"/>
    <n v="1024"/>
    <n v="23542"/>
  </r>
  <r>
    <n v="1760"/>
    <x v="9"/>
    <s v="Male"/>
    <n v="55"/>
    <s v="Bangalore"/>
    <x v="1"/>
    <n v="76928"/>
    <d v="2022-12-10T00:00:00"/>
    <n v="12"/>
    <n v="1"/>
    <n v="7693"/>
    <n v="3846"/>
    <n v="80775"/>
    <n v="3846"/>
    <n v="88467"/>
  </r>
  <r>
    <n v="1761"/>
    <x v="3"/>
    <s v="Male"/>
    <n v="47"/>
    <s v="Chennai"/>
    <x v="0"/>
    <n v="36200"/>
    <d v="2022-11-08T00:00:00"/>
    <n v="6"/>
    <n v="3"/>
    <n v="3620"/>
    <n v="1810"/>
    <n v="38010"/>
    <n v="1810"/>
    <n v="41630"/>
  </r>
  <r>
    <n v="1762"/>
    <x v="2"/>
    <s v="Female"/>
    <n v="52"/>
    <s v="Bangalore"/>
    <x v="4"/>
    <n v="37208"/>
    <d v="2023-09-13T00:00:00"/>
    <n v="13"/>
    <n v="1"/>
    <n v="3721"/>
    <n v="1860"/>
    <n v="39069"/>
    <n v="1860"/>
    <n v="42789"/>
  </r>
  <r>
    <n v="1763"/>
    <x v="5"/>
    <s v="Male"/>
    <n v="55"/>
    <s v="Chennai"/>
    <x v="0"/>
    <n v="25806"/>
    <d v="2023-05-27T00:00:00"/>
    <n v="6"/>
    <n v="3"/>
    <n v="2581"/>
    <n v="1290"/>
    <n v="27097"/>
    <n v="1290"/>
    <n v="29677"/>
  </r>
  <r>
    <n v="1764"/>
    <x v="6"/>
    <s v="Male"/>
    <n v="28"/>
    <s v="Delhi"/>
    <x v="2"/>
    <n v="49231"/>
    <d v="2024-07-08T00:00:00"/>
    <n v="7"/>
    <n v="3"/>
    <n v="4923"/>
    <n v="2462"/>
    <n v="51692"/>
    <n v="2462"/>
    <n v="56616"/>
  </r>
  <r>
    <n v="1765"/>
    <x v="5"/>
    <s v="Male"/>
    <n v="32"/>
    <s v="Delhi"/>
    <x v="4"/>
    <n v="57600"/>
    <d v="2023-06-10T00:00:00"/>
    <n v="9"/>
    <n v="3"/>
    <n v="5760"/>
    <n v="2880"/>
    <n v="60480"/>
    <n v="2880"/>
    <n v="66240"/>
  </r>
  <r>
    <n v="1766"/>
    <x v="9"/>
    <s v="Female"/>
    <n v="43"/>
    <s v="Bangalore"/>
    <x v="2"/>
    <n v="80898"/>
    <d v="2023-12-28T00:00:00"/>
    <n v="14"/>
    <n v="2"/>
    <n v="8090"/>
    <n v="4045"/>
    <n v="84943"/>
    <n v="4045"/>
    <n v="93033"/>
  </r>
  <r>
    <n v="1767"/>
    <x v="9"/>
    <s v="Male"/>
    <n v="28"/>
    <s v="Mumbai"/>
    <x v="4"/>
    <n v="40045"/>
    <d v="2024-09-17T00:00:00"/>
    <n v="8"/>
    <n v="3"/>
    <n v="4004"/>
    <n v="2002"/>
    <n v="42047"/>
    <n v="2002"/>
    <n v="46051"/>
  </r>
  <r>
    <n v="1768"/>
    <x v="3"/>
    <s v="Male"/>
    <n v="25"/>
    <s v="Bangalore"/>
    <x v="4"/>
    <n v="93018"/>
    <d v="2023-06-15T00:00:00"/>
    <n v="19"/>
    <n v="5"/>
    <n v="9302"/>
    <n v="4651"/>
    <n v="97669"/>
    <n v="4651"/>
    <n v="106971"/>
  </r>
  <r>
    <n v="1769"/>
    <x v="1"/>
    <s v="Male"/>
    <n v="53"/>
    <s v="Bangalore"/>
    <x v="1"/>
    <n v="63869"/>
    <d v="2024-03-09T00:00:00"/>
    <n v="8"/>
    <n v="1"/>
    <n v="6387"/>
    <n v="3193"/>
    <n v="67063"/>
    <n v="3193"/>
    <n v="73449"/>
  </r>
  <r>
    <n v="1770"/>
    <x v="3"/>
    <s v="Female"/>
    <n v="47"/>
    <s v="Mumbai"/>
    <x v="2"/>
    <n v="78746"/>
    <d v="2022-06-12T00:00:00"/>
    <n v="4"/>
    <n v="4"/>
    <n v="7875"/>
    <n v="3937"/>
    <n v="82684"/>
    <n v="0"/>
    <n v="86621"/>
  </r>
  <r>
    <n v="1771"/>
    <x v="7"/>
    <s v="Female"/>
    <n v="46"/>
    <s v="Hyderabad"/>
    <x v="0"/>
    <n v="54872"/>
    <d v="2024-09-08T00:00:00"/>
    <n v="6"/>
    <n v="3"/>
    <n v="5487"/>
    <n v="2744"/>
    <n v="57615"/>
    <n v="2744"/>
    <n v="63103"/>
  </r>
  <r>
    <n v="1772"/>
    <x v="7"/>
    <s v="Male"/>
    <n v="43"/>
    <s v="Chennai"/>
    <x v="2"/>
    <n v="27740"/>
    <d v="2024-02-21T00:00:00"/>
    <n v="18"/>
    <n v="4"/>
    <n v="2774"/>
    <n v="1387"/>
    <n v="29127"/>
    <n v="1387"/>
    <n v="31901"/>
  </r>
  <r>
    <n v="1773"/>
    <x v="8"/>
    <s v="Male"/>
    <n v="39"/>
    <s v="Delhi"/>
    <x v="1"/>
    <n v="52646"/>
    <d v="2022-02-03T00:00:00"/>
    <n v="4"/>
    <n v="3"/>
    <n v="5265"/>
    <n v="2632"/>
    <n v="55279"/>
    <n v="0"/>
    <n v="57911"/>
  </r>
  <r>
    <n v="1774"/>
    <x v="7"/>
    <s v="Male"/>
    <n v="21"/>
    <s v="Delhi"/>
    <x v="1"/>
    <n v="88699"/>
    <d v="2022-02-16T00:00:00"/>
    <n v="15"/>
    <n v="5"/>
    <n v="8870"/>
    <n v="4435"/>
    <n v="93134"/>
    <n v="4435"/>
    <n v="102004"/>
  </r>
  <r>
    <n v="1775"/>
    <x v="6"/>
    <s v="Female"/>
    <n v="51"/>
    <s v="Delhi"/>
    <x v="3"/>
    <n v="52918"/>
    <d v="2022-11-01T00:00:00"/>
    <n v="6"/>
    <n v="1"/>
    <n v="5292"/>
    <n v="2646"/>
    <n v="55564"/>
    <n v="2646"/>
    <n v="60856"/>
  </r>
  <r>
    <n v="1776"/>
    <x v="2"/>
    <s v="Female"/>
    <n v="50"/>
    <s v="Hyderabad"/>
    <x v="0"/>
    <n v="75353"/>
    <d v="2022-01-09T00:00:00"/>
    <n v="6"/>
    <n v="2"/>
    <n v="7535"/>
    <n v="3768"/>
    <n v="79120"/>
    <n v="3768"/>
    <n v="86656"/>
  </r>
  <r>
    <n v="1777"/>
    <x v="7"/>
    <s v="Male"/>
    <n v="26"/>
    <s v="Mumbai"/>
    <x v="0"/>
    <n v="78093"/>
    <d v="2024-09-23T00:00:00"/>
    <n v="5"/>
    <n v="5"/>
    <n v="7809"/>
    <n v="3905"/>
    <n v="81997"/>
    <n v="0"/>
    <n v="85902"/>
  </r>
  <r>
    <n v="1778"/>
    <x v="7"/>
    <s v="Male"/>
    <n v="33"/>
    <s v="Mumbai"/>
    <x v="2"/>
    <n v="29894"/>
    <d v="2024-02-11T00:00:00"/>
    <n v="3"/>
    <n v="4"/>
    <n v="2989"/>
    <n v="1495"/>
    <n v="31388"/>
    <n v="0"/>
    <n v="32883"/>
  </r>
  <r>
    <n v="1779"/>
    <x v="9"/>
    <s v="Male"/>
    <n v="55"/>
    <s v="Hyderabad"/>
    <x v="2"/>
    <n v="88144"/>
    <d v="2022-09-27T00:00:00"/>
    <n v="17"/>
    <n v="4"/>
    <n v="8814"/>
    <n v="4407"/>
    <n v="92551"/>
    <n v="4407"/>
    <n v="101365"/>
  </r>
  <r>
    <n v="1780"/>
    <x v="3"/>
    <s v="Female"/>
    <n v="40"/>
    <s v="Bangalore"/>
    <x v="4"/>
    <n v="56449"/>
    <d v="2022-06-22T00:00:00"/>
    <n v="7"/>
    <n v="2"/>
    <n v="5645"/>
    <n v="2822"/>
    <n v="59272"/>
    <n v="2822"/>
    <n v="64916"/>
  </r>
  <r>
    <n v="1781"/>
    <x v="1"/>
    <s v="Female"/>
    <n v="36"/>
    <s v="Delhi"/>
    <x v="0"/>
    <n v="78605"/>
    <d v="2022-08-11T00:00:00"/>
    <n v="4"/>
    <n v="4"/>
    <n v="7860"/>
    <n v="3930"/>
    <n v="82535"/>
    <n v="0"/>
    <n v="86465"/>
  </r>
  <r>
    <n v="1782"/>
    <x v="9"/>
    <s v="Male"/>
    <n v="53"/>
    <s v="Mumbai"/>
    <x v="4"/>
    <n v="77043"/>
    <d v="2022-02-28T00:00:00"/>
    <n v="13"/>
    <n v="1"/>
    <n v="7704"/>
    <n v="3852"/>
    <n v="80895"/>
    <n v="3852"/>
    <n v="88599"/>
  </r>
  <r>
    <n v="1783"/>
    <x v="3"/>
    <s v="Male"/>
    <n v="21"/>
    <s v="Bangalore"/>
    <x v="1"/>
    <n v="64598"/>
    <d v="2022-02-07T00:00:00"/>
    <n v="2"/>
    <n v="5"/>
    <n v="6460"/>
    <n v="3230"/>
    <n v="67828"/>
    <n v="0"/>
    <n v="71058"/>
  </r>
  <r>
    <n v="1784"/>
    <x v="6"/>
    <s v="Female"/>
    <n v="39"/>
    <s v="Bangalore"/>
    <x v="0"/>
    <n v="66554"/>
    <d v="2023-08-10T00:00:00"/>
    <n v="11"/>
    <n v="3"/>
    <n v="6655"/>
    <n v="3328"/>
    <n v="69881"/>
    <n v="3328"/>
    <n v="76537"/>
  </r>
  <r>
    <n v="1785"/>
    <x v="2"/>
    <s v="Female"/>
    <n v="53"/>
    <s v="Mumbai"/>
    <x v="4"/>
    <n v="80895"/>
    <d v="2024-08-03T00:00:00"/>
    <n v="19"/>
    <n v="1"/>
    <n v="8090"/>
    <n v="4045"/>
    <n v="84940"/>
    <n v="4045"/>
    <n v="93030"/>
  </r>
  <r>
    <n v="1786"/>
    <x v="7"/>
    <s v="Male"/>
    <n v="48"/>
    <s v="Delhi"/>
    <x v="3"/>
    <n v="79069"/>
    <d v="2023-10-24T00:00:00"/>
    <n v="12"/>
    <n v="3"/>
    <n v="7907"/>
    <n v="3953"/>
    <n v="83023"/>
    <n v="3953"/>
    <n v="90929"/>
  </r>
  <r>
    <n v="1787"/>
    <x v="0"/>
    <s v="Male"/>
    <n v="36"/>
    <s v="Chennai"/>
    <x v="1"/>
    <n v="79793"/>
    <d v="2022-07-10T00:00:00"/>
    <n v="1"/>
    <n v="5"/>
    <n v="7979"/>
    <n v="3990"/>
    <n v="83782"/>
    <n v="0"/>
    <n v="87772"/>
  </r>
  <r>
    <n v="1788"/>
    <x v="7"/>
    <s v="Male"/>
    <n v="30"/>
    <s v="Bangalore"/>
    <x v="0"/>
    <n v="93033"/>
    <d v="2022-12-10T00:00:00"/>
    <n v="3"/>
    <n v="5"/>
    <n v="9303"/>
    <n v="4652"/>
    <n v="97684"/>
    <n v="0"/>
    <n v="102336"/>
  </r>
  <r>
    <n v="1789"/>
    <x v="5"/>
    <s v="Female"/>
    <n v="38"/>
    <s v="Delhi"/>
    <x v="3"/>
    <n v="65084"/>
    <d v="2024-01-26T00:00:00"/>
    <n v="4"/>
    <n v="4"/>
    <n v="6508"/>
    <n v="3254"/>
    <n v="68338"/>
    <n v="0"/>
    <n v="71592"/>
  </r>
  <r>
    <n v="1790"/>
    <x v="2"/>
    <s v="Male"/>
    <n v="36"/>
    <s v="Mumbai"/>
    <x v="4"/>
    <n v="50756"/>
    <d v="2023-09-12T00:00:00"/>
    <n v="7"/>
    <n v="4"/>
    <n v="5076"/>
    <n v="2538"/>
    <n v="53294"/>
    <n v="2538"/>
    <n v="58370"/>
  </r>
  <r>
    <n v="1791"/>
    <x v="3"/>
    <s v="Female"/>
    <n v="57"/>
    <s v="Mumbai"/>
    <x v="2"/>
    <n v="74955"/>
    <d v="2022-07-10T00:00:00"/>
    <n v="17"/>
    <n v="3"/>
    <n v="7496"/>
    <n v="3748"/>
    <n v="78703"/>
    <n v="3748"/>
    <n v="86199"/>
  </r>
  <r>
    <n v="1792"/>
    <x v="3"/>
    <s v="Female"/>
    <n v="49"/>
    <s v="Mumbai"/>
    <x v="0"/>
    <n v="29755"/>
    <d v="2024-05-17T00:00:00"/>
    <n v="18"/>
    <n v="4"/>
    <n v="2976"/>
    <n v="1488"/>
    <n v="31243"/>
    <n v="1488"/>
    <n v="34219"/>
  </r>
  <r>
    <n v="1793"/>
    <x v="2"/>
    <s v="Female"/>
    <n v="56"/>
    <s v="Mumbai"/>
    <x v="1"/>
    <n v="60618"/>
    <d v="2022-10-18T00:00:00"/>
    <n v="3"/>
    <n v="3"/>
    <n v="6062"/>
    <n v="3031"/>
    <n v="63649"/>
    <n v="0"/>
    <n v="66680"/>
  </r>
  <r>
    <n v="1794"/>
    <x v="3"/>
    <s v="Female"/>
    <n v="44"/>
    <s v="Chennai"/>
    <x v="3"/>
    <n v="62283"/>
    <d v="2024-02-05T00:00:00"/>
    <n v="5"/>
    <n v="5"/>
    <n v="6228"/>
    <n v="3114"/>
    <n v="65397"/>
    <n v="0"/>
    <n v="68511"/>
  </r>
  <r>
    <n v="1795"/>
    <x v="5"/>
    <s v="Male"/>
    <n v="54"/>
    <s v="Delhi"/>
    <x v="2"/>
    <n v="50752"/>
    <d v="2023-10-24T00:00:00"/>
    <n v="14"/>
    <n v="3"/>
    <n v="5075"/>
    <n v="2538"/>
    <n v="53289"/>
    <n v="2538"/>
    <n v="58365"/>
  </r>
  <r>
    <n v="1796"/>
    <x v="1"/>
    <s v="Female"/>
    <n v="23"/>
    <s v="Bangalore"/>
    <x v="1"/>
    <n v="95356"/>
    <d v="2022-09-28T00:00:00"/>
    <n v="14"/>
    <n v="3"/>
    <n v="9536"/>
    <n v="4768"/>
    <n v="100124"/>
    <n v="4768"/>
    <n v="109660"/>
  </r>
  <r>
    <n v="1797"/>
    <x v="9"/>
    <s v="Female"/>
    <n v="33"/>
    <s v="Mumbai"/>
    <x v="3"/>
    <n v="90958"/>
    <d v="2022-01-22T00:00:00"/>
    <n v="18"/>
    <n v="3"/>
    <n v="9096"/>
    <n v="4548"/>
    <n v="95506"/>
    <n v="4548"/>
    <n v="104602"/>
  </r>
  <r>
    <n v="1798"/>
    <x v="8"/>
    <s v="Male"/>
    <n v="41"/>
    <s v="Mumbai"/>
    <x v="0"/>
    <n v="92108"/>
    <d v="2024-04-04T00:00:00"/>
    <n v="2"/>
    <n v="5"/>
    <n v="9211"/>
    <n v="4605"/>
    <n v="96714"/>
    <n v="0"/>
    <n v="101319"/>
  </r>
  <r>
    <n v="1799"/>
    <x v="8"/>
    <s v="Male"/>
    <n v="47"/>
    <s v="Chennai"/>
    <x v="0"/>
    <n v="97481"/>
    <d v="2024-07-06T00:00:00"/>
    <n v="17"/>
    <n v="3"/>
    <n v="9748"/>
    <n v="4874"/>
    <n v="102355"/>
    <n v="4874"/>
    <n v="112103"/>
  </r>
  <r>
    <n v="1800"/>
    <x v="5"/>
    <s v="Female"/>
    <n v="38"/>
    <s v="Hyderabad"/>
    <x v="4"/>
    <n v="83549"/>
    <d v="2022-11-03T00:00:00"/>
    <n v="18"/>
    <n v="5"/>
    <n v="8355"/>
    <n v="4177"/>
    <n v="87727"/>
    <n v="4177"/>
    <n v="96081"/>
  </r>
  <r>
    <n v="1801"/>
    <x v="0"/>
    <s v="Male"/>
    <n v="43"/>
    <s v="Hyderabad"/>
    <x v="1"/>
    <n v="93018"/>
    <d v="2022-02-07T00:00:00"/>
    <n v="9"/>
    <n v="1"/>
    <n v="9302"/>
    <n v="4651"/>
    <n v="97669"/>
    <n v="4651"/>
    <n v="106971"/>
  </r>
  <r>
    <n v="1802"/>
    <x v="1"/>
    <s v="Female"/>
    <n v="44"/>
    <s v="Delhi"/>
    <x v="0"/>
    <n v="27717"/>
    <d v="2024-03-12T00:00:00"/>
    <n v="20"/>
    <n v="1"/>
    <n v="2772"/>
    <n v="1386"/>
    <n v="29103"/>
    <n v="1386"/>
    <n v="31875"/>
  </r>
  <r>
    <n v="1803"/>
    <x v="5"/>
    <s v="Male"/>
    <n v="22"/>
    <s v="Mumbai"/>
    <x v="3"/>
    <n v="62821"/>
    <d v="2022-01-15T00:00:00"/>
    <n v="7"/>
    <n v="1"/>
    <n v="6282"/>
    <n v="3141"/>
    <n v="65962"/>
    <n v="3141"/>
    <n v="72244"/>
  </r>
  <r>
    <n v="1804"/>
    <x v="0"/>
    <s v="Female"/>
    <n v="55"/>
    <s v="Mumbai"/>
    <x v="4"/>
    <n v="77427"/>
    <d v="2022-08-14T00:00:00"/>
    <n v="6"/>
    <n v="4"/>
    <n v="7743"/>
    <n v="3871"/>
    <n v="81299"/>
    <n v="3871"/>
    <n v="89041"/>
  </r>
  <r>
    <n v="1805"/>
    <x v="6"/>
    <s v="Male"/>
    <n v="24"/>
    <s v="Delhi"/>
    <x v="2"/>
    <n v="77046"/>
    <d v="2024-09-13T00:00:00"/>
    <n v="2"/>
    <n v="3"/>
    <n v="7705"/>
    <n v="3852"/>
    <n v="80899"/>
    <n v="0"/>
    <n v="84751"/>
  </r>
  <r>
    <n v="1806"/>
    <x v="5"/>
    <s v="Female"/>
    <n v="22"/>
    <s v="Bangalore"/>
    <x v="1"/>
    <n v="25332"/>
    <d v="2022-05-19T00:00:00"/>
    <n v="12"/>
    <n v="1"/>
    <n v="2533"/>
    <n v="1267"/>
    <n v="26598"/>
    <n v="1267"/>
    <n v="29132"/>
  </r>
  <r>
    <n v="1807"/>
    <x v="6"/>
    <s v="Female"/>
    <n v="49"/>
    <s v="Bangalore"/>
    <x v="3"/>
    <n v="51533"/>
    <d v="2023-08-05T00:00:00"/>
    <n v="10"/>
    <n v="5"/>
    <n v="5153"/>
    <n v="2577"/>
    <n v="54109"/>
    <n v="2577"/>
    <n v="59263"/>
  </r>
  <r>
    <n v="1808"/>
    <x v="4"/>
    <s v="Female"/>
    <n v="29"/>
    <s v="Chennai"/>
    <x v="2"/>
    <n v="70059"/>
    <d v="2024-01-12T00:00:00"/>
    <n v="12"/>
    <n v="1"/>
    <n v="7006"/>
    <n v="3503"/>
    <n v="73562"/>
    <n v="3503"/>
    <n v="80568"/>
  </r>
  <r>
    <n v="1809"/>
    <x v="2"/>
    <s v="Female"/>
    <n v="37"/>
    <s v="Mumbai"/>
    <x v="2"/>
    <n v="94660"/>
    <d v="2024-06-16T00:00:00"/>
    <n v="15"/>
    <n v="4"/>
    <n v="9466"/>
    <n v="4733"/>
    <n v="99393"/>
    <n v="4733"/>
    <n v="108859"/>
  </r>
  <r>
    <n v="1810"/>
    <x v="4"/>
    <s v="Female"/>
    <n v="58"/>
    <s v="Mumbai"/>
    <x v="4"/>
    <n v="50969"/>
    <d v="2023-10-17T00:00:00"/>
    <n v="8"/>
    <n v="3"/>
    <n v="5097"/>
    <n v="2548"/>
    <n v="53518"/>
    <n v="2548"/>
    <n v="58614"/>
  </r>
  <r>
    <n v="1811"/>
    <x v="8"/>
    <s v="Female"/>
    <n v="47"/>
    <s v="Chennai"/>
    <x v="4"/>
    <n v="79047"/>
    <d v="2024-07-05T00:00:00"/>
    <n v="5"/>
    <n v="2"/>
    <n v="7905"/>
    <n v="3952"/>
    <n v="83000"/>
    <n v="0"/>
    <n v="86952"/>
  </r>
  <r>
    <n v="1812"/>
    <x v="9"/>
    <s v="Male"/>
    <n v="56"/>
    <s v="Hyderabad"/>
    <x v="4"/>
    <n v="75787"/>
    <d v="2023-04-27T00:00:00"/>
    <n v="9"/>
    <n v="2"/>
    <n v="7579"/>
    <n v="3789"/>
    <n v="79577"/>
    <n v="3789"/>
    <n v="87155"/>
  </r>
  <r>
    <n v="1813"/>
    <x v="3"/>
    <s v="Female"/>
    <n v="21"/>
    <s v="Chennai"/>
    <x v="1"/>
    <n v="35967"/>
    <d v="2024-08-20T00:00:00"/>
    <n v="12"/>
    <n v="3"/>
    <n v="3597"/>
    <n v="1798"/>
    <n v="37766"/>
    <n v="1798"/>
    <n v="41362"/>
  </r>
  <r>
    <n v="1814"/>
    <x v="6"/>
    <s v="Female"/>
    <n v="57"/>
    <s v="Chennai"/>
    <x v="3"/>
    <n v="27161"/>
    <d v="2023-01-06T00:00:00"/>
    <n v="10"/>
    <n v="1"/>
    <n v="2716"/>
    <n v="1358"/>
    <n v="28519"/>
    <n v="1358"/>
    <n v="31235"/>
  </r>
  <r>
    <n v="1815"/>
    <x v="0"/>
    <s v="Female"/>
    <n v="28"/>
    <s v="Hyderabad"/>
    <x v="4"/>
    <n v="78124"/>
    <d v="2022-05-12T00:00:00"/>
    <n v="3"/>
    <n v="2"/>
    <n v="7812"/>
    <n v="3906"/>
    <n v="82030"/>
    <n v="0"/>
    <n v="85936"/>
  </r>
  <r>
    <n v="1816"/>
    <x v="6"/>
    <s v="Female"/>
    <n v="52"/>
    <s v="Chennai"/>
    <x v="1"/>
    <n v="56633"/>
    <d v="2022-12-18T00:00:00"/>
    <n v="9"/>
    <n v="1"/>
    <n v="5663"/>
    <n v="2832"/>
    <n v="59464"/>
    <n v="2832"/>
    <n v="65128"/>
  </r>
  <r>
    <n v="1817"/>
    <x v="3"/>
    <s v="Female"/>
    <n v="51"/>
    <s v="Bangalore"/>
    <x v="4"/>
    <n v="82995"/>
    <d v="2024-05-21T00:00:00"/>
    <n v="1"/>
    <n v="1"/>
    <n v="8300"/>
    <n v="4150"/>
    <n v="87145"/>
    <n v="0"/>
    <n v="91295"/>
  </r>
  <r>
    <n v="1818"/>
    <x v="2"/>
    <s v="Male"/>
    <n v="21"/>
    <s v="Bangalore"/>
    <x v="3"/>
    <n v="76423"/>
    <d v="2024-01-29T00:00:00"/>
    <n v="18"/>
    <n v="2"/>
    <n v="7642"/>
    <n v="3821"/>
    <n v="80244"/>
    <n v="3821"/>
    <n v="87886"/>
  </r>
  <r>
    <n v="1819"/>
    <x v="1"/>
    <s v="Male"/>
    <n v="42"/>
    <s v="Bangalore"/>
    <x v="4"/>
    <n v="99583"/>
    <d v="2022-01-18T00:00:00"/>
    <n v="4"/>
    <n v="4"/>
    <n v="9958"/>
    <n v="4979"/>
    <n v="104562"/>
    <n v="0"/>
    <n v="109541"/>
  </r>
  <r>
    <n v="1820"/>
    <x v="0"/>
    <s v="Male"/>
    <n v="25"/>
    <s v="Delhi"/>
    <x v="3"/>
    <n v="26824"/>
    <d v="2023-06-06T00:00:00"/>
    <n v="4"/>
    <n v="3"/>
    <n v="2682"/>
    <n v="1341"/>
    <n v="28165"/>
    <n v="0"/>
    <n v="29506"/>
  </r>
  <r>
    <n v="1821"/>
    <x v="0"/>
    <s v="Female"/>
    <n v="48"/>
    <s v="Chennai"/>
    <x v="2"/>
    <n v="49147"/>
    <d v="2024-05-30T00:00:00"/>
    <n v="19"/>
    <n v="5"/>
    <n v="4915"/>
    <n v="2457"/>
    <n v="51605"/>
    <n v="2457"/>
    <n v="56519"/>
  </r>
  <r>
    <n v="1822"/>
    <x v="2"/>
    <s v="Male"/>
    <n v="31"/>
    <s v="Hyderabad"/>
    <x v="0"/>
    <n v="65971"/>
    <d v="2024-07-30T00:00:00"/>
    <n v="18"/>
    <n v="1"/>
    <n v="6597"/>
    <n v="3299"/>
    <n v="69269"/>
    <n v="3299"/>
    <n v="75867"/>
  </r>
  <r>
    <n v="1823"/>
    <x v="9"/>
    <s v="Male"/>
    <n v="38"/>
    <s v="Delhi"/>
    <x v="3"/>
    <n v="23626"/>
    <d v="2022-12-04T00:00:00"/>
    <n v="12"/>
    <n v="3"/>
    <n v="2363"/>
    <n v="1181"/>
    <n v="24808"/>
    <n v="1181"/>
    <n v="27170"/>
  </r>
  <r>
    <n v="1824"/>
    <x v="9"/>
    <s v="Female"/>
    <n v="27"/>
    <s v="Hyderabad"/>
    <x v="4"/>
    <n v="85037"/>
    <d v="2023-07-13T00:00:00"/>
    <n v="8"/>
    <n v="4"/>
    <n v="8504"/>
    <n v="4252"/>
    <n v="89289"/>
    <n v="4252"/>
    <n v="97793"/>
  </r>
  <r>
    <n v="1825"/>
    <x v="5"/>
    <s v="Male"/>
    <n v="57"/>
    <s v="Hyderabad"/>
    <x v="0"/>
    <n v="55637"/>
    <d v="2022-09-04T00:00:00"/>
    <n v="5"/>
    <n v="3"/>
    <n v="5564"/>
    <n v="2782"/>
    <n v="58419"/>
    <n v="0"/>
    <n v="61201"/>
  </r>
  <r>
    <n v="1826"/>
    <x v="2"/>
    <s v="Male"/>
    <n v="48"/>
    <s v="Delhi"/>
    <x v="1"/>
    <n v="43813"/>
    <d v="2023-12-06T00:00:00"/>
    <n v="16"/>
    <n v="4"/>
    <n v="4381"/>
    <n v="2191"/>
    <n v="46003"/>
    <n v="2191"/>
    <n v="50385"/>
  </r>
  <r>
    <n v="1827"/>
    <x v="3"/>
    <s v="Female"/>
    <n v="32"/>
    <s v="Chennai"/>
    <x v="0"/>
    <n v="20272"/>
    <d v="2024-05-25T00:00:00"/>
    <n v="14"/>
    <n v="1"/>
    <n v="2027"/>
    <n v="1014"/>
    <n v="21285"/>
    <n v="1014"/>
    <n v="23313"/>
  </r>
  <r>
    <n v="1828"/>
    <x v="3"/>
    <s v="Male"/>
    <n v="44"/>
    <s v="Mumbai"/>
    <x v="1"/>
    <n v="80346"/>
    <d v="2024-02-27T00:00:00"/>
    <n v="1"/>
    <n v="3"/>
    <n v="8035"/>
    <n v="4017"/>
    <n v="84364"/>
    <n v="0"/>
    <n v="88381"/>
  </r>
  <r>
    <n v="1829"/>
    <x v="3"/>
    <s v="Female"/>
    <n v="41"/>
    <s v="Chennai"/>
    <x v="2"/>
    <n v="55500"/>
    <d v="2022-05-04T00:00:00"/>
    <n v="17"/>
    <n v="3"/>
    <n v="5550"/>
    <n v="2775"/>
    <n v="58275"/>
    <n v="2775"/>
    <n v="63825"/>
  </r>
  <r>
    <n v="1830"/>
    <x v="7"/>
    <s v="Male"/>
    <n v="42"/>
    <s v="Bangalore"/>
    <x v="1"/>
    <n v="22608"/>
    <d v="2022-07-18T00:00:00"/>
    <n v="8"/>
    <n v="2"/>
    <n v="2261"/>
    <n v="1130"/>
    <n v="23739"/>
    <n v="1130"/>
    <n v="25999"/>
  </r>
  <r>
    <n v="1831"/>
    <x v="8"/>
    <s v="Female"/>
    <n v="57"/>
    <s v="Hyderabad"/>
    <x v="3"/>
    <n v="47862"/>
    <d v="2023-09-16T00:00:00"/>
    <n v="6"/>
    <n v="1"/>
    <n v="4786"/>
    <n v="2393"/>
    <n v="50255"/>
    <n v="2393"/>
    <n v="55041"/>
  </r>
  <r>
    <n v="1832"/>
    <x v="3"/>
    <s v="Female"/>
    <n v="45"/>
    <s v="Hyderabad"/>
    <x v="2"/>
    <n v="65303"/>
    <d v="2024-06-27T00:00:00"/>
    <n v="2"/>
    <n v="4"/>
    <n v="6530"/>
    <n v="3265"/>
    <n v="68568"/>
    <n v="0"/>
    <n v="71833"/>
  </r>
  <r>
    <n v="1833"/>
    <x v="1"/>
    <s v="Female"/>
    <n v="35"/>
    <s v="Hyderabad"/>
    <x v="0"/>
    <n v="35861"/>
    <d v="2022-11-11T00:00:00"/>
    <n v="9"/>
    <n v="3"/>
    <n v="3586"/>
    <n v="1793"/>
    <n v="37654"/>
    <n v="1793"/>
    <n v="41240"/>
  </r>
  <r>
    <n v="1834"/>
    <x v="3"/>
    <s v="Female"/>
    <n v="37"/>
    <s v="Bangalore"/>
    <x v="2"/>
    <n v="34228"/>
    <d v="2022-12-27T00:00:00"/>
    <n v="11"/>
    <n v="3"/>
    <n v="3423"/>
    <n v="1711"/>
    <n v="35940"/>
    <n v="1711"/>
    <n v="39362"/>
  </r>
  <r>
    <n v="1835"/>
    <x v="6"/>
    <s v="Male"/>
    <n v="59"/>
    <s v="Chennai"/>
    <x v="2"/>
    <n v="92431"/>
    <d v="2023-12-08T00:00:00"/>
    <n v="1"/>
    <n v="2"/>
    <n v="9243"/>
    <n v="4622"/>
    <n v="97052"/>
    <n v="0"/>
    <n v="101674"/>
  </r>
  <r>
    <n v="1836"/>
    <x v="9"/>
    <s v="Female"/>
    <n v="55"/>
    <s v="Mumbai"/>
    <x v="3"/>
    <n v="59106"/>
    <d v="2022-02-12T00:00:00"/>
    <n v="5"/>
    <n v="2"/>
    <n v="5911"/>
    <n v="2955"/>
    <n v="62062"/>
    <n v="0"/>
    <n v="65017"/>
  </r>
  <r>
    <n v="1837"/>
    <x v="5"/>
    <s v="Female"/>
    <n v="36"/>
    <s v="Mumbai"/>
    <x v="2"/>
    <n v="43342"/>
    <d v="2024-02-21T00:00:00"/>
    <n v="18"/>
    <n v="1"/>
    <n v="4334"/>
    <n v="2167"/>
    <n v="45509"/>
    <n v="2167"/>
    <n v="49843"/>
  </r>
  <r>
    <n v="1838"/>
    <x v="3"/>
    <s v="Female"/>
    <n v="30"/>
    <s v="Delhi"/>
    <x v="2"/>
    <n v="93184"/>
    <d v="2024-05-06T00:00:00"/>
    <n v="19"/>
    <n v="4"/>
    <n v="9318"/>
    <n v="4659"/>
    <n v="97843"/>
    <n v="4659"/>
    <n v="107161"/>
  </r>
  <r>
    <n v="1839"/>
    <x v="9"/>
    <s v="Female"/>
    <n v="35"/>
    <s v="Chennai"/>
    <x v="3"/>
    <n v="46033"/>
    <d v="2024-02-12T00:00:00"/>
    <n v="11"/>
    <n v="1"/>
    <n v="4603"/>
    <n v="2302"/>
    <n v="48334"/>
    <n v="2302"/>
    <n v="52938"/>
  </r>
  <r>
    <n v="1840"/>
    <x v="8"/>
    <s v="Male"/>
    <n v="44"/>
    <s v="Delhi"/>
    <x v="1"/>
    <n v="90729"/>
    <d v="2024-07-17T00:00:00"/>
    <n v="5"/>
    <n v="1"/>
    <n v="9073"/>
    <n v="4536"/>
    <n v="95266"/>
    <n v="0"/>
    <n v="99802"/>
  </r>
  <r>
    <n v="1841"/>
    <x v="0"/>
    <s v="Male"/>
    <n v="26"/>
    <s v="Bangalore"/>
    <x v="2"/>
    <n v="91411"/>
    <d v="2023-12-07T00:00:00"/>
    <n v="16"/>
    <n v="5"/>
    <n v="9141"/>
    <n v="4571"/>
    <n v="95981"/>
    <n v="4571"/>
    <n v="105123"/>
  </r>
  <r>
    <n v="1842"/>
    <x v="6"/>
    <s v="Female"/>
    <n v="25"/>
    <s v="Mumbai"/>
    <x v="2"/>
    <n v="81350"/>
    <d v="2022-04-10T00:00:00"/>
    <n v="7"/>
    <n v="1"/>
    <n v="8135"/>
    <n v="4068"/>
    <n v="85417"/>
    <n v="4068"/>
    <n v="93553"/>
  </r>
  <r>
    <n v="1843"/>
    <x v="3"/>
    <s v="Female"/>
    <n v="50"/>
    <s v="Delhi"/>
    <x v="2"/>
    <n v="84946"/>
    <d v="2023-10-10T00:00:00"/>
    <n v="9"/>
    <n v="3"/>
    <n v="8495"/>
    <n v="4247"/>
    <n v="89194"/>
    <n v="4247"/>
    <n v="97688"/>
  </r>
  <r>
    <n v="1844"/>
    <x v="8"/>
    <s v="Male"/>
    <n v="24"/>
    <s v="Hyderabad"/>
    <x v="1"/>
    <n v="50596"/>
    <d v="2023-08-02T00:00:00"/>
    <n v="10"/>
    <n v="3"/>
    <n v="5060"/>
    <n v="2530"/>
    <n v="53126"/>
    <n v="2530"/>
    <n v="58186"/>
  </r>
  <r>
    <n v="1845"/>
    <x v="2"/>
    <s v="Female"/>
    <n v="41"/>
    <s v="Hyderabad"/>
    <x v="3"/>
    <n v="23235"/>
    <d v="2023-10-13T00:00:00"/>
    <n v="8"/>
    <n v="3"/>
    <n v="2324"/>
    <n v="1162"/>
    <n v="24397"/>
    <n v="1162"/>
    <n v="26721"/>
  </r>
  <r>
    <n v="1846"/>
    <x v="4"/>
    <s v="Male"/>
    <n v="55"/>
    <s v="Mumbai"/>
    <x v="0"/>
    <n v="24153"/>
    <d v="2022-03-12T00:00:00"/>
    <n v="12"/>
    <n v="2"/>
    <n v="2415"/>
    <n v="1208"/>
    <n v="25360"/>
    <n v="1208"/>
    <n v="27776"/>
  </r>
  <r>
    <n v="1847"/>
    <x v="3"/>
    <s v="Female"/>
    <n v="32"/>
    <s v="Bangalore"/>
    <x v="3"/>
    <n v="80589"/>
    <d v="2022-03-24T00:00:00"/>
    <n v="2"/>
    <n v="1"/>
    <n v="8059"/>
    <n v="4029"/>
    <n v="84619"/>
    <n v="0"/>
    <n v="88648"/>
  </r>
  <r>
    <n v="1848"/>
    <x v="6"/>
    <s v="Male"/>
    <n v="56"/>
    <s v="Delhi"/>
    <x v="1"/>
    <n v="71707"/>
    <d v="2022-10-12T00:00:00"/>
    <n v="5"/>
    <n v="5"/>
    <n v="7171"/>
    <n v="3585"/>
    <n v="75293"/>
    <n v="0"/>
    <n v="78878"/>
  </r>
  <r>
    <n v="1849"/>
    <x v="3"/>
    <s v="Female"/>
    <n v="24"/>
    <s v="Hyderabad"/>
    <x v="0"/>
    <n v="53121"/>
    <d v="2023-08-19T00:00:00"/>
    <n v="13"/>
    <n v="1"/>
    <n v="5312"/>
    <n v="2656"/>
    <n v="55777"/>
    <n v="2656"/>
    <n v="61089"/>
  </r>
  <r>
    <n v="1850"/>
    <x v="0"/>
    <s v="Male"/>
    <n v="23"/>
    <s v="Delhi"/>
    <x v="1"/>
    <n v="67522"/>
    <d v="2023-09-11T00:00:00"/>
    <n v="3"/>
    <n v="4"/>
    <n v="6752"/>
    <n v="3376"/>
    <n v="70898"/>
    <n v="0"/>
    <n v="74274"/>
  </r>
  <r>
    <n v="1851"/>
    <x v="2"/>
    <s v="Male"/>
    <n v="46"/>
    <s v="Delhi"/>
    <x v="2"/>
    <n v="73530"/>
    <d v="2022-06-21T00:00:00"/>
    <n v="14"/>
    <n v="4"/>
    <n v="7353"/>
    <n v="3676"/>
    <n v="77207"/>
    <n v="3676"/>
    <n v="84559"/>
  </r>
  <r>
    <n v="1852"/>
    <x v="0"/>
    <s v="Male"/>
    <n v="35"/>
    <s v="Bangalore"/>
    <x v="1"/>
    <n v="68711"/>
    <d v="2023-08-19T00:00:00"/>
    <n v="3"/>
    <n v="1"/>
    <n v="6871"/>
    <n v="3436"/>
    <n v="72146"/>
    <n v="0"/>
    <n v="75582"/>
  </r>
  <r>
    <n v="1853"/>
    <x v="7"/>
    <s v="Male"/>
    <n v="46"/>
    <s v="Mumbai"/>
    <x v="0"/>
    <n v="40314"/>
    <d v="2022-09-18T00:00:00"/>
    <n v="7"/>
    <n v="5"/>
    <n v="4031"/>
    <n v="2016"/>
    <n v="42329"/>
    <n v="2016"/>
    <n v="46361"/>
  </r>
  <r>
    <n v="1854"/>
    <x v="9"/>
    <s v="Male"/>
    <n v="38"/>
    <s v="Chennai"/>
    <x v="4"/>
    <n v="42784"/>
    <d v="2022-09-05T00:00:00"/>
    <n v="5"/>
    <n v="2"/>
    <n v="4278"/>
    <n v="2139"/>
    <n v="44923"/>
    <n v="0"/>
    <n v="47062"/>
  </r>
  <r>
    <n v="1855"/>
    <x v="2"/>
    <s v="Male"/>
    <n v="51"/>
    <s v="Mumbai"/>
    <x v="2"/>
    <n v="73799"/>
    <d v="2023-08-13T00:00:00"/>
    <n v="14"/>
    <n v="5"/>
    <n v="7380"/>
    <n v="3690"/>
    <n v="77489"/>
    <n v="3690"/>
    <n v="84869"/>
  </r>
  <r>
    <n v="1856"/>
    <x v="9"/>
    <s v="Female"/>
    <n v="43"/>
    <s v="Delhi"/>
    <x v="0"/>
    <n v="65875"/>
    <d v="2022-08-31T00:00:00"/>
    <n v="13"/>
    <n v="1"/>
    <n v="6588"/>
    <n v="3294"/>
    <n v="69169"/>
    <n v="3294"/>
    <n v="75757"/>
  </r>
  <r>
    <n v="1857"/>
    <x v="8"/>
    <s v="Male"/>
    <n v="45"/>
    <s v="Bangalore"/>
    <x v="3"/>
    <n v="83327"/>
    <d v="2023-09-18T00:00:00"/>
    <n v="15"/>
    <n v="5"/>
    <n v="8333"/>
    <n v="4166"/>
    <n v="87494"/>
    <n v="4166"/>
    <n v="95826"/>
  </r>
  <r>
    <n v="1858"/>
    <x v="1"/>
    <s v="Female"/>
    <n v="44"/>
    <s v="Bangalore"/>
    <x v="2"/>
    <n v="83157"/>
    <d v="2023-02-28T00:00:00"/>
    <n v="4"/>
    <n v="1"/>
    <n v="8316"/>
    <n v="4158"/>
    <n v="87315"/>
    <n v="0"/>
    <n v="91473"/>
  </r>
  <r>
    <n v="1859"/>
    <x v="4"/>
    <s v="Male"/>
    <n v="25"/>
    <s v="Delhi"/>
    <x v="3"/>
    <n v="77957"/>
    <d v="2024-06-16T00:00:00"/>
    <n v="18"/>
    <n v="4"/>
    <n v="7796"/>
    <n v="3898"/>
    <n v="81855"/>
    <n v="3898"/>
    <n v="89651"/>
  </r>
  <r>
    <n v="1860"/>
    <x v="3"/>
    <s v="Female"/>
    <n v="42"/>
    <s v="Delhi"/>
    <x v="4"/>
    <n v="74332"/>
    <d v="2024-06-20T00:00:00"/>
    <n v="5"/>
    <n v="3"/>
    <n v="7433"/>
    <n v="3717"/>
    <n v="78048"/>
    <n v="0"/>
    <n v="81765"/>
  </r>
  <r>
    <n v="1861"/>
    <x v="0"/>
    <s v="Female"/>
    <n v="49"/>
    <s v="Bangalore"/>
    <x v="4"/>
    <n v="65091"/>
    <d v="2023-12-06T00:00:00"/>
    <n v="12"/>
    <n v="3"/>
    <n v="6509"/>
    <n v="3255"/>
    <n v="68345"/>
    <n v="3255"/>
    <n v="74855"/>
  </r>
  <r>
    <n v="1862"/>
    <x v="6"/>
    <s v="Female"/>
    <n v="29"/>
    <s v="Hyderabad"/>
    <x v="3"/>
    <n v="88130"/>
    <d v="2023-09-27T00:00:00"/>
    <n v="9"/>
    <n v="3"/>
    <n v="8813"/>
    <n v="4406"/>
    <n v="92537"/>
    <n v="4406"/>
    <n v="101349"/>
  </r>
  <r>
    <n v="1863"/>
    <x v="4"/>
    <s v="Male"/>
    <n v="51"/>
    <s v="Hyderabad"/>
    <x v="0"/>
    <n v="30069"/>
    <d v="2023-10-17T00:00:00"/>
    <n v="7"/>
    <n v="1"/>
    <n v="3007"/>
    <n v="1503"/>
    <n v="31573"/>
    <n v="1503"/>
    <n v="34579"/>
  </r>
  <r>
    <n v="1864"/>
    <x v="8"/>
    <s v="Female"/>
    <n v="35"/>
    <s v="Delhi"/>
    <x v="4"/>
    <n v="67522"/>
    <d v="2022-09-24T00:00:00"/>
    <n v="1"/>
    <n v="2"/>
    <n v="6752"/>
    <n v="3376"/>
    <n v="70898"/>
    <n v="0"/>
    <n v="74274"/>
  </r>
  <r>
    <n v="1865"/>
    <x v="3"/>
    <s v="Female"/>
    <n v="25"/>
    <s v="Hyderabad"/>
    <x v="1"/>
    <n v="44103"/>
    <d v="2023-10-06T00:00:00"/>
    <n v="9"/>
    <n v="3"/>
    <n v="4410"/>
    <n v="2205"/>
    <n v="46308"/>
    <n v="2205"/>
    <n v="50718"/>
  </r>
  <r>
    <n v="1866"/>
    <x v="2"/>
    <s v="Female"/>
    <n v="25"/>
    <s v="Bangalore"/>
    <x v="3"/>
    <n v="72877"/>
    <d v="2022-04-07T00:00:00"/>
    <n v="15"/>
    <n v="2"/>
    <n v="7288"/>
    <n v="3644"/>
    <n v="76521"/>
    <n v="3644"/>
    <n v="83809"/>
  </r>
  <r>
    <n v="1867"/>
    <x v="5"/>
    <s v="Male"/>
    <n v="36"/>
    <s v="Mumbai"/>
    <x v="0"/>
    <n v="81175"/>
    <d v="2023-06-06T00:00:00"/>
    <n v="8"/>
    <n v="5"/>
    <n v="8118"/>
    <n v="4059"/>
    <n v="85234"/>
    <n v="4059"/>
    <n v="93352"/>
  </r>
  <r>
    <n v="1868"/>
    <x v="9"/>
    <s v="Male"/>
    <n v="40"/>
    <s v="Hyderabad"/>
    <x v="4"/>
    <n v="61051"/>
    <d v="2022-01-27T00:00:00"/>
    <n v="15"/>
    <n v="4"/>
    <n v="6105"/>
    <n v="3053"/>
    <n v="64103"/>
    <n v="3053"/>
    <n v="70209"/>
  </r>
  <r>
    <n v="1869"/>
    <x v="6"/>
    <s v="Male"/>
    <n v="44"/>
    <s v="Chennai"/>
    <x v="1"/>
    <n v="20098"/>
    <d v="2024-03-15T00:00:00"/>
    <n v="12"/>
    <n v="4"/>
    <n v="2010"/>
    <n v="1005"/>
    <n v="21103"/>
    <n v="1005"/>
    <n v="23113"/>
  </r>
  <r>
    <n v="1870"/>
    <x v="8"/>
    <s v="Male"/>
    <n v="52"/>
    <s v="Mumbai"/>
    <x v="3"/>
    <n v="99677"/>
    <d v="2023-03-30T00:00:00"/>
    <n v="8"/>
    <n v="5"/>
    <n v="9968"/>
    <n v="4984"/>
    <n v="104661"/>
    <n v="4984"/>
    <n v="114629"/>
  </r>
  <r>
    <n v="1871"/>
    <x v="5"/>
    <s v="Male"/>
    <n v="31"/>
    <s v="Hyderabad"/>
    <x v="2"/>
    <n v="34878"/>
    <d v="2023-07-02T00:00:00"/>
    <n v="15"/>
    <n v="5"/>
    <n v="3488"/>
    <n v="1744"/>
    <n v="36622"/>
    <n v="1744"/>
    <n v="40110"/>
  </r>
  <r>
    <n v="1872"/>
    <x v="4"/>
    <s v="Female"/>
    <n v="57"/>
    <s v="Chennai"/>
    <x v="2"/>
    <n v="98192"/>
    <d v="2023-05-15T00:00:00"/>
    <n v="16"/>
    <n v="3"/>
    <n v="9819"/>
    <n v="4910"/>
    <n v="103101"/>
    <n v="4910"/>
    <n v="112921"/>
  </r>
  <r>
    <n v="1873"/>
    <x v="9"/>
    <s v="Female"/>
    <n v="52"/>
    <s v="Bangalore"/>
    <x v="1"/>
    <n v="70919"/>
    <d v="2022-09-25T00:00:00"/>
    <n v="17"/>
    <n v="1"/>
    <n v="7092"/>
    <n v="3546"/>
    <n v="74465"/>
    <n v="3546"/>
    <n v="81557"/>
  </r>
  <r>
    <n v="1874"/>
    <x v="8"/>
    <s v="Female"/>
    <n v="39"/>
    <s v="Mumbai"/>
    <x v="4"/>
    <n v="84668"/>
    <d v="2022-07-23T00:00:00"/>
    <n v="3"/>
    <n v="1"/>
    <n v="8467"/>
    <n v="4233"/>
    <n v="88902"/>
    <n v="0"/>
    <n v="93135"/>
  </r>
  <r>
    <n v="1875"/>
    <x v="1"/>
    <s v="Male"/>
    <n v="27"/>
    <s v="Chennai"/>
    <x v="0"/>
    <n v="70290"/>
    <d v="2023-04-01T00:00:00"/>
    <n v="8"/>
    <n v="2"/>
    <n v="7029"/>
    <n v="3514"/>
    <n v="73805"/>
    <n v="3514"/>
    <n v="80833"/>
  </r>
  <r>
    <n v="1876"/>
    <x v="5"/>
    <s v="Male"/>
    <n v="40"/>
    <s v="Mumbai"/>
    <x v="2"/>
    <n v="46453"/>
    <d v="2023-11-05T00:00:00"/>
    <n v="14"/>
    <n v="5"/>
    <n v="4645"/>
    <n v="2323"/>
    <n v="48775"/>
    <n v="2323"/>
    <n v="53421"/>
  </r>
  <r>
    <n v="1877"/>
    <x v="3"/>
    <s v="Male"/>
    <n v="23"/>
    <s v="Delhi"/>
    <x v="1"/>
    <n v="29093"/>
    <d v="2023-04-18T00:00:00"/>
    <n v="14"/>
    <n v="1"/>
    <n v="2909"/>
    <n v="1455"/>
    <n v="30547"/>
    <n v="1455"/>
    <n v="33457"/>
  </r>
  <r>
    <n v="1878"/>
    <x v="9"/>
    <s v="Male"/>
    <n v="34"/>
    <s v="Delhi"/>
    <x v="2"/>
    <n v="53682"/>
    <d v="2024-07-23T00:00:00"/>
    <n v="6"/>
    <n v="4"/>
    <n v="5368"/>
    <n v="2684"/>
    <n v="56366"/>
    <n v="2684"/>
    <n v="61734"/>
  </r>
  <r>
    <n v="1879"/>
    <x v="2"/>
    <s v="Female"/>
    <n v="32"/>
    <s v="Mumbai"/>
    <x v="1"/>
    <n v="90410"/>
    <d v="2023-06-14T00:00:00"/>
    <n v="12"/>
    <n v="3"/>
    <n v="9041"/>
    <n v="4520"/>
    <n v="94931"/>
    <n v="4520"/>
    <n v="103971"/>
  </r>
  <r>
    <n v="1880"/>
    <x v="2"/>
    <s v="Female"/>
    <n v="57"/>
    <s v="Hyderabad"/>
    <x v="4"/>
    <n v="48136"/>
    <d v="2024-02-05T00:00:00"/>
    <n v="15"/>
    <n v="2"/>
    <n v="4814"/>
    <n v="2407"/>
    <n v="50543"/>
    <n v="2407"/>
    <n v="55357"/>
  </r>
  <r>
    <n v="1881"/>
    <x v="2"/>
    <s v="Female"/>
    <n v="22"/>
    <s v="Chennai"/>
    <x v="3"/>
    <n v="67004"/>
    <d v="2022-06-04T00:00:00"/>
    <n v="19"/>
    <n v="2"/>
    <n v="6700"/>
    <n v="3350"/>
    <n v="70354"/>
    <n v="3350"/>
    <n v="77054"/>
  </r>
  <r>
    <n v="1882"/>
    <x v="6"/>
    <s v="Female"/>
    <n v="31"/>
    <s v="Bangalore"/>
    <x v="4"/>
    <n v="90947"/>
    <d v="2022-10-11T00:00:00"/>
    <n v="19"/>
    <n v="2"/>
    <n v="9095"/>
    <n v="4547"/>
    <n v="95495"/>
    <n v="4547"/>
    <n v="104589"/>
  </r>
  <r>
    <n v="1883"/>
    <x v="9"/>
    <s v="Male"/>
    <n v="28"/>
    <s v="Delhi"/>
    <x v="2"/>
    <n v="40562"/>
    <d v="2024-06-18T00:00:00"/>
    <n v="11"/>
    <n v="5"/>
    <n v="4056"/>
    <n v="2028"/>
    <n v="42590"/>
    <n v="2028"/>
    <n v="46646"/>
  </r>
  <r>
    <n v="1884"/>
    <x v="8"/>
    <s v="Male"/>
    <n v="36"/>
    <s v="Mumbai"/>
    <x v="2"/>
    <n v="72232"/>
    <d v="2024-04-13T00:00:00"/>
    <n v="8"/>
    <n v="5"/>
    <n v="7223"/>
    <n v="3612"/>
    <n v="75843"/>
    <n v="3612"/>
    <n v="83067"/>
  </r>
  <r>
    <n v="1885"/>
    <x v="6"/>
    <s v="Male"/>
    <n v="49"/>
    <s v="Delhi"/>
    <x v="2"/>
    <n v="77889"/>
    <d v="2022-09-17T00:00:00"/>
    <n v="14"/>
    <n v="2"/>
    <n v="7789"/>
    <n v="3894"/>
    <n v="81784"/>
    <n v="3894"/>
    <n v="89572"/>
  </r>
  <r>
    <n v="1886"/>
    <x v="1"/>
    <s v="Male"/>
    <n v="35"/>
    <s v="Mumbai"/>
    <x v="1"/>
    <n v="78387"/>
    <d v="2023-07-25T00:00:00"/>
    <n v="16"/>
    <n v="4"/>
    <n v="7839"/>
    <n v="3919"/>
    <n v="82307"/>
    <n v="3919"/>
    <n v="90145"/>
  </r>
  <r>
    <n v="1887"/>
    <x v="4"/>
    <s v="Female"/>
    <n v="50"/>
    <s v="Mumbai"/>
    <x v="1"/>
    <n v="50138"/>
    <d v="2024-05-08T00:00:00"/>
    <n v="16"/>
    <n v="5"/>
    <n v="5014"/>
    <n v="2507"/>
    <n v="52645"/>
    <n v="2507"/>
    <n v="57659"/>
  </r>
  <r>
    <n v="1888"/>
    <x v="5"/>
    <s v="Male"/>
    <n v="60"/>
    <s v="Delhi"/>
    <x v="3"/>
    <n v="20298"/>
    <d v="2023-04-26T00:00:00"/>
    <n v="18"/>
    <n v="1"/>
    <n v="2030"/>
    <n v="1015"/>
    <n v="21313"/>
    <n v="1015"/>
    <n v="23343"/>
  </r>
  <r>
    <n v="1889"/>
    <x v="7"/>
    <s v="Female"/>
    <n v="35"/>
    <s v="Hyderabad"/>
    <x v="4"/>
    <n v="38424"/>
    <d v="2023-06-24T00:00:00"/>
    <n v="6"/>
    <n v="3"/>
    <n v="3842"/>
    <n v="1921"/>
    <n v="40345"/>
    <n v="1921"/>
    <n v="44187"/>
  </r>
  <r>
    <n v="1890"/>
    <x v="3"/>
    <s v="Female"/>
    <n v="22"/>
    <s v="Chennai"/>
    <x v="4"/>
    <n v="23434"/>
    <d v="2022-10-20T00:00:00"/>
    <n v="11"/>
    <n v="4"/>
    <n v="2343"/>
    <n v="1172"/>
    <n v="24605"/>
    <n v="1172"/>
    <n v="26949"/>
  </r>
  <r>
    <n v="1891"/>
    <x v="4"/>
    <s v="Female"/>
    <n v="31"/>
    <s v="Mumbai"/>
    <x v="2"/>
    <n v="57757"/>
    <d v="2022-08-10T00:00:00"/>
    <n v="4"/>
    <n v="2"/>
    <n v="5776"/>
    <n v="2888"/>
    <n v="60645"/>
    <n v="0"/>
    <n v="63533"/>
  </r>
  <r>
    <n v="1892"/>
    <x v="9"/>
    <s v="Male"/>
    <n v="22"/>
    <s v="Bangalore"/>
    <x v="4"/>
    <n v="84970"/>
    <d v="2024-06-03T00:00:00"/>
    <n v="19"/>
    <n v="5"/>
    <n v="8497"/>
    <n v="4248"/>
    <n v="89219"/>
    <n v="4248"/>
    <n v="97715"/>
  </r>
  <r>
    <n v="1893"/>
    <x v="1"/>
    <s v="Female"/>
    <n v="60"/>
    <s v="Chennai"/>
    <x v="2"/>
    <n v="23149"/>
    <d v="2023-01-08T00:00:00"/>
    <n v="3"/>
    <n v="1"/>
    <n v="2315"/>
    <n v="1157"/>
    <n v="24307"/>
    <n v="0"/>
    <n v="25464"/>
  </r>
  <r>
    <n v="1894"/>
    <x v="6"/>
    <s v="Male"/>
    <n v="53"/>
    <s v="Mumbai"/>
    <x v="0"/>
    <n v="31318"/>
    <d v="2024-01-09T00:00:00"/>
    <n v="14"/>
    <n v="3"/>
    <n v="3132"/>
    <n v="1566"/>
    <n v="32884"/>
    <n v="1566"/>
    <n v="36016"/>
  </r>
  <r>
    <n v="1895"/>
    <x v="1"/>
    <s v="Male"/>
    <n v="48"/>
    <s v="Chennai"/>
    <x v="2"/>
    <n v="70341"/>
    <d v="2023-03-13T00:00:00"/>
    <n v="10"/>
    <n v="3"/>
    <n v="7034"/>
    <n v="3517"/>
    <n v="73858"/>
    <n v="3517"/>
    <n v="80892"/>
  </r>
  <r>
    <n v="1896"/>
    <x v="9"/>
    <s v="Male"/>
    <n v="60"/>
    <s v="Mumbai"/>
    <x v="1"/>
    <n v="21208"/>
    <d v="2024-08-08T00:00:00"/>
    <n v="18"/>
    <n v="5"/>
    <n v="2121"/>
    <n v="1060"/>
    <n v="22269"/>
    <n v="1060"/>
    <n v="24389"/>
  </r>
  <r>
    <n v="1897"/>
    <x v="5"/>
    <s v="Female"/>
    <n v="21"/>
    <s v="Mumbai"/>
    <x v="4"/>
    <n v="71909"/>
    <d v="2023-09-22T00:00:00"/>
    <n v="17"/>
    <n v="5"/>
    <n v="7191"/>
    <n v="3595"/>
    <n v="75505"/>
    <n v="3595"/>
    <n v="82695"/>
  </r>
  <r>
    <n v="1898"/>
    <x v="3"/>
    <s v="Female"/>
    <n v="25"/>
    <s v="Bangalore"/>
    <x v="4"/>
    <n v="95812"/>
    <d v="2022-01-26T00:00:00"/>
    <n v="2"/>
    <n v="2"/>
    <n v="9581"/>
    <n v="4791"/>
    <n v="100602"/>
    <n v="0"/>
    <n v="105393"/>
  </r>
  <r>
    <n v="1899"/>
    <x v="4"/>
    <s v="Male"/>
    <n v="56"/>
    <s v="Bangalore"/>
    <x v="1"/>
    <n v="37201"/>
    <d v="2022-07-29T00:00:00"/>
    <n v="2"/>
    <n v="5"/>
    <n v="3720"/>
    <n v="1860"/>
    <n v="39061"/>
    <n v="0"/>
    <n v="40921"/>
  </r>
  <r>
    <n v="1900"/>
    <x v="8"/>
    <s v="Female"/>
    <n v="60"/>
    <s v="Mumbai"/>
    <x v="1"/>
    <n v="28269"/>
    <d v="2024-02-29T00:00:00"/>
    <n v="4"/>
    <n v="1"/>
    <n v="2827"/>
    <n v="1413"/>
    <n v="29683"/>
    <n v="0"/>
    <n v="31096"/>
  </r>
  <r>
    <n v="1901"/>
    <x v="0"/>
    <s v="Male"/>
    <n v="26"/>
    <s v="Mumbai"/>
    <x v="3"/>
    <n v="26335"/>
    <d v="2022-02-15T00:00:00"/>
    <n v="1"/>
    <n v="1"/>
    <n v="2634"/>
    <n v="1317"/>
    <n v="27652"/>
    <n v="0"/>
    <n v="28969"/>
  </r>
  <r>
    <n v="1902"/>
    <x v="1"/>
    <s v="Male"/>
    <n v="29"/>
    <s v="Hyderabad"/>
    <x v="0"/>
    <n v="77974"/>
    <d v="2023-05-10T00:00:00"/>
    <n v="19"/>
    <n v="4"/>
    <n v="7797"/>
    <n v="3899"/>
    <n v="81872"/>
    <n v="3899"/>
    <n v="89670"/>
  </r>
  <r>
    <n v="1903"/>
    <x v="7"/>
    <s v="Female"/>
    <n v="35"/>
    <s v="Hyderabad"/>
    <x v="3"/>
    <n v="33933"/>
    <d v="2024-04-20T00:00:00"/>
    <n v="1"/>
    <n v="2"/>
    <n v="3393"/>
    <n v="1697"/>
    <n v="35629"/>
    <n v="0"/>
    <n v="37326"/>
  </r>
  <r>
    <n v="1904"/>
    <x v="0"/>
    <s v="Female"/>
    <n v="30"/>
    <s v="Bangalore"/>
    <x v="2"/>
    <n v="28959"/>
    <d v="2022-10-15T00:00:00"/>
    <n v="17"/>
    <n v="5"/>
    <n v="2896"/>
    <n v="1448"/>
    <n v="30407"/>
    <n v="1448"/>
    <n v="33303"/>
  </r>
  <r>
    <n v="1905"/>
    <x v="4"/>
    <s v="Female"/>
    <n v="57"/>
    <s v="Delhi"/>
    <x v="1"/>
    <n v="60976"/>
    <d v="2023-11-02T00:00:00"/>
    <n v="13"/>
    <n v="3"/>
    <n v="6098"/>
    <n v="3049"/>
    <n v="64025"/>
    <n v="3049"/>
    <n v="70123"/>
  </r>
  <r>
    <n v="1906"/>
    <x v="9"/>
    <s v="Female"/>
    <n v="49"/>
    <s v="Hyderabad"/>
    <x v="2"/>
    <n v="84191"/>
    <d v="2024-01-10T00:00:00"/>
    <n v="8"/>
    <n v="4"/>
    <n v="8419"/>
    <n v="4210"/>
    <n v="88400"/>
    <n v="4210"/>
    <n v="96820"/>
  </r>
  <r>
    <n v="1907"/>
    <x v="6"/>
    <s v="Male"/>
    <n v="40"/>
    <s v="Hyderabad"/>
    <x v="0"/>
    <n v="27499"/>
    <d v="2023-09-30T00:00:00"/>
    <n v="10"/>
    <n v="4"/>
    <n v="2750"/>
    <n v="1375"/>
    <n v="28874"/>
    <n v="1375"/>
    <n v="31624"/>
  </r>
  <r>
    <n v="1908"/>
    <x v="8"/>
    <s v="Female"/>
    <n v="21"/>
    <s v="Chennai"/>
    <x v="0"/>
    <n v="88952"/>
    <d v="2023-01-21T00:00:00"/>
    <n v="17"/>
    <n v="1"/>
    <n v="8895"/>
    <n v="4448"/>
    <n v="93399"/>
    <n v="4448"/>
    <n v="102295"/>
  </r>
  <r>
    <n v="1909"/>
    <x v="5"/>
    <s v="Female"/>
    <n v="27"/>
    <s v="Mumbai"/>
    <x v="2"/>
    <n v="20666"/>
    <d v="2024-09-20T00:00:00"/>
    <n v="13"/>
    <n v="1"/>
    <n v="2067"/>
    <n v="1033"/>
    <n v="21700"/>
    <n v="1033"/>
    <n v="23766"/>
  </r>
  <r>
    <n v="1910"/>
    <x v="9"/>
    <s v="Female"/>
    <n v="49"/>
    <s v="Chennai"/>
    <x v="2"/>
    <n v="78976"/>
    <d v="2022-07-14T00:00:00"/>
    <n v="17"/>
    <n v="1"/>
    <n v="7898"/>
    <n v="3949"/>
    <n v="82925"/>
    <n v="3949"/>
    <n v="90823"/>
  </r>
  <r>
    <n v="1911"/>
    <x v="9"/>
    <s v="Male"/>
    <n v="40"/>
    <s v="Chennai"/>
    <x v="1"/>
    <n v="91760"/>
    <d v="2024-03-18T00:00:00"/>
    <n v="4"/>
    <n v="1"/>
    <n v="9176"/>
    <n v="4588"/>
    <n v="96348"/>
    <n v="0"/>
    <n v="100936"/>
  </r>
  <r>
    <n v="1912"/>
    <x v="7"/>
    <s v="Male"/>
    <n v="55"/>
    <s v="Delhi"/>
    <x v="4"/>
    <n v="71298"/>
    <d v="2022-07-30T00:00:00"/>
    <n v="3"/>
    <n v="5"/>
    <n v="7130"/>
    <n v="3565"/>
    <n v="74863"/>
    <n v="0"/>
    <n v="78428"/>
  </r>
  <r>
    <n v="1913"/>
    <x v="8"/>
    <s v="Female"/>
    <n v="34"/>
    <s v="Bangalore"/>
    <x v="2"/>
    <n v="96761"/>
    <d v="2023-09-12T00:00:00"/>
    <n v="19"/>
    <n v="5"/>
    <n v="9676"/>
    <n v="4838"/>
    <n v="101599"/>
    <n v="4838"/>
    <n v="111275"/>
  </r>
  <r>
    <n v="1914"/>
    <x v="3"/>
    <s v="Female"/>
    <n v="43"/>
    <s v="Hyderabad"/>
    <x v="4"/>
    <n v="87786"/>
    <d v="2024-08-01T00:00:00"/>
    <n v="20"/>
    <n v="5"/>
    <n v="8779"/>
    <n v="4389"/>
    <n v="92176"/>
    <n v="4389"/>
    <n v="100954"/>
  </r>
  <r>
    <n v="1915"/>
    <x v="3"/>
    <s v="Female"/>
    <n v="54"/>
    <s v="Chennai"/>
    <x v="0"/>
    <n v="94668"/>
    <d v="2022-03-25T00:00:00"/>
    <n v="17"/>
    <n v="3"/>
    <n v="9467"/>
    <n v="4733"/>
    <n v="99402"/>
    <n v="4733"/>
    <n v="108868"/>
  </r>
  <r>
    <n v="1916"/>
    <x v="1"/>
    <s v="Female"/>
    <n v="58"/>
    <s v="Hyderabad"/>
    <x v="4"/>
    <n v="38627"/>
    <d v="2022-08-09T00:00:00"/>
    <n v="2"/>
    <n v="3"/>
    <n v="3863"/>
    <n v="1931"/>
    <n v="40559"/>
    <n v="0"/>
    <n v="42490"/>
  </r>
  <r>
    <n v="1917"/>
    <x v="3"/>
    <s v="Male"/>
    <n v="36"/>
    <s v="Bangalore"/>
    <x v="4"/>
    <n v="52064"/>
    <d v="2022-08-20T00:00:00"/>
    <n v="10"/>
    <n v="2"/>
    <n v="5206"/>
    <n v="2603"/>
    <n v="54667"/>
    <n v="2603"/>
    <n v="59873"/>
  </r>
  <r>
    <n v="1918"/>
    <x v="1"/>
    <s v="Female"/>
    <n v="60"/>
    <s v="Chennai"/>
    <x v="4"/>
    <n v="26623"/>
    <d v="2024-02-05T00:00:00"/>
    <n v="20"/>
    <n v="4"/>
    <n v="2662"/>
    <n v="1331"/>
    <n v="27954"/>
    <n v="1331"/>
    <n v="30616"/>
  </r>
  <r>
    <n v="1919"/>
    <x v="2"/>
    <s v="Male"/>
    <n v="40"/>
    <s v="Hyderabad"/>
    <x v="2"/>
    <n v="21969"/>
    <d v="2023-08-05T00:00:00"/>
    <n v="19"/>
    <n v="1"/>
    <n v="2197"/>
    <n v="1098"/>
    <n v="23068"/>
    <n v="1098"/>
    <n v="25264"/>
  </r>
  <r>
    <n v="1920"/>
    <x v="5"/>
    <s v="Male"/>
    <n v="50"/>
    <s v="Chennai"/>
    <x v="0"/>
    <n v="91695"/>
    <d v="2023-07-22T00:00:00"/>
    <n v="6"/>
    <n v="4"/>
    <n v="9170"/>
    <n v="4585"/>
    <n v="96280"/>
    <n v="4585"/>
    <n v="105450"/>
  </r>
  <r>
    <n v="1921"/>
    <x v="4"/>
    <s v="Male"/>
    <n v="25"/>
    <s v="Chennai"/>
    <x v="1"/>
    <n v="45045"/>
    <d v="2024-03-15T00:00:00"/>
    <n v="3"/>
    <n v="5"/>
    <n v="4504"/>
    <n v="2252"/>
    <n v="47297"/>
    <n v="0"/>
    <n v="49549"/>
  </r>
  <r>
    <n v="1922"/>
    <x v="3"/>
    <s v="Female"/>
    <n v="36"/>
    <s v="Chennai"/>
    <x v="2"/>
    <n v="84672"/>
    <d v="2023-10-05T00:00:00"/>
    <n v="18"/>
    <n v="4"/>
    <n v="8467"/>
    <n v="4234"/>
    <n v="88905"/>
    <n v="4234"/>
    <n v="97373"/>
  </r>
  <r>
    <n v="1923"/>
    <x v="4"/>
    <s v="Male"/>
    <n v="31"/>
    <s v="Chennai"/>
    <x v="2"/>
    <n v="78752"/>
    <d v="2023-10-19T00:00:00"/>
    <n v="4"/>
    <n v="4"/>
    <n v="7875"/>
    <n v="3938"/>
    <n v="82689"/>
    <n v="0"/>
    <n v="86627"/>
  </r>
  <r>
    <n v="1924"/>
    <x v="2"/>
    <s v="Female"/>
    <n v="56"/>
    <s v="Mumbai"/>
    <x v="2"/>
    <n v="73578"/>
    <d v="2023-07-18T00:00:00"/>
    <n v="14"/>
    <n v="5"/>
    <n v="7358"/>
    <n v="3679"/>
    <n v="77257"/>
    <n v="3679"/>
    <n v="84615"/>
  </r>
  <r>
    <n v="1925"/>
    <x v="6"/>
    <s v="Female"/>
    <n v="34"/>
    <s v="Bangalore"/>
    <x v="2"/>
    <n v="46196"/>
    <d v="2023-05-09T00:00:00"/>
    <n v="5"/>
    <n v="2"/>
    <n v="4620"/>
    <n v="2310"/>
    <n v="48506"/>
    <n v="0"/>
    <n v="50816"/>
  </r>
  <r>
    <n v="1926"/>
    <x v="8"/>
    <s v="Male"/>
    <n v="60"/>
    <s v="Bangalore"/>
    <x v="3"/>
    <n v="53642"/>
    <d v="2023-09-17T00:00:00"/>
    <n v="3"/>
    <n v="5"/>
    <n v="5364"/>
    <n v="2682"/>
    <n v="56324"/>
    <n v="0"/>
    <n v="59006"/>
  </r>
  <r>
    <n v="1927"/>
    <x v="0"/>
    <s v="Female"/>
    <n v="29"/>
    <s v="Hyderabad"/>
    <x v="2"/>
    <n v="72590"/>
    <d v="2024-05-17T00:00:00"/>
    <n v="19"/>
    <n v="5"/>
    <n v="7259"/>
    <n v="3630"/>
    <n v="76219"/>
    <n v="3630"/>
    <n v="83479"/>
  </r>
  <r>
    <n v="1928"/>
    <x v="6"/>
    <s v="Male"/>
    <n v="25"/>
    <s v="Delhi"/>
    <x v="0"/>
    <n v="98144"/>
    <d v="2024-07-26T00:00:00"/>
    <n v="2"/>
    <n v="2"/>
    <n v="9814"/>
    <n v="4907"/>
    <n v="103051"/>
    <n v="0"/>
    <n v="107958"/>
  </r>
  <r>
    <n v="1929"/>
    <x v="6"/>
    <s v="Male"/>
    <n v="25"/>
    <s v="Delhi"/>
    <x v="4"/>
    <n v="26400"/>
    <d v="2023-05-23T00:00:00"/>
    <n v="12"/>
    <n v="3"/>
    <n v="2640"/>
    <n v="1320"/>
    <n v="27720"/>
    <n v="1320"/>
    <n v="30360"/>
  </r>
  <r>
    <n v="1930"/>
    <x v="1"/>
    <s v="Female"/>
    <n v="29"/>
    <s v="Hyderabad"/>
    <x v="3"/>
    <n v="39757"/>
    <d v="2022-12-26T00:00:00"/>
    <n v="10"/>
    <n v="5"/>
    <n v="3976"/>
    <n v="1988"/>
    <n v="41745"/>
    <n v="1988"/>
    <n v="45721"/>
  </r>
  <r>
    <n v="1931"/>
    <x v="1"/>
    <s v="Female"/>
    <n v="34"/>
    <s v="Chennai"/>
    <x v="0"/>
    <n v="61116"/>
    <d v="2022-09-23T00:00:00"/>
    <n v="15"/>
    <n v="2"/>
    <n v="6112"/>
    <n v="3056"/>
    <n v="64172"/>
    <n v="3056"/>
    <n v="70284"/>
  </r>
  <r>
    <n v="1932"/>
    <x v="5"/>
    <s v="Female"/>
    <n v="37"/>
    <s v="Delhi"/>
    <x v="0"/>
    <n v="21898"/>
    <d v="2023-05-11T00:00:00"/>
    <n v="11"/>
    <n v="5"/>
    <n v="2190"/>
    <n v="1095"/>
    <n v="22993"/>
    <n v="1095"/>
    <n v="25183"/>
  </r>
  <r>
    <n v="1933"/>
    <x v="8"/>
    <s v="Female"/>
    <n v="25"/>
    <s v="Mumbai"/>
    <x v="3"/>
    <n v="89101"/>
    <d v="2024-08-08T00:00:00"/>
    <n v="18"/>
    <n v="3"/>
    <n v="8910"/>
    <n v="4455"/>
    <n v="93556"/>
    <n v="4455"/>
    <n v="102466"/>
  </r>
  <r>
    <n v="1934"/>
    <x v="6"/>
    <s v="Male"/>
    <n v="27"/>
    <s v="Chennai"/>
    <x v="4"/>
    <n v="78720"/>
    <d v="2024-09-06T00:00:00"/>
    <n v="9"/>
    <n v="5"/>
    <n v="7872"/>
    <n v="3936"/>
    <n v="82656"/>
    <n v="3936"/>
    <n v="90528"/>
  </r>
  <r>
    <n v="1935"/>
    <x v="5"/>
    <s v="Female"/>
    <n v="31"/>
    <s v="Hyderabad"/>
    <x v="4"/>
    <n v="49381"/>
    <d v="2024-05-15T00:00:00"/>
    <n v="9"/>
    <n v="1"/>
    <n v="4938"/>
    <n v="2469"/>
    <n v="51850"/>
    <n v="2469"/>
    <n v="56788"/>
  </r>
  <r>
    <n v="1936"/>
    <x v="4"/>
    <s v="Male"/>
    <n v="27"/>
    <s v="Bangalore"/>
    <x v="3"/>
    <n v="50089"/>
    <d v="2022-01-07T00:00:00"/>
    <n v="16"/>
    <n v="2"/>
    <n v="5009"/>
    <n v="2504"/>
    <n v="52594"/>
    <n v="2504"/>
    <n v="57602"/>
  </r>
  <r>
    <n v="1937"/>
    <x v="9"/>
    <s v="Male"/>
    <n v="49"/>
    <s v="Chennai"/>
    <x v="1"/>
    <n v="46212"/>
    <d v="2022-08-27T00:00:00"/>
    <n v="18"/>
    <n v="1"/>
    <n v="4621"/>
    <n v="2311"/>
    <n v="48522"/>
    <n v="2311"/>
    <n v="53144"/>
  </r>
  <r>
    <n v="1938"/>
    <x v="3"/>
    <s v="Female"/>
    <n v="44"/>
    <s v="Mumbai"/>
    <x v="0"/>
    <n v="53891"/>
    <d v="2024-02-24T00:00:00"/>
    <n v="16"/>
    <n v="3"/>
    <n v="5389"/>
    <n v="2695"/>
    <n v="56585"/>
    <n v="2695"/>
    <n v="61975"/>
  </r>
  <r>
    <n v="1939"/>
    <x v="4"/>
    <s v="Female"/>
    <n v="53"/>
    <s v="Chennai"/>
    <x v="3"/>
    <n v="98845"/>
    <d v="2023-09-13T00:00:00"/>
    <n v="14"/>
    <n v="1"/>
    <n v="9884"/>
    <n v="4942"/>
    <n v="103787"/>
    <n v="4942"/>
    <n v="113671"/>
  </r>
  <r>
    <n v="1940"/>
    <x v="3"/>
    <s v="Male"/>
    <n v="30"/>
    <s v="Delhi"/>
    <x v="3"/>
    <n v="91767"/>
    <d v="2022-04-05T00:00:00"/>
    <n v="5"/>
    <n v="1"/>
    <n v="9177"/>
    <n v="4588"/>
    <n v="96356"/>
    <n v="0"/>
    <n v="100944"/>
  </r>
  <r>
    <n v="1941"/>
    <x v="0"/>
    <s v="Male"/>
    <n v="33"/>
    <s v="Delhi"/>
    <x v="3"/>
    <n v="69471"/>
    <d v="2024-07-25T00:00:00"/>
    <n v="14"/>
    <n v="2"/>
    <n v="6947"/>
    <n v="3474"/>
    <n v="72944"/>
    <n v="3474"/>
    <n v="79892"/>
  </r>
  <r>
    <n v="1942"/>
    <x v="3"/>
    <s v="Male"/>
    <n v="52"/>
    <s v="Hyderabad"/>
    <x v="0"/>
    <n v="79100"/>
    <d v="2022-04-26T00:00:00"/>
    <n v="6"/>
    <n v="3"/>
    <n v="7910"/>
    <n v="3955"/>
    <n v="83055"/>
    <n v="3955"/>
    <n v="90965"/>
  </r>
  <r>
    <n v="1943"/>
    <x v="7"/>
    <s v="Male"/>
    <n v="57"/>
    <s v="Delhi"/>
    <x v="2"/>
    <n v="25473"/>
    <d v="2023-02-15T00:00:00"/>
    <n v="16"/>
    <n v="4"/>
    <n v="2547"/>
    <n v="1274"/>
    <n v="26746"/>
    <n v="1274"/>
    <n v="29294"/>
  </r>
  <r>
    <n v="1944"/>
    <x v="1"/>
    <s v="Female"/>
    <n v="36"/>
    <s v="Delhi"/>
    <x v="1"/>
    <n v="71500"/>
    <d v="2023-03-12T00:00:00"/>
    <n v="2"/>
    <n v="4"/>
    <n v="7150"/>
    <n v="3575"/>
    <n v="75075"/>
    <n v="0"/>
    <n v="78650"/>
  </r>
  <r>
    <n v="1945"/>
    <x v="2"/>
    <s v="Female"/>
    <n v="44"/>
    <s v="Bangalore"/>
    <x v="1"/>
    <n v="52129"/>
    <d v="2022-04-20T00:00:00"/>
    <n v="4"/>
    <n v="2"/>
    <n v="5213"/>
    <n v="2606"/>
    <n v="54736"/>
    <n v="0"/>
    <n v="57342"/>
  </r>
  <r>
    <n v="1946"/>
    <x v="5"/>
    <s v="Female"/>
    <n v="37"/>
    <s v="Delhi"/>
    <x v="1"/>
    <n v="22600"/>
    <d v="2022-04-10T00:00:00"/>
    <n v="5"/>
    <n v="5"/>
    <n v="2260"/>
    <n v="1130"/>
    <n v="23730"/>
    <n v="0"/>
    <n v="24860"/>
  </r>
  <r>
    <n v="1947"/>
    <x v="8"/>
    <s v="Male"/>
    <n v="27"/>
    <s v="Bangalore"/>
    <x v="0"/>
    <n v="24881"/>
    <d v="2023-08-21T00:00:00"/>
    <n v="19"/>
    <n v="5"/>
    <n v="2488"/>
    <n v="1244"/>
    <n v="26125"/>
    <n v="1244"/>
    <n v="28613"/>
  </r>
  <r>
    <n v="1948"/>
    <x v="6"/>
    <s v="Male"/>
    <n v="44"/>
    <s v="Chennai"/>
    <x v="3"/>
    <n v="75440"/>
    <d v="2024-04-07T00:00:00"/>
    <n v="10"/>
    <n v="2"/>
    <n v="7544"/>
    <n v="3772"/>
    <n v="79212"/>
    <n v="3772"/>
    <n v="86756"/>
  </r>
  <r>
    <n v="1949"/>
    <x v="9"/>
    <s v="Male"/>
    <n v="60"/>
    <s v="Delhi"/>
    <x v="1"/>
    <n v="48374"/>
    <d v="2024-02-08T00:00:00"/>
    <n v="18"/>
    <n v="2"/>
    <n v="4837"/>
    <n v="2419"/>
    <n v="50792"/>
    <n v="2419"/>
    <n v="55630"/>
  </r>
  <r>
    <n v="1950"/>
    <x v="8"/>
    <s v="Female"/>
    <n v="55"/>
    <s v="Chennai"/>
    <x v="3"/>
    <n v="63958"/>
    <d v="2024-02-20T00:00:00"/>
    <n v="1"/>
    <n v="4"/>
    <n v="6396"/>
    <n v="3198"/>
    <n v="67156"/>
    <n v="0"/>
    <n v="70354"/>
  </r>
  <r>
    <n v="1951"/>
    <x v="6"/>
    <s v="Male"/>
    <n v="32"/>
    <s v="Bangalore"/>
    <x v="1"/>
    <n v="53298"/>
    <d v="2023-12-22T00:00:00"/>
    <n v="18"/>
    <n v="4"/>
    <n v="5330"/>
    <n v="2665"/>
    <n v="55963"/>
    <n v="2665"/>
    <n v="61293"/>
  </r>
  <r>
    <n v="1952"/>
    <x v="3"/>
    <s v="Male"/>
    <n v="35"/>
    <s v="Chennai"/>
    <x v="0"/>
    <n v="36930"/>
    <d v="2022-12-20T00:00:00"/>
    <n v="14"/>
    <n v="5"/>
    <n v="3693"/>
    <n v="1846"/>
    <n v="38777"/>
    <n v="1846"/>
    <n v="42469"/>
  </r>
  <r>
    <n v="1953"/>
    <x v="9"/>
    <s v="Male"/>
    <n v="29"/>
    <s v="Delhi"/>
    <x v="4"/>
    <n v="59550"/>
    <d v="2023-01-28T00:00:00"/>
    <n v="1"/>
    <n v="3"/>
    <n v="5955"/>
    <n v="2978"/>
    <n v="62527"/>
    <n v="0"/>
    <n v="65505"/>
  </r>
  <r>
    <n v="1954"/>
    <x v="9"/>
    <s v="Male"/>
    <n v="44"/>
    <s v="Mumbai"/>
    <x v="1"/>
    <n v="25022"/>
    <d v="2022-11-05T00:00:00"/>
    <n v="16"/>
    <n v="4"/>
    <n v="2502"/>
    <n v="1251"/>
    <n v="26273"/>
    <n v="1251"/>
    <n v="28775"/>
  </r>
  <r>
    <n v="1955"/>
    <x v="6"/>
    <s v="Male"/>
    <n v="39"/>
    <s v="Bangalore"/>
    <x v="1"/>
    <n v="27212"/>
    <d v="2024-07-17T00:00:00"/>
    <n v="15"/>
    <n v="2"/>
    <n v="2721"/>
    <n v="1361"/>
    <n v="28572"/>
    <n v="1361"/>
    <n v="31294"/>
  </r>
  <r>
    <n v="1956"/>
    <x v="5"/>
    <s v="Female"/>
    <n v="34"/>
    <s v="Bangalore"/>
    <x v="1"/>
    <n v="57468"/>
    <d v="2024-01-24T00:00:00"/>
    <n v="8"/>
    <n v="4"/>
    <n v="5747"/>
    <n v="2873"/>
    <n v="60342"/>
    <n v="2873"/>
    <n v="66088"/>
  </r>
  <r>
    <n v="1957"/>
    <x v="7"/>
    <s v="Female"/>
    <n v="57"/>
    <s v="Bangalore"/>
    <x v="2"/>
    <n v="47267"/>
    <d v="2022-09-18T00:00:00"/>
    <n v="19"/>
    <n v="1"/>
    <n v="4727"/>
    <n v="2363"/>
    <n v="49631"/>
    <n v="2363"/>
    <n v="54357"/>
  </r>
  <r>
    <n v="1958"/>
    <x v="3"/>
    <s v="Male"/>
    <n v="42"/>
    <s v="Mumbai"/>
    <x v="4"/>
    <n v="42088"/>
    <d v="2023-02-21T00:00:00"/>
    <n v="8"/>
    <n v="3"/>
    <n v="4209"/>
    <n v="2104"/>
    <n v="44193"/>
    <n v="2104"/>
    <n v="48401"/>
  </r>
  <r>
    <n v="1959"/>
    <x v="9"/>
    <s v="Male"/>
    <n v="59"/>
    <s v="Mumbai"/>
    <x v="0"/>
    <n v="59336"/>
    <d v="2022-02-03T00:00:00"/>
    <n v="8"/>
    <n v="2"/>
    <n v="5934"/>
    <n v="2967"/>
    <n v="62303"/>
    <n v="2967"/>
    <n v="68237"/>
  </r>
  <r>
    <n v="1960"/>
    <x v="7"/>
    <s v="Male"/>
    <n v="33"/>
    <s v="Hyderabad"/>
    <x v="4"/>
    <n v="82994"/>
    <d v="2023-06-29T00:00:00"/>
    <n v="15"/>
    <n v="2"/>
    <n v="8299"/>
    <n v="4150"/>
    <n v="87143"/>
    <n v="4150"/>
    <n v="95443"/>
  </r>
  <r>
    <n v="1961"/>
    <x v="8"/>
    <s v="Female"/>
    <n v="25"/>
    <s v="Chennai"/>
    <x v="2"/>
    <n v="73780"/>
    <d v="2024-02-28T00:00:00"/>
    <n v="14"/>
    <n v="5"/>
    <n v="7378"/>
    <n v="3689"/>
    <n v="77469"/>
    <n v="3689"/>
    <n v="84847"/>
  </r>
  <r>
    <n v="1962"/>
    <x v="3"/>
    <s v="Female"/>
    <n v="35"/>
    <s v="Hyderabad"/>
    <x v="2"/>
    <n v="62316"/>
    <d v="2023-06-25T00:00:00"/>
    <n v="16"/>
    <n v="2"/>
    <n v="6232"/>
    <n v="3116"/>
    <n v="65432"/>
    <n v="3116"/>
    <n v="71664"/>
  </r>
  <r>
    <n v="1963"/>
    <x v="6"/>
    <s v="Female"/>
    <n v="60"/>
    <s v="Chennai"/>
    <x v="0"/>
    <n v="68306"/>
    <d v="2022-11-10T00:00:00"/>
    <n v="17"/>
    <n v="5"/>
    <n v="6831"/>
    <n v="3415"/>
    <n v="71722"/>
    <n v="3415"/>
    <n v="78552"/>
  </r>
  <r>
    <n v="1964"/>
    <x v="7"/>
    <s v="Male"/>
    <n v="22"/>
    <s v="Hyderabad"/>
    <x v="3"/>
    <n v="41842"/>
    <d v="2022-09-02T00:00:00"/>
    <n v="17"/>
    <n v="4"/>
    <n v="4184"/>
    <n v="2092"/>
    <n v="43934"/>
    <n v="2092"/>
    <n v="48118"/>
  </r>
  <r>
    <n v="1965"/>
    <x v="0"/>
    <s v="Male"/>
    <n v="58"/>
    <s v="Bangalore"/>
    <x v="4"/>
    <n v="56545"/>
    <d v="2022-02-02T00:00:00"/>
    <n v="11"/>
    <n v="5"/>
    <n v="5654"/>
    <n v="2827"/>
    <n v="59372"/>
    <n v="2827"/>
    <n v="65026"/>
  </r>
  <r>
    <n v="1966"/>
    <x v="2"/>
    <s v="Male"/>
    <n v="24"/>
    <s v="Chennai"/>
    <x v="2"/>
    <n v="75902"/>
    <d v="2023-11-27T00:00:00"/>
    <n v="16"/>
    <n v="2"/>
    <n v="7590"/>
    <n v="3795"/>
    <n v="79697"/>
    <n v="3795"/>
    <n v="87287"/>
  </r>
  <r>
    <n v="1967"/>
    <x v="3"/>
    <s v="Female"/>
    <n v="35"/>
    <s v="Bangalore"/>
    <x v="4"/>
    <n v="86857"/>
    <d v="2023-11-03T00:00:00"/>
    <n v="17"/>
    <n v="4"/>
    <n v="8686"/>
    <n v="4343"/>
    <n v="91200"/>
    <n v="4343"/>
    <n v="99886"/>
  </r>
  <r>
    <n v="1968"/>
    <x v="6"/>
    <s v="Male"/>
    <n v="58"/>
    <s v="Hyderabad"/>
    <x v="3"/>
    <n v="72078"/>
    <d v="2023-09-29T00:00:00"/>
    <n v="11"/>
    <n v="5"/>
    <n v="7208"/>
    <n v="3604"/>
    <n v="75682"/>
    <n v="3604"/>
    <n v="82890"/>
  </r>
  <r>
    <n v="1969"/>
    <x v="6"/>
    <s v="Female"/>
    <n v="45"/>
    <s v="Bangalore"/>
    <x v="2"/>
    <n v="64634"/>
    <d v="2022-01-05T00:00:00"/>
    <n v="15"/>
    <n v="3"/>
    <n v="6463"/>
    <n v="3232"/>
    <n v="67865"/>
    <n v="3232"/>
    <n v="74329"/>
  </r>
  <r>
    <n v="1970"/>
    <x v="2"/>
    <s v="Female"/>
    <n v="59"/>
    <s v="Delhi"/>
    <x v="3"/>
    <n v="78914"/>
    <d v="2024-03-06T00:00:00"/>
    <n v="2"/>
    <n v="3"/>
    <n v="7891"/>
    <n v="3946"/>
    <n v="82859"/>
    <n v="0"/>
    <n v="86805"/>
  </r>
  <r>
    <n v="1971"/>
    <x v="2"/>
    <s v="Male"/>
    <n v="53"/>
    <s v="Delhi"/>
    <x v="1"/>
    <n v="45717"/>
    <d v="2022-05-05T00:00:00"/>
    <n v="15"/>
    <n v="3"/>
    <n v="4572"/>
    <n v="2286"/>
    <n v="48003"/>
    <n v="2286"/>
    <n v="52575"/>
  </r>
  <r>
    <n v="1972"/>
    <x v="7"/>
    <s v="Male"/>
    <n v="40"/>
    <s v="Delhi"/>
    <x v="4"/>
    <n v="45635"/>
    <d v="2023-12-22T00:00:00"/>
    <n v="12"/>
    <n v="4"/>
    <n v="4564"/>
    <n v="2282"/>
    <n v="47917"/>
    <n v="2282"/>
    <n v="52481"/>
  </r>
  <r>
    <n v="1973"/>
    <x v="4"/>
    <s v="Female"/>
    <n v="28"/>
    <s v="Hyderabad"/>
    <x v="3"/>
    <n v="34203"/>
    <d v="2024-01-17T00:00:00"/>
    <n v="12"/>
    <n v="3"/>
    <n v="3420"/>
    <n v="1710"/>
    <n v="35913"/>
    <n v="1710"/>
    <n v="39333"/>
  </r>
  <r>
    <n v="1974"/>
    <x v="6"/>
    <s v="Female"/>
    <n v="22"/>
    <s v="Chennai"/>
    <x v="0"/>
    <n v="46738"/>
    <d v="2024-07-31T00:00:00"/>
    <n v="12"/>
    <n v="4"/>
    <n v="4674"/>
    <n v="2337"/>
    <n v="49075"/>
    <n v="2337"/>
    <n v="53749"/>
  </r>
  <r>
    <n v="1975"/>
    <x v="2"/>
    <s v="Male"/>
    <n v="60"/>
    <s v="Chennai"/>
    <x v="1"/>
    <n v="55070"/>
    <d v="2024-07-24T00:00:00"/>
    <n v="18"/>
    <n v="4"/>
    <n v="5507"/>
    <n v="2754"/>
    <n v="57823"/>
    <n v="2754"/>
    <n v="63331"/>
  </r>
  <r>
    <n v="1976"/>
    <x v="0"/>
    <s v="Female"/>
    <n v="23"/>
    <s v="Bangalore"/>
    <x v="1"/>
    <n v="41064"/>
    <d v="2024-01-02T00:00:00"/>
    <n v="14"/>
    <n v="3"/>
    <n v="4106"/>
    <n v="2053"/>
    <n v="43117"/>
    <n v="2053"/>
    <n v="47223"/>
  </r>
  <r>
    <n v="1977"/>
    <x v="3"/>
    <s v="Male"/>
    <n v="60"/>
    <s v="Chennai"/>
    <x v="2"/>
    <n v="69975"/>
    <d v="2023-07-02T00:00:00"/>
    <n v="1"/>
    <n v="5"/>
    <n v="6998"/>
    <n v="3499"/>
    <n v="73474"/>
    <n v="0"/>
    <n v="76973"/>
  </r>
  <r>
    <n v="1978"/>
    <x v="6"/>
    <s v="Male"/>
    <n v="48"/>
    <s v="Delhi"/>
    <x v="4"/>
    <n v="39739"/>
    <d v="2023-02-19T00:00:00"/>
    <n v="4"/>
    <n v="3"/>
    <n v="3974"/>
    <n v="1987"/>
    <n v="41726"/>
    <n v="0"/>
    <n v="43713"/>
  </r>
  <r>
    <n v="1979"/>
    <x v="3"/>
    <s v="Female"/>
    <n v="27"/>
    <s v="Chennai"/>
    <x v="1"/>
    <n v="40879"/>
    <d v="2024-06-07T00:00:00"/>
    <n v="6"/>
    <n v="2"/>
    <n v="4088"/>
    <n v="2044"/>
    <n v="42923"/>
    <n v="2044"/>
    <n v="47011"/>
  </r>
  <r>
    <n v="1980"/>
    <x v="4"/>
    <s v="Male"/>
    <n v="30"/>
    <s v="Mumbai"/>
    <x v="1"/>
    <n v="39695"/>
    <d v="2022-11-20T00:00:00"/>
    <n v="18"/>
    <n v="3"/>
    <n v="3970"/>
    <n v="1985"/>
    <n v="41680"/>
    <n v="1985"/>
    <n v="45650"/>
  </r>
  <r>
    <n v="1981"/>
    <x v="2"/>
    <s v="Female"/>
    <n v="21"/>
    <s v="Mumbai"/>
    <x v="2"/>
    <n v="88787"/>
    <d v="2023-04-12T00:00:00"/>
    <n v="10"/>
    <n v="2"/>
    <n v="8879"/>
    <n v="4439"/>
    <n v="93227"/>
    <n v="4439"/>
    <n v="102105"/>
  </r>
  <r>
    <n v="1982"/>
    <x v="0"/>
    <s v="Male"/>
    <n v="46"/>
    <s v="Bangalore"/>
    <x v="1"/>
    <n v="23718"/>
    <d v="2023-02-25T00:00:00"/>
    <n v="6"/>
    <n v="4"/>
    <n v="2372"/>
    <n v="1186"/>
    <n v="24904"/>
    <n v="1186"/>
    <n v="27276"/>
  </r>
  <r>
    <n v="1983"/>
    <x v="1"/>
    <s v="Female"/>
    <n v="54"/>
    <s v="Bangalore"/>
    <x v="0"/>
    <n v="99362"/>
    <d v="2024-09-15T00:00:00"/>
    <n v="1"/>
    <n v="1"/>
    <n v="9936"/>
    <n v="4968"/>
    <n v="104330"/>
    <n v="0"/>
    <n v="109298"/>
  </r>
  <r>
    <n v="1984"/>
    <x v="5"/>
    <s v="Female"/>
    <n v="56"/>
    <s v="Delhi"/>
    <x v="3"/>
    <n v="45309"/>
    <d v="2023-06-16T00:00:00"/>
    <n v="7"/>
    <n v="3"/>
    <n v="4531"/>
    <n v="2265"/>
    <n v="47575"/>
    <n v="2265"/>
    <n v="52105"/>
  </r>
  <r>
    <n v="1985"/>
    <x v="1"/>
    <s v="Male"/>
    <n v="31"/>
    <s v="Chennai"/>
    <x v="4"/>
    <n v="70573"/>
    <d v="2022-07-15T00:00:00"/>
    <n v="18"/>
    <n v="3"/>
    <n v="7057"/>
    <n v="3529"/>
    <n v="74101"/>
    <n v="3529"/>
    <n v="81159"/>
  </r>
  <r>
    <n v="1986"/>
    <x v="1"/>
    <s v="Male"/>
    <n v="55"/>
    <s v="Chennai"/>
    <x v="2"/>
    <n v="80852"/>
    <d v="2023-06-17T00:00:00"/>
    <n v="16"/>
    <n v="5"/>
    <n v="8085"/>
    <n v="4043"/>
    <n v="84894"/>
    <n v="4043"/>
    <n v="92980"/>
  </r>
  <r>
    <n v="1987"/>
    <x v="6"/>
    <s v="Female"/>
    <n v="36"/>
    <s v="Delhi"/>
    <x v="4"/>
    <n v="52605"/>
    <d v="2024-05-30T00:00:00"/>
    <n v="15"/>
    <n v="3"/>
    <n v="5260"/>
    <n v="2630"/>
    <n v="55235"/>
    <n v="2630"/>
    <n v="60495"/>
  </r>
  <r>
    <n v="1988"/>
    <x v="0"/>
    <s v="Female"/>
    <n v="33"/>
    <s v="Delhi"/>
    <x v="0"/>
    <n v="34985"/>
    <d v="2023-10-05T00:00:00"/>
    <n v="6"/>
    <n v="4"/>
    <n v="3498"/>
    <n v="1749"/>
    <n v="36734"/>
    <n v="1749"/>
    <n v="40232"/>
  </r>
  <r>
    <n v="1989"/>
    <x v="7"/>
    <s v="Female"/>
    <n v="51"/>
    <s v="Hyderabad"/>
    <x v="1"/>
    <n v="72280"/>
    <d v="2024-08-13T00:00:00"/>
    <n v="14"/>
    <n v="2"/>
    <n v="7228"/>
    <n v="3614"/>
    <n v="75894"/>
    <n v="3614"/>
    <n v="83122"/>
  </r>
  <r>
    <n v="1990"/>
    <x v="6"/>
    <s v="Male"/>
    <n v="60"/>
    <s v="Chennai"/>
    <x v="3"/>
    <n v="26248"/>
    <d v="2023-03-07T00:00:00"/>
    <n v="17"/>
    <n v="5"/>
    <n v="2625"/>
    <n v="1312"/>
    <n v="27561"/>
    <n v="1312"/>
    <n v="30185"/>
  </r>
  <r>
    <n v="1991"/>
    <x v="5"/>
    <s v="Male"/>
    <n v="38"/>
    <s v="Hyderabad"/>
    <x v="2"/>
    <n v="44473"/>
    <d v="2023-11-13T00:00:00"/>
    <n v="12"/>
    <n v="5"/>
    <n v="4447"/>
    <n v="2224"/>
    <n v="46696"/>
    <n v="2224"/>
    <n v="51144"/>
  </r>
  <r>
    <n v="1992"/>
    <x v="8"/>
    <s v="Female"/>
    <n v="53"/>
    <s v="Bangalore"/>
    <x v="3"/>
    <n v="28245"/>
    <d v="2023-01-25T00:00:00"/>
    <n v="15"/>
    <n v="1"/>
    <n v="2824"/>
    <n v="1412"/>
    <n v="29657"/>
    <n v="1412"/>
    <n v="32481"/>
  </r>
  <r>
    <n v="1993"/>
    <x v="7"/>
    <s v="Male"/>
    <n v="43"/>
    <s v="Bangalore"/>
    <x v="0"/>
    <n v="46660"/>
    <d v="2024-06-25T00:00:00"/>
    <n v="1"/>
    <n v="1"/>
    <n v="4666"/>
    <n v="2333"/>
    <n v="48993"/>
    <n v="0"/>
    <n v="51326"/>
  </r>
  <r>
    <n v="1994"/>
    <x v="6"/>
    <s v="Male"/>
    <n v="59"/>
    <s v="Hyderabad"/>
    <x v="2"/>
    <n v="40263"/>
    <d v="2024-04-06T00:00:00"/>
    <n v="1"/>
    <n v="1"/>
    <n v="4026"/>
    <n v="2013"/>
    <n v="42276"/>
    <n v="0"/>
    <n v="44289"/>
  </r>
  <r>
    <n v="1995"/>
    <x v="6"/>
    <s v="Female"/>
    <n v="44"/>
    <s v="Chennai"/>
    <x v="1"/>
    <n v="50167"/>
    <d v="2022-12-15T00:00:00"/>
    <n v="3"/>
    <n v="3"/>
    <n v="5017"/>
    <n v="2508"/>
    <n v="52676"/>
    <n v="0"/>
    <n v="55184"/>
  </r>
  <r>
    <n v="1996"/>
    <x v="7"/>
    <s v="Male"/>
    <n v="35"/>
    <s v="Chennai"/>
    <x v="4"/>
    <n v="44964"/>
    <d v="2024-09-13T00:00:00"/>
    <n v="11"/>
    <n v="1"/>
    <n v="4496"/>
    <n v="2248"/>
    <n v="47212"/>
    <n v="2248"/>
    <n v="51708"/>
  </r>
  <r>
    <n v="1997"/>
    <x v="3"/>
    <s v="Male"/>
    <n v="45"/>
    <s v="Bangalore"/>
    <x v="1"/>
    <n v="67073"/>
    <d v="2022-04-01T00:00:00"/>
    <n v="5"/>
    <n v="4"/>
    <n v="6707"/>
    <n v="3354"/>
    <n v="70426"/>
    <n v="0"/>
    <n v="73780"/>
  </r>
  <r>
    <n v="1998"/>
    <x v="1"/>
    <s v="Male"/>
    <n v="55"/>
    <s v="Bangalore"/>
    <x v="4"/>
    <n v="43616"/>
    <d v="2022-08-22T00:00:00"/>
    <n v="20"/>
    <n v="1"/>
    <n v="4362"/>
    <n v="2181"/>
    <n v="45797"/>
    <n v="2181"/>
    <n v="50159"/>
  </r>
  <r>
    <n v="1999"/>
    <x v="2"/>
    <s v="Female"/>
    <n v="56"/>
    <s v="Delhi"/>
    <x v="3"/>
    <n v="51222"/>
    <d v="2024-09-15T00:00:00"/>
    <n v="2"/>
    <n v="5"/>
    <n v="5122"/>
    <n v="2561"/>
    <n v="53783"/>
    <n v="0"/>
    <n v="56344"/>
  </r>
  <r>
    <n v="2000"/>
    <x v="2"/>
    <s v="Female"/>
    <n v="30"/>
    <s v="Bangalore"/>
    <x v="2"/>
    <n v="87931"/>
    <d v="2023-07-19T00:00:00"/>
    <n v="11"/>
    <n v="5"/>
    <n v="8793"/>
    <n v="4397"/>
    <n v="92327"/>
    <n v="4397"/>
    <n v="101121"/>
  </r>
  <r>
    <n v="2001"/>
    <x v="0"/>
    <s v="Male"/>
    <n v="53"/>
    <s v="Mumbai"/>
    <x v="4"/>
    <n v="42947"/>
    <d v="2023-07-10T00:00:00"/>
    <n v="9"/>
    <n v="3"/>
    <n v="4295"/>
    <n v="2147"/>
    <n v="45095"/>
    <n v="2147"/>
    <n v="49389"/>
  </r>
  <r>
    <n v="2002"/>
    <x v="2"/>
    <s v="Female"/>
    <n v="38"/>
    <s v="Mumbai"/>
    <x v="3"/>
    <n v="75332"/>
    <d v="2023-07-12T00:00:00"/>
    <n v="10"/>
    <n v="4"/>
    <n v="7533"/>
    <n v="3767"/>
    <n v="79098"/>
    <n v="3767"/>
    <n v="86632"/>
  </r>
  <r>
    <n v="2003"/>
    <x v="0"/>
    <s v="Male"/>
    <n v="29"/>
    <s v="Delhi"/>
    <x v="4"/>
    <n v="51873"/>
    <d v="2022-03-28T00:00:00"/>
    <n v="14"/>
    <n v="4"/>
    <n v="5187"/>
    <n v="2594"/>
    <n v="54466"/>
    <n v="2594"/>
    <n v="59654"/>
  </r>
  <r>
    <n v="2004"/>
    <x v="5"/>
    <s v="Male"/>
    <n v="44"/>
    <s v="Mumbai"/>
    <x v="4"/>
    <n v="54156"/>
    <d v="2024-02-29T00:00:00"/>
    <n v="13"/>
    <n v="3"/>
    <n v="5416"/>
    <n v="2708"/>
    <n v="56864"/>
    <n v="2708"/>
    <n v="62280"/>
  </r>
  <r>
    <n v="2005"/>
    <x v="9"/>
    <s v="Female"/>
    <n v="42"/>
    <s v="Delhi"/>
    <x v="0"/>
    <n v="29612"/>
    <d v="2022-06-24T00:00:00"/>
    <n v="17"/>
    <n v="4"/>
    <n v="2961"/>
    <n v="1481"/>
    <n v="31092"/>
    <n v="1481"/>
    <n v="34054"/>
  </r>
  <r>
    <n v="2006"/>
    <x v="5"/>
    <s v="Male"/>
    <n v="25"/>
    <s v="Chennai"/>
    <x v="1"/>
    <n v="90217"/>
    <d v="2024-09-14T00:00:00"/>
    <n v="13"/>
    <n v="4"/>
    <n v="9022"/>
    <n v="4511"/>
    <n v="94728"/>
    <n v="4511"/>
    <n v="103750"/>
  </r>
  <r>
    <n v="2007"/>
    <x v="6"/>
    <s v="Female"/>
    <n v="28"/>
    <s v="Mumbai"/>
    <x v="3"/>
    <n v="94636"/>
    <d v="2022-03-19T00:00:00"/>
    <n v="19"/>
    <n v="4"/>
    <n v="9464"/>
    <n v="4732"/>
    <n v="99368"/>
    <n v="4732"/>
    <n v="108832"/>
  </r>
  <r>
    <n v="2008"/>
    <x v="2"/>
    <s v="Female"/>
    <n v="33"/>
    <s v="Hyderabad"/>
    <x v="2"/>
    <n v="72405"/>
    <d v="2024-09-15T00:00:00"/>
    <n v="17"/>
    <n v="1"/>
    <n v="7240"/>
    <n v="3620"/>
    <n v="76025"/>
    <n v="3620"/>
    <n v="83265"/>
  </r>
  <r>
    <n v="2009"/>
    <x v="1"/>
    <s v="Male"/>
    <n v="29"/>
    <s v="Mumbai"/>
    <x v="1"/>
    <n v="34092"/>
    <d v="2023-04-03T00:00:00"/>
    <n v="4"/>
    <n v="1"/>
    <n v="3409"/>
    <n v="1705"/>
    <n v="35796"/>
    <n v="0"/>
    <n v="37501"/>
  </r>
  <r>
    <n v="2010"/>
    <x v="3"/>
    <s v="Male"/>
    <n v="46"/>
    <s v="Chennai"/>
    <x v="3"/>
    <n v="20583"/>
    <d v="2022-10-26T00:00:00"/>
    <n v="1"/>
    <n v="5"/>
    <n v="2058"/>
    <n v="1029"/>
    <n v="21612"/>
    <n v="0"/>
    <n v="22641"/>
  </r>
  <r>
    <n v="2011"/>
    <x v="2"/>
    <s v="Female"/>
    <n v="30"/>
    <s v="Delhi"/>
    <x v="1"/>
    <n v="84320"/>
    <d v="2022-04-30T00:00:00"/>
    <n v="17"/>
    <n v="5"/>
    <n v="8432"/>
    <n v="4216"/>
    <n v="88536"/>
    <n v="4216"/>
    <n v="96968"/>
  </r>
  <r>
    <n v="2012"/>
    <x v="4"/>
    <s v="Female"/>
    <n v="53"/>
    <s v="Hyderabad"/>
    <x v="1"/>
    <n v="22472"/>
    <d v="2022-06-25T00:00:00"/>
    <n v="6"/>
    <n v="3"/>
    <n v="2247"/>
    <n v="1124"/>
    <n v="23595"/>
    <n v="1124"/>
    <n v="25843"/>
  </r>
  <r>
    <n v="2013"/>
    <x v="0"/>
    <s v="Male"/>
    <n v="51"/>
    <s v="Chennai"/>
    <x v="1"/>
    <n v="81238"/>
    <d v="2022-07-16T00:00:00"/>
    <n v="3"/>
    <n v="5"/>
    <n v="8124"/>
    <n v="4062"/>
    <n v="85300"/>
    <n v="0"/>
    <n v="89362"/>
  </r>
  <r>
    <n v="2014"/>
    <x v="3"/>
    <s v="Male"/>
    <n v="59"/>
    <s v="Delhi"/>
    <x v="4"/>
    <n v="82850"/>
    <d v="2023-07-16T00:00:00"/>
    <n v="11"/>
    <n v="5"/>
    <n v="8285"/>
    <n v="4142"/>
    <n v="86993"/>
    <n v="4142"/>
    <n v="95277"/>
  </r>
  <r>
    <n v="2015"/>
    <x v="7"/>
    <s v="Male"/>
    <n v="37"/>
    <s v="Mumbai"/>
    <x v="4"/>
    <n v="46970"/>
    <d v="2023-01-16T00:00:00"/>
    <n v="9"/>
    <n v="2"/>
    <n v="4697"/>
    <n v="2348"/>
    <n v="49319"/>
    <n v="2348"/>
    <n v="54015"/>
  </r>
  <r>
    <n v="2016"/>
    <x v="8"/>
    <s v="Male"/>
    <n v="54"/>
    <s v="Hyderabad"/>
    <x v="3"/>
    <n v="34376"/>
    <d v="2024-09-07T00:00:00"/>
    <n v="19"/>
    <n v="1"/>
    <n v="3438"/>
    <n v="1719"/>
    <n v="36095"/>
    <n v="1719"/>
    <n v="39533"/>
  </r>
  <r>
    <n v="2017"/>
    <x v="5"/>
    <s v="Male"/>
    <n v="29"/>
    <s v="Mumbai"/>
    <x v="4"/>
    <n v="51417"/>
    <d v="2024-09-26T00:00:00"/>
    <n v="15"/>
    <n v="3"/>
    <n v="5142"/>
    <n v="2571"/>
    <n v="53988"/>
    <n v="2571"/>
    <n v="59130"/>
  </r>
  <r>
    <n v="2018"/>
    <x v="4"/>
    <s v="Female"/>
    <n v="46"/>
    <s v="Hyderabad"/>
    <x v="0"/>
    <n v="76709"/>
    <d v="2023-11-18T00:00:00"/>
    <n v="19"/>
    <n v="1"/>
    <n v="7671"/>
    <n v="3835"/>
    <n v="80545"/>
    <n v="3835"/>
    <n v="88215"/>
  </r>
  <r>
    <n v="2019"/>
    <x v="2"/>
    <s v="Female"/>
    <n v="39"/>
    <s v="Delhi"/>
    <x v="0"/>
    <n v="85528"/>
    <d v="2024-02-25T00:00:00"/>
    <n v="13"/>
    <n v="1"/>
    <n v="8553"/>
    <n v="4276"/>
    <n v="89805"/>
    <n v="4276"/>
    <n v="98357"/>
  </r>
  <r>
    <n v="2020"/>
    <x v="5"/>
    <s v="Female"/>
    <n v="40"/>
    <s v="Hyderabad"/>
    <x v="3"/>
    <n v="88989"/>
    <d v="2022-10-21T00:00:00"/>
    <n v="9"/>
    <n v="3"/>
    <n v="8899"/>
    <n v="4449"/>
    <n v="93439"/>
    <n v="4449"/>
    <n v="102337"/>
  </r>
  <r>
    <n v="2021"/>
    <x v="9"/>
    <s v="Female"/>
    <n v="28"/>
    <s v="Hyderabad"/>
    <x v="1"/>
    <n v="42047"/>
    <d v="2024-08-18T00:00:00"/>
    <n v="9"/>
    <n v="3"/>
    <n v="4205"/>
    <n v="2102"/>
    <n v="44150"/>
    <n v="2102"/>
    <n v="48354"/>
  </r>
  <r>
    <n v="2022"/>
    <x v="5"/>
    <s v="Male"/>
    <n v="58"/>
    <s v="Mumbai"/>
    <x v="4"/>
    <n v="66682"/>
    <d v="2024-03-05T00:00:00"/>
    <n v="9"/>
    <n v="5"/>
    <n v="6668"/>
    <n v="3334"/>
    <n v="70016"/>
    <n v="3334"/>
    <n v="76684"/>
  </r>
  <r>
    <n v="2023"/>
    <x v="8"/>
    <s v="Male"/>
    <n v="39"/>
    <s v="Mumbai"/>
    <x v="4"/>
    <n v="83765"/>
    <d v="2022-02-06T00:00:00"/>
    <n v="1"/>
    <n v="2"/>
    <n v="8376"/>
    <n v="4188"/>
    <n v="87953"/>
    <n v="0"/>
    <n v="92141"/>
  </r>
  <r>
    <n v="2024"/>
    <x v="1"/>
    <s v="Male"/>
    <n v="38"/>
    <s v="Delhi"/>
    <x v="2"/>
    <n v="82881"/>
    <d v="2024-08-08T00:00:00"/>
    <n v="13"/>
    <n v="4"/>
    <n v="8288"/>
    <n v="4144"/>
    <n v="87025"/>
    <n v="4144"/>
    <n v="95313"/>
  </r>
  <r>
    <n v="2025"/>
    <x v="7"/>
    <s v="Female"/>
    <n v="40"/>
    <s v="Chennai"/>
    <x v="1"/>
    <n v="87644"/>
    <d v="2024-03-08T00:00:00"/>
    <n v="15"/>
    <n v="4"/>
    <n v="8764"/>
    <n v="4382"/>
    <n v="92026"/>
    <n v="4382"/>
    <n v="100790"/>
  </r>
  <r>
    <n v="2026"/>
    <x v="7"/>
    <s v="Male"/>
    <n v="40"/>
    <s v="Bangalore"/>
    <x v="2"/>
    <n v="49352"/>
    <d v="2024-01-01T00:00:00"/>
    <n v="18"/>
    <n v="4"/>
    <n v="4935"/>
    <n v="2468"/>
    <n v="51819"/>
    <n v="2468"/>
    <n v="56755"/>
  </r>
  <r>
    <n v="2027"/>
    <x v="6"/>
    <s v="Male"/>
    <n v="54"/>
    <s v="Mumbai"/>
    <x v="2"/>
    <n v="31618"/>
    <d v="2022-02-03T00:00:00"/>
    <n v="13"/>
    <n v="2"/>
    <n v="3162"/>
    <n v="1581"/>
    <n v="33199"/>
    <n v="1581"/>
    <n v="36361"/>
  </r>
  <r>
    <n v="2028"/>
    <x v="0"/>
    <s v="Female"/>
    <n v="29"/>
    <s v="Delhi"/>
    <x v="4"/>
    <n v="71186"/>
    <d v="2022-06-18T00:00:00"/>
    <n v="5"/>
    <n v="1"/>
    <n v="7119"/>
    <n v="3559"/>
    <n v="74746"/>
    <n v="0"/>
    <n v="78305"/>
  </r>
  <r>
    <n v="2029"/>
    <x v="2"/>
    <s v="Male"/>
    <n v="32"/>
    <s v="Mumbai"/>
    <x v="1"/>
    <n v="50817"/>
    <d v="2023-03-26T00:00:00"/>
    <n v="1"/>
    <n v="3"/>
    <n v="5082"/>
    <n v="2541"/>
    <n v="53358"/>
    <n v="0"/>
    <n v="55899"/>
  </r>
  <r>
    <n v="2030"/>
    <x v="4"/>
    <s v="Male"/>
    <n v="51"/>
    <s v="Delhi"/>
    <x v="1"/>
    <n v="78720"/>
    <d v="2024-08-07T00:00:00"/>
    <n v="7"/>
    <n v="4"/>
    <n v="7872"/>
    <n v="3936"/>
    <n v="82656"/>
    <n v="3936"/>
    <n v="90528"/>
  </r>
  <r>
    <n v="2031"/>
    <x v="7"/>
    <s v="Female"/>
    <n v="47"/>
    <s v="Mumbai"/>
    <x v="3"/>
    <n v="50283"/>
    <d v="2022-10-09T00:00:00"/>
    <n v="5"/>
    <n v="3"/>
    <n v="5028"/>
    <n v="2514"/>
    <n v="52797"/>
    <n v="0"/>
    <n v="55311"/>
  </r>
  <r>
    <n v="2032"/>
    <x v="8"/>
    <s v="Male"/>
    <n v="24"/>
    <s v="Delhi"/>
    <x v="3"/>
    <n v="40155"/>
    <d v="2023-01-13T00:00:00"/>
    <n v="12"/>
    <n v="1"/>
    <n v="4016"/>
    <n v="2008"/>
    <n v="42163"/>
    <n v="2008"/>
    <n v="46179"/>
  </r>
  <r>
    <n v="2033"/>
    <x v="8"/>
    <s v="Female"/>
    <n v="44"/>
    <s v="Delhi"/>
    <x v="1"/>
    <n v="93922"/>
    <d v="2024-07-26T00:00:00"/>
    <n v="9"/>
    <n v="4"/>
    <n v="9392"/>
    <n v="4696"/>
    <n v="98618"/>
    <n v="4696"/>
    <n v="108010"/>
  </r>
  <r>
    <n v="2034"/>
    <x v="7"/>
    <s v="Female"/>
    <n v="32"/>
    <s v="Bangalore"/>
    <x v="1"/>
    <n v="25519"/>
    <d v="2022-04-06T00:00:00"/>
    <n v="12"/>
    <n v="3"/>
    <n v="2552"/>
    <n v="1276"/>
    <n v="26795"/>
    <n v="1276"/>
    <n v="29347"/>
  </r>
  <r>
    <n v="2035"/>
    <x v="6"/>
    <s v="Female"/>
    <n v="51"/>
    <s v="Bangalore"/>
    <x v="4"/>
    <n v="90912"/>
    <d v="2023-06-11T00:00:00"/>
    <n v="13"/>
    <n v="5"/>
    <n v="9091"/>
    <n v="4546"/>
    <n v="95457"/>
    <n v="4546"/>
    <n v="104549"/>
  </r>
  <r>
    <n v="2036"/>
    <x v="5"/>
    <s v="Male"/>
    <n v="41"/>
    <s v="Bangalore"/>
    <x v="3"/>
    <n v="71063"/>
    <d v="2022-01-17T00:00:00"/>
    <n v="4"/>
    <n v="2"/>
    <n v="7106"/>
    <n v="3553"/>
    <n v="74616"/>
    <n v="0"/>
    <n v="78169"/>
  </r>
  <r>
    <n v="2037"/>
    <x v="3"/>
    <s v="Male"/>
    <n v="59"/>
    <s v="Mumbai"/>
    <x v="2"/>
    <n v="57694"/>
    <d v="2023-12-13T00:00:00"/>
    <n v="18"/>
    <n v="3"/>
    <n v="5769"/>
    <n v="2885"/>
    <n v="60578"/>
    <n v="2885"/>
    <n v="66348"/>
  </r>
  <r>
    <n v="2038"/>
    <x v="0"/>
    <s v="Male"/>
    <n v="50"/>
    <s v="Mumbai"/>
    <x v="0"/>
    <n v="89418"/>
    <d v="2024-01-29T00:00:00"/>
    <n v="1"/>
    <n v="3"/>
    <n v="8942"/>
    <n v="4471"/>
    <n v="93889"/>
    <n v="0"/>
    <n v="98360"/>
  </r>
  <r>
    <n v="2039"/>
    <x v="5"/>
    <s v="Female"/>
    <n v="49"/>
    <s v="Chennai"/>
    <x v="4"/>
    <n v="66809"/>
    <d v="2023-08-16T00:00:00"/>
    <n v="19"/>
    <n v="5"/>
    <n v="6681"/>
    <n v="3340"/>
    <n v="70150"/>
    <n v="3340"/>
    <n v="76830"/>
  </r>
  <r>
    <n v="2040"/>
    <x v="2"/>
    <s v="Male"/>
    <n v="52"/>
    <s v="Chennai"/>
    <x v="3"/>
    <n v="39327"/>
    <d v="2024-01-31T00:00:00"/>
    <n v="11"/>
    <n v="3"/>
    <n v="3933"/>
    <n v="1966"/>
    <n v="41294"/>
    <n v="1966"/>
    <n v="45226"/>
  </r>
  <r>
    <n v="2041"/>
    <x v="9"/>
    <s v="Female"/>
    <n v="29"/>
    <s v="Chennai"/>
    <x v="3"/>
    <n v="43711"/>
    <d v="2024-04-24T00:00:00"/>
    <n v="10"/>
    <n v="3"/>
    <n v="4371"/>
    <n v="2186"/>
    <n v="45896"/>
    <n v="2186"/>
    <n v="50268"/>
  </r>
  <r>
    <n v="2042"/>
    <x v="4"/>
    <s v="Female"/>
    <n v="24"/>
    <s v="Mumbai"/>
    <x v="0"/>
    <n v="90480"/>
    <d v="2022-03-21T00:00:00"/>
    <n v="18"/>
    <n v="3"/>
    <n v="9048"/>
    <n v="4524"/>
    <n v="95004"/>
    <n v="4524"/>
    <n v="104052"/>
  </r>
  <r>
    <n v="2043"/>
    <x v="5"/>
    <s v="Male"/>
    <n v="21"/>
    <s v="Delhi"/>
    <x v="2"/>
    <n v="73452"/>
    <d v="2023-01-11T00:00:00"/>
    <n v="9"/>
    <n v="5"/>
    <n v="7345"/>
    <n v="3673"/>
    <n v="77124"/>
    <n v="3673"/>
    <n v="84470"/>
  </r>
  <r>
    <n v="2044"/>
    <x v="5"/>
    <s v="Male"/>
    <n v="59"/>
    <s v="Chennai"/>
    <x v="4"/>
    <n v="76179"/>
    <d v="2022-04-21T00:00:00"/>
    <n v="16"/>
    <n v="5"/>
    <n v="7618"/>
    <n v="3809"/>
    <n v="79988"/>
    <n v="3809"/>
    <n v="87606"/>
  </r>
  <r>
    <n v="2045"/>
    <x v="7"/>
    <s v="Female"/>
    <n v="47"/>
    <s v="Mumbai"/>
    <x v="4"/>
    <n v="98024"/>
    <d v="2022-04-22T00:00:00"/>
    <n v="11"/>
    <n v="5"/>
    <n v="9802"/>
    <n v="4901"/>
    <n v="102925"/>
    <n v="4901"/>
    <n v="112727"/>
  </r>
  <r>
    <n v="2046"/>
    <x v="5"/>
    <s v="Male"/>
    <n v="56"/>
    <s v="Delhi"/>
    <x v="2"/>
    <n v="51282"/>
    <d v="2022-11-21T00:00:00"/>
    <n v="16"/>
    <n v="2"/>
    <n v="5128"/>
    <n v="2564"/>
    <n v="53846"/>
    <n v="2564"/>
    <n v="58974"/>
  </r>
  <r>
    <n v="2047"/>
    <x v="4"/>
    <s v="Male"/>
    <n v="28"/>
    <s v="Mumbai"/>
    <x v="3"/>
    <n v="74097"/>
    <d v="2022-06-10T00:00:00"/>
    <n v="19"/>
    <n v="5"/>
    <n v="7410"/>
    <n v="3705"/>
    <n v="77802"/>
    <n v="3705"/>
    <n v="85212"/>
  </r>
  <r>
    <n v="2048"/>
    <x v="7"/>
    <s v="Female"/>
    <n v="32"/>
    <s v="Chennai"/>
    <x v="1"/>
    <n v="92667"/>
    <d v="2023-05-28T00:00:00"/>
    <n v="18"/>
    <n v="1"/>
    <n v="9267"/>
    <n v="4633"/>
    <n v="97301"/>
    <n v="4633"/>
    <n v="106567"/>
  </r>
  <r>
    <n v="2049"/>
    <x v="4"/>
    <s v="Male"/>
    <n v="49"/>
    <s v="Hyderabad"/>
    <x v="3"/>
    <n v="22114"/>
    <d v="2022-09-19T00:00:00"/>
    <n v="8"/>
    <n v="2"/>
    <n v="2211"/>
    <n v="1106"/>
    <n v="23219"/>
    <n v="1106"/>
    <n v="25431"/>
  </r>
  <r>
    <n v="2050"/>
    <x v="6"/>
    <s v="Male"/>
    <n v="40"/>
    <s v="Bangalore"/>
    <x v="2"/>
    <n v="75350"/>
    <d v="2023-08-06T00:00:00"/>
    <n v="20"/>
    <n v="3"/>
    <n v="7535"/>
    <n v="3768"/>
    <n v="79117"/>
    <n v="3768"/>
    <n v="86653"/>
  </r>
  <r>
    <n v="2051"/>
    <x v="1"/>
    <s v="Female"/>
    <n v="35"/>
    <s v="Mumbai"/>
    <x v="3"/>
    <n v="56528"/>
    <d v="2023-03-16T00:00:00"/>
    <n v="12"/>
    <n v="1"/>
    <n v="5653"/>
    <n v="2826"/>
    <n v="59355"/>
    <n v="2826"/>
    <n v="65007"/>
  </r>
  <r>
    <n v="2052"/>
    <x v="8"/>
    <s v="Female"/>
    <n v="31"/>
    <s v="Hyderabad"/>
    <x v="4"/>
    <n v="60716"/>
    <d v="2022-11-12T00:00:00"/>
    <n v="17"/>
    <n v="1"/>
    <n v="6072"/>
    <n v="3036"/>
    <n v="63752"/>
    <n v="3036"/>
    <n v="69824"/>
  </r>
  <r>
    <n v="2053"/>
    <x v="4"/>
    <s v="Female"/>
    <n v="47"/>
    <s v="Mumbai"/>
    <x v="4"/>
    <n v="84376"/>
    <d v="2022-02-20T00:00:00"/>
    <n v="20"/>
    <n v="1"/>
    <n v="8438"/>
    <n v="4219"/>
    <n v="88595"/>
    <n v="4219"/>
    <n v="97033"/>
  </r>
  <r>
    <n v="2054"/>
    <x v="2"/>
    <s v="Male"/>
    <n v="45"/>
    <s v="Hyderabad"/>
    <x v="3"/>
    <n v="74191"/>
    <d v="2022-09-04T00:00:00"/>
    <n v="10"/>
    <n v="1"/>
    <n v="7419"/>
    <n v="3710"/>
    <n v="77900"/>
    <n v="3710"/>
    <n v="85320"/>
  </r>
  <r>
    <n v="2055"/>
    <x v="7"/>
    <s v="Female"/>
    <n v="52"/>
    <s v="Hyderabad"/>
    <x v="0"/>
    <n v="96997"/>
    <d v="2022-04-12T00:00:00"/>
    <n v="11"/>
    <n v="3"/>
    <n v="9700"/>
    <n v="4850"/>
    <n v="101847"/>
    <n v="4850"/>
    <n v="111547"/>
  </r>
  <r>
    <n v="2056"/>
    <x v="6"/>
    <s v="Male"/>
    <n v="41"/>
    <s v="Delhi"/>
    <x v="3"/>
    <n v="25993"/>
    <d v="2023-03-09T00:00:00"/>
    <n v="8"/>
    <n v="2"/>
    <n v="2599"/>
    <n v="1300"/>
    <n v="27292"/>
    <n v="1300"/>
    <n v="29892"/>
  </r>
  <r>
    <n v="2057"/>
    <x v="0"/>
    <s v="Female"/>
    <n v="55"/>
    <s v="Delhi"/>
    <x v="3"/>
    <n v="85624"/>
    <d v="2023-09-16T00:00:00"/>
    <n v="14"/>
    <n v="1"/>
    <n v="8562"/>
    <n v="4281"/>
    <n v="89905"/>
    <n v="4281"/>
    <n v="98467"/>
  </r>
  <r>
    <n v="2058"/>
    <x v="5"/>
    <s v="Male"/>
    <n v="44"/>
    <s v="Mumbai"/>
    <x v="2"/>
    <n v="78802"/>
    <d v="2022-09-24T00:00:00"/>
    <n v="15"/>
    <n v="1"/>
    <n v="7880"/>
    <n v="3940"/>
    <n v="82742"/>
    <n v="3940"/>
    <n v="90622"/>
  </r>
  <r>
    <n v="2059"/>
    <x v="2"/>
    <s v="Female"/>
    <n v="45"/>
    <s v="Chennai"/>
    <x v="0"/>
    <n v="62309"/>
    <d v="2023-01-24T00:00:00"/>
    <n v="8"/>
    <n v="5"/>
    <n v="6231"/>
    <n v="3115"/>
    <n v="65425"/>
    <n v="3115"/>
    <n v="71655"/>
  </r>
  <r>
    <n v="2060"/>
    <x v="1"/>
    <s v="Male"/>
    <n v="23"/>
    <s v="Mumbai"/>
    <x v="3"/>
    <n v="54388"/>
    <d v="2022-01-02T00:00:00"/>
    <n v="18"/>
    <n v="2"/>
    <n v="5439"/>
    <n v="2719"/>
    <n v="57108"/>
    <n v="2719"/>
    <n v="62546"/>
  </r>
  <r>
    <n v="2061"/>
    <x v="4"/>
    <s v="Female"/>
    <n v="22"/>
    <s v="Delhi"/>
    <x v="3"/>
    <n v="64229"/>
    <d v="2024-06-22T00:00:00"/>
    <n v="18"/>
    <n v="3"/>
    <n v="6423"/>
    <n v="3211"/>
    <n v="67441"/>
    <n v="3211"/>
    <n v="73863"/>
  </r>
  <r>
    <n v="2062"/>
    <x v="0"/>
    <s v="Male"/>
    <n v="22"/>
    <s v="Delhi"/>
    <x v="3"/>
    <n v="79634"/>
    <d v="2024-07-25T00:00:00"/>
    <n v="19"/>
    <n v="2"/>
    <n v="7963"/>
    <n v="3982"/>
    <n v="83615"/>
    <n v="3982"/>
    <n v="91579"/>
  </r>
  <r>
    <n v="2063"/>
    <x v="0"/>
    <s v="Male"/>
    <n v="42"/>
    <s v="Hyderabad"/>
    <x v="0"/>
    <n v="86911"/>
    <d v="2022-09-12T00:00:00"/>
    <n v="18"/>
    <n v="4"/>
    <n v="8691"/>
    <n v="4346"/>
    <n v="91256"/>
    <n v="4346"/>
    <n v="99948"/>
  </r>
  <r>
    <n v="2064"/>
    <x v="2"/>
    <s v="Female"/>
    <n v="55"/>
    <s v="Delhi"/>
    <x v="2"/>
    <n v="36521"/>
    <d v="2022-04-14T00:00:00"/>
    <n v="12"/>
    <n v="1"/>
    <n v="3652"/>
    <n v="1826"/>
    <n v="38347"/>
    <n v="1826"/>
    <n v="41999"/>
  </r>
  <r>
    <n v="2065"/>
    <x v="2"/>
    <s v="Male"/>
    <n v="39"/>
    <s v="Chennai"/>
    <x v="4"/>
    <n v="44229"/>
    <d v="2023-08-13T00:00:00"/>
    <n v="16"/>
    <n v="2"/>
    <n v="4423"/>
    <n v="2211"/>
    <n v="46441"/>
    <n v="2211"/>
    <n v="50863"/>
  </r>
  <r>
    <n v="2066"/>
    <x v="8"/>
    <s v="Female"/>
    <n v="26"/>
    <s v="Bangalore"/>
    <x v="4"/>
    <n v="76170"/>
    <d v="2022-04-03T00:00:00"/>
    <n v="4"/>
    <n v="2"/>
    <n v="7617"/>
    <n v="3808"/>
    <n v="79979"/>
    <n v="0"/>
    <n v="83787"/>
  </r>
  <r>
    <n v="2067"/>
    <x v="7"/>
    <s v="Male"/>
    <n v="51"/>
    <s v="Mumbai"/>
    <x v="1"/>
    <n v="91498"/>
    <d v="2024-05-02T00:00:00"/>
    <n v="15"/>
    <n v="2"/>
    <n v="9150"/>
    <n v="4575"/>
    <n v="96073"/>
    <n v="4575"/>
    <n v="105223"/>
  </r>
  <r>
    <n v="2068"/>
    <x v="8"/>
    <s v="Male"/>
    <n v="28"/>
    <s v="Mumbai"/>
    <x v="3"/>
    <n v="70276"/>
    <d v="2022-11-19T00:00:00"/>
    <n v="11"/>
    <n v="4"/>
    <n v="7028"/>
    <n v="3514"/>
    <n v="73790"/>
    <n v="3514"/>
    <n v="80818"/>
  </r>
  <r>
    <n v="2069"/>
    <x v="8"/>
    <s v="Male"/>
    <n v="47"/>
    <s v="Chennai"/>
    <x v="3"/>
    <n v="96450"/>
    <d v="2024-09-19T00:00:00"/>
    <n v="3"/>
    <n v="4"/>
    <n v="9645"/>
    <n v="4822"/>
    <n v="101273"/>
    <n v="0"/>
    <n v="106095"/>
  </r>
  <r>
    <n v="2070"/>
    <x v="7"/>
    <s v="Male"/>
    <n v="46"/>
    <s v="Chennai"/>
    <x v="0"/>
    <n v="33195"/>
    <d v="2022-06-23T00:00:00"/>
    <n v="4"/>
    <n v="3"/>
    <n v="3320"/>
    <n v="1660"/>
    <n v="34855"/>
    <n v="0"/>
    <n v="36515"/>
  </r>
  <r>
    <n v="2071"/>
    <x v="3"/>
    <s v="Female"/>
    <n v="52"/>
    <s v="Chennai"/>
    <x v="2"/>
    <n v="53652"/>
    <d v="2023-07-20T00:00:00"/>
    <n v="4"/>
    <n v="1"/>
    <n v="5365"/>
    <n v="2683"/>
    <n v="56334"/>
    <n v="0"/>
    <n v="59017"/>
  </r>
  <r>
    <n v="2072"/>
    <x v="8"/>
    <s v="Male"/>
    <n v="53"/>
    <s v="Delhi"/>
    <x v="3"/>
    <n v="70399"/>
    <d v="2024-06-04T00:00:00"/>
    <n v="16"/>
    <n v="1"/>
    <n v="7040"/>
    <n v="3520"/>
    <n v="73919"/>
    <n v="3520"/>
    <n v="80959"/>
  </r>
  <r>
    <n v="2073"/>
    <x v="3"/>
    <s v="Male"/>
    <n v="26"/>
    <s v="Hyderabad"/>
    <x v="0"/>
    <n v="43809"/>
    <d v="2022-04-17T00:00:00"/>
    <n v="8"/>
    <n v="4"/>
    <n v="4381"/>
    <n v="2190"/>
    <n v="46000"/>
    <n v="2190"/>
    <n v="50380"/>
  </r>
  <r>
    <n v="2074"/>
    <x v="1"/>
    <s v="Male"/>
    <n v="42"/>
    <s v="Bangalore"/>
    <x v="1"/>
    <n v="66194"/>
    <d v="2023-03-20T00:00:00"/>
    <n v="5"/>
    <n v="4"/>
    <n v="6619"/>
    <n v="3310"/>
    <n v="69503"/>
    <n v="0"/>
    <n v="72813"/>
  </r>
  <r>
    <n v="2075"/>
    <x v="0"/>
    <s v="Female"/>
    <n v="55"/>
    <s v="Mumbai"/>
    <x v="3"/>
    <n v="69345"/>
    <d v="2022-01-30T00:00:00"/>
    <n v="18"/>
    <n v="1"/>
    <n v="6934"/>
    <n v="3467"/>
    <n v="72812"/>
    <n v="3467"/>
    <n v="79746"/>
  </r>
  <r>
    <n v="2076"/>
    <x v="2"/>
    <s v="Male"/>
    <n v="40"/>
    <s v="Chennai"/>
    <x v="3"/>
    <n v="61125"/>
    <d v="2022-03-19T00:00:00"/>
    <n v="19"/>
    <n v="4"/>
    <n v="6112"/>
    <n v="3056"/>
    <n v="64181"/>
    <n v="3056"/>
    <n v="70293"/>
  </r>
  <r>
    <n v="2077"/>
    <x v="2"/>
    <s v="Female"/>
    <n v="26"/>
    <s v="Chennai"/>
    <x v="4"/>
    <n v="83399"/>
    <d v="2022-02-06T00:00:00"/>
    <n v="19"/>
    <n v="5"/>
    <n v="8340"/>
    <n v="4170"/>
    <n v="87569"/>
    <n v="4170"/>
    <n v="95909"/>
  </r>
  <r>
    <n v="2078"/>
    <x v="0"/>
    <s v="Female"/>
    <n v="50"/>
    <s v="Hyderabad"/>
    <x v="3"/>
    <n v="48466"/>
    <d v="2023-10-26T00:00:00"/>
    <n v="2"/>
    <n v="3"/>
    <n v="4847"/>
    <n v="2423"/>
    <n v="50890"/>
    <n v="0"/>
    <n v="53313"/>
  </r>
  <r>
    <n v="2079"/>
    <x v="2"/>
    <s v="Male"/>
    <n v="46"/>
    <s v="Bangalore"/>
    <x v="4"/>
    <n v="92927"/>
    <d v="2024-07-17T00:00:00"/>
    <n v="16"/>
    <n v="5"/>
    <n v="9293"/>
    <n v="4646"/>
    <n v="97574"/>
    <n v="4646"/>
    <n v="106866"/>
  </r>
  <r>
    <n v="2080"/>
    <x v="2"/>
    <s v="Female"/>
    <n v="32"/>
    <s v="Mumbai"/>
    <x v="4"/>
    <n v="48753"/>
    <d v="2023-02-04T00:00:00"/>
    <n v="15"/>
    <n v="2"/>
    <n v="4875"/>
    <n v="2438"/>
    <n v="51190"/>
    <n v="2438"/>
    <n v="56066"/>
  </r>
  <r>
    <n v="2081"/>
    <x v="3"/>
    <s v="Male"/>
    <n v="36"/>
    <s v="Delhi"/>
    <x v="4"/>
    <n v="92248"/>
    <d v="2022-01-06T00:00:00"/>
    <n v="8"/>
    <n v="1"/>
    <n v="9225"/>
    <n v="4612"/>
    <n v="96861"/>
    <n v="4612"/>
    <n v="106085"/>
  </r>
  <r>
    <n v="2082"/>
    <x v="4"/>
    <s v="Female"/>
    <n v="53"/>
    <s v="Chennai"/>
    <x v="2"/>
    <n v="30184"/>
    <d v="2023-02-12T00:00:00"/>
    <n v="13"/>
    <n v="4"/>
    <n v="3018"/>
    <n v="1509"/>
    <n v="31693"/>
    <n v="1509"/>
    <n v="34711"/>
  </r>
  <r>
    <n v="2083"/>
    <x v="1"/>
    <s v="Male"/>
    <n v="30"/>
    <s v="Chennai"/>
    <x v="3"/>
    <n v="37519"/>
    <d v="2022-12-08T00:00:00"/>
    <n v="14"/>
    <n v="5"/>
    <n v="3752"/>
    <n v="1876"/>
    <n v="39395"/>
    <n v="1876"/>
    <n v="43147"/>
  </r>
  <r>
    <n v="2084"/>
    <x v="3"/>
    <s v="Female"/>
    <n v="24"/>
    <s v="Mumbai"/>
    <x v="2"/>
    <n v="37976"/>
    <d v="2023-03-20T00:00:00"/>
    <n v="10"/>
    <n v="1"/>
    <n v="3798"/>
    <n v="1899"/>
    <n v="39875"/>
    <n v="1899"/>
    <n v="43673"/>
  </r>
  <r>
    <n v="2085"/>
    <x v="7"/>
    <s v="Female"/>
    <n v="34"/>
    <s v="Mumbai"/>
    <x v="3"/>
    <n v="61711"/>
    <d v="2022-06-11T00:00:00"/>
    <n v="3"/>
    <n v="4"/>
    <n v="6171"/>
    <n v="3086"/>
    <n v="64796"/>
    <n v="0"/>
    <n v="67882"/>
  </r>
  <r>
    <n v="2086"/>
    <x v="0"/>
    <s v="Male"/>
    <n v="52"/>
    <s v="Delhi"/>
    <x v="4"/>
    <n v="56526"/>
    <d v="2024-05-12T00:00:00"/>
    <n v="9"/>
    <n v="4"/>
    <n v="5653"/>
    <n v="2826"/>
    <n v="59353"/>
    <n v="2826"/>
    <n v="65005"/>
  </r>
  <r>
    <n v="2087"/>
    <x v="3"/>
    <s v="Female"/>
    <n v="22"/>
    <s v="Delhi"/>
    <x v="2"/>
    <n v="73731"/>
    <d v="2022-08-17T00:00:00"/>
    <n v="7"/>
    <n v="5"/>
    <n v="7373"/>
    <n v="3687"/>
    <n v="77417"/>
    <n v="3687"/>
    <n v="84791"/>
  </r>
  <r>
    <n v="2088"/>
    <x v="0"/>
    <s v="Female"/>
    <n v="46"/>
    <s v="Bangalore"/>
    <x v="1"/>
    <n v="73397"/>
    <d v="2023-10-03T00:00:00"/>
    <n v="1"/>
    <n v="3"/>
    <n v="7340"/>
    <n v="3670"/>
    <n v="77067"/>
    <n v="0"/>
    <n v="80737"/>
  </r>
  <r>
    <n v="2089"/>
    <x v="2"/>
    <s v="Male"/>
    <n v="45"/>
    <s v="Delhi"/>
    <x v="4"/>
    <n v="93201"/>
    <d v="2024-07-05T00:00:00"/>
    <n v="6"/>
    <n v="1"/>
    <n v="9320"/>
    <n v="4660"/>
    <n v="97861"/>
    <n v="4660"/>
    <n v="107181"/>
  </r>
  <r>
    <n v="2090"/>
    <x v="4"/>
    <s v="Female"/>
    <n v="31"/>
    <s v="Mumbai"/>
    <x v="3"/>
    <n v="47443"/>
    <d v="2023-08-05T00:00:00"/>
    <n v="1"/>
    <n v="5"/>
    <n v="4744"/>
    <n v="2372"/>
    <n v="49815"/>
    <n v="0"/>
    <n v="52187"/>
  </r>
  <r>
    <n v="2091"/>
    <x v="2"/>
    <s v="Female"/>
    <n v="59"/>
    <s v="Chennai"/>
    <x v="3"/>
    <n v="95429"/>
    <d v="2023-06-18T00:00:00"/>
    <n v="11"/>
    <n v="3"/>
    <n v="9543"/>
    <n v="4771"/>
    <n v="100201"/>
    <n v="4771"/>
    <n v="109743"/>
  </r>
  <r>
    <n v="2092"/>
    <x v="6"/>
    <s v="Female"/>
    <n v="51"/>
    <s v="Bangalore"/>
    <x v="4"/>
    <n v="33945"/>
    <d v="2022-01-08T00:00:00"/>
    <n v="1"/>
    <n v="4"/>
    <n v="3394"/>
    <n v="1697"/>
    <n v="35642"/>
    <n v="0"/>
    <n v="37339"/>
  </r>
  <r>
    <n v="2093"/>
    <x v="9"/>
    <s v="Male"/>
    <n v="54"/>
    <s v="Bangalore"/>
    <x v="0"/>
    <n v="24894"/>
    <d v="2024-01-27T00:00:00"/>
    <n v="18"/>
    <n v="1"/>
    <n v="2489"/>
    <n v="1245"/>
    <n v="26138"/>
    <n v="1245"/>
    <n v="28628"/>
  </r>
  <r>
    <n v="2094"/>
    <x v="4"/>
    <s v="Female"/>
    <n v="33"/>
    <s v="Chennai"/>
    <x v="3"/>
    <n v="22458"/>
    <d v="2023-11-29T00:00:00"/>
    <n v="2"/>
    <n v="3"/>
    <n v="2246"/>
    <n v="1123"/>
    <n v="23581"/>
    <n v="0"/>
    <n v="24704"/>
  </r>
  <r>
    <n v="2095"/>
    <x v="7"/>
    <s v="Male"/>
    <n v="42"/>
    <s v="Chennai"/>
    <x v="1"/>
    <n v="44520"/>
    <d v="2023-04-19T00:00:00"/>
    <n v="10"/>
    <n v="5"/>
    <n v="4452"/>
    <n v="2226"/>
    <n v="46746"/>
    <n v="2226"/>
    <n v="51198"/>
  </r>
  <r>
    <n v="2096"/>
    <x v="3"/>
    <s v="Male"/>
    <n v="43"/>
    <s v="Chennai"/>
    <x v="0"/>
    <n v="30823"/>
    <d v="2022-12-18T00:00:00"/>
    <n v="18"/>
    <n v="3"/>
    <n v="3082"/>
    <n v="1541"/>
    <n v="32364"/>
    <n v="1541"/>
    <n v="35446"/>
  </r>
  <r>
    <n v="2097"/>
    <x v="5"/>
    <s v="Female"/>
    <n v="28"/>
    <s v="Mumbai"/>
    <x v="1"/>
    <n v="23563"/>
    <d v="2023-07-19T00:00:00"/>
    <n v="2"/>
    <n v="3"/>
    <n v="2356"/>
    <n v="1178"/>
    <n v="24741"/>
    <n v="0"/>
    <n v="25919"/>
  </r>
  <r>
    <n v="2098"/>
    <x v="7"/>
    <s v="Female"/>
    <n v="40"/>
    <s v="Bangalore"/>
    <x v="0"/>
    <n v="34647"/>
    <d v="2024-01-28T00:00:00"/>
    <n v="11"/>
    <n v="1"/>
    <n v="3465"/>
    <n v="1732"/>
    <n v="36380"/>
    <n v="1732"/>
    <n v="39844"/>
  </r>
  <r>
    <n v="2099"/>
    <x v="0"/>
    <s v="Female"/>
    <n v="27"/>
    <s v="Chennai"/>
    <x v="3"/>
    <n v="47048"/>
    <d v="2022-12-31T00:00:00"/>
    <n v="16"/>
    <n v="2"/>
    <n v="4705"/>
    <n v="2352"/>
    <n v="49401"/>
    <n v="2352"/>
    <n v="54105"/>
  </r>
  <r>
    <n v="2100"/>
    <x v="2"/>
    <s v="Male"/>
    <n v="40"/>
    <s v="Hyderabad"/>
    <x v="3"/>
    <n v="33874"/>
    <d v="2023-08-19T00:00:00"/>
    <n v="7"/>
    <n v="1"/>
    <n v="3387"/>
    <n v="1694"/>
    <n v="35567"/>
    <n v="1694"/>
    <n v="38955"/>
  </r>
  <r>
    <n v="2101"/>
    <x v="2"/>
    <s v="Female"/>
    <n v="39"/>
    <s v="Delhi"/>
    <x v="1"/>
    <n v="86767"/>
    <d v="2024-06-17T00:00:00"/>
    <n v="1"/>
    <n v="5"/>
    <n v="8677"/>
    <n v="4338"/>
    <n v="91106"/>
    <n v="0"/>
    <n v="95444"/>
  </r>
  <r>
    <n v="2102"/>
    <x v="6"/>
    <s v="Male"/>
    <n v="28"/>
    <s v="Hyderabad"/>
    <x v="1"/>
    <n v="29848"/>
    <d v="2024-09-12T00:00:00"/>
    <n v="14"/>
    <n v="2"/>
    <n v="2985"/>
    <n v="1492"/>
    <n v="31341"/>
    <n v="1492"/>
    <n v="34325"/>
  </r>
  <r>
    <n v="2103"/>
    <x v="6"/>
    <s v="Male"/>
    <n v="45"/>
    <s v="Chennai"/>
    <x v="3"/>
    <n v="41066"/>
    <d v="2023-12-29T00:00:00"/>
    <n v="1"/>
    <n v="3"/>
    <n v="4107"/>
    <n v="2053"/>
    <n v="43120"/>
    <n v="0"/>
    <n v="45173"/>
  </r>
  <r>
    <n v="2104"/>
    <x v="2"/>
    <s v="Female"/>
    <n v="50"/>
    <s v="Hyderabad"/>
    <x v="2"/>
    <n v="59021"/>
    <d v="2023-11-10T00:00:00"/>
    <n v="9"/>
    <n v="4"/>
    <n v="5902"/>
    <n v="2951"/>
    <n v="61972"/>
    <n v="2951"/>
    <n v="67874"/>
  </r>
  <r>
    <n v="2105"/>
    <x v="8"/>
    <s v="Male"/>
    <n v="58"/>
    <s v="Chennai"/>
    <x v="2"/>
    <n v="68019"/>
    <d v="2024-05-04T00:00:00"/>
    <n v="16"/>
    <n v="3"/>
    <n v="6802"/>
    <n v="3401"/>
    <n v="71420"/>
    <n v="3401"/>
    <n v="78222"/>
  </r>
  <r>
    <n v="2106"/>
    <x v="4"/>
    <s v="Male"/>
    <n v="38"/>
    <s v="Bangalore"/>
    <x v="3"/>
    <n v="85645"/>
    <d v="2023-09-04T00:00:00"/>
    <n v="13"/>
    <n v="5"/>
    <n v="8564"/>
    <n v="4282"/>
    <n v="89927"/>
    <n v="4282"/>
    <n v="98491"/>
  </r>
  <r>
    <n v="2107"/>
    <x v="9"/>
    <s v="Female"/>
    <n v="22"/>
    <s v="Mumbai"/>
    <x v="0"/>
    <n v="57420"/>
    <d v="2022-02-04T00:00:00"/>
    <n v="1"/>
    <n v="4"/>
    <n v="5742"/>
    <n v="2871"/>
    <n v="60291"/>
    <n v="0"/>
    <n v="63162"/>
  </r>
  <r>
    <n v="2108"/>
    <x v="1"/>
    <s v="Female"/>
    <n v="41"/>
    <s v="Chennai"/>
    <x v="0"/>
    <n v="36483"/>
    <d v="2023-05-03T00:00:00"/>
    <n v="4"/>
    <n v="3"/>
    <n v="3648"/>
    <n v="1824"/>
    <n v="38307"/>
    <n v="0"/>
    <n v="40131"/>
  </r>
  <r>
    <n v="2109"/>
    <x v="6"/>
    <s v="Female"/>
    <n v="31"/>
    <s v="Delhi"/>
    <x v="2"/>
    <n v="20740"/>
    <d v="2024-01-04T00:00:00"/>
    <n v="10"/>
    <n v="4"/>
    <n v="2074"/>
    <n v="1037"/>
    <n v="21777"/>
    <n v="1037"/>
    <n v="23851"/>
  </r>
  <r>
    <n v="2110"/>
    <x v="4"/>
    <s v="Female"/>
    <n v="54"/>
    <s v="Chennai"/>
    <x v="4"/>
    <n v="83980"/>
    <d v="2022-05-27T00:00:00"/>
    <n v="3"/>
    <n v="4"/>
    <n v="8398"/>
    <n v="4199"/>
    <n v="88179"/>
    <n v="0"/>
    <n v="92378"/>
  </r>
  <r>
    <n v="2111"/>
    <x v="2"/>
    <s v="Male"/>
    <n v="42"/>
    <s v="Delhi"/>
    <x v="3"/>
    <n v="48743"/>
    <d v="2022-07-18T00:00:00"/>
    <n v="3"/>
    <n v="2"/>
    <n v="4874"/>
    <n v="2437"/>
    <n v="51180"/>
    <n v="0"/>
    <n v="53617"/>
  </r>
  <r>
    <n v="2112"/>
    <x v="8"/>
    <s v="Female"/>
    <n v="52"/>
    <s v="Hyderabad"/>
    <x v="0"/>
    <n v="64120"/>
    <d v="2024-07-05T00:00:00"/>
    <n v="7"/>
    <n v="5"/>
    <n v="6412"/>
    <n v="3206"/>
    <n v="67326"/>
    <n v="3206"/>
    <n v="73738"/>
  </r>
  <r>
    <n v="2113"/>
    <x v="5"/>
    <s v="Female"/>
    <n v="24"/>
    <s v="Mumbai"/>
    <x v="4"/>
    <n v="24580"/>
    <d v="2022-03-15T00:00:00"/>
    <n v="9"/>
    <n v="2"/>
    <n v="2458"/>
    <n v="1229"/>
    <n v="25809"/>
    <n v="1229"/>
    <n v="28267"/>
  </r>
  <r>
    <n v="2114"/>
    <x v="9"/>
    <s v="Female"/>
    <n v="29"/>
    <s v="Mumbai"/>
    <x v="1"/>
    <n v="98948"/>
    <d v="2022-10-03T00:00:00"/>
    <n v="15"/>
    <n v="1"/>
    <n v="9895"/>
    <n v="4947"/>
    <n v="103896"/>
    <n v="4947"/>
    <n v="113790"/>
  </r>
  <r>
    <n v="2115"/>
    <x v="5"/>
    <s v="Female"/>
    <n v="28"/>
    <s v="Delhi"/>
    <x v="2"/>
    <n v="74138"/>
    <d v="2023-04-02T00:00:00"/>
    <n v="5"/>
    <n v="5"/>
    <n v="7414"/>
    <n v="3707"/>
    <n v="77845"/>
    <n v="0"/>
    <n v="81552"/>
  </r>
  <r>
    <n v="2116"/>
    <x v="0"/>
    <s v="Female"/>
    <n v="25"/>
    <s v="Delhi"/>
    <x v="1"/>
    <n v="43356"/>
    <d v="2023-10-16T00:00:00"/>
    <n v="4"/>
    <n v="4"/>
    <n v="4336"/>
    <n v="2168"/>
    <n v="45524"/>
    <n v="0"/>
    <n v="47692"/>
  </r>
  <r>
    <n v="2117"/>
    <x v="7"/>
    <s v="Male"/>
    <n v="45"/>
    <s v="Hyderabad"/>
    <x v="0"/>
    <n v="36617"/>
    <d v="2022-02-20T00:00:00"/>
    <n v="9"/>
    <n v="1"/>
    <n v="3662"/>
    <n v="1831"/>
    <n v="38448"/>
    <n v="1831"/>
    <n v="42110"/>
  </r>
  <r>
    <n v="2118"/>
    <x v="6"/>
    <s v="Male"/>
    <n v="24"/>
    <s v="Mumbai"/>
    <x v="2"/>
    <n v="82492"/>
    <d v="2024-04-15T00:00:00"/>
    <n v="6"/>
    <n v="4"/>
    <n v="8249"/>
    <n v="4125"/>
    <n v="86616"/>
    <n v="4125"/>
    <n v="94866"/>
  </r>
  <r>
    <n v="2119"/>
    <x v="6"/>
    <s v="Female"/>
    <n v="39"/>
    <s v="Mumbai"/>
    <x v="0"/>
    <n v="71387"/>
    <d v="2022-11-20T00:00:00"/>
    <n v="17"/>
    <n v="5"/>
    <n v="7139"/>
    <n v="3569"/>
    <n v="74957"/>
    <n v="3569"/>
    <n v="82095"/>
  </r>
  <r>
    <n v="2120"/>
    <x v="3"/>
    <s v="Female"/>
    <n v="21"/>
    <s v="Mumbai"/>
    <x v="3"/>
    <n v="35439"/>
    <d v="2023-08-13T00:00:00"/>
    <n v="10"/>
    <n v="2"/>
    <n v="3544"/>
    <n v="1772"/>
    <n v="37211"/>
    <n v="1772"/>
    <n v="40755"/>
  </r>
  <r>
    <n v="2121"/>
    <x v="7"/>
    <s v="Male"/>
    <n v="33"/>
    <s v="Bangalore"/>
    <x v="3"/>
    <n v="30037"/>
    <d v="2022-10-20T00:00:00"/>
    <n v="6"/>
    <n v="1"/>
    <n v="3004"/>
    <n v="1502"/>
    <n v="31539"/>
    <n v="1502"/>
    <n v="34543"/>
  </r>
  <r>
    <n v="2122"/>
    <x v="8"/>
    <s v="Female"/>
    <n v="27"/>
    <s v="Hyderabad"/>
    <x v="2"/>
    <n v="88327"/>
    <d v="2024-02-13T00:00:00"/>
    <n v="8"/>
    <n v="4"/>
    <n v="8833"/>
    <n v="4416"/>
    <n v="92744"/>
    <n v="4416"/>
    <n v="101576"/>
  </r>
  <r>
    <n v="2123"/>
    <x v="3"/>
    <s v="Male"/>
    <n v="28"/>
    <s v="Hyderabad"/>
    <x v="1"/>
    <n v="52010"/>
    <d v="2023-11-04T00:00:00"/>
    <n v="13"/>
    <n v="2"/>
    <n v="5201"/>
    <n v="2600"/>
    <n v="54611"/>
    <n v="2600"/>
    <n v="59811"/>
  </r>
  <r>
    <n v="2124"/>
    <x v="6"/>
    <s v="Male"/>
    <n v="59"/>
    <s v="Chennai"/>
    <x v="1"/>
    <n v="55646"/>
    <d v="2024-04-04T00:00:00"/>
    <n v="7"/>
    <n v="1"/>
    <n v="5565"/>
    <n v="2782"/>
    <n v="58429"/>
    <n v="2782"/>
    <n v="63993"/>
  </r>
  <r>
    <n v="2125"/>
    <x v="8"/>
    <s v="Female"/>
    <n v="52"/>
    <s v="Bangalore"/>
    <x v="4"/>
    <n v="37604"/>
    <d v="2023-03-05T00:00:00"/>
    <n v="10"/>
    <n v="1"/>
    <n v="3760"/>
    <n v="1880"/>
    <n v="39484"/>
    <n v="1880"/>
    <n v="43244"/>
  </r>
  <r>
    <n v="2126"/>
    <x v="2"/>
    <s v="Female"/>
    <n v="58"/>
    <s v="Chennai"/>
    <x v="0"/>
    <n v="20675"/>
    <d v="2024-07-30T00:00:00"/>
    <n v="16"/>
    <n v="2"/>
    <n v="2068"/>
    <n v="1034"/>
    <n v="21709"/>
    <n v="1034"/>
    <n v="23777"/>
  </r>
  <r>
    <n v="2127"/>
    <x v="0"/>
    <s v="Female"/>
    <n v="26"/>
    <s v="Hyderabad"/>
    <x v="3"/>
    <n v="55481"/>
    <d v="2024-02-10T00:00:00"/>
    <n v="17"/>
    <n v="5"/>
    <n v="5548"/>
    <n v="2774"/>
    <n v="58255"/>
    <n v="2774"/>
    <n v="63803"/>
  </r>
  <r>
    <n v="2128"/>
    <x v="4"/>
    <s v="Male"/>
    <n v="32"/>
    <s v="Delhi"/>
    <x v="0"/>
    <n v="96423"/>
    <d v="2022-07-28T00:00:00"/>
    <n v="14"/>
    <n v="4"/>
    <n v="9642"/>
    <n v="4821"/>
    <n v="101244"/>
    <n v="4821"/>
    <n v="110886"/>
  </r>
  <r>
    <n v="2129"/>
    <x v="2"/>
    <s v="Male"/>
    <n v="24"/>
    <s v="Chennai"/>
    <x v="4"/>
    <n v="71580"/>
    <d v="2024-06-05T00:00:00"/>
    <n v="18"/>
    <n v="3"/>
    <n v="7158"/>
    <n v="3579"/>
    <n v="75159"/>
    <n v="3579"/>
    <n v="82317"/>
  </r>
  <r>
    <n v="2130"/>
    <x v="3"/>
    <s v="Female"/>
    <n v="48"/>
    <s v="Chennai"/>
    <x v="4"/>
    <n v="23827"/>
    <d v="2022-01-04T00:00:00"/>
    <n v="2"/>
    <n v="5"/>
    <n v="2383"/>
    <n v="1191"/>
    <n v="25019"/>
    <n v="0"/>
    <n v="26210"/>
  </r>
  <r>
    <n v="2131"/>
    <x v="2"/>
    <s v="Female"/>
    <n v="56"/>
    <s v="Bangalore"/>
    <x v="1"/>
    <n v="66924"/>
    <d v="2023-12-28T00:00:00"/>
    <n v="11"/>
    <n v="1"/>
    <n v="6692"/>
    <n v="3346"/>
    <n v="70270"/>
    <n v="3346"/>
    <n v="76962"/>
  </r>
  <r>
    <n v="2132"/>
    <x v="2"/>
    <s v="Female"/>
    <n v="54"/>
    <s v="Delhi"/>
    <x v="2"/>
    <n v="33635"/>
    <d v="2023-03-03T00:00:00"/>
    <n v="7"/>
    <n v="5"/>
    <n v="3364"/>
    <n v="1682"/>
    <n v="35317"/>
    <n v="1682"/>
    <n v="38681"/>
  </r>
  <r>
    <n v="2133"/>
    <x v="4"/>
    <s v="Female"/>
    <n v="44"/>
    <s v="Chennai"/>
    <x v="1"/>
    <n v="35522"/>
    <d v="2023-01-26T00:00:00"/>
    <n v="3"/>
    <n v="3"/>
    <n v="3552"/>
    <n v="1776"/>
    <n v="37298"/>
    <n v="0"/>
    <n v="39074"/>
  </r>
  <r>
    <n v="2134"/>
    <x v="9"/>
    <s v="Male"/>
    <n v="33"/>
    <s v="Hyderabad"/>
    <x v="0"/>
    <n v="79828"/>
    <d v="2024-04-12T00:00:00"/>
    <n v="8"/>
    <n v="2"/>
    <n v="7983"/>
    <n v="3991"/>
    <n v="83820"/>
    <n v="3991"/>
    <n v="91802"/>
  </r>
  <r>
    <n v="2135"/>
    <x v="4"/>
    <s v="Female"/>
    <n v="40"/>
    <s v="Hyderabad"/>
    <x v="4"/>
    <n v="27679"/>
    <d v="2024-07-04T00:00:00"/>
    <n v="9"/>
    <n v="5"/>
    <n v="2768"/>
    <n v="1384"/>
    <n v="29063"/>
    <n v="1384"/>
    <n v="31831"/>
  </r>
  <r>
    <n v="2136"/>
    <x v="2"/>
    <s v="Female"/>
    <n v="36"/>
    <s v="Mumbai"/>
    <x v="0"/>
    <n v="88562"/>
    <d v="2023-05-20T00:00:00"/>
    <n v="10"/>
    <n v="1"/>
    <n v="8856"/>
    <n v="4428"/>
    <n v="92990"/>
    <n v="4428"/>
    <n v="101846"/>
  </r>
  <r>
    <n v="2137"/>
    <x v="6"/>
    <s v="Male"/>
    <n v="42"/>
    <s v="Bangalore"/>
    <x v="0"/>
    <n v="45737"/>
    <d v="2024-05-28T00:00:00"/>
    <n v="8"/>
    <n v="5"/>
    <n v="4574"/>
    <n v="2287"/>
    <n v="48024"/>
    <n v="2287"/>
    <n v="52598"/>
  </r>
  <r>
    <n v="2138"/>
    <x v="8"/>
    <s v="Male"/>
    <n v="27"/>
    <s v="Delhi"/>
    <x v="3"/>
    <n v="59033"/>
    <d v="2024-03-10T00:00:00"/>
    <n v="2"/>
    <n v="5"/>
    <n v="5903"/>
    <n v="2952"/>
    <n v="61984"/>
    <n v="0"/>
    <n v="64936"/>
  </r>
  <r>
    <n v="2139"/>
    <x v="6"/>
    <s v="Male"/>
    <n v="27"/>
    <s v="Delhi"/>
    <x v="0"/>
    <n v="83105"/>
    <d v="2022-12-09T00:00:00"/>
    <n v="6"/>
    <n v="3"/>
    <n v="8310"/>
    <n v="4155"/>
    <n v="87260"/>
    <n v="4155"/>
    <n v="95570"/>
  </r>
  <r>
    <n v="2140"/>
    <x v="5"/>
    <s v="Male"/>
    <n v="25"/>
    <s v="Hyderabad"/>
    <x v="4"/>
    <n v="97102"/>
    <d v="2024-02-14T00:00:00"/>
    <n v="14"/>
    <n v="3"/>
    <n v="9710"/>
    <n v="4855"/>
    <n v="101957"/>
    <n v="4855"/>
    <n v="111667"/>
  </r>
  <r>
    <n v="2141"/>
    <x v="7"/>
    <s v="Male"/>
    <n v="54"/>
    <s v="Delhi"/>
    <x v="1"/>
    <n v="69693"/>
    <d v="2024-04-03T00:00:00"/>
    <n v="18"/>
    <n v="2"/>
    <n v="6969"/>
    <n v="3485"/>
    <n v="73177"/>
    <n v="3485"/>
    <n v="80147"/>
  </r>
  <r>
    <n v="2142"/>
    <x v="9"/>
    <s v="Female"/>
    <n v="53"/>
    <s v="Hyderabad"/>
    <x v="0"/>
    <n v="91874"/>
    <d v="2023-07-25T00:00:00"/>
    <n v="19"/>
    <n v="5"/>
    <n v="9187"/>
    <n v="4594"/>
    <n v="96467"/>
    <n v="4594"/>
    <n v="105655"/>
  </r>
  <r>
    <n v="2143"/>
    <x v="3"/>
    <s v="Female"/>
    <n v="41"/>
    <s v="Delhi"/>
    <x v="1"/>
    <n v="40411"/>
    <d v="2023-05-17T00:00:00"/>
    <n v="14"/>
    <n v="3"/>
    <n v="4041"/>
    <n v="2021"/>
    <n v="42431"/>
    <n v="2021"/>
    <n v="46473"/>
  </r>
  <r>
    <n v="2144"/>
    <x v="3"/>
    <s v="Male"/>
    <n v="40"/>
    <s v="Mumbai"/>
    <x v="3"/>
    <n v="41585"/>
    <d v="2022-10-23T00:00:00"/>
    <n v="11"/>
    <n v="5"/>
    <n v="4158"/>
    <n v="2079"/>
    <n v="43664"/>
    <n v="2079"/>
    <n v="47822"/>
  </r>
  <r>
    <n v="2145"/>
    <x v="4"/>
    <s v="Male"/>
    <n v="22"/>
    <s v="Bangalore"/>
    <x v="2"/>
    <n v="28032"/>
    <d v="2022-01-11T00:00:00"/>
    <n v="18"/>
    <n v="4"/>
    <n v="2803"/>
    <n v="1402"/>
    <n v="29433"/>
    <n v="1402"/>
    <n v="32237"/>
  </r>
  <r>
    <n v="2146"/>
    <x v="1"/>
    <s v="Female"/>
    <n v="41"/>
    <s v="Bangalore"/>
    <x v="0"/>
    <n v="27089"/>
    <d v="2022-04-18T00:00:00"/>
    <n v="16"/>
    <n v="4"/>
    <n v="2709"/>
    <n v="1354"/>
    <n v="28444"/>
    <n v="1354"/>
    <n v="31152"/>
  </r>
  <r>
    <n v="2147"/>
    <x v="8"/>
    <s v="Female"/>
    <n v="25"/>
    <s v="Hyderabad"/>
    <x v="1"/>
    <n v="98134"/>
    <d v="2023-04-03T00:00:00"/>
    <n v="2"/>
    <n v="1"/>
    <n v="9813"/>
    <n v="4907"/>
    <n v="103040"/>
    <n v="0"/>
    <n v="107947"/>
  </r>
  <r>
    <n v="2148"/>
    <x v="1"/>
    <s v="Female"/>
    <n v="37"/>
    <s v="Hyderabad"/>
    <x v="4"/>
    <n v="51997"/>
    <d v="2023-06-30T00:00:00"/>
    <n v="3"/>
    <n v="2"/>
    <n v="5200"/>
    <n v="2600"/>
    <n v="54597"/>
    <n v="0"/>
    <n v="57197"/>
  </r>
  <r>
    <n v="2149"/>
    <x v="8"/>
    <s v="Male"/>
    <n v="60"/>
    <s v="Chennai"/>
    <x v="2"/>
    <n v="46830"/>
    <d v="2022-11-28T00:00:00"/>
    <n v="16"/>
    <n v="5"/>
    <n v="4683"/>
    <n v="2342"/>
    <n v="49171"/>
    <n v="2342"/>
    <n v="53855"/>
  </r>
  <r>
    <n v="2150"/>
    <x v="6"/>
    <s v="Male"/>
    <n v="52"/>
    <s v="Bangalore"/>
    <x v="0"/>
    <n v="75703"/>
    <d v="2022-11-15T00:00:00"/>
    <n v="3"/>
    <n v="1"/>
    <n v="7570"/>
    <n v="3785"/>
    <n v="79488"/>
    <n v="0"/>
    <n v="83273"/>
  </r>
  <r>
    <n v="2151"/>
    <x v="7"/>
    <s v="Female"/>
    <n v="51"/>
    <s v="Delhi"/>
    <x v="4"/>
    <n v="71887"/>
    <d v="2024-02-15T00:00:00"/>
    <n v="4"/>
    <n v="4"/>
    <n v="7189"/>
    <n v="3594"/>
    <n v="75482"/>
    <n v="0"/>
    <n v="79076"/>
  </r>
  <r>
    <n v="2152"/>
    <x v="6"/>
    <s v="Male"/>
    <n v="43"/>
    <s v="Delhi"/>
    <x v="3"/>
    <n v="57950"/>
    <d v="2022-02-05T00:00:00"/>
    <n v="19"/>
    <n v="1"/>
    <n v="5795"/>
    <n v="2898"/>
    <n v="60847"/>
    <n v="2898"/>
    <n v="66643"/>
  </r>
  <r>
    <n v="2153"/>
    <x v="4"/>
    <s v="Male"/>
    <n v="36"/>
    <s v="Chennai"/>
    <x v="2"/>
    <n v="29199"/>
    <d v="2022-11-01T00:00:00"/>
    <n v="16"/>
    <n v="4"/>
    <n v="2920"/>
    <n v="1460"/>
    <n v="30659"/>
    <n v="1460"/>
    <n v="33579"/>
  </r>
  <r>
    <n v="2154"/>
    <x v="4"/>
    <s v="Female"/>
    <n v="22"/>
    <s v="Hyderabad"/>
    <x v="1"/>
    <n v="79440"/>
    <d v="2024-05-17T00:00:00"/>
    <n v="10"/>
    <n v="4"/>
    <n v="7944"/>
    <n v="3972"/>
    <n v="83412"/>
    <n v="3972"/>
    <n v="91356"/>
  </r>
  <r>
    <n v="2155"/>
    <x v="1"/>
    <s v="Female"/>
    <n v="28"/>
    <s v="Hyderabad"/>
    <x v="3"/>
    <n v="66332"/>
    <d v="2022-12-30T00:00:00"/>
    <n v="6"/>
    <n v="2"/>
    <n v="6633"/>
    <n v="3317"/>
    <n v="69648"/>
    <n v="3317"/>
    <n v="76282"/>
  </r>
  <r>
    <n v="2156"/>
    <x v="6"/>
    <s v="Male"/>
    <n v="21"/>
    <s v="Mumbai"/>
    <x v="4"/>
    <n v="73105"/>
    <d v="2024-06-01T00:00:00"/>
    <n v="2"/>
    <n v="4"/>
    <n v="7310"/>
    <n v="3655"/>
    <n v="76760"/>
    <n v="0"/>
    <n v="80415"/>
  </r>
  <r>
    <n v="2157"/>
    <x v="6"/>
    <s v="Female"/>
    <n v="28"/>
    <s v="Hyderabad"/>
    <x v="2"/>
    <n v="83615"/>
    <d v="2023-07-10T00:00:00"/>
    <n v="16"/>
    <n v="5"/>
    <n v="8362"/>
    <n v="4181"/>
    <n v="87796"/>
    <n v="4181"/>
    <n v="96158"/>
  </r>
  <r>
    <n v="2158"/>
    <x v="3"/>
    <s v="Male"/>
    <n v="32"/>
    <s v="Chennai"/>
    <x v="4"/>
    <n v="90031"/>
    <d v="2023-06-07T00:00:00"/>
    <n v="12"/>
    <n v="2"/>
    <n v="9003"/>
    <n v="4502"/>
    <n v="94532"/>
    <n v="4502"/>
    <n v="103536"/>
  </r>
  <r>
    <n v="2159"/>
    <x v="4"/>
    <s v="Female"/>
    <n v="46"/>
    <s v="Bangalore"/>
    <x v="4"/>
    <n v="51737"/>
    <d v="2023-01-06T00:00:00"/>
    <n v="5"/>
    <n v="5"/>
    <n v="5174"/>
    <n v="2587"/>
    <n v="54324"/>
    <n v="0"/>
    <n v="56911"/>
  </r>
  <r>
    <n v="2160"/>
    <x v="7"/>
    <s v="Male"/>
    <n v="59"/>
    <s v="Hyderabad"/>
    <x v="2"/>
    <n v="46237"/>
    <d v="2024-09-25T00:00:00"/>
    <n v="20"/>
    <n v="3"/>
    <n v="4624"/>
    <n v="2312"/>
    <n v="48549"/>
    <n v="2312"/>
    <n v="53173"/>
  </r>
  <r>
    <n v="2161"/>
    <x v="2"/>
    <s v="Female"/>
    <n v="33"/>
    <s v="Hyderabad"/>
    <x v="4"/>
    <n v="35937"/>
    <d v="2024-01-05T00:00:00"/>
    <n v="16"/>
    <n v="5"/>
    <n v="3594"/>
    <n v="1797"/>
    <n v="37734"/>
    <n v="1797"/>
    <n v="41328"/>
  </r>
  <r>
    <n v="2162"/>
    <x v="7"/>
    <s v="Female"/>
    <n v="35"/>
    <s v="Mumbai"/>
    <x v="2"/>
    <n v="81876"/>
    <d v="2022-06-03T00:00:00"/>
    <n v="18"/>
    <n v="1"/>
    <n v="8188"/>
    <n v="4094"/>
    <n v="85970"/>
    <n v="4094"/>
    <n v="94158"/>
  </r>
  <r>
    <n v="2163"/>
    <x v="6"/>
    <s v="Female"/>
    <n v="35"/>
    <s v="Bangalore"/>
    <x v="1"/>
    <n v="87801"/>
    <d v="2023-09-08T00:00:00"/>
    <n v="6"/>
    <n v="3"/>
    <n v="8780"/>
    <n v="4390"/>
    <n v="92191"/>
    <n v="4390"/>
    <n v="100971"/>
  </r>
  <r>
    <n v="2164"/>
    <x v="1"/>
    <s v="Female"/>
    <n v="37"/>
    <s v="Chennai"/>
    <x v="2"/>
    <n v="49562"/>
    <d v="2023-10-28T00:00:00"/>
    <n v="8"/>
    <n v="3"/>
    <n v="4956"/>
    <n v="2478"/>
    <n v="52040"/>
    <n v="2478"/>
    <n v="56996"/>
  </r>
  <r>
    <n v="2165"/>
    <x v="5"/>
    <s v="Female"/>
    <n v="25"/>
    <s v="Chennai"/>
    <x v="1"/>
    <n v="41950"/>
    <d v="2024-05-17T00:00:00"/>
    <n v="2"/>
    <n v="4"/>
    <n v="4195"/>
    <n v="2098"/>
    <n v="44047"/>
    <n v="0"/>
    <n v="46145"/>
  </r>
  <r>
    <n v="2166"/>
    <x v="1"/>
    <s v="Male"/>
    <n v="50"/>
    <s v="Bangalore"/>
    <x v="1"/>
    <n v="74277"/>
    <d v="2024-09-23T00:00:00"/>
    <n v="2"/>
    <n v="4"/>
    <n v="7428"/>
    <n v="3714"/>
    <n v="77991"/>
    <n v="0"/>
    <n v="81705"/>
  </r>
  <r>
    <n v="2167"/>
    <x v="1"/>
    <s v="Male"/>
    <n v="36"/>
    <s v="Delhi"/>
    <x v="0"/>
    <n v="85458"/>
    <d v="2022-02-16T00:00:00"/>
    <n v="18"/>
    <n v="4"/>
    <n v="8546"/>
    <n v="4273"/>
    <n v="89731"/>
    <n v="4273"/>
    <n v="98277"/>
  </r>
  <r>
    <n v="2168"/>
    <x v="5"/>
    <s v="Male"/>
    <n v="49"/>
    <s v="Delhi"/>
    <x v="3"/>
    <n v="58825"/>
    <d v="2024-07-11T00:00:00"/>
    <n v="15"/>
    <n v="5"/>
    <n v="5882"/>
    <n v="2941"/>
    <n v="61766"/>
    <n v="2941"/>
    <n v="67648"/>
  </r>
  <r>
    <n v="2169"/>
    <x v="9"/>
    <s v="Female"/>
    <n v="24"/>
    <s v="Delhi"/>
    <x v="4"/>
    <n v="21178"/>
    <d v="2024-02-02T00:00:00"/>
    <n v="10"/>
    <n v="3"/>
    <n v="2118"/>
    <n v="1059"/>
    <n v="22237"/>
    <n v="1059"/>
    <n v="24355"/>
  </r>
  <r>
    <n v="2170"/>
    <x v="4"/>
    <s v="Male"/>
    <n v="25"/>
    <s v="Hyderabad"/>
    <x v="3"/>
    <n v="32348"/>
    <d v="2022-12-24T00:00:00"/>
    <n v="1"/>
    <n v="3"/>
    <n v="3235"/>
    <n v="1617"/>
    <n v="33966"/>
    <n v="0"/>
    <n v="35583"/>
  </r>
  <r>
    <n v="2171"/>
    <x v="7"/>
    <s v="Male"/>
    <n v="27"/>
    <s v="Bangalore"/>
    <x v="2"/>
    <n v="51906"/>
    <d v="2024-08-10T00:00:00"/>
    <n v="17"/>
    <n v="4"/>
    <n v="5191"/>
    <n v="2595"/>
    <n v="54502"/>
    <n v="2595"/>
    <n v="59692"/>
  </r>
  <r>
    <n v="2172"/>
    <x v="2"/>
    <s v="Male"/>
    <n v="50"/>
    <s v="Bangalore"/>
    <x v="2"/>
    <n v="29205"/>
    <d v="2024-01-04T00:00:00"/>
    <n v="19"/>
    <n v="4"/>
    <n v="2920"/>
    <n v="1460"/>
    <n v="30665"/>
    <n v="1460"/>
    <n v="33585"/>
  </r>
  <r>
    <n v="2173"/>
    <x v="1"/>
    <s v="Female"/>
    <n v="29"/>
    <s v="Hyderabad"/>
    <x v="1"/>
    <n v="31936"/>
    <d v="2024-05-23T00:00:00"/>
    <n v="17"/>
    <n v="4"/>
    <n v="3194"/>
    <n v="1597"/>
    <n v="33533"/>
    <n v="1597"/>
    <n v="36727"/>
  </r>
  <r>
    <n v="2174"/>
    <x v="9"/>
    <s v="Female"/>
    <n v="34"/>
    <s v="Bangalore"/>
    <x v="3"/>
    <n v="88576"/>
    <d v="2023-12-14T00:00:00"/>
    <n v="8"/>
    <n v="1"/>
    <n v="8858"/>
    <n v="4429"/>
    <n v="93005"/>
    <n v="4429"/>
    <n v="101863"/>
  </r>
  <r>
    <n v="2175"/>
    <x v="6"/>
    <s v="Female"/>
    <n v="49"/>
    <s v="Mumbai"/>
    <x v="4"/>
    <n v="34463"/>
    <d v="2023-07-02T00:00:00"/>
    <n v="8"/>
    <n v="5"/>
    <n v="3446"/>
    <n v="1723"/>
    <n v="36186"/>
    <n v="1723"/>
    <n v="39632"/>
  </r>
  <r>
    <n v="2176"/>
    <x v="1"/>
    <s v="Male"/>
    <n v="33"/>
    <s v="Chennai"/>
    <x v="2"/>
    <n v="52233"/>
    <d v="2024-01-01T00:00:00"/>
    <n v="14"/>
    <n v="3"/>
    <n v="5223"/>
    <n v="2612"/>
    <n v="54844"/>
    <n v="2612"/>
    <n v="60068"/>
  </r>
  <r>
    <n v="2177"/>
    <x v="3"/>
    <s v="Male"/>
    <n v="43"/>
    <s v="Mumbai"/>
    <x v="2"/>
    <n v="21983"/>
    <d v="2022-01-08T00:00:00"/>
    <n v="13"/>
    <n v="4"/>
    <n v="2198"/>
    <n v="1099"/>
    <n v="23082"/>
    <n v="1099"/>
    <n v="25280"/>
  </r>
  <r>
    <n v="2178"/>
    <x v="6"/>
    <s v="Male"/>
    <n v="43"/>
    <s v="Chennai"/>
    <x v="4"/>
    <n v="59931"/>
    <d v="2022-07-04T00:00:00"/>
    <n v="6"/>
    <n v="4"/>
    <n v="5993"/>
    <n v="2997"/>
    <n v="62927"/>
    <n v="2997"/>
    <n v="68921"/>
  </r>
  <r>
    <n v="2179"/>
    <x v="6"/>
    <s v="Female"/>
    <n v="43"/>
    <s v="Mumbai"/>
    <x v="3"/>
    <n v="48125"/>
    <d v="2022-10-11T00:00:00"/>
    <n v="7"/>
    <n v="2"/>
    <n v="4812"/>
    <n v="2406"/>
    <n v="50531"/>
    <n v="2406"/>
    <n v="55343"/>
  </r>
  <r>
    <n v="2180"/>
    <x v="7"/>
    <s v="Male"/>
    <n v="34"/>
    <s v="Mumbai"/>
    <x v="2"/>
    <n v="87398"/>
    <d v="2023-11-05T00:00:00"/>
    <n v="10"/>
    <n v="1"/>
    <n v="8740"/>
    <n v="4370"/>
    <n v="91768"/>
    <n v="4370"/>
    <n v="100508"/>
  </r>
  <r>
    <n v="2181"/>
    <x v="7"/>
    <s v="Female"/>
    <n v="29"/>
    <s v="Delhi"/>
    <x v="4"/>
    <n v="25044"/>
    <d v="2023-11-20T00:00:00"/>
    <n v="3"/>
    <n v="4"/>
    <n v="2504"/>
    <n v="1252"/>
    <n v="26296"/>
    <n v="0"/>
    <n v="27548"/>
  </r>
  <r>
    <n v="2182"/>
    <x v="6"/>
    <s v="Female"/>
    <n v="23"/>
    <s v="Bangalore"/>
    <x v="3"/>
    <n v="34024"/>
    <d v="2022-04-09T00:00:00"/>
    <n v="10"/>
    <n v="2"/>
    <n v="3402"/>
    <n v="1701"/>
    <n v="35725"/>
    <n v="1701"/>
    <n v="39127"/>
  </r>
  <r>
    <n v="2183"/>
    <x v="8"/>
    <s v="Female"/>
    <n v="58"/>
    <s v="Chennai"/>
    <x v="3"/>
    <n v="70291"/>
    <d v="2024-06-30T00:00:00"/>
    <n v="6"/>
    <n v="1"/>
    <n v="7029"/>
    <n v="3515"/>
    <n v="73805"/>
    <n v="3515"/>
    <n v="80835"/>
  </r>
  <r>
    <n v="2184"/>
    <x v="0"/>
    <s v="Male"/>
    <n v="30"/>
    <s v="Delhi"/>
    <x v="4"/>
    <n v="36138"/>
    <d v="2022-03-24T00:00:00"/>
    <n v="9"/>
    <n v="2"/>
    <n v="3614"/>
    <n v="1807"/>
    <n v="37945"/>
    <n v="1807"/>
    <n v="41559"/>
  </r>
  <r>
    <n v="2185"/>
    <x v="0"/>
    <s v="Female"/>
    <n v="30"/>
    <s v="Delhi"/>
    <x v="4"/>
    <n v="53292"/>
    <d v="2022-08-11T00:00:00"/>
    <n v="10"/>
    <n v="5"/>
    <n v="5329"/>
    <n v="2665"/>
    <n v="55956"/>
    <n v="2665"/>
    <n v="61286"/>
  </r>
  <r>
    <n v="2186"/>
    <x v="1"/>
    <s v="Female"/>
    <n v="35"/>
    <s v="Hyderabad"/>
    <x v="1"/>
    <n v="85717"/>
    <d v="2023-02-09T00:00:00"/>
    <n v="8"/>
    <n v="2"/>
    <n v="8572"/>
    <n v="4286"/>
    <n v="90003"/>
    <n v="4286"/>
    <n v="98575"/>
  </r>
  <r>
    <n v="2187"/>
    <x v="8"/>
    <s v="Female"/>
    <n v="24"/>
    <s v="Hyderabad"/>
    <x v="1"/>
    <n v="61404"/>
    <d v="2022-09-21T00:00:00"/>
    <n v="16"/>
    <n v="2"/>
    <n v="6140"/>
    <n v="3070"/>
    <n v="64474"/>
    <n v="3070"/>
    <n v="70614"/>
  </r>
  <r>
    <n v="2188"/>
    <x v="2"/>
    <s v="Female"/>
    <n v="30"/>
    <s v="Delhi"/>
    <x v="4"/>
    <n v="31994"/>
    <d v="2023-06-22T00:00:00"/>
    <n v="17"/>
    <n v="5"/>
    <n v="3199"/>
    <n v="1600"/>
    <n v="33593"/>
    <n v="1600"/>
    <n v="36793"/>
  </r>
  <r>
    <n v="2189"/>
    <x v="8"/>
    <s v="Male"/>
    <n v="60"/>
    <s v="Chennai"/>
    <x v="4"/>
    <n v="80452"/>
    <d v="2023-08-06T00:00:00"/>
    <n v="18"/>
    <n v="5"/>
    <n v="8045"/>
    <n v="4023"/>
    <n v="84474"/>
    <n v="4023"/>
    <n v="92520"/>
  </r>
  <r>
    <n v="2190"/>
    <x v="4"/>
    <s v="Male"/>
    <n v="47"/>
    <s v="Delhi"/>
    <x v="4"/>
    <n v="88047"/>
    <d v="2022-07-16T00:00:00"/>
    <n v="4"/>
    <n v="5"/>
    <n v="8805"/>
    <n v="4402"/>
    <n v="92450"/>
    <n v="0"/>
    <n v="96852"/>
  </r>
  <r>
    <n v="2191"/>
    <x v="2"/>
    <s v="Male"/>
    <n v="43"/>
    <s v="Delhi"/>
    <x v="0"/>
    <n v="38017"/>
    <d v="2023-01-07T00:00:00"/>
    <n v="12"/>
    <n v="4"/>
    <n v="3802"/>
    <n v="1901"/>
    <n v="39918"/>
    <n v="1901"/>
    <n v="43720"/>
  </r>
  <r>
    <n v="2192"/>
    <x v="5"/>
    <s v="Female"/>
    <n v="42"/>
    <s v="Mumbai"/>
    <x v="0"/>
    <n v="40992"/>
    <d v="2022-09-27T00:00:00"/>
    <n v="4"/>
    <n v="4"/>
    <n v="4099"/>
    <n v="2050"/>
    <n v="43041"/>
    <n v="0"/>
    <n v="45091"/>
  </r>
  <r>
    <n v="2193"/>
    <x v="6"/>
    <s v="Male"/>
    <n v="49"/>
    <s v="Bangalore"/>
    <x v="1"/>
    <n v="24615"/>
    <d v="2024-06-05T00:00:00"/>
    <n v="14"/>
    <n v="4"/>
    <n v="2462"/>
    <n v="1231"/>
    <n v="25846"/>
    <n v="1231"/>
    <n v="28308"/>
  </r>
  <r>
    <n v="2194"/>
    <x v="0"/>
    <s v="Female"/>
    <n v="45"/>
    <s v="Hyderabad"/>
    <x v="0"/>
    <n v="44657"/>
    <d v="2023-07-02T00:00:00"/>
    <n v="14"/>
    <n v="4"/>
    <n v="4466"/>
    <n v="2233"/>
    <n v="46890"/>
    <n v="2233"/>
    <n v="51356"/>
  </r>
  <r>
    <n v="2195"/>
    <x v="6"/>
    <s v="Male"/>
    <n v="33"/>
    <s v="Mumbai"/>
    <x v="2"/>
    <n v="96909"/>
    <d v="2023-10-13T00:00:00"/>
    <n v="16"/>
    <n v="3"/>
    <n v="9691"/>
    <n v="4845"/>
    <n v="101755"/>
    <n v="4845"/>
    <n v="111445"/>
  </r>
  <r>
    <n v="2196"/>
    <x v="9"/>
    <s v="Female"/>
    <n v="27"/>
    <s v="Bangalore"/>
    <x v="0"/>
    <n v="61256"/>
    <d v="2022-05-08T00:00:00"/>
    <n v="13"/>
    <n v="4"/>
    <n v="6126"/>
    <n v="3063"/>
    <n v="64319"/>
    <n v="3063"/>
    <n v="70445"/>
  </r>
  <r>
    <n v="2197"/>
    <x v="8"/>
    <s v="Female"/>
    <n v="46"/>
    <s v="Delhi"/>
    <x v="3"/>
    <n v="98028"/>
    <d v="2022-05-07T00:00:00"/>
    <n v="9"/>
    <n v="3"/>
    <n v="9803"/>
    <n v="4901"/>
    <n v="102930"/>
    <n v="4901"/>
    <n v="112732"/>
  </r>
  <r>
    <n v="2198"/>
    <x v="4"/>
    <s v="Male"/>
    <n v="59"/>
    <s v="Chennai"/>
    <x v="4"/>
    <n v="25532"/>
    <d v="2022-12-19T00:00:00"/>
    <n v="18"/>
    <n v="3"/>
    <n v="2553"/>
    <n v="1277"/>
    <n v="26808"/>
    <n v="1277"/>
    <n v="29362"/>
  </r>
  <r>
    <n v="2199"/>
    <x v="6"/>
    <s v="Female"/>
    <n v="27"/>
    <s v="Delhi"/>
    <x v="4"/>
    <n v="43811"/>
    <d v="2022-08-23T00:00:00"/>
    <n v="13"/>
    <n v="1"/>
    <n v="4381"/>
    <n v="2191"/>
    <n v="46001"/>
    <n v="2191"/>
    <n v="50383"/>
  </r>
  <r>
    <n v="2200"/>
    <x v="7"/>
    <s v="Female"/>
    <n v="21"/>
    <s v="Delhi"/>
    <x v="1"/>
    <n v="34739"/>
    <d v="2023-05-21T00:00:00"/>
    <n v="3"/>
    <n v="2"/>
    <n v="3474"/>
    <n v="1737"/>
    <n v="36476"/>
    <n v="0"/>
    <n v="38213"/>
  </r>
  <r>
    <n v="2201"/>
    <x v="5"/>
    <s v="Female"/>
    <n v="25"/>
    <s v="Mumbai"/>
    <x v="0"/>
    <n v="32440"/>
    <d v="2023-02-26T00:00:00"/>
    <n v="1"/>
    <n v="2"/>
    <n v="3244"/>
    <n v="1622"/>
    <n v="34062"/>
    <n v="0"/>
    <n v="35684"/>
  </r>
  <r>
    <n v="2202"/>
    <x v="6"/>
    <s v="Female"/>
    <n v="52"/>
    <s v="Delhi"/>
    <x v="4"/>
    <n v="87217"/>
    <d v="2024-07-12T00:00:00"/>
    <n v="2"/>
    <n v="2"/>
    <n v="8722"/>
    <n v="4361"/>
    <n v="91578"/>
    <n v="0"/>
    <n v="95939"/>
  </r>
  <r>
    <n v="2203"/>
    <x v="7"/>
    <s v="Male"/>
    <n v="59"/>
    <s v="Delhi"/>
    <x v="3"/>
    <n v="39967"/>
    <d v="2022-07-26T00:00:00"/>
    <n v="11"/>
    <n v="1"/>
    <n v="3997"/>
    <n v="1998"/>
    <n v="41966"/>
    <n v="1998"/>
    <n v="45962"/>
  </r>
  <r>
    <n v="2204"/>
    <x v="5"/>
    <s v="Male"/>
    <n v="43"/>
    <s v="Delhi"/>
    <x v="2"/>
    <n v="66800"/>
    <d v="2024-01-13T00:00:00"/>
    <n v="19"/>
    <n v="5"/>
    <n v="6680"/>
    <n v="3340"/>
    <n v="70140"/>
    <n v="3340"/>
    <n v="76820"/>
  </r>
  <r>
    <n v="2205"/>
    <x v="5"/>
    <s v="Female"/>
    <n v="52"/>
    <s v="Chennai"/>
    <x v="0"/>
    <n v="29010"/>
    <d v="2022-07-12T00:00:00"/>
    <n v="16"/>
    <n v="1"/>
    <n v="2901"/>
    <n v="1450"/>
    <n v="30461"/>
    <n v="1450"/>
    <n v="33361"/>
  </r>
  <r>
    <n v="2206"/>
    <x v="3"/>
    <s v="Female"/>
    <n v="22"/>
    <s v="Delhi"/>
    <x v="3"/>
    <n v="22106"/>
    <d v="2023-05-15T00:00:00"/>
    <n v="9"/>
    <n v="2"/>
    <n v="2211"/>
    <n v="1105"/>
    <n v="23212"/>
    <n v="1105"/>
    <n v="25422"/>
  </r>
  <r>
    <n v="2207"/>
    <x v="8"/>
    <s v="Female"/>
    <n v="30"/>
    <s v="Bangalore"/>
    <x v="0"/>
    <n v="47948"/>
    <d v="2024-02-21T00:00:00"/>
    <n v="17"/>
    <n v="3"/>
    <n v="4795"/>
    <n v="2397"/>
    <n v="50346"/>
    <n v="2397"/>
    <n v="55140"/>
  </r>
  <r>
    <n v="2208"/>
    <x v="5"/>
    <s v="Female"/>
    <n v="60"/>
    <s v="Bangalore"/>
    <x v="0"/>
    <n v="59166"/>
    <d v="2023-05-04T00:00:00"/>
    <n v="3"/>
    <n v="2"/>
    <n v="5917"/>
    <n v="2958"/>
    <n v="62125"/>
    <n v="0"/>
    <n v="65083"/>
  </r>
  <r>
    <n v="2209"/>
    <x v="3"/>
    <s v="Male"/>
    <n v="24"/>
    <s v="Chennai"/>
    <x v="3"/>
    <n v="63317"/>
    <d v="2024-07-18T00:00:00"/>
    <n v="15"/>
    <n v="2"/>
    <n v="6332"/>
    <n v="3166"/>
    <n v="66483"/>
    <n v="3166"/>
    <n v="72815"/>
  </r>
  <r>
    <n v="2210"/>
    <x v="3"/>
    <s v="Male"/>
    <n v="34"/>
    <s v="Hyderabad"/>
    <x v="4"/>
    <n v="94553"/>
    <d v="2024-01-07T00:00:00"/>
    <n v="19"/>
    <n v="1"/>
    <n v="9455"/>
    <n v="4728"/>
    <n v="99280"/>
    <n v="4728"/>
    <n v="108736"/>
  </r>
  <r>
    <n v="2211"/>
    <x v="7"/>
    <s v="Female"/>
    <n v="53"/>
    <s v="Delhi"/>
    <x v="0"/>
    <n v="84913"/>
    <d v="2023-07-29T00:00:00"/>
    <n v="11"/>
    <n v="2"/>
    <n v="8491"/>
    <n v="4246"/>
    <n v="89158"/>
    <n v="4246"/>
    <n v="97650"/>
  </r>
  <r>
    <n v="2212"/>
    <x v="4"/>
    <s v="Female"/>
    <n v="50"/>
    <s v="Delhi"/>
    <x v="2"/>
    <n v="52607"/>
    <d v="2024-08-02T00:00:00"/>
    <n v="1"/>
    <n v="2"/>
    <n v="5261"/>
    <n v="2630"/>
    <n v="55238"/>
    <n v="0"/>
    <n v="57868"/>
  </r>
  <r>
    <n v="2213"/>
    <x v="6"/>
    <s v="Male"/>
    <n v="40"/>
    <s v="Delhi"/>
    <x v="2"/>
    <n v="60744"/>
    <d v="2023-05-24T00:00:00"/>
    <n v="1"/>
    <n v="3"/>
    <n v="6074"/>
    <n v="3037"/>
    <n v="63781"/>
    <n v="0"/>
    <n v="66818"/>
  </r>
  <r>
    <n v="2214"/>
    <x v="1"/>
    <s v="Male"/>
    <n v="27"/>
    <s v="Mumbai"/>
    <x v="3"/>
    <n v="93590"/>
    <d v="2022-10-07T00:00:00"/>
    <n v="13"/>
    <n v="3"/>
    <n v="9359"/>
    <n v="4680"/>
    <n v="98269"/>
    <n v="4680"/>
    <n v="107629"/>
  </r>
  <r>
    <n v="2215"/>
    <x v="1"/>
    <s v="Female"/>
    <n v="30"/>
    <s v="Mumbai"/>
    <x v="2"/>
    <n v="62452"/>
    <d v="2023-05-04T00:00:00"/>
    <n v="5"/>
    <n v="4"/>
    <n v="6245"/>
    <n v="3123"/>
    <n v="65574"/>
    <n v="0"/>
    <n v="68697"/>
  </r>
  <r>
    <n v="2216"/>
    <x v="1"/>
    <s v="Male"/>
    <n v="42"/>
    <s v="Bangalore"/>
    <x v="3"/>
    <n v="33144"/>
    <d v="2024-04-09T00:00:00"/>
    <n v="11"/>
    <n v="3"/>
    <n v="3314"/>
    <n v="1657"/>
    <n v="34801"/>
    <n v="1657"/>
    <n v="38115"/>
  </r>
  <r>
    <n v="2217"/>
    <x v="8"/>
    <s v="Female"/>
    <n v="46"/>
    <s v="Chennai"/>
    <x v="1"/>
    <n v="62070"/>
    <d v="2024-02-25T00:00:00"/>
    <n v="4"/>
    <n v="2"/>
    <n v="6207"/>
    <n v="3104"/>
    <n v="65173"/>
    <n v="0"/>
    <n v="68277"/>
  </r>
  <r>
    <n v="2218"/>
    <x v="2"/>
    <s v="Male"/>
    <n v="29"/>
    <s v="Delhi"/>
    <x v="2"/>
    <n v="37180"/>
    <d v="2022-03-30T00:00:00"/>
    <n v="12"/>
    <n v="4"/>
    <n v="3718"/>
    <n v="1859"/>
    <n v="39039"/>
    <n v="1859"/>
    <n v="42757"/>
  </r>
  <r>
    <n v="2219"/>
    <x v="0"/>
    <s v="Male"/>
    <n v="52"/>
    <s v="Chennai"/>
    <x v="2"/>
    <n v="68464"/>
    <d v="2022-02-27T00:00:00"/>
    <n v="14"/>
    <n v="1"/>
    <n v="6846"/>
    <n v="3423"/>
    <n v="71887"/>
    <n v="3423"/>
    <n v="78733"/>
  </r>
  <r>
    <n v="2220"/>
    <x v="3"/>
    <s v="Male"/>
    <n v="38"/>
    <s v="Chennai"/>
    <x v="0"/>
    <n v="56519"/>
    <d v="2022-10-14T00:00:00"/>
    <n v="8"/>
    <n v="1"/>
    <n v="5652"/>
    <n v="2826"/>
    <n v="59345"/>
    <n v="2826"/>
    <n v="64997"/>
  </r>
  <r>
    <n v="2221"/>
    <x v="9"/>
    <s v="Male"/>
    <n v="33"/>
    <s v="Mumbai"/>
    <x v="2"/>
    <n v="81560"/>
    <d v="2024-02-09T00:00:00"/>
    <n v="6"/>
    <n v="4"/>
    <n v="8156"/>
    <n v="4078"/>
    <n v="85638"/>
    <n v="4078"/>
    <n v="93794"/>
  </r>
  <r>
    <n v="2222"/>
    <x v="9"/>
    <s v="Male"/>
    <n v="34"/>
    <s v="Delhi"/>
    <x v="0"/>
    <n v="49153"/>
    <d v="2024-09-18T00:00:00"/>
    <n v="13"/>
    <n v="1"/>
    <n v="4915"/>
    <n v="2458"/>
    <n v="51610"/>
    <n v="2458"/>
    <n v="56526"/>
  </r>
  <r>
    <n v="2223"/>
    <x v="2"/>
    <s v="Male"/>
    <n v="58"/>
    <s v="Delhi"/>
    <x v="2"/>
    <n v="26730"/>
    <d v="2022-02-21T00:00:00"/>
    <n v="6"/>
    <n v="1"/>
    <n v="2673"/>
    <n v="1336"/>
    <n v="28067"/>
    <n v="1336"/>
    <n v="30739"/>
  </r>
  <r>
    <n v="2224"/>
    <x v="9"/>
    <s v="Male"/>
    <n v="38"/>
    <s v="Delhi"/>
    <x v="4"/>
    <n v="72060"/>
    <d v="2022-04-01T00:00:00"/>
    <n v="14"/>
    <n v="3"/>
    <n v="7206"/>
    <n v="3603"/>
    <n v="75663"/>
    <n v="3603"/>
    <n v="82869"/>
  </r>
  <r>
    <n v="2225"/>
    <x v="8"/>
    <s v="Female"/>
    <n v="38"/>
    <s v="Mumbai"/>
    <x v="2"/>
    <n v="72524"/>
    <d v="2024-01-13T00:00:00"/>
    <n v="17"/>
    <n v="2"/>
    <n v="7252"/>
    <n v="3626"/>
    <n v="76150"/>
    <n v="3626"/>
    <n v="83402"/>
  </r>
  <r>
    <n v="2226"/>
    <x v="6"/>
    <s v="Male"/>
    <n v="27"/>
    <s v="Chennai"/>
    <x v="2"/>
    <n v="74253"/>
    <d v="2022-02-19T00:00:00"/>
    <n v="12"/>
    <n v="2"/>
    <n v="7425"/>
    <n v="3713"/>
    <n v="77965"/>
    <n v="3713"/>
    <n v="85391"/>
  </r>
  <r>
    <n v="2227"/>
    <x v="8"/>
    <s v="Male"/>
    <n v="39"/>
    <s v="Chennai"/>
    <x v="1"/>
    <n v="85688"/>
    <d v="2024-06-25T00:00:00"/>
    <n v="15"/>
    <n v="2"/>
    <n v="8569"/>
    <n v="4284"/>
    <n v="89973"/>
    <n v="4284"/>
    <n v="98541"/>
  </r>
  <r>
    <n v="2228"/>
    <x v="0"/>
    <s v="Male"/>
    <n v="21"/>
    <s v="Mumbai"/>
    <x v="1"/>
    <n v="55357"/>
    <d v="2022-08-12T00:00:00"/>
    <n v="15"/>
    <n v="2"/>
    <n v="5536"/>
    <n v="2768"/>
    <n v="58125"/>
    <n v="2768"/>
    <n v="63661"/>
  </r>
  <r>
    <n v="2229"/>
    <x v="1"/>
    <s v="Male"/>
    <n v="52"/>
    <s v="Bangalore"/>
    <x v="4"/>
    <n v="49520"/>
    <d v="2023-05-18T00:00:00"/>
    <n v="7"/>
    <n v="4"/>
    <n v="4952"/>
    <n v="2476"/>
    <n v="51996"/>
    <n v="2476"/>
    <n v="56948"/>
  </r>
  <r>
    <n v="2230"/>
    <x v="3"/>
    <s v="Male"/>
    <n v="42"/>
    <s v="Bangalore"/>
    <x v="3"/>
    <n v="71910"/>
    <d v="2022-03-12T00:00:00"/>
    <n v="17"/>
    <n v="3"/>
    <n v="7191"/>
    <n v="3596"/>
    <n v="75505"/>
    <n v="3596"/>
    <n v="82697"/>
  </r>
  <r>
    <n v="2231"/>
    <x v="3"/>
    <s v="Female"/>
    <n v="51"/>
    <s v="Chennai"/>
    <x v="2"/>
    <n v="80036"/>
    <d v="2024-06-09T00:00:00"/>
    <n v="4"/>
    <n v="5"/>
    <n v="8004"/>
    <n v="4002"/>
    <n v="84038"/>
    <n v="0"/>
    <n v="88040"/>
  </r>
  <r>
    <n v="2232"/>
    <x v="9"/>
    <s v="Female"/>
    <n v="36"/>
    <s v="Delhi"/>
    <x v="2"/>
    <n v="27621"/>
    <d v="2023-01-06T00:00:00"/>
    <n v="15"/>
    <n v="5"/>
    <n v="2762"/>
    <n v="1381"/>
    <n v="29002"/>
    <n v="1381"/>
    <n v="31764"/>
  </r>
  <r>
    <n v="2233"/>
    <x v="1"/>
    <s v="Female"/>
    <n v="29"/>
    <s v="Chennai"/>
    <x v="3"/>
    <n v="81616"/>
    <d v="2024-03-16T00:00:00"/>
    <n v="16"/>
    <n v="2"/>
    <n v="8162"/>
    <n v="4081"/>
    <n v="85697"/>
    <n v="4081"/>
    <n v="93859"/>
  </r>
  <r>
    <n v="2234"/>
    <x v="0"/>
    <s v="Female"/>
    <n v="41"/>
    <s v="Delhi"/>
    <x v="2"/>
    <n v="53577"/>
    <d v="2023-02-24T00:00:00"/>
    <n v="3"/>
    <n v="1"/>
    <n v="5358"/>
    <n v="2679"/>
    <n v="56256"/>
    <n v="0"/>
    <n v="58935"/>
  </r>
  <r>
    <n v="2235"/>
    <x v="5"/>
    <s v="Male"/>
    <n v="40"/>
    <s v="Chennai"/>
    <x v="1"/>
    <n v="52460"/>
    <d v="2023-02-28T00:00:00"/>
    <n v="2"/>
    <n v="2"/>
    <n v="5246"/>
    <n v="2623"/>
    <n v="55083"/>
    <n v="0"/>
    <n v="57706"/>
  </r>
  <r>
    <n v="2236"/>
    <x v="5"/>
    <s v="Female"/>
    <n v="48"/>
    <s v="Hyderabad"/>
    <x v="1"/>
    <n v="78987"/>
    <d v="2024-03-06T00:00:00"/>
    <n v="3"/>
    <n v="5"/>
    <n v="7899"/>
    <n v="3949"/>
    <n v="82937"/>
    <n v="0"/>
    <n v="86886"/>
  </r>
  <r>
    <n v="2237"/>
    <x v="9"/>
    <s v="Male"/>
    <n v="25"/>
    <s v="Delhi"/>
    <x v="1"/>
    <n v="53824"/>
    <d v="2022-02-14T00:00:00"/>
    <n v="13"/>
    <n v="1"/>
    <n v="5382"/>
    <n v="2691"/>
    <n v="56515"/>
    <n v="2691"/>
    <n v="61897"/>
  </r>
  <r>
    <n v="2238"/>
    <x v="5"/>
    <s v="Female"/>
    <n v="27"/>
    <s v="Mumbai"/>
    <x v="1"/>
    <n v="31521"/>
    <d v="2024-01-22T00:00:00"/>
    <n v="3"/>
    <n v="5"/>
    <n v="3152"/>
    <n v="1576"/>
    <n v="33097"/>
    <n v="0"/>
    <n v="34673"/>
  </r>
  <r>
    <n v="2239"/>
    <x v="8"/>
    <s v="Male"/>
    <n v="52"/>
    <s v="Bangalore"/>
    <x v="4"/>
    <n v="41177"/>
    <d v="2023-07-22T00:00:00"/>
    <n v="18"/>
    <n v="4"/>
    <n v="4118"/>
    <n v="2059"/>
    <n v="43236"/>
    <n v="2059"/>
    <n v="47354"/>
  </r>
  <r>
    <n v="2240"/>
    <x v="0"/>
    <s v="Female"/>
    <n v="56"/>
    <s v="Mumbai"/>
    <x v="4"/>
    <n v="91418"/>
    <d v="2022-07-19T00:00:00"/>
    <n v="12"/>
    <n v="1"/>
    <n v="9142"/>
    <n v="4571"/>
    <n v="95989"/>
    <n v="4571"/>
    <n v="105131"/>
  </r>
  <r>
    <n v="2241"/>
    <x v="1"/>
    <s v="Male"/>
    <n v="24"/>
    <s v="Chennai"/>
    <x v="4"/>
    <n v="78779"/>
    <d v="2022-09-21T00:00:00"/>
    <n v="13"/>
    <n v="3"/>
    <n v="7878"/>
    <n v="3939"/>
    <n v="82718"/>
    <n v="3939"/>
    <n v="90596"/>
  </r>
  <r>
    <n v="2242"/>
    <x v="4"/>
    <s v="Female"/>
    <n v="21"/>
    <s v="Mumbai"/>
    <x v="3"/>
    <n v="47634"/>
    <d v="2023-08-28T00:00:00"/>
    <n v="11"/>
    <n v="3"/>
    <n v="4763"/>
    <n v="2382"/>
    <n v="50015"/>
    <n v="2382"/>
    <n v="54779"/>
  </r>
  <r>
    <n v="2243"/>
    <x v="1"/>
    <s v="Male"/>
    <n v="21"/>
    <s v="Delhi"/>
    <x v="4"/>
    <n v="30794"/>
    <d v="2023-10-31T00:00:00"/>
    <n v="12"/>
    <n v="2"/>
    <n v="3079"/>
    <n v="1540"/>
    <n v="32333"/>
    <n v="1540"/>
    <n v="35413"/>
  </r>
  <r>
    <n v="2244"/>
    <x v="6"/>
    <s v="Female"/>
    <n v="59"/>
    <s v="Hyderabad"/>
    <x v="1"/>
    <n v="39635"/>
    <d v="2024-02-09T00:00:00"/>
    <n v="5"/>
    <n v="4"/>
    <n v="3964"/>
    <n v="1982"/>
    <n v="41617"/>
    <n v="0"/>
    <n v="43599"/>
  </r>
  <r>
    <n v="2245"/>
    <x v="1"/>
    <s v="Female"/>
    <n v="29"/>
    <s v="Hyderabad"/>
    <x v="3"/>
    <n v="67687"/>
    <d v="2024-09-19T00:00:00"/>
    <n v="12"/>
    <n v="1"/>
    <n v="6769"/>
    <n v="3384"/>
    <n v="71072"/>
    <n v="3384"/>
    <n v="77840"/>
  </r>
  <r>
    <n v="2246"/>
    <x v="9"/>
    <s v="Female"/>
    <n v="45"/>
    <s v="Mumbai"/>
    <x v="1"/>
    <n v="57764"/>
    <d v="2023-07-05T00:00:00"/>
    <n v="13"/>
    <n v="2"/>
    <n v="5776"/>
    <n v="2888"/>
    <n v="60652"/>
    <n v="2888"/>
    <n v="66428"/>
  </r>
  <r>
    <n v="2247"/>
    <x v="1"/>
    <s v="Male"/>
    <n v="45"/>
    <s v="Hyderabad"/>
    <x v="1"/>
    <n v="92670"/>
    <d v="2023-05-08T00:00:00"/>
    <n v="2"/>
    <n v="2"/>
    <n v="9267"/>
    <n v="4634"/>
    <n v="97303"/>
    <n v="0"/>
    <n v="101937"/>
  </r>
  <r>
    <n v="2248"/>
    <x v="5"/>
    <s v="Female"/>
    <n v="22"/>
    <s v="Hyderabad"/>
    <x v="0"/>
    <n v="25809"/>
    <d v="2024-05-23T00:00:00"/>
    <n v="19"/>
    <n v="4"/>
    <n v="2581"/>
    <n v="1290"/>
    <n v="27100"/>
    <n v="1290"/>
    <n v="29680"/>
  </r>
  <r>
    <n v="2249"/>
    <x v="0"/>
    <s v="Female"/>
    <n v="43"/>
    <s v="Bangalore"/>
    <x v="2"/>
    <n v="48440"/>
    <d v="2024-04-09T00:00:00"/>
    <n v="6"/>
    <n v="2"/>
    <n v="4844"/>
    <n v="2422"/>
    <n v="50862"/>
    <n v="2422"/>
    <n v="55706"/>
  </r>
  <r>
    <n v="2250"/>
    <x v="1"/>
    <s v="Male"/>
    <n v="23"/>
    <s v="Bangalore"/>
    <x v="3"/>
    <n v="34782"/>
    <d v="2022-07-30T00:00:00"/>
    <n v="9"/>
    <n v="1"/>
    <n v="3478"/>
    <n v="1739"/>
    <n v="36521"/>
    <n v="1739"/>
    <n v="39999"/>
  </r>
  <r>
    <n v="2251"/>
    <x v="9"/>
    <s v="Male"/>
    <n v="29"/>
    <s v="Bangalore"/>
    <x v="0"/>
    <n v="23160"/>
    <d v="2023-06-06T00:00:00"/>
    <n v="7"/>
    <n v="5"/>
    <n v="2316"/>
    <n v="1158"/>
    <n v="24318"/>
    <n v="1158"/>
    <n v="26634"/>
  </r>
  <r>
    <n v="2252"/>
    <x v="1"/>
    <s v="Male"/>
    <n v="32"/>
    <s v="Hyderabad"/>
    <x v="1"/>
    <n v="98004"/>
    <d v="2024-05-11T00:00:00"/>
    <n v="4"/>
    <n v="3"/>
    <n v="9800"/>
    <n v="4900"/>
    <n v="102904"/>
    <n v="0"/>
    <n v="107804"/>
  </r>
  <r>
    <n v="2253"/>
    <x v="4"/>
    <s v="Female"/>
    <n v="24"/>
    <s v="Hyderabad"/>
    <x v="2"/>
    <n v="88295"/>
    <d v="2022-09-12T00:00:00"/>
    <n v="16"/>
    <n v="2"/>
    <n v="8830"/>
    <n v="4415"/>
    <n v="92710"/>
    <n v="4415"/>
    <n v="101540"/>
  </r>
  <r>
    <n v="2254"/>
    <x v="7"/>
    <s v="Male"/>
    <n v="28"/>
    <s v="Chennai"/>
    <x v="3"/>
    <n v="21169"/>
    <d v="2024-07-27T00:00:00"/>
    <n v="16"/>
    <n v="5"/>
    <n v="2117"/>
    <n v="1058"/>
    <n v="22228"/>
    <n v="1058"/>
    <n v="24344"/>
  </r>
  <r>
    <n v="2255"/>
    <x v="7"/>
    <s v="Male"/>
    <n v="59"/>
    <s v="Mumbai"/>
    <x v="1"/>
    <n v="85966"/>
    <d v="2024-07-29T00:00:00"/>
    <n v="5"/>
    <n v="5"/>
    <n v="8597"/>
    <n v="4298"/>
    <n v="90265"/>
    <n v="0"/>
    <n v="94563"/>
  </r>
  <r>
    <n v="2256"/>
    <x v="5"/>
    <s v="Male"/>
    <n v="38"/>
    <s v="Hyderabad"/>
    <x v="2"/>
    <n v="57511"/>
    <d v="2022-07-20T00:00:00"/>
    <n v="2"/>
    <n v="2"/>
    <n v="5751"/>
    <n v="2876"/>
    <n v="60386"/>
    <n v="0"/>
    <n v="63262"/>
  </r>
  <r>
    <n v="2257"/>
    <x v="8"/>
    <s v="Male"/>
    <n v="60"/>
    <s v="Hyderabad"/>
    <x v="4"/>
    <n v="32522"/>
    <d v="2023-07-22T00:00:00"/>
    <n v="10"/>
    <n v="5"/>
    <n v="3252"/>
    <n v="1626"/>
    <n v="34148"/>
    <n v="1626"/>
    <n v="37400"/>
  </r>
  <r>
    <n v="2258"/>
    <x v="2"/>
    <s v="Male"/>
    <n v="49"/>
    <s v="Bangalore"/>
    <x v="3"/>
    <n v="20291"/>
    <d v="2022-07-17T00:00:00"/>
    <n v="3"/>
    <n v="3"/>
    <n v="2029"/>
    <n v="1015"/>
    <n v="21305"/>
    <n v="0"/>
    <n v="22320"/>
  </r>
  <r>
    <n v="2259"/>
    <x v="0"/>
    <s v="Male"/>
    <n v="32"/>
    <s v="Mumbai"/>
    <x v="2"/>
    <n v="68489"/>
    <d v="2022-12-31T00:00:00"/>
    <n v="6"/>
    <n v="3"/>
    <n v="6849"/>
    <n v="3424"/>
    <n v="71914"/>
    <n v="3424"/>
    <n v="78762"/>
  </r>
  <r>
    <n v="2260"/>
    <x v="7"/>
    <s v="Female"/>
    <n v="47"/>
    <s v="Bangalore"/>
    <x v="3"/>
    <n v="66482"/>
    <d v="2023-06-10T00:00:00"/>
    <n v="16"/>
    <n v="5"/>
    <n v="6648"/>
    <n v="3324"/>
    <n v="69806"/>
    <n v="3324"/>
    <n v="76454"/>
  </r>
  <r>
    <n v="2261"/>
    <x v="5"/>
    <s v="Male"/>
    <n v="50"/>
    <s v="Delhi"/>
    <x v="4"/>
    <n v="38140"/>
    <d v="2022-01-23T00:00:00"/>
    <n v="8"/>
    <n v="5"/>
    <n v="3814"/>
    <n v="1907"/>
    <n v="40047"/>
    <n v="1907"/>
    <n v="43861"/>
  </r>
  <r>
    <n v="2262"/>
    <x v="6"/>
    <s v="Male"/>
    <n v="48"/>
    <s v="Chennai"/>
    <x v="1"/>
    <n v="28842"/>
    <d v="2024-04-17T00:00:00"/>
    <n v="5"/>
    <n v="1"/>
    <n v="2884"/>
    <n v="1442"/>
    <n v="30284"/>
    <n v="0"/>
    <n v="31726"/>
  </r>
  <r>
    <n v="2263"/>
    <x v="7"/>
    <s v="Male"/>
    <n v="52"/>
    <s v="Mumbai"/>
    <x v="3"/>
    <n v="56441"/>
    <d v="2024-06-10T00:00:00"/>
    <n v="8"/>
    <n v="2"/>
    <n v="5644"/>
    <n v="2822"/>
    <n v="59263"/>
    <n v="2822"/>
    <n v="64907"/>
  </r>
  <r>
    <n v="2264"/>
    <x v="9"/>
    <s v="Female"/>
    <n v="22"/>
    <s v="Hyderabad"/>
    <x v="0"/>
    <n v="29795"/>
    <d v="2023-04-10T00:00:00"/>
    <n v="4"/>
    <n v="5"/>
    <n v="2980"/>
    <n v="1490"/>
    <n v="31285"/>
    <n v="0"/>
    <n v="32775"/>
  </r>
  <r>
    <n v="2265"/>
    <x v="9"/>
    <s v="Female"/>
    <n v="39"/>
    <s v="Hyderabad"/>
    <x v="2"/>
    <n v="59778"/>
    <d v="2023-12-03T00:00:00"/>
    <n v="7"/>
    <n v="1"/>
    <n v="5978"/>
    <n v="2989"/>
    <n v="62767"/>
    <n v="2989"/>
    <n v="68745"/>
  </r>
  <r>
    <n v="2266"/>
    <x v="6"/>
    <s v="Male"/>
    <n v="27"/>
    <s v="Hyderabad"/>
    <x v="2"/>
    <n v="23685"/>
    <d v="2024-03-09T00:00:00"/>
    <n v="4"/>
    <n v="3"/>
    <n v="2368"/>
    <n v="1184"/>
    <n v="24869"/>
    <n v="0"/>
    <n v="26053"/>
  </r>
  <r>
    <n v="2267"/>
    <x v="5"/>
    <s v="Female"/>
    <n v="60"/>
    <s v="Delhi"/>
    <x v="3"/>
    <n v="40134"/>
    <d v="2023-01-01T00:00:00"/>
    <n v="16"/>
    <n v="2"/>
    <n v="4013"/>
    <n v="2007"/>
    <n v="42140"/>
    <n v="2007"/>
    <n v="46154"/>
  </r>
  <r>
    <n v="2268"/>
    <x v="0"/>
    <s v="Female"/>
    <n v="32"/>
    <s v="Mumbai"/>
    <x v="2"/>
    <n v="96128"/>
    <d v="2024-09-26T00:00:00"/>
    <n v="13"/>
    <n v="1"/>
    <n v="9613"/>
    <n v="4806"/>
    <n v="100935"/>
    <n v="4806"/>
    <n v="110547"/>
  </r>
  <r>
    <n v="2269"/>
    <x v="5"/>
    <s v="Female"/>
    <n v="36"/>
    <s v="Delhi"/>
    <x v="2"/>
    <n v="30017"/>
    <d v="2023-09-20T00:00:00"/>
    <n v="1"/>
    <n v="5"/>
    <n v="3002"/>
    <n v="1501"/>
    <n v="31518"/>
    <n v="0"/>
    <n v="33019"/>
  </r>
  <r>
    <n v="2270"/>
    <x v="7"/>
    <s v="Male"/>
    <n v="24"/>
    <s v="Hyderabad"/>
    <x v="0"/>
    <n v="45721"/>
    <d v="2022-10-23T00:00:00"/>
    <n v="18"/>
    <n v="4"/>
    <n v="4572"/>
    <n v="2286"/>
    <n v="48007"/>
    <n v="2286"/>
    <n v="52579"/>
  </r>
  <r>
    <n v="2271"/>
    <x v="6"/>
    <s v="Male"/>
    <n v="51"/>
    <s v="Delhi"/>
    <x v="2"/>
    <n v="77757"/>
    <d v="2024-01-09T00:00:00"/>
    <n v="1"/>
    <n v="4"/>
    <n v="7776"/>
    <n v="3888"/>
    <n v="81645"/>
    <n v="0"/>
    <n v="85533"/>
  </r>
  <r>
    <n v="2272"/>
    <x v="8"/>
    <s v="Male"/>
    <n v="38"/>
    <s v="Mumbai"/>
    <x v="1"/>
    <n v="63880"/>
    <d v="2023-08-15T00:00:00"/>
    <n v="3"/>
    <n v="3"/>
    <n v="6388"/>
    <n v="3194"/>
    <n v="67074"/>
    <n v="0"/>
    <n v="70268"/>
  </r>
  <r>
    <n v="2273"/>
    <x v="2"/>
    <s v="Female"/>
    <n v="54"/>
    <s v="Bangalore"/>
    <x v="4"/>
    <n v="64895"/>
    <d v="2022-07-04T00:00:00"/>
    <n v="4"/>
    <n v="1"/>
    <n v="6490"/>
    <n v="3245"/>
    <n v="68140"/>
    <n v="0"/>
    <n v="71385"/>
  </r>
  <r>
    <n v="2274"/>
    <x v="7"/>
    <s v="Male"/>
    <n v="51"/>
    <s v="Delhi"/>
    <x v="0"/>
    <n v="57952"/>
    <d v="2022-12-12T00:00:00"/>
    <n v="13"/>
    <n v="2"/>
    <n v="5795"/>
    <n v="2898"/>
    <n v="60849"/>
    <n v="2898"/>
    <n v="66645"/>
  </r>
  <r>
    <n v="2275"/>
    <x v="0"/>
    <s v="Male"/>
    <n v="31"/>
    <s v="Hyderabad"/>
    <x v="0"/>
    <n v="63305"/>
    <d v="2023-09-19T00:00:00"/>
    <n v="6"/>
    <n v="2"/>
    <n v="6330"/>
    <n v="3165"/>
    <n v="66470"/>
    <n v="3165"/>
    <n v="72800"/>
  </r>
  <r>
    <n v="2276"/>
    <x v="5"/>
    <s v="Male"/>
    <n v="38"/>
    <s v="Mumbai"/>
    <x v="0"/>
    <n v="94714"/>
    <d v="2023-12-31T00:00:00"/>
    <n v="10"/>
    <n v="4"/>
    <n v="9471"/>
    <n v="4736"/>
    <n v="99449"/>
    <n v="4736"/>
    <n v="108921"/>
  </r>
  <r>
    <n v="2277"/>
    <x v="8"/>
    <s v="Female"/>
    <n v="47"/>
    <s v="Chennai"/>
    <x v="2"/>
    <n v="86339"/>
    <d v="2022-12-09T00:00:00"/>
    <n v="5"/>
    <n v="2"/>
    <n v="8634"/>
    <n v="4317"/>
    <n v="90656"/>
    <n v="0"/>
    <n v="94973"/>
  </r>
  <r>
    <n v="2278"/>
    <x v="8"/>
    <s v="Male"/>
    <n v="34"/>
    <s v="Chennai"/>
    <x v="1"/>
    <n v="26692"/>
    <d v="2023-09-08T00:00:00"/>
    <n v="12"/>
    <n v="4"/>
    <n v="2669"/>
    <n v="1335"/>
    <n v="28026"/>
    <n v="1335"/>
    <n v="30696"/>
  </r>
  <r>
    <n v="2279"/>
    <x v="1"/>
    <s v="Female"/>
    <n v="48"/>
    <s v="Hyderabad"/>
    <x v="3"/>
    <n v="30186"/>
    <d v="2024-09-03T00:00:00"/>
    <n v="6"/>
    <n v="5"/>
    <n v="3019"/>
    <n v="1509"/>
    <n v="31696"/>
    <n v="1509"/>
    <n v="34714"/>
  </r>
  <r>
    <n v="2280"/>
    <x v="6"/>
    <s v="Female"/>
    <n v="30"/>
    <s v="Mumbai"/>
    <x v="4"/>
    <n v="87671"/>
    <d v="2024-07-08T00:00:00"/>
    <n v="16"/>
    <n v="2"/>
    <n v="8767"/>
    <n v="4384"/>
    <n v="92054"/>
    <n v="4384"/>
    <n v="100822"/>
  </r>
  <r>
    <n v="2281"/>
    <x v="8"/>
    <s v="Male"/>
    <n v="43"/>
    <s v="Hyderabad"/>
    <x v="0"/>
    <n v="22964"/>
    <d v="2022-01-07T00:00:00"/>
    <n v="4"/>
    <n v="1"/>
    <n v="2296"/>
    <n v="1148"/>
    <n v="24112"/>
    <n v="0"/>
    <n v="25260"/>
  </r>
  <r>
    <n v="2282"/>
    <x v="0"/>
    <s v="Female"/>
    <n v="59"/>
    <s v="Chennai"/>
    <x v="1"/>
    <n v="79234"/>
    <d v="2022-05-05T00:00:00"/>
    <n v="18"/>
    <n v="4"/>
    <n v="7923"/>
    <n v="3962"/>
    <n v="83195"/>
    <n v="3962"/>
    <n v="91119"/>
  </r>
  <r>
    <n v="2283"/>
    <x v="9"/>
    <s v="Female"/>
    <n v="51"/>
    <s v="Bangalore"/>
    <x v="1"/>
    <n v="46054"/>
    <d v="2023-11-18T00:00:00"/>
    <n v="12"/>
    <n v="4"/>
    <n v="4605"/>
    <n v="2303"/>
    <n v="48356"/>
    <n v="2303"/>
    <n v="52962"/>
  </r>
  <r>
    <n v="2284"/>
    <x v="6"/>
    <s v="Female"/>
    <n v="37"/>
    <s v="Hyderabad"/>
    <x v="3"/>
    <n v="77832"/>
    <d v="2022-08-24T00:00:00"/>
    <n v="12"/>
    <n v="2"/>
    <n v="7783"/>
    <n v="3892"/>
    <n v="81723"/>
    <n v="3892"/>
    <n v="89507"/>
  </r>
  <r>
    <n v="2285"/>
    <x v="2"/>
    <s v="Male"/>
    <n v="31"/>
    <s v="Delhi"/>
    <x v="2"/>
    <n v="82243"/>
    <d v="2022-11-29T00:00:00"/>
    <n v="17"/>
    <n v="3"/>
    <n v="8224"/>
    <n v="4112"/>
    <n v="86355"/>
    <n v="4112"/>
    <n v="94579"/>
  </r>
  <r>
    <n v="2286"/>
    <x v="6"/>
    <s v="Male"/>
    <n v="27"/>
    <s v="Mumbai"/>
    <x v="1"/>
    <n v="53525"/>
    <d v="2024-05-20T00:00:00"/>
    <n v="3"/>
    <n v="5"/>
    <n v="5352"/>
    <n v="2676"/>
    <n v="56201"/>
    <n v="0"/>
    <n v="58877"/>
  </r>
  <r>
    <n v="2287"/>
    <x v="1"/>
    <s v="Male"/>
    <n v="43"/>
    <s v="Mumbai"/>
    <x v="2"/>
    <n v="26541"/>
    <d v="2022-09-14T00:00:00"/>
    <n v="15"/>
    <n v="5"/>
    <n v="2654"/>
    <n v="1327"/>
    <n v="27868"/>
    <n v="1327"/>
    <n v="30522"/>
  </r>
  <r>
    <n v="2288"/>
    <x v="7"/>
    <s v="Male"/>
    <n v="23"/>
    <s v="Hyderabad"/>
    <x v="2"/>
    <n v="28879"/>
    <d v="2023-12-15T00:00:00"/>
    <n v="12"/>
    <n v="1"/>
    <n v="2888"/>
    <n v="1444"/>
    <n v="30323"/>
    <n v="1444"/>
    <n v="33211"/>
  </r>
  <r>
    <n v="2289"/>
    <x v="5"/>
    <s v="Male"/>
    <n v="36"/>
    <s v="Hyderabad"/>
    <x v="1"/>
    <n v="60842"/>
    <d v="2022-08-10T00:00:00"/>
    <n v="17"/>
    <n v="2"/>
    <n v="6084"/>
    <n v="3042"/>
    <n v="63884"/>
    <n v="3042"/>
    <n v="69968"/>
  </r>
  <r>
    <n v="2290"/>
    <x v="3"/>
    <s v="Male"/>
    <n v="59"/>
    <s v="Bangalore"/>
    <x v="0"/>
    <n v="46968"/>
    <d v="2022-10-07T00:00:00"/>
    <n v="18"/>
    <n v="2"/>
    <n v="4697"/>
    <n v="2348"/>
    <n v="49317"/>
    <n v="2348"/>
    <n v="54013"/>
  </r>
  <r>
    <n v="2291"/>
    <x v="1"/>
    <s v="Female"/>
    <n v="38"/>
    <s v="Mumbai"/>
    <x v="0"/>
    <n v="63224"/>
    <d v="2022-02-25T00:00:00"/>
    <n v="9"/>
    <n v="1"/>
    <n v="6322"/>
    <n v="3161"/>
    <n v="66385"/>
    <n v="3161"/>
    <n v="72707"/>
  </r>
  <r>
    <n v="2292"/>
    <x v="6"/>
    <s v="Female"/>
    <n v="21"/>
    <s v="Hyderabad"/>
    <x v="1"/>
    <n v="89363"/>
    <d v="2023-10-02T00:00:00"/>
    <n v="4"/>
    <n v="1"/>
    <n v="8936"/>
    <n v="4468"/>
    <n v="93831"/>
    <n v="0"/>
    <n v="98299"/>
  </r>
  <r>
    <n v="2293"/>
    <x v="4"/>
    <s v="Female"/>
    <n v="55"/>
    <s v="Chennai"/>
    <x v="0"/>
    <n v="84113"/>
    <d v="2024-07-15T00:00:00"/>
    <n v="14"/>
    <n v="1"/>
    <n v="8411"/>
    <n v="4206"/>
    <n v="88318"/>
    <n v="4206"/>
    <n v="96730"/>
  </r>
  <r>
    <n v="2294"/>
    <x v="6"/>
    <s v="Male"/>
    <n v="54"/>
    <s v="Bangalore"/>
    <x v="1"/>
    <n v="59076"/>
    <d v="2024-03-27T00:00:00"/>
    <n v="19"/>
    <n v="5"/>
    <n v="5908"/>
    <n v="2954"/>
    <n v="62030"/>
    <n v="2954"/>
    <n v="67938"/>
  </r>
  <r>
    <n v="2295"/>
    <x v="6"/>
    <s v="Male"/>
    <n v="49"/>
    <s v="Hyderabad"/>
    <x v="3"/>
    <n v="62514"/>
    <d v="2023-06-09T00:00:00"/>
    <n v="6"/>
    <n v="4"/>
    <n v="6251"/>
    <n v="3126"/>
    <n v="65639"/>
    <n v="3126"/>
    <n v="71891"/>
  </r>
  <r>
    <n v="2296"/>
    <x v="3"/>
    <s v="Male"/>
    <n v="46"/>
    <s v="Hyderabad"/>
    <x v="0"/>
    <n v="54286"/>
    <d v="2024-02-19T00:00:00"/>
    <n v="2"/>
    <n v="2"/>
    <n v="5429"/>
    <n v="2714"/>
    <n v="57001"/>
    <n v="0"/>
    <n v="59715"/>
  </r>
  <r>
    <n v="2297"/>
    <x v="3"/>
    <s v="Female"/>
    <n v="49"/>
    <s v="Delhi"/>
    <x v="3"/>
    <n v="38117"/>
    <d v="2023-01-14T00:00:00"/>
    <n v="16"/>
    <n v="3"/>
    <n v="3812"/>
    <n v="1906"/>
    <n v="40023"/>
    <n v="1906"/>
    <n v="43835"/>
  </r>
  <r>
    <n v="2298"/>
    <x v="1"/>
    <s v="Female"/>
    <n v="43"/>
    <s v="Hyderabad"/>
    <x v="3"/>
    <n v="35337"/>
    <d v="2023-10-14T00:00:00"/>
    <n v="2"/>
    <n v="2"/>
    <n v="3534"/>
    <n v="1767"/>
    <n v="37104"/>
    <n v="0"/>
    <n v="38871"/>
  </r>
  <r>
    <n v="2299"/>
    <x v="1"/>
    <s v="Female"/>
    <n v="47"/>
    <s v="Chennai"/>
    <x v="4"/>
    <n v="49516"/>
    <d v="2022-02-05T00:00:00"/>
    <n v="4"/>
    <n v="4"/>
    <n v="4952"/>
    <n v="2476"/>
    <n v="51992"/>
    <n v="0"/>
    <n v="54468"/>
  </r>
  <r>
    <n v="2300"/>
    <x v="3"/>
    <s v="Female"/>
    <n v="54"/>
    <s v="Chennai"/>
    <x v="3"/>
    <n v="79533"/>
    <d v="2023-08-12T00:00:00"/>
    <n v="20"/>
    <n v="3"/>
    <n v="7953"/>
    <n v="3977"/>
    <n v="83509"/>
    <n v="3977"/>
    <n v="91463"/>
  </r>
  <r>
    <n v="2301"/>
    <x v="9"/>
    <s v="Male"/>
    <n v="50"/>
    <s v="Mumbai"/>
    <x v="3"/>
    <n v="95117"/>
    <d v="2022-06-26T00:00:00"/>
    <n v="12"/>
    <n v="2"/>
    <n v="9512"/>
    <n v="4756"/>
    <n v="99873"/>
    <n v="4756"/>
    <n v="109385"/>
  </r>
  <r>
    <n v="2302"/>
    <x v="3"/>
    <s v="Male"/>
    <n v="53"/>
    <s v="Hyderabad"/>
    <x v="1"/>
    <n v="89364"/>
    <d v="2023-10-08T00:00:00"/>
    <n v="3"/>
    <n v="1"/>
    <n v="8936"/>
    <n v="4468"/>
    <n v="93832"/>
    <n v="0"/>
    <n v="98300"/>
  </r>
  <r>
    <n v="2303"/>
    <x v="3"/>
    <s v="Male"/>
    <n v="28"/>
    <s v="Bangalore"/>
    <x v="1"/>
    <n v="33722"/>
    <d v="2022-12-07T00:00:00"/>
    <n v="12"/>
    <n v="4"/>
    <n v="3372"/>
    <n v="1686"/>
    <n v="35408"/>
    <n v="1686"/>
    <n v="38780"/>
  </r>
  <r>
    <n v="2304"/>
    <x v="1"/>
    <s v="Female"/>
    <n v="49"/>
    <s v="Chennai"/>
    <x v="2"/>
    <n v="62339"/>
    <d v="2022-05-21T00:00:00"/>
    <n v="1"/>
    <n v="4"/>
    <n v="6234"/>
    <n v="3117"/>
    <n v="65456"/>
    <n v="0"/>
    <n v="68573"/>
  </r>
  <r>
    <n v="2305"/>
    <x v="5"/>
    <s v="Male"/>
    <n v="24"/>
    <s v="Bangalore"/>
    <x v="2"/>
    <n v="20754"/>
    <d v="2022-01-23T00:00:00"/>
    <n v="1"/>
    <n v="5"/>
    <n v="2075"/>
    <n v="1038"/>
    <n v="21791"/>
    <n v="0"/>
    <n v="22829"/>
  </r>
  <r>
    <n v="2306"/>
    <x v="7"/>
    <s v="Male"/>
    <n v="41"/>
    <s v="Bangalore"/>
    <x v="4"/>
    <n v="46901"/>
    <d v="2024-04-03T00:00:00"/>
    <n v="13"/>
    <n v="3"/>
    <n v="4690"/>
    <n v="2345"/>
    <n v="49246"/>
    <n v="2345"/>
    <n v="53936"/>
  </r>
  <r>
    <n v="2307"/>
    <x v="6"/>
    <s v="Female"/>
    <n v="39"/>
    <s v="Chennai"/>
    <x v="2"/>
    <n v="62909"/>
    <d v="2023-06-09T00:00:00"/>
    <n v="2"/>
    <n v="5"/>
    <n v="6291"/>
    <n v="3145"/>
    <n v="66055"/>
    <n v="0"/>
    <n v="69200"/>
  </r>
  <r>
    <n v="2308"/>
    <x v="7"/>
    <s v="Female"/>
    <n v="40"/>
    <s v="Delhi"/>
    <x v="0"/>
    <n v="61458"/>
    <d v="2023-10-16T00:00:00"/>
    <n v="11"/>
    <n v="4"/>
    <n v="6146"/>
    <n v="3073"/>
    <n v="64531"/>
    <n v="3073"/>
    <n v="70677"/>
  </r>
  <r>
    <n v="2309"/>
    <x v="7"/>
    <s v="Male"/>
    <n v="58"/>
    <s v="Chennai"/>
    <x v="2"/>
    <n v="72087"/>
    <d v="2024-02-10T00:00:00"/>
    <n v="5"/>
    <n v="4"/>
    <n v="7209"/>
    <n v="3604"/>
    <n v="75692"/>
    <n v="0"/>
    <n v="79296"/>
  </r>
  <r>
    <n v="2310"/>
    <x v="8"/>
    <s v="Female"/>
    <n v="56"/>
    <s v="Delhi"/>
    <x v="1"/>
    <n v="37323"/>
    <d v="2024-03-10T00:00:00"/>
    <n v="18"/>
    <n v="5"/>
    <n v="3732"/>
    <n v="1866"/>
    <n v="39189"/>
    <n v="1866"/>
    <n v="42921"/>
  </r>
  <r>
    <n v="2311"/>
    <x v="7"/>
    <s v="Male"/>
    <n v="21"/>
    <s v="Delhi"/>
    <x v="2"/>
    <n v="45643"/>
    <d v="2022-10-21T00:00:00"/>
    <n v="20"/>
    <n v="4"/>
    <n v="4564"/>
    <n v="2282"/>
    <n v="47925"/>
    <n v="2282"/>
    <n v="52489"/>
  </r>
  <r>
    <n v="2312"/>
    <x v="7"/>
    <s v="Female"/>
    <n v="34"/>
    <s v="Chennai"/>
    <x v="4"/>
    <n v="41160"/>
    <d v="2023-06-24T00:00:00"/>
    <n v="20"/>
    <n v="2"/>
    <n v="4116"/>
    <n v="2058"/>
    <n v="43218"/>
    <n v="2058"/>
    <n v="47334"/>
  </r>
  <r>
    <n v="2313"/>
    <x v="0"/>
    <s v="Male"/>
    <n v="23"/>
    <s v="Bangalore"/>
    <x v="0"/>
    <n v="37498"/>
    <d v="2023-10-22T00:00:00"/>
    <n v="18"/>
    <n v="1"/>
    <n v="3750"/>
    <n v="1875"/>
    <n v="39373"/>
    <n v="1875"/>
    <n v="43123"/>
  </r>
  <r>
    <n v="2314"/>
    <x v="7"/>
    <s v="Female"/>
    <n v="59"/>
    <s v="Bangalore"/>
    <x v="4"/>
    <n v="79630"/>
    <d v="2024-04-20T00:00:00"/>
    <n v="1"/>
    <n v="1"/>
    <n v="7963"/>
    <n v="3982"/>
    <n v="83611"/>
    <n v="0"/>
    <n v="87593"/>
  </r>
  <r>
    <n v="2315"/>
    <x v="5"/>
    <s v="Male"/>
    <n v="34"/>
    <s v="Mumbai"/>
    <x v="0"/>
    <n v="43719"/>
    <d v="2023-09-04T00:00:00"/>
    <n v="18"/>
    <n v="3"/>
    <n v="4372"/>
    <n v="2186"/>
    <n v="45905"/>
    <n v="2186"/>
    <n v="50277"/>
  </r>
  <r>
    <n v="2316"/>
    <x v="7"/>
    <s v="Male"/>
    <n v="47"/>
    <s v="Chennai"/>
    <x v="4"/>
    <n v="93444"/>
    <d v="2023-10-31T00:00:00"/>
    <n v="4"/>
    <n v="3"/>
    <n v="9344"/>
    <n v="4672"/>
    <n v="98116"/>
    <n v="0"/>
    <n v="102788"/>
  </r>
  <r>
    <n v="2317"/>
    <x v="4"/>
    <s v="Female"/>
    <n v="50"/>
    <s v="Hyderabad"/>
    <x v="3"/>
    <n v="92654"/>
    <d v="2022-01-13T00:00:00"/>
    <n v="4"/>
    <n v="2"/>
    <n v="9265"/>
    <n v="4633"/>
    <n v="97286"/>
    <n v="0"/>
    <n v="101919"/>
  </r>
  <r>
    <n v="2318"/>
    <x v="2"/>
    <s v="Female"/>
    <n v="23"/>
    <s v="Hyderabad"/>
    <x v="3"/>
    <n v="88146"/>
    <d v="2024-07-21T00:00:00"/>
    <n v="12"/>
    <n v="2"/>
    <n v="8815"/>
    <n v="4407"/>
    <n v="92554"/>
    <n v="4407"/>
    <n v="101368"/>
  </r>
  <r>
    <n v="2319"/>
    <x v="4"/>
    <s v="Male"/>
    <n v="45"/>
    <s v="Delhi"/>
    <x v="1"/>
    <n v="81928"/>
    <d v="2023-07-26T00:00:00"/>
    <n v="3"/>
    <n v="4"/>
    <n v="8193"/>
    <n v="4096"/>
    <n v="86025"/>
    <n v="0"/>
    <n v="90121"/>
  </r>
  <r>
    <n v="2320"/>
    <x v="8"/>
    <s v="Male"/>
    <n v="23"/>
    <s v="Mumbai"/>
    <x v="3"/>
    <n v="45767"/>
    <d v="2023-07-08T00:00:00"/>
    <n v="19"/>
    <n v="3"/>
    <n v="4577"/>
    <n v="2288"/>
    <n v="48056"/>
    <n v="2288"/>
    <n v="52632"/>
  </r>
  <r>
    <n v="2321"/>
    <x v="7"/>
    <s v="Male"/>
    <n v="51"/>
    <s v="Chennai"/>
    <x v="1"/>
    <n v="78823"/>
    <d v="2022-02-03T00:00:00"/>
    <n v="17"/>
    <n v="3"/>
    <n v="7882"/>
    <n v="3941"/>
    <n v="82764"/>
    <n v="3941"/>
    <n v="90646"/>
  </r>
  <r>
    <n v="2322"/>
    <x v="1"/>
    <s v="Male"/>
    <n v="27"/>
    <s v="Chennai"/>
    <x v="3"/>
    <n v="42994"/>
    <d v="2023-09-18T00:00:00"/>
    <n v="17"/>
    <n v="3"/>
    <n v="4299"/>
    <n v="2150"/>
    <n v="45143"/>
    <n v="2150"/>
    <n v="49443"/>
  </r>
  <r>
    <n v="2323"/>
    <x v="3"/>
    <s v="Female"/>
    <n v="49"/>
    <s v="Mumbai"/>
    <x v="0"/>
    <n v="91386"/>
    <d v="2022-03-18T00:00:00"/>
    <n v="7"/>
    <n v="5"/>
    <n v="9139"/>
    <n v="4569"/>
    <n v="95956"/>
    <n v="4569"/>
    <n v="105094"/>
  </r>
  <r>
    <n v="2324"/>
    <x v="5"/>
    <s v="Male"/>
    <n v="56"/>
    <s v="Chennai"/>
    <x v="2"/>
    <n v="98339"/>
    <d v="2023-09-17T00:00:00"/>
    <n v="6"/>
    <n v="2"/>
    <n v="9834"/>
    <n v="4917"/>
    <n v="103256"/>
    <n v="4917"/>
    <n v="113090"/>
  </r>
  <r>
    <n v="2325"/>
    <x v="2"/>
    <s v="Female"/>
    <n v="48"/>
    <s v="Hyderabad"/>
    <x v="1"/>
    <n v="59966"/>
    <d v="2023-04-27T00:00:00"/>
    <n v="11"/>
    <n v="5"/>
    <n v="5997"/>
    <n v="2998"/>
    <n v="62965"/>
    <n v="2998"/>
    <n v="68961"/>
  </r>
  <r>
    <n v="2326"/>
    <x v="3"/>
    <s v="Male"/>
    <n v="27"/>
    <s v="Mumbai"/>
    <x v="0"/>
    <n v="27957"/>
    <d v="2023-04-08T00:00:00"/>
    <n v="1"/>
    <n v="5"/>
    <n v="2796"/>
    <n v="1398"/>
    <n v="29355"/>
    <n v="0"/>
    <n v="30753"/>
  </r>
  <r>
    <n v="2327"/>
    <x v="8"/>
    <s v="Male"/>
    <n v="22"/>
    <s v="Delhi"/>
    <x v="1"/>
    <n v="26750"/>
    <d v="2023-05-02T00:00:00"/>
    <n v="9"/>
    <n v="4"/>
    <n v="2675"/>
    <n v="1338"/>
    <n v="28087"/>
    <n v="1338"/>
    <n v="30763"/>
  </r>
  <r>
    <n v="2328"/>
    <x v="6"/>
    <s v="Female"/>
    <n v="49"/>
    <s v="Delhi"/>
    <x v="2"/>
    <n v="43648"/>
    <d v="2022-12-10T00:00:00"/>
    <n v="12"/>
    <n v="2"/>
    <n v="4365"/>
    <n v="2182"/>
    <n v="45831"/>
    <n v="2182"/>
    <n v="50195"/>
  </r>
  <r>
    <n v="2329"/>
    <x v="2"/>
    <s v="Male"/>
    <n v="40"/>
    <s v="Mumbai"/>
    <x v="3"/>
    <n v="95230"/>
    <d v="2023-08-03T00:00:00"/>
    <n v="9"/>
    <n v="3"/>
    <n v="9523"/>
    <n v="4762"/>
    <n v="99991"/>
    <n v="4762"/>
    <n v="109515"/>
  </r>
  <r>
    <n v="2330"/>
    <x v="7"/>
    <s v="Female"/>
    <n v="49"/>
    <s v="Bangalore"/>
    <x v="1"/>
    <n v="30846"/>
    <d v="2022-08-17T00:00:00"/>
    <n v="10"/>
    <n v="2"/>
    <n v="3085"/>
    <n v="1542"/>
    <n v="32389"/>
    <n v="1542"/>
    <n v="35473"/>
  </r>
  <r>
    <n v="2331"/>
    <x v="9"/>
    <s v="Female"/>
    <n v="54"/>
    <s v="Mumbai"/>
    <x v="0"/>
    <n v="70724"/>
    <d v="2022-08-01T00:00:00"/>
    <n v="15"/>
    <n v="5"/>
    <n v="7072"/>
    <n v="3536"/>
    <n v="74260"/>
    <n v="3536"/>
    <n v="81332"/>
  </r>
  <r>
    <n v="2332"/>
    <x v="2"/>
    <s v="Female"/>
    <n v="24"/>
    <s v="Mumbai"/>
    <x v="2"/>
    <n v="73073"/>
    <d v="2022-06-30T00:00:00"/>
    <n v="8"/>
    <n v="3"/>
    <n v="7307"/>
    <n v="3654"/>
    <n v="76726"/>
    <n v="3654"/>
    <n v="84034"/>
  </r>
  <r>
    <n v="2333"/>
    <x v="2"/>
    <s v="Female"/>
    <n v="33"/>
    <s v="Chennai"/>
    <x v="1"/>
    <n v="78629"/>
    <d v="2024-03-30T00:00:00"/>
    <n v="12"/>
    <n v="3"/>
    <n v="7863"/>
    <n v="3931"/>
    <n v="82561"/>
    <n v="3931"/>
    <n v="90423"/>
  </r>
  <r>
    <n v="2334"/>
    <x v="5"/>
    <s v="Male"/>
    <n v="22"/>
    <s v="Chennai"/>
    <x v="0"/>
    <n v="43384"/>
    <d v="2022-10-20T00:00:00"/>
    <n v="20"/>
    <n v="1"/>
    <n v="4338"/>
    <n v="2169"/>
    <n v="45553"/>
    <n v="2169"/>
    <n v="49891"/>
  </r>
  <r>
    <n v="2335"/>
    <x v="1"/>
    <s v="Male"/>
    <n v="21"/>
    <s v="Delhi"/>
    <x v="3"/>
    <n v="97416"/>
    <d v="2023-10-13T00:00:00"/>
    <n v="5"/>
    <n v="1"/>
    <n v="9742"/>
    <n v="4871"/>
    <n v="102287"/>
    <n v="0"/>
    <n v="107158"/>
  </r>
  <r>
    <n v="2336"/>
    <x v="2"/>
    <s v="Male"/>
    <n v="48"/>
    <s v="Delhi"/>
    <x v="3"/>
    <n v="82325"/>
    <d v="2024-08-11T00:00:00"/>
    <n v="15"/>
    <n v="2"/>
    <n v="8232"/>
    <n v="4116"/>
    <n v="86441"/>
    <n v="4116"/>
    <n v="94673"/>
  </r>
  <r>
    <n v="2337"/>
    <x v="8"/>
    <s v="Female"/>
    <n v="25"/>
    <s v="Delhi"/>
    <x v="4"/>
    <n v="59595"/>
    <d v="2022-12-31T00:00:00"/>
    <n v="9"/>
    <n v="3"/>
    <n v="5960"/>
    <n v="2980"/>
    <n v="62575"/>
    <n v="2980"/>
    <n v="68535"/>
  </r>
  <r>
    <n v="2338"/>
    <x v="2"/>
    <s v="Female"/>
    <n v="53"/>
    <s v="Bangalore"/>
    <x v="3"/>
    <n v="22245"/>
    <d v="2024-09-07T00:00:00"/>
    <n v="17"/>
    <n v="4"/>
    <n v="2224"/>
    <n v="1112"/>
    <n v="23357"/>
    <n v="1112"/>
    <n v="25581"/>
  </r>
  <r>
    <n v="2339"/>
    <x v="0"/>
    <s v="Female"/>
    <n v="38"/>
    <s v="Mumbai"/>
    <x v="4"/>
    <n v="52909"/>
    <d v="2023-08-07T00:00:00"/>
    <n v="2"/>
    <n v="5"/>
    <n v="5291"/>
    <n v="2645"/>
    <n v="55555"/>
    <n v="0"/>
    <n v="58200"/>
  </r>
  <r>
    <n v="2340"/>
    <x v="2"/>
    <s v="Female"/>
    <n v="24"/>
    <s v="Chennai"/>
    <x v="2"/>
    <n v="85033"/>
    <d v="2022-11-13T00:00:00"/>
    <n v="14"/>
    <n v="2"/>
    <n v="8503"/>
    <n v="4252"/>
    <n v="89284"/>
    <n v="4252"/>
    <n v="97788"/>
  </r>
  <r>
    <n v="2341"/>
    <x v="7"/>
    <s v="Female"/>
    <n v="48"/>
    <s v="Delhi"/>
    <x v="2"/>
    <n v="29300"/>
    <d v="2023-12-11T00:00:00"/>
    <n v="17"/>
    <n v="1"/>
    <n v="2930"/>
    <n v="1465"/>
    <n v="30765"/>
    <n v="1465"/>
    <n v="33695"/>
  </r>
  <r>
    <n v="2342"/>
    <x v="2"/>
    <s v="Male"/>
    <n v="52"/>
    <s v="Delhi"/>
    <x v="2"/>
    <n v="96499"/>
    <d v="2023-01-20T00:00:00"/>
    <n v="11"/>
    <n v="1"/>
    <n v="9650"/>
    <n v="4825"/>
    <n v="101324"/>
    <n v="4825"/>
    <n v="110974"/>
  </r>
  <r>
    <n v="2343"/>
    <x v="0"/>
    <s v="Male"/>
    <n v="34"/>
    <s v="Bangalore"/>
    <x v="4"/>
    <n v="59510"/>
    <d v="2022-05-14T00:00:00"/>
    <n v="9"/>
    <n v="3"/>
    <n v="5951"/>
    <n v="2976"/>
    <n v="62485"/>
    <n v="2976"/>
    <n v="68437"/>
  </r>
  <r>
    <n v="2344"/>
    <x v="0"/>
    <s v="Female"/>
    <n v="39"/>
    <s v="Delhi"/>
    <x v="2"/>
    <n v="64638"/>
    <d v="2024-06-10T00:00:00"/>
    <n v="4"/>
    <n v="3"/>
    <n v="6464"/>
    <n v="3232"/>
    <n v="67870"/>
    <n v="0"/>
    <n v="71102"/>
  </r>
  <r>
    <n v="2345"/>
    <x v="3"/>
    <s v="Female"/>
    <n v="60"/>
    <s v="Chennai"/>
    <x v="0"/>
    <n v="75719"/>
    <d v="2023-11-14T00:00:00"/>
    <n v="17"/>
    <n v="5"/>
    <n v="7572"/>
    <n v="3786"/>
    <n v="79505"/>
    <n v="3786"/>
    <n v="87077"/>
  </r>
  <r>
    <n v="2346"/>
    <x v="7"/>
    <s v="Female"/>
    <n v="48"/>
    <s v="Delhi"/>
    <x v="2"/>
    <n v="49164"/>
    <d v="2022-08-26T00:00:00"/>
    <n v="9"/>
    <n v="4"/>
    <n v="4916"/>
    <n v="2458"/>
    <n v="51622"/>
    <n v="2458"/>
    <n v="56538"/>
  </r>
  <r>
    <n v="2347"/>
    <x v="0"/>
    <s v="Female"/>
    <n v="42"/>
    <s v="Hyderabad"/>
    <x v="4"/>
    <n v="53307"/>
    <d v="2023-10-09T00:00:00"/>
    <n v="13"/>
    <n v="5"/>
    <n v="5331"/>
    <n v="2665"/>
    <n v="55973"/>
    <n v="2665"/>
    <n v="61303"/>
  </r>
  <r>
    <n v="2348"/>
    <x v="1"/>
    <s v="Male"/>
    <n v="38"/>
    <s v="Delhi"/>
    <x v="0"/>
    <n v="48811"/>
    <d v="2023-12-05T00:00:00"/>
    <n v="6"/>
    <n v="5"/>
    <n v="4881"/>
    <n v="2441"/>
    <n v="51251"/>
    <n v="2441"/>
    <n v="56133"/>
  </r>
  <r>
    <n v="2349"/>
    <x v="0"/>
    <s v="Male"/>
    <n v="49"/>
    <s v="Mumbai"/>
    <x v="4"/>
    <n v="77395"/>
    <d v="2023-02-09T00:00:00"/>
    <n v="7"/>
    <n v="2"/>
    <n v="7740"/>
    <n v="3870"/>
    <n v="81265"/>
    <n v="3870"/>
    <n v="89005"/>
  </r>
  <r>
    <n v="2350"/>
    <x v="7"/>
    <s v="Male"/>
    <n v="24"/>
    <s v="Delhi"/>
    <x v="0"/>
    <n v="79293"/>
    <d v="2023-11-16T00:00:00"/>
    <n v="16"/>
    <n v="1"/>
    <n v="7929"/>
    <n v="3965"/>
    <n v="83257"/>
    <n v="3965"/>
    <n v="91187"/>
  </r>
  <r>
    <n v="2351"/>
    <x v="2"/>
    <s v="Male"/>
    <n v="39"/>
    <s v="Chennai"/>
    <x v="0"/>
    <n v="31154"/>
    <d v="2023-02-12T00:00:00"/>
    <n v="17"/>
    <n v="4"/>
    <n v="3115"/>
    <n v="1558"/>
    <n v="32711"/>
    <n v="1558"/>
    <n v="35827"/>
  </r>
  <r>
    <n v="2352"/>
    <x v="4"/>
    <s v="Male"/>
    <n v="30"/>
    <s v="Delhi"/>
    <x v="4"/>
    <n v="96790"/>
    <d v="2022-11-05T00:00:00"/>
    <n v="18"/>
    <n v="5"/>
    <n v="9679"/>
    <n v="4840"/>
    <n v="101629"/>
    <n v="4840"/>
    <n v="111309"/>
  </r>
  <r>
    <n v="2353"/>
    <x v="8"/>
    <s v="Male"/>
    <n v="44"/>
    <s v="Delhi"/>
    <x v="3"/>
    <n v="85454"/>
    <d v="2024-04-29T00:00:00"/>
    <n v="13"/>
    <n v="4"/>
    <n v="8545"/>
    <n v="4273"/>
    <n v="89726"/>
    <n v="4273"/>
    <n v="98272"/>
  </r>
  <r>
    <n v="2354"/>
    <x v="0"/>
    <s v="Female"/>
    <n v="22"/>
    <s v="Bangalore"/>
    <x v="0"/>
    <n v="75011"/>
    <d v="2023-07-31T00:00:00"/>
    <n v="12"/>
    <n v="4"/>
    <n v="7501"/>
    <n v="3751"/>
    <n v="78761"/>
    <n v="3751"/>
    <n v="86263"/>
  </r>
  <r>
    <n v="2355"/>
    <x v="6"/>
    <s v="Female"/>
    <n v="34"/>
    <s v="Mumbai"/>
    <x v="0"/>
    <n v="49825"/>
    <d v="2022-02-14T00:00:00"/>
    <n v="17"/>
    <n v="1"/>
    <n v="4982"/>
    <n v="2491"/>
    <n v="52316"/>
    <n v="2491"/>
    <n v="57298"/>
  </r>
  <r>
    <n v="2356"/>
    <x v="7"/>
    <s v="Male"/>
    <n v="25"/>
    <s v="Chennai"/>
    <x v="2"/>
    <n v="99005"/>
    <d v="2024-05-04T00:00:00"/>
    <n v="1"/>
    <n v="3"/>
    <n v="9900"/>
    <n v="4950"/>
    <n v="103955"/>
    <n v="0"/>
    <n v="108905"/>
  </r>
  <r>
    <n v="2357"/>
    <x v="8"/>
    <s v="Male"/>
    <n v="24"/>
    <s v="Hyderabad"/>
    <x v="1"/>
    <n v="70345"/>
    <d v="2022-06-23T00:00:00"/>
    <n v="19"/>
    <n v="1"/>
    <n v="7034"/>
    <n v="3517"/>
    <n v="73862"/>
    <n v="3517"/>
    <n v="80896"/>
  </r>
  <r>
    <n v="2358"/>
    <x v="8"/>
    <s v="Male"/>
    <n v="25"/>
    <s v="Mumbai"/>
    <x v="1"/>
    <n v="35567"/>
    <d v="2024-06-13T00:00:00"/>
    <n v="13"/>
    <n v="5"/>
    <n v="3557"/>
    <n v="1778"/>
    <n v="37346"/>
    <n v="1778"/>
    <n v="40902"/>
  </r>
  <r>
    <n v="2359"/>
    <x v="4"/>
    <s v="Female"/>
    <n v="24"/>
    <s v="Delhi"/>
    <x v="4"/>
    <n v="22768"/>
    <d v="2022-11-26T00:00:00"/>
    <n v="7"/>
    <n v="5"/>
    <n v="2277"/>
    <n v="1138"/>
    <n v="23907"/>
    <n v="1138"/>
    <n v="26183"/>
  </r>
  <r>
    <n v="2360"/>
    <x v="6"/>
    <s v="Male"/>
    <n v="33"/>
    <s v="Hyderabad"/>
    <x v="0"/>
    <n v="70516"/>
    <d v="2023-04-03T00:00:00"/>
    <n v="7"/>
    <n v="4"/>
    <n v="7052"/>
    <n v="3526"/>
    <n v="74042"/>
    <n v="3526"/>
    <n v="81094"/>
  </r>
  <r>
    <n v="2361"/>
    <x v="6"/>
    <s v="Male"/>
    <n v="36"/>
    <s v="Chennai"/>
    <x v="4"/>
    <n v="59074"/>
    <d v="2022-03-09T00:00:00"/>
    <n v="1"/>
    <n v="4"/>
    <n v="5907"/>
    <n v="2954"/>
    <n v="62027"/>
    <n v="0"/>
    <n v="64981"/>
  </r>
  <r>
    <n v="2362"/>
    <x v="9"/>
    <s v="Female"/>
    <n v="21"/>
    <s v="Mumbai"/>
    <x v="2"/>
    <n v="38203"/>
    <d v="2023-06-15T00:00:00"/>
    <n v="7"/>
    <n v="5"/>
    <n v="3820"/>
    <n v="1910"/>
    <n v="40113"/>
    <n v="1910"/>
    <n v="43933"/>
  </r>
  <r>
    <n v="2363"/>
    <x v="2"/>
    <s v="Female"/>
    <n v="29"/>
    <s v="Bangalore"/>
    <x v="3"/>
    <n v="79781"/>
    <d v="2022-05-07T00:00:00"/>
    <n v="3"/>
    <n v="4"/>
    <n v="7978"/>
    <n v="3989"/>
    <n v="83770"/>
    <n v="0"/>
    <n v="87759"/>
  </r>
  <r>
    <n v="2364"/>
    <x v="2"/>
    <s v="Male"/>
    <n v="39"/>
    <s v="Chennai"/>
    <x v="2"/>
    <n v="76322"/>
    <d v="2024-02-02T00:00:00"/>
    <n v="14"/>
    <n v="4"/>
    <n v="7632"/>
    <n v="3816"/>
    <n v="80138"/>
    <n v="3816"/>
    <n v="87770"/>
  </r>
  <r>
    <n v="2365"/>
    <x v="1"/>
    <s v="Female"/>
    <n v="25"/>
    <s v="Delhi"/>
    <x v="0"/>
    <n v="99165"/>
    <d v="2023-04-28T00:00:00"/>
    <n v="3"/>
    <n v="2"/>
    <n v="9916"/>
    <n v="4958"/>
    <n v="104123"/>
    <n v="0"/>
    <n v="109081"/>
  </r>
  <r>
    <n v="2366"/>
    <x v="9"/>
    <s v="Male"/>
    <n v="45"/>
    <s v="Delhi"/>
    <x v="3"/>
    <n v="36244"/>
    <d v="2023-12-19T00:00:00"/>
    <n v="4"/>
    <n v="4"/>
    <n v="3624"/>
    <n v="1812"/>
    <n v="38056"/>
    <n v="0"/>
    <n v="39868"/>
  </r>
  <r>
    <n v="2367"/>
    <x v="4"/>
    <s v="Male"/>
    <n v="25"/>
    <s v="Delhi"/>
    <x v="1"/>
    <n v="55067"/>
    <d v="2023-05-20T00:00:00"/>
    <n v="12"/>
    <n v="2"/>
    <n v="5507"/>
    <n v="2753"/>
    <n v="57821"/>
    <n v="2753"/>
    <n v="63327"/>
  </r>
  <r>
    <n v="2368"/>
    <x v="0"/>
    <s v="Female"/>
    <n v="44"/>
    <s v="Hyderabad"/>
    <x v="3"/>
    <n v="39549"/>
    <d v="2022-01-12T00:00:00"/>
    <n v="5"/>
    <n v="1"/>
    <n v="3955"/>
    <n v="1977"/>
    <n v="41527"/>
    <n v="0"/>
    <n v="43504"/>
  </r>
  <r>
    <n v="2369"/>
    <x v="4"/>
    <s v="Female"/>
    <n v="27"/>
    <s v="Chennai"/>
    <x v="0"/>
    <n v="49135"/>
    <d v="2024-02-01T00:00:00"/>
    <n v="16"/>
    <n v="2"/>
    <n v="4914"/>
    <n v="2457"/>
    <n v="51592"/>
    <n v="2457"/>
    <n v="56506"/>
  </r>
  <r>
    <n v="2370"/>
    <x v="4"/>
    <s v="Female"/>
    <n v="33"/>
    <s v="Delhi"/>
    <x v="1"/>
    <n v="38759"/>
    <d v="2023-07-06T00:00:00"/>
    <n v="7"/>
    <n v="4"/>
    <n v="3876"/>
    <n v="1938"/>
    <n v="40697"/>
    <n v="1938"/>
    <n v="44573"/>
  </r>
  <r>
    <n v="2371"/>
    <x v="2"/>
    <s v="Female"/>
    <n v="42"/>
    <s v="Chennai"/>
    <x v="1"/>
    <n v="51612"/>
    <d v="2024-05-16T00:00:00"/>
    <n v="12"/>
    <n v="2"/>
    <n v="5161"/>
    <n v="2581"/>
    <n v="54192"/>
    <n v="2581"/>
    <n v="59354"/>
  </r>
  <r>
    <n v="2372"/>
    <x v="6"/>
    <s v="Female"/>
    <n v="56"/>
    <s v="Mumbai"/>
    <x v="0"/>
    <n v="37429"/>
    <d v="2022-04-07T00:00:00"/>
    <n v="15"/>
    <n v="3"/>
    <n v="3743"/>
    <n v="1871"/>
    <n v="39301"/>
    <n v="1871"/>
    <n v="43043"/>
  </r>
  <r>
    <n v="2373"/>
    <x v="1"/>
    <s v="Female"/>
    <n v="31"/>
    <s v="Chennai"/>
    <x v="2"/>
    <n v="85024"/>
    <d v="2024-02-07T00:00:00"/>
    <n v="13"/>
    <n v="4"/>
    <n v="8502"/>
    <n v="4251"/>
    <n v="89275"/>
    <n v="4251"/>
    <n v="97777"/>
  </r>
  <r>
    <n v="2374"/>
    <x v="2"/>
    <s v="Female"/>
    <n v="42"/>
    <s v="Delhi"/>
    <x v="1"/>
    <n v="48580"/>
    <d v="2023-11-22T00:00:00"/>
    <n v="10"/>
    <n v="5"/>
    <n v="4858"/>
    <n v="2429"/>
    <n v="51009"/>
    <n v="2429"/>
    <n v="55867"/>
  </r>
  <r>
    <n v="2375"/>
    <x v="1"/>
    <s v="Male"/>
    <n v="55"/>
    <s v="Bangalore"/>
    <x v="0"/>
    <n v="85981"/>
    <d v="2024-06-02T00:00:00"/>
    <n v="8"/>
    <n v="1"/>
    <n v="8598"/>
    <n v="4299"/>
    <n v="90280"/>
    <n v="4299"/>
    <n v="98878"/>
  </r>
  <r>
    <n v="2376"/>
    <x v="4"/>
    <s v="Male"/>
    <n v="30"/>
    <s v="Delhi"/>
    <x v="0"/>
    <n v="24458"/>
    <d v="2024-07-26T00:00:00"/>
    <n v="4"/>
    <n v="1"/>
    <n v="2446"/>
    <n v="1223"/>
    <n v="25681"/>
    <n v="0"/>
    <n v="26904"/>
  </r>
  <r>
    <n v="2377"/>
    <x v="3"/>
    <s v="Female"/>
    <n v="29"/>
    <s v="Hyderabad"/>
    <x v="3"/>
    <n v="74584"/>
    <d v="2023-10-30T00:00:00"/>
    <n v="9"/>
    <n v="1"/>
    <n v="7458"/>
    <n v="3729"/>
    <n v="78313"/>
    <n v="3729"/>
    <n v="85771"/>
  </r>
  <r>
    <n v="2378"/>
    <x v="5"/>
    <s v="Male"/>
    <n v="35"/>
    <s v="Chennai"/>
    <x v="1"/>
    <n v="61774"/>
    <d v="2024-06-11T00:00:00"/>
    <n v="4"/>
    <n v="5"/>
    <n v="6177"/>
    <n v="3089"/>
    <n v="64862"/>
    <n v="0"/>
    <n v="67951"/>
  </r>
  <r>
    <n v="2379"/>
    <x v="4"/>
    <s v="Male"/>
    <n v="21"/>
    <s v="Delhi"/>
    <x v="0"/>
    <n v="66939"/>
    <d v="2023-08-05T00:00:00"/>
    <n v="14"/>
    <n v="3"/>
    <n v="6694"/>
    <n v="3347"/>
    <n v="70286"/>
    <n v="3347"/>
    <n v="76980"/>
  </r>
  <r>
    <n v="2380"/>
    <x v="4"/>
    <s v="Female"/>
    <n v="42"/>
    <s v="Mumbai"/>
    <x v="3"/>
    <n v="76398"/>
    <d v="2023-01-03T00:00:00"/>
    <n v="2"/>
    <n v="2"/>
    <n v="7640"/>
    <n v="3820"/>
    <n v="80218"/>
    <n v="0"/>
    <n v="84038"/>
  </r>
  <r>
    <n v="2381"/>
    <x v="7"/>
    <s v="Female"/>
    <n v="25"/>
    <s v="Bangalore"/>
    <x v="2"/>
    <n v="38544"/>
    <d v="2023-08-11T00:00:00"/>
    <n v="5"/>
    <n v="2"/>
    <n v="3854"/>
    <n v="1927"/>
    <n v="40471"/>
    <n v="0"/>
    <n v="42398"/>
  </r>
  <r>
    <n v="2382"/>
    <x v="4"/>
    <s v="Female"/>
    <n v="27"/>
    <s v="Delhi"/>
    <x v="4"/>
    <n v="38511"/>
    <d v="2023-04-30T00:00:00"/>
    <n v="19"/>
    <n v="1"/>
    <n v="3851"/>
    <n v="1926"/>
    <n v="40436"/>
    <n v="1926"/>
    <n v="44288"/>
  </r>
  <r>
    <n v="2383"/>
    <x v="2"/>
    <s v="Female"/>
    <n v="50"/>
    <s v="Bangalore"/>
    <x v="1"/>
    <n v="57625"/>
    <d v="2023-06-01T00:00:00"/>
    <n v="18"/>
    <n v="5"/>
    <n v="5762"/>
    <n v="2881"/>
    <n v="60506"/>
    <n v="2881"/>
    <n v="66268"/>
  </r>
  <r>
    <n v="2384"/>
    <x v="0"/>
    <s v="Female"/>
    <n v="41"/>
    <s v="Mumbai"/>
    <x v="0"/>
    <n v="34014"/>
    <d v="2023-01-18T00:00:00"/>
    <n v="6"/>
    <n v="1"/>
    <n v="3401"/>
    <n v="1701"/>
    <n v="35714"/>
    <n v="1701"/>
    <n v="39116"/>
  </r>
  <r>
    <n v="2385"/>
    <x v="7"/>
    <s v="Male"/>
    <n v="46"/>
    <s v="Hyderabad"/>
    <x v="2"/>
    <n v="21903"/>
    <d v="2023-08-08T00:00:00"/>
    <n v="12"/>
    <n v="3"/>
    <n v="2190"/>
    <n v="1095"/>
    <n v="22998"/>
    <n v="1095"/>
    <n v="25188"/>
  </r>
  <r>
    <n v="2386"/>
    <x v="2"/>
    <s v="Female"/>
    <n v="23"/>
    <s v="Mumbai"/>
    <x v="0"/>
    <n v="34297"/>
    <d v="2022-04-03T00:00:00"/>
    <n v="17"/>
    <n v="4"/>
    <n v="3430"/>
    <n v="1715"/>
    <n v="36012"/>
    <n v="1715"/>
    <n v="39442"/>
  </r>
  <r>
    <n v="2387"/>
    <x v="9"/>
    <s v="Male"/>
    <n v="60"/>
    <s v="Chennai"/>
    <x v="1"/>
    <n v="66625"/>
    <d v="2023-02-09T00:00:00"/>
    <n v="8"/>
    <n v="4"/>
    <n v="6662"/>
    <n v="3331"/>
    <n v="69956"/>
    <n v="3331"/>
    <n v="76618"/>
  </r>
  <r>
    <n v="2388"/>
    <x v="2"/>
    <s v="Female"/>
    <n v="31"/>
    <s v="Hyderabad"/>
    <x v="3"/>
    <n v="72730"/>
    <d v="2024-03-24T00:00:00"/>
    <n v="13"/>
    <n v="2"/>
    <n v="7273"/>
    <n v="3636"/>
    <n v="76367"/>
    <n v="3636"/>
    <n v="83639"/>
  </r>
  <r>
    <n v="2389"/>
    <x v="7"/>
    <s v="Male"/>
    <n v="56"/>
    <s v="Mumbai"/>
    <x v="0"/>
    <n v="40232"/>
    <d v="2023-02-22T00:00:00"/>
    <n v="16"/>
    <n v="1"/>
    <n v="4023"/>
    <n v="2012"/>
    <n v="42243"/>
    <n v="2012"/>
    <n v="46267"/>
  </r>
  <r>
    <n v="2390"/>
    <x v="1"/>
    <s v="Male"/>
    <n v="26"/>
    <s v="Delhi"/>
    <x v="3"/>
    <n v="49168"/>
    <d v="2023-04-30T00:00:00"/>
    <n v="9"/>
    <n v="5"/>
    <n v="4917"/>
    <n v="2458"/>
    <n v="51627"/>
    <n v="2458"/>
    <n v="56543"/>
  </r>
  <r>
    <n v="2391"/>
    <x v="3"/>
    <s v="Male"/>
    <n v="35"/>
    <s v="Chennai"/>
    <x v="3"/>
    <n v="61400"/>
    <d v="2024-05-30T00:00:00"/>
    <n v="4"/>
    <n v="3"/>
    <n v="6140"/>
    <n v="3070"/>
    <n v="64470"/>
    <n v="0"/>
    <n v="67540"/>
  </r>
  <r>
    <n v="2392"/>
    <x v="2"/>
    <s v="Female"/>
    <n v="59"/>
    <s v="Hyderabad"/>
    <x v="3"/>
    <n v="61914"/>
    <d v="2022-12-16T00:00:00"/>
    <n v="10"/>
    <n v="2"/>
    <n v="6191"/>
    <n v="3096"/>
    <n v="65009"/>
    <n v="3096"/>
    <n v="71201"/>
  </r>
  <r>
    <n v="2393"/>
    <x v="7"/>
    <s v="Female"/>
    <n v="23"/>
    <s v="Bangalore"/>
    <x v="4"/>
    <n v="40281"/>
    <d v="2024-07-14T00:00:00"/>
    <n v="9"/>
    <n v="1"/>
    <n v="4028"/>
    <n v="2014"/>
    <n v="42295"/>
    <n v="2014"/>
    <n v="46323"/>
  </r>
  <r>
    <n v="2394"/>
    <x v="2"/>
    <s v="Male"/>
    <n v="51"/>
    <s v="Bangalore"/>
    <x v="0"/>
    <n v="68820"/>
    <d v="2022-10-20T00:00:00"/>
    <n v="10"/>
    <n v="1"/>
    <n v="6882"/>
    <n v="3441"/>
    <n v="72261"/>
    <n v="3441"/>
    <n v="79143"/>
  </r>
  <r>
    <n v="2395"/>
    <x v="5"/>
    <s v="Male"/>
    <n v="44"/>
    <s v="Bangalore"/>
    <x v="0"/>
    <n v="81395"/>
    <d v="2023-01-08T00:00:00"/>
    <n v="10"/>
    <n v="1"/>
    <n v="8140"/>
    <n v="4070"/>
    <n v="85465"/>
    <n v="4070"/>
    <n v="93605"/>
  </r>
  <r>
    <n v="2396"/>
    <x v="4"/>
    <s v="Male"/>
    <n v="49"/>
    <s v="Bangalore"/>
    <x v="4"/>
    <n v="90089"/>
    <d v="2024-06-29T00:00:00"/>
    <n v="6"/>
    <n v="4"/>
    <n v="9009"/>
    <n v="4504"/>
    <n v="94594"/>
    <n v="4504"/>
    <n v="103602"/>
  </r>
  <r>
    <n v="2397"/>
    <x v="7"/>
    <s v="Female"/>
    <n v="55"/>
    <s v="Hyderabad"/>
    <x v="1"/>
    <n v="75206"/>
    <d v="2023-12-18T00:00:00"/>
    <n v="7"/>
    <n v="2"/>
    <n v="7521"/>
    <n v="3760"/>
    <n v="78967"/>
    <n v="3760"/>
    <n v="86487"/>
  </r>
  <r>
    <n v="2398"/>
    <x v="1"/>
    <s v="Female"/>
    <n v="40"/>
    <s v="Bangalore"/>
    <x v="0"/>
    <n v="53390"/>
    <d v="2022-11-23T00:00:00"/>
    <n v="17"/>
    <n v="2"/>
    <n v="5339"/>
    <n v="2670"/>
    <n v="56059"/>
    <n v="2670"/>
    <n v="61399"/>
  </r>
  <r>
    <n v="2399"/>
    <x v="4"/>
    <s v="Female"/>
    <n v="36"/>
    <s v="Hyderabad"/>
    <x v="4"/>
    <n v="37045"/>
    <d v="2024-07-19T00:00:00"/>
    <n v="16"/>
    <n v="5"/>
    <n v="3704"/>
    <n v="1852"/>
    <n v="38897"/>
    <n v="1852"/>
    <n v="42601"/>
  </r>
  <r>
    <n v="2400"/>
    <x v="7"/>
    <s v="Male"/>
    <n v="41"/>
    <s v="Hyderabad"/>
    <x v="3"/>
    <n v="65159"/>
    <d v="2022-03-01T00:00:00"/>
    <n v="1"/>
    <n v="1"/>
    <n v="6516"/>
    <n v="3258"/>
    <n v="68417"/>
    <n v="0"/>
    <n v="71675"/>
  </r>
  <r>
    <n v="2401"/>
    <x v="1"/>
    <s v="Male"/>
    <n v="57"/>
    <s v="Chennai"/>
    <x v="1"/>
    <n v="44983"/>
    <d v="2022-02-04T00:00:00"/>
    <n v="18"/>
    <n v="2"/>
    <n v="4498"/>
    <n v="2249"/>
    <n v="47232"/>
    <n v="2249"/>
    <n v="51730"/>
  </r>
  <r>
    <n v="2402"/>
    <x v="6"/>
    <s v="Female"/>
    <n v="41"/>
    <s v="Bangalore"/>
    <x v="1"/>
    <n v="86560"/>
    <d v="2022-01-21T00:00:00"/>
    <n v="12"/>
    <n v="2"/>
    <n v="8656"/>
    <n v="4328"/>
    <n v="90888"/>
    <n v="4328"/>
    <n v="99544"/>
  </r>
  <r>
    <n v="2403"/>
    <x v="3"/>
    <s v="Male"/>
    <n v="26"/>
    <s v="Bangalore"/>
    <x v="1"/>
    <n v="61167"/>
    <d v="2022-01-20T00:00:00"/>
    <n v="5"/>
    <n v="2"/>
    <n v="6117"/>
    <n v="3058"/>
    <n v="64226"/>
    <n v="0"/>
    <n v="67284"/>
  </r>
  <r>
    <n v="2404"/>
    <x v="6"/>
    <s v="Female"/>
    <n v="57"/>
    <s v="Delhi"/>
    <x v="2"/>
    <n v="39735"/>
    <d v="2024-04-17T00:00:00"/>
    <n v="14"/>
    <n v="5"/>
    <n v="3974"/>
    <n v="1987"/>
    <n v="41722"/>
    <n v="1987"/>
    <n v="45696"/>
  </r>
  <r>
    <n v="2405"/>
    <x v="1"/>
    <s v="Female"/>
    <n v="47"/>
    <s v="Mumbai"/>
    <x v="4"/>
    <n v="62869"/>
    <d v="2023-04-29T00:00:00"/>
    <n v="14"/>
    <n v="5"/>
    <n v="6287"/>
    <n v="3143"/>
    <n v="66013"/>
    <n v="3143"/>
    <n v="72299"/>
  </r>
  <r>
    <n v="2406"/>
    <x v="3"/>
    <s v="Female"/>
    <n v="35"/>
    <s v="Mumbai"/>
    <x v="1"/>
    <n v="96309"/>
    <d v="2023-10-18T00:00:00"/>
    <n v="14"/>
    <n v="3"/>
    <n v="9631"/>
    <n v="4815"/>
    <n v="101125"/>
    <n v="4815"/>
    <n v="110755"/>
  </r>
  <r>
    <n v="2407"/>
    <x v="5"/>
    <s v="Female"/>
    <n v="55"/>
    <s v="Bangalore"/>
    <x v="3"/>
    <n v="54916"/>
    <d v="2023-08-10T00:00:00"/>
    <n v="6"/>
    <n v="3"/>
    <n v="5492"/>
    <n v="2746"/>
    <n v="57662"/>
    <n v="2746"/>
    <n v="63154"/>
  </r>
  <r>
    <n v="2408"/>
    <x v="4"/>
    <s v="Male"/>
    <n v="54"/>
    <s v="Mumbai"/>
    <x v="2"/>
    <n v="37452"/>
    <d v="2022-08-30T00:00:00"/>
    <n v="4"/>
    <n v="2"/>
    <n v="3745"/>
    <n v="1873"/>
    <n v="39324"/>
    <n v="0"/>
    <n v="41197"/>
  </r>
  <r>
    <n v="2409"/>
    <x v="6"/>
    <s v="Female"/>
    <n v="50"/>
    <s v="Mumbai"/>
    <x v="1"/>
    <n v="35922"/>
    <d v="2022-09-23T00:00:00"/>
    <n v="18"/>
    <n v="5"/>
    <n v="3592"/>
    <n v="1796"/>
    <n v="37718"/>
    <n v="1796"/>
    <n v="41310"/>
  </r>
  <r>
    <n v="2410"/>
    <x v="6"/>
    <s v="Female"/>
    <n v="23"/>
    <s v="Chennai"/>
    <x v="3"/>
    <n v="71287"/>
    <d v="2022-02-15T00:00:00"/>
    <n v="12"/>
    <n v="3"/>
    <n v="7129"/>
    <n v="3564"/>
    <n v="74852"/>
    <n v="3564"/>
    <n v="81980"/>
  </r>
  <r>
    <n v="2411"/>
    <x v="2"/>
    <s v="Female"/>
    <n v="28"/>
    <s v="Chennai"/>
    <x v="0"/>
    <n v="54651"/>
    <d v="2022-10-08T00:00:00"/>
    <n v="7"/>
    <n v="1"/>
    <n v="5465"/>
    <n v="2733"/>
    <n v="57383"/>
    <n v="2733"/>
    <n v="62849"/>
  </r>
  <r>
    <n v="2412"/>
    <x v="7"/>
    <s v="Male"/>
    <n v="22"/>
    <s v="Chennai"/>
    <x v="2"/>
    <n v="26052"/>
    <d v="2023-02-24T00:00:00"/>
    <n v="2"/>
    <n v="3"/>
    <n v="2605"/>
    <n v="1303"/>
    <n v="27354"/>
    <n v="0"/>
    <n v="28657"/>
  </r>
  <r>
    <n v="2413"/>
    <x v="6"/>
    <s v="Female"/>
    <n v="35"/>
    <s v="Bangalore"/>
    <x v="1"/>
    <n v="94461"/>
    <d v="2024-06-23T00:00:00"/>
    <n v="3"/>
    <n v="5"/>
    <n v="9446"/>
    <n v="4723"/>
    <n v="99184"/>
    <n v="0"/>
    <n v="103907"/>
  </r>
  <r>
    <n v="2414"/>
    <x v="2"/>
    <s v="Female"/>
    <n v="59"/>
    <s v="Mumbai"/>
    <x v="1"/>
    <n v="58849"/>
    <d v="2022-03-21T00:00:00"/>
    <n v="15"/>
    <n v="5"/>
    <n v="5885"/>
    <n v="2942"/>
    <n v="61792"/>
    <n v="2942"/>
    <n v="67676"/>
  </r>
  <r>
    <n v="2415"/>
    <x v="2"/>
    <s v="Female"/>
    <n v="60"/>
    <s v="Chennai"/>
    <x v="2"/>
    <n v="93573"/>
    <d v="2024-03-08T00:00:00"/>
    <n v="9"/>
    <n v="5"/>
    <n v="9357"/>
    <n v="4679"/>
    <n v="98251"/>
    <n v="4679"/>
    <n v="107609"/>
  </r>
  <r>
    <n v="2416"/>
    <x v="4"/>
    <s v="Female"/>
    <n v="43"/>
    <s v="Bangalore"/>
    <x v="4"/>
    <n v="84473"/>
    <d v="2022-05-13T00:00:00"/>
    <n v="11"/>
    <n v="3"/>
    <n v="8447"/>
    <n v="4224"/>
    <n v="88696"/>
    <n v="4224"/>
    <n v="97144"/>
  </r>
  <r>
    <n v="2417"/>
    <x v="9"/>
    <s v="Male"/>
    <n v="38"/>
    <s v="Chennai"/>
    <x v="3"/>
    <n v="59101"/>
    <d v="2022-09-05T00:00:00"/>
    <n v="12"/>
    <n v="2"/>
    <n v="5910"/>
    <n v="2955"/>
    <n v="62056"/>
    <n v="2955"/>
    <n v="67966"/>
  </r>
  <r>
    <n v="2418"/>
    <x v="8"/>
    <s v="Female"/>
    <n v="51"/>
    <s v="Delhi"/>
    <x v="4"/>
    <n v="99305"/>
    <d v="2022-09-12T00:00:00"/>
    <n v="4"/>
    <n v="3"/>
    <n v="9930"/>
    <n v="4965"/>
    <n v="104270"/>
    <n v="0"/>
    <n v="109235"/>
  </r>
  <r>
    <n v="2419"/>
    <x v="2"/>
    <s v="Male"/>
    <n v="51"/>
    <s v="Delhi"/>
    <x v="2"/>
    <n v="26831"/>
    <d v="2022-06-10T00:00:00"/>
    <n v="4"/>
    <n v="3"/>
    <n v="2683"/>
    <n v="1342"/>
    <n v="28172"/>
    <n v="0"/>
    <n v="29514"/>
  </r>
  <r>
    <n v="2420"/>
    <x v="4"/>
    <s v="Male"/>
    <n v="32"/>
    <s v="Hyderabad"/>
    <x v="0"/>
    <n v="26861"/>
    <d v="2022-07-26T00:00:00"/>
    <n v="5"/>
    <n v="5"/>
    <n v="2686"/>
    <n v="1343"/>
    <n v="28204"/>
    <n v="0"/>
    <n v="29547"/>
  </r>
  <r>
    <n v="2421"/>
    <x v="6"/>
    <s v="Male"/>
    <n v="28"/>
    <s v="Bangalore"/>
    <x v="3"/>
    <n v="56999"/>
    <d v="2024-08-04T00:00:00"/>
    <n v="3"/>
    <n v="3"/>
    <n v="5700"/>
    <n v="2850"/>
    <n v="59849"/>
    <n v="0"/>
    <n v="62699"/>
  </r>
  <r>
    <n v="2422"/>
    <x v="0"/>
    <s v="Male"/>
    <n v="52"/>
    <s v="Mumbai"/>
    <x v="0"/>
    <n v="50234"/>
    <d v="2024-03-21T00:00:00"/>
    <n v="16"/>
    <n v="1"/>
    <n v="5023"/>
    <n v="2512"/>
    <n v="52745"/>
    <n v="2512"/>
    <n v="57769"/>
  </r>
  <r>
    <n v="2423"/>
    <x v="9"/>
    <s v="Female"/>
    <n v="25"/>
    <s v="Mumbai"/>
    <x v="2"/>
    <n v="22352"/>
    <d v="2022-12-09T00:00:00"/>
    <n v="4"/>
    <n v="3"/>
    <n v="2235"/>
    <n v="1118"/>
    <n v="23469"/>
    <n v="0"/>
    <n v="24587"/>
  </r>
  <r>
    <n v="2424"/>
    <x v="2"/>
    <s v="Male"/>
    <n v="23"/>
    <s v="Bangalore"/>
    <x v="0"/>
    <n v="52921"/>
    <d v="2024-08-09T00:00:00"/>
    <n v="15"/>
    <n v="1"/>
    <n v="5292"/>
    <n v="2646"/>
    <n v="55567"/>
    <n v="2646"/>
    <n v="60859"/>
  </r>
  <r>
    <n v="2425"/>
    <x v="9"/>
    <s v="Male"/>
    <n v="48"/>
    <s v="Bangalore"/>
    <x v="3"/>
    <n v="40804"/>
    <d v="2023-01-12T00:00:00"/>
    <n v="20"/>
    <n v="5"/>
    <n v="4080"/>
    <n v="2040"/>
    <n v="42844"/>
    <n v="2040"/>
    <n v="46924"/>
  </r>
  <r>
    <n v="2426"/>
    <x v="7"/>
    <s v="Female"/>
    <n v="37"/>
    <s v="Bangalore"/>
    <x v="0"/>
    <n v="69340"/>
    <d v="2023-09-01T00:00:00"/>
    <n v="6"/>
    <n v="1"/>
    <n v="6934"/>
    <n v="3467"/>
    <n v="72807"/>
    <n v="3467"/>
    <n v="79741"/>
  </r>
  <r>
    <n v="2427"/>
    <x v="2"/>
    <s v="Female"/>
    <n v="59"/>
    <s v="Hyderabad"/>
    <x v="0"/>
    <n v="30054"/>
    <d v="2024-07-14T00:00:00"/>
    <n v="8"/>
    <n v="5"/>
    <n v="3005"/>
    <n v="1503"/>
    <n v="31556"/>
    <n v="1503"/>
    <n v="34562"/>
  </r>
  <r>
    <n v="2428"/>
    <x v="1"/>
    <s v="Female"/>
    <n v="21"/>
    <s v="Chennai"/>
    <x v="3"/>
    <n v="75033"/>
    <d v="2022-05-18T00:00:00"/>
    <n v="14"/>
    <n v="1"/>
    <n v="7503"/>
    <n v="3752"/>
    <n v="78784"/>
    <n v="3752"/>
    <n v="86288"/>
  </r>
  <r>
    <n v="2429"/>
    <x v="6"/>
    <s v="Male"/>
    <n v="54"/>
    <s v="Chennai"/>
    <x v="4"/>
    <n v="74441"/>
    <d v="2024-09-22T00:00:00"/>
    <n v="5"/>
    <n v="2"/>
    <n v="7444"/>
    <n v="3722"/>
    <n v="78163"/>
    <n v="0"/>
    <n v="81885"/>
  </r>
  <r>
    <n v="2430"/>
    <x v="1"/>
    <s v="Male"/>
    <n v="32"/>
    <s v="Chennai"/>
    <x v="3"/>
    <n v="82651"/>
    <d v="2023-11-01T00:00:00"/>
    <n v="15"/>
    <n v="1"/>
    <n v="8265"/>
    <n v="4133"/>
    <n v="86783"/>
    <n v="4133"/>
    <n v="95049"/>
  </r>
  <r>
    <n v="2431"/>
    <x v="8"/>
    <s v="Female"/>
    <n v="25"/>
    <s v="Delhi"/>
    <x v="3"/>
    <n v="53305"/>
    <d v="2022-05-21T00:00:00"/>
    <n v="14"/>
    <n v="2"/>
    <n v="5330"/>
    <n v="2665"/>
    <n v="55970"/>
    <n v="2665"/>
    <n v="61300"/>
  </r>
  <r>
    <n v="2432"/>
    <x v="7"/>
    <s v="Female"/>
    <n v="45"/>
    <s v="Bangalore"/>
    <x v="3"/>
    <n v="25577"/>
    <d v="2024-04-26T00:00:00"/>
    <n v="7"/>
    <n v="3"/>
    <n v="2558"/>
    <n v="1279"/>
    <n v="26856"/>
    <n v="1279"/>
    <n v="29414"/>
  </r>
  <r>
    <n v="2433"/>
    <x v="5"/>
    <s v="Male"/>
    <n v="36"/>
    <s v="Delhi"/>
    <x v="2"/>
    <n v="68091"/>
    <d v="2022-10-28T00:00:00"/>
    <n v="17"/>
    <n v="1"/>
    <n v="6809"/>
    <n v="3405"/>
    <n v="71495"/>
    <n v="3405"/>
    <n v="78305"/>
  </r>
  <r>
    <n v="2434"/>
    <x v="3"/>
    <s v="Male"/>
    <n v="32"/>
    <s v="Hyderabad"/>
    <x v="1"/>
    <n v="54952"/>
    <d v="2023-08-21T00:00:00"/>
    <n v="2"/>
    <n v="2"/>
    <n v="5495"/>
    <n v="2748"/>
    <n v="57699"/>
    <n v="0"/>
    <n v="60447"/>
  </r>
  <r>
    <n v="2435"/>
    <x v="3"/>
    <s v="Female"/>
    <n v="53"/>
    <s v="Delhi"/>
    <x v="0"/>
    <n v="44783"/>
    <d v="2024-07-27T00:00:00"/>
    <n v="1"/>
    <n v="3"/>
    <n v="4478"/>
    <n v="2239"/>
    <n v="47022"/>
    <n v="0"/>
    <n v="49261"/>
  </r>
  <r>
    <n v="2436"/>
    <x v="8"/>
    <s v="Male"/>
    <n v="60"/>
    <s v="Mumbai"/>
    <x v="2"/>
    <n v="72089"/>
    <d v="2024-04-29T00:00:00"/>
    <n v="1"/>
    <n v="4"/>
    <n v="7209"/>
    <n v="3604"/>
    <n v="75694"/>
    <n v="0"/>
    <n v="79298"/>
  </r>
  <r>
    <n v="2437"/>
    <x v="0"/>
    <s v="Male"/>
    <n v="35"/>
    <s v="Chennai"/>
    <x v="1"/>
    <n v="45582"/>
    <d v="2023-12-29T00:00:00"/>
    <n v="11"/>
    <n v="4"/>
    <n v="4558"/>
    <n v="2279"/>
    <n v="47861"/>
    <n v="2279"/>
    <n v="52419"/>
  </r>
  <r>
    <n v="2438"/>
    <x v="6"/>
    <s v="Male"/>
    <n v="45"/>
    <s v="Bangalore"/>
    <x v="2"/>
    <n v="75891"/>
    <d v="2023-08-23T00:00:00"/>
    <n v="4"/>
    <n v="2"/>
    <n v="7589"/>
    <n v="3795"/>
    <n v="79685"/>
    <n v="0"/>
    <n v="83480"/>
  </r>
  <r>
    <n v="2439"/>
    <x v="2"/>
    <s v="Female"/>
    <n v="34"/>
    <s v="Chennai"/>
    <x v="1"/>
    <n v="34259"/>
    <d v="2022-12-08T00:00:00"/>
    <n v="11"/>
    <n v="3"/>
    <n v="3426"/>
    <n v="1713"/>
    <n v="35972"/>
    <n v="1713"/>
    <n v="39398"/>
  </r>
  <r>
    <n v="2440"/>
    <x v="3"/>
    <s v="Female"/>
    <n v="52"/>
    <s v="Hyderabad"/>
    <x v="0"/>
    <n v="25878"/>
    <d v="2024-03-08T00:00:00"/>
    <n v="11"/>
    <n v="4"/>
    <n v="2588"/>
    <n v="1294"/>
    <n v="27172"/>
    <n v="1294"/>
    <n v="29760"/>
  </r>
  <r>
    <n v="2441"/>
    <x v="0"/>
    <s v="Female"/>
    <n v="24"/>
    <s v="Hyderabad"/>
    <x v="1"/>
    <n v="43323"/>
    <d v="2024-03-19T00:00:00"/>
    <n v="3"/>
    <n v="1"/>
    <n v="4332"/>
    <n v="2166"/>
    <n v="45489"/>
    <n v="0"/>
    <n v="47655"/>
  </r>
  <r>
    <n v="2442"/>
    <x v="6"/>
    <s v="Male"/>
    <n v="50"/>
    <s v="Delhi"/>
    <x v="3"/>
    <n v="26574"/>
    <d v="2023-08-08T00:00:00"/>
    <n v="6"/>
    <n v="1"/>
    <n v="2657"/>
    <n v="1329"/>
    <n v="27902"/>
    <n v="1329"/>
    <n v="30560"/>
  </r>
  <r>
    <n v="2443"/>
    <x v="9"/>
    <s v="Male"/>
    <n v="36"/>
    <s v="Delhi"/>
    <x v="3"/>
    <n v="32207"/>
    <d v="2023-08-22T00:00:00"/>
    <n v="1"/>
    <n v="3"/>
    <n v="3221"/>
    <n v="1610"/>
    <n v="33818"/>
    <n v="0"/>
    <n v="35428"/>
  </r>
  <r>
    <n v="2444"/>
    <x v="0"/>
    <s v="Male"/>
    <n v="48"/>
    <s v="Mumbai"/>
    <x v="1"/>
    <n v="77213"/>
    <d v="2024-01-16T00:00:00"/>
    <n v="6"/>
    <n v="1"/>
    <n v="7721"/>
    <n v="3861"/>
    <n v="81073"/>
    <n v="3861"/>
    <n v="88795"/>
  </r>
  <r>
    <n v="2445"/>
    <x v="9"/>
    <s v="Female"/>
    <n v="39"/>
    <s v="Delhi"/>
    <x v="4"/>
    <n v="84923"/>
    <d v="2024-07-11T00:00:00"/>
    <n v="1"/>
    <n v="2"/>
    <n v="8492"/>
    <n v="4246"/>
    <n v="89169"/>
    <n v="0"/>
    <n v="93415"/>
  </r>
  <r>
    <n v="2446"/>
    <x v="1"/>
    <s v="Male"/>
    <n v="26"/>
    <s v="Hyderabad"/>
    <x v="1"/>
    <n v="45832"/>
    <d v="2024-02-19T00:00:00"/>
    <n v="16"/>
    <n v="1"/>
    <n v="4583"/>
    <n v="2292"/>
    <n v="48123"/>
    <n v="2292"/>
    <n v="52707"/>
  </r>
  <r>
    <n v="2447"/>
    <x v="5"/>
    <s v="Female"/>
    <n v="50"/>
    <s v="Chennai"/>
    <x v="1"/>
    <n v="62781"/>
    <d v="2022-09-29T00:00:00"/>
    <n v="15"/>
    <n v="2"/>
    <n v="6278"/>
    <n v="3139"/>
    <n v="65920"/>
    <n v="3139"/>
    <n v="72198"/>
  </r>
  <r>
    <n v="2448"/>
    <x v="3"/>
    <s v="Female"/>
    <n v="32"/>
    <s v="Chennai"/>
    <x v="2"/>
    <n v="54996"/>
    <d v="2022-03-12T00:00:00"/>
    <n v="12"/>
    <n v="4"/>
    <n v="5500"/>
    <n v="2750"/>
    <n v="57746"/>
    <n v="2750"/>
    <n v="63246"/>
  </r>
  <r>
    <n v="2449"/>
    <x v="4"/>
    <s v="Female"/>
    <n v="45"/>
    <s v="Bangalore"/>
    <x v="1"/>
    <n v="96969"/>
    <d v="2022-11-27T00:00:00"/>
    <n v="18"/>
    <n v="1"/>
    <n v="9697"/>
    <n v="4848"/>
    <n v="101818"/>
    <n v="4848"/>
    <n v="111514"/>
  </r>
  <r>
    <n v="2450"/>
    <x v="1"/>
    <s v="Male"/>
    <n v="24"/>
    <s v="Delhi"/>
    <x v="3"/>
    <n v="59242"/>
    <d v="2023-05-08T00:00:00"/>
    <n v="16"/>
    <n v="1"/>
    <n v="5924"/>
    <n v="2962"/>
    <n v="62204"/>
    <n v="2962"/>
    <n v="68128"/>
  </r>
  <r>
    <n v="2451"/>
    <x v="1"/>
    <s v="Female"/>
    <n v="22"/>
    <s v="Hyderabad"/>
    <x v="3"/>
    <n v="58326"/>
    <d v="2024-06-21T00:00:00"/>
    <n v="11"/>
    <n v="2"/>
    <n v="5833"/>
    <n v="2916"/>
    <n v="61243"/>
    <n v="2916"/>
    <n v="67075"/>
  </r>
  <r>
    <n v="2452"/>
    <x v="8"/>
    <s v="Male"/>
    <n v="45"/>
    <s v="Delhi"/>
    <x v="1"/>
    <n v="78158"/>
    <d v="2023-01-30T00:00:00"/>
    <n v="13"/>
    <n v="1"/>
    <n v="7816"/>
    <n v="3908"/>
    <n v="82066"/>
    <n v="3908"/>
    <n v="89882"/>
  </r>
  <r>
    <n v="2453"/>
    <x v="0"/>
    <s v="Male"/>
    <n v="40"/>
    <s v="Mumbai"/>
    <x v="0"/>
    <n v="61970"/>
    <d v="2022-05-17T00:00:00"/>
    <n v="9"/>
    <n v="5"/>
    <n v="6197"/>
    <n v="3098"/>
    <n v="65069"/>
    <n v="3098"/>
    <n v="71265"/>
  </r>
  <r>
    <n v="2454"/>
    <x v="1"/>
    <s v="Female"/>
    <n v="42"/>
    <s v="Bangalore"/>
    <x v="0"/>
    <n v="92306"/>
    <d v="2022-09-08T00:00:00"/>
    <n v="12"/>
    <n v="4"/>
    <n v="9231"/>
    <n v="4615"/>
    <n v="96922"/>
    <n v="4615"/>
    <n v="106152"/>
  </r>
  <r>
    <n v="2455"/>
    <x v="9"/>
    <s v="Male"/>
    <n v="45"/>
    <s v="Delhi"/>
    <x v="4"/>
    <n v="68606"/>
    <d v="2023-12-11T00:00:00"/>
    <n v="4"/>
    <n v="1"/>
    <n v="6861"/>
    <n v="3430"/>
    <n v="72037"/>
    <n v="0"/>
    <n v="75467"/>
  </r>
  <r>
    <n v="2456"/>
    <x v="9"/>
    <s v="Male"/>
    <n v="46"/>
    <s v="Chennai"/>
    <x v="1"/>
    <n v="54602"/>
    <d v="2022-04-25T00:00:00"/>
    <n v="2"/>
    <n v="1"/>
    <n v="5460"/>
    <n v="2730"/>
    <n v="57332"/>
    <n v="0"/>
    <n v="60062"/>
  </r>
  <r>
    <n v="2457"/>
    <x v="8"/>
    <s v="Female"/>
    <n v="40"/>
    <s v="Delhi"/>
    <x v="4"/>
    <n v="64149"/>
    <d v="2024-03-03T00:00:00"/>
    <n v="20"/>
    <n v="1"/>
    <n v="6415"/>
    <n v="3207"/>
    <n v="67357"/>
    <n v="3207"/>
    <n v="73771"/>
  </r>
  <r>
    <n v="2458"/>
    <x v="1"/>
    <s v="Male"/>
    <n v="24"/>
    <s v="Hyderabad"/>
    <x v="2"/>
    <n v="65016"/>
    <d v="2023-10-07T00:00:00"/>
    <n v="15"/>
    <n v="1"/>
    <n v="6502"/>
    <n v="3251"/>
    <n v="68267"/>
    <n v="3251"/>
    <n v="74769"/>
  </r>
  <r>
    <n v="2459"/>
    <x v="8"/>
    <s v="Female"/>
    <n v="37"/>
    <s v="Hyderabad"/>
    <x v="3"/>
    <n v="46435"/>
    <d v="2023-05-01T00:00:00"/>
    <n v="1"/>
    <n v="1"/>
    <n v="4644"/>
    <n v="2322"/>
    <n v="48757"/>
    <n v="0"/>
    <n v="51079"/>
  </r>
  <r>
    <n v="2460"/>
    <x v="8"/>
    <s v="Male"/>
    <n v="52"/>
    <s v="Delhi"/>
    <x v="3"/>
    <n v="47363"/>
    <d v="2022-05-13T00:00:00"/>
    <n v="14"/>
    <n v="3"/>
    <n v="4736"/>
    <n v="2368"/>
    <n v="49731"/>
    <n v="2368"/>
    <n v="54467"/>
  </r>
  <r>
    <n v="2461"/>
    <x v="7"/>
    <s v="Male"/>
    <n v="34"/>
    <s v="Chennai"/>
    <x v="4"/>
    <n v="29469"/>
    <d v="2024-03-21T00:00:00"/>
    <n v="1"/>
    <n v="4"/>
    <n v="2947"/>
    <n v="1473"/>
    <n v="30943"/>
    <n v="0"/>
    <n v="32416"/>
  </r>
  <r>
    <n v="2462"/>
    <x v="4"/>
    <s v="Female"/>
    <n v="60"/>
    <s v="Delhi"/>
    <x v="4"/>
    <n v="76502"/>
    <d v="2024-08-21T00:00:00"/>
    <n v="17"/>
    <n v="4"/>
    <n v="7650"/>
    <n v="3825"/>
    <n v="80327"/>
    <n v="3825"/>
    <n v="87977"/>
  </r>
  <r>
    <n v="2463"/>
    <x v="5"/>
    <s v="Female"/>
    <n v="47"/>
    <s v="Delhi"/>
    <x v="0"/>
    <n v="25458"/>
    <d v="2023-08-23T00:00:00"/>
    <n v="19"/>
    <n v="2"/>
    <n v="2546"/>
    <n v="1273"/>
    <n v="26731"/>
    <n v="1273"/>
    <n v="29277"/>
  </r>
  <r>
    <n v="2464"/>
    <x v="5"/>
    <s v="Male"/>
    <n v="51"/>
    <s v="Chennai"/>
    <x v="1"/>
    <n v="23583"/>
    <d v="2022-08-05T00:00:00"/>
    <n v="18"/>
    <n v="5"/>
    <n v="2358"/>
    <n v="1179"/>
    <n v="24762"/>
    <n v="1179"/>
    <n v="27120"/>
  </r>
  <r>
    <n v="2465"/>
    <x v="4"/>
    <s v="Male"/>
    <n v="33"/>
    <s v="Bangalore"/>
    <x v="1"/>
    <n v="26377"/>
    <d v="2022-05-29T00:00:00"/>
    <n v="14"/>
    <n v="3"/>
    <n v="2638"/>
    <n v="1319"/>
    <n v="27696"/>
    <n v="1319"/>
    <n v="30334"/>
  </r>
  <r>
    <n v="2466"/>
    <x v="1"/>
    <s v="Female"/>
    <n v="23"/>
    <s v="Delhi"/>
    <x v="1"/>
    <n v="30024"/>
    <d v="2024-03-28T00:00:00"/>
    <n v="13"/>
    <n v="4"/>
    <n v="3002"/>
    <n v="1501"/>
    <n v="31525"/>
    <n v="1501"/>
    <n v="34527"/>
  </r>
  <r>
    <n v="2467"/>
    <x v="1"/>
    <s v="Female"/>
    <n v="27"/>
    <s v="Hyderabad"/>
    <x v="0"/>
    <n v="68043"/>
    <d v="2023-07-21T00:00:00"/>
    <n v="5"/>
    <n v="4"/>
    <n v="6804"/>
    <n v="3402"/>
    <n v="71445"/>
    <n v="0"/>
    <n v="74847"/>
  </r>
  <r>
    <n v="2468"/>
    <x v="2"/>
    <s v="Male"/>
    <n v="51"/>
    <s v="Hyderabad"/>
    <x v="3"/>
    <n v="83068"/>
    <d v="2023-09-10T00:00:00"/>
    <n v="20"/>
    <n v="2"/>
    <n v="8307"/>
    <n v="4153"/>
    <n v="87222"/>
    <n v="4153"/>
    <n v="95528"/>
  </r>
  <r>
    <n v="2469"/>
    <x v="9"/>
    <s v="Male"/>
    <n v="27"/>
    <s v="Bangalore"/>
    <x v="1"/>
    <n v="89443"/>
    <d v="2023-07-10T00:00:00"/>
    <n v="3"/>
    <n v="4"/>
    <n v="8944"/>
    <n v="4472"/>
    <n v="93915"/>
    <n v="0"/>
    <n v="98387"/>
  </r>
  <r>
    <n v="2470"/>
    <x v="8"/>
    <s v="Female"/>
    <n v="54"/>
    <s v="Chennai"/>
    <x v="0"/>
    <n v="92586"/>
    <d v="2022-05-08T00:00:00"/>
    <n v="18"/>
    <n v="4"/>
    <n v="9259"/>
    <n v="4629"/>
    <n v="97216"/>
    <n v="4629"/>
    <n v="106474"/>
  </r>
  <r>
    <n v="2471"/>
    <x v="5"/>
    <s v="Male"/>
    <n v="44"/>
    <s v="Chennai"/>
    <x v="4"/>
    <n v="52631"/>
    <d v="2023-10-25T00:00:00"/>
    <n v="6"/>
    <n v="5"/>
    <n v="5263"/>
    <n v="2632"/>
    <n v="55262"/>
    <n v="2632"/>
    <n v="60526"/>
  </r>
  <r>
    <n v="2472"/>
    <x v="1"/>
    <s v="Male"/>
    <n v="47"/>
    <s v="Hyderabad"/>
    <x v="4"/>
    <n v="93915"/>
    <d v="2023-08-18T00:00:00"/>
    <n v="15"/>
    <n v="4"/>
    <n v="9392"/>
    <n v="4696"/>
    <n v="98611"/>
    <n v="4696"/>
    <n v="108003"/>
  </r>
  <r>
    <n v="2473"/>
    <x v="5"/>
    <s v="Female"/>
    <n v="40"/>
    <s v="Delhi"/>
    <x v="2"/>
    <n v="47512"/>
    <d v="2022-09-06T00:00:00"/>
    <n v="15"/>
    <n v="4"/>
    <n v="4751"/>
    <n v="2376"/>
    <n v="49887"/>
    <n v="2376"/>
    <n v="54639"/>
  </r>
  <r>
    <n v="2474"/>
    <x v="9"/>
    <s v="Male"/>
    <n v="43"/>
    <s v="Chennai"/>
    <x v="4"/>
    <n v="38840"/>
    <d v="2023-03-21T00:00:00"/>
    <n v="7"/>
    <n v="2"/>
    <n v="3884"/>
    <n v="1942"/>
    <n v="40782"/>
    <n v="1942"/>
    <n v="44666"/>
  </r>
  <r>
    <n v="2475"/>
    <x v="7"/>
    <s v="Male"/>
    <n v="26"/>
    <s v="Mumbai"/>
    <x v="0"/>
    <n v="25838"/>
    <d v="2023-10-12T00:00:00"/>
    <n v="4"/>
    <n v="1"/>
    <n v="2584"/>
    <n v="1292"/>
    <n v="27130"/>
    <n v="0"/>
    <n v="28422"/>
  </r>
  <r>
    <n v="2476"/>
    <x v="7"/>
    <s v="Male"/>
    <n v="36"/>
    <s v="Chennai"/>
    <x v="2"/>
    <n v="70919"/>
    <d v="2022-09-14T00:00:00"/>
    <n v="15"/>
    <n v="2"/>
    <n v="7092"/>
    <n v="3546"/>
    <n v="74465"/>
    <n v="3546"/>
    <n v="81557"/>
  </r>
  <r>
    <n v="2477"/>
    <x v="0"/>
    <s v="Male"/>
    <n v="37"/>
    <s v="Mumbai"/>
    <x v="2"/>
    <n v="22633"/>
    <d v="2022-08-20T00:00:00"/>
    <n v="6"/>
    <n v="3"/>
    <n v="2263"/>
    <n v="1132"/>
    <n v="23764"/>
    <n v="1132"/>
    <n v="26028"/>
  </r>
  <r>
    <n v="2478"/>
    <x v="3"/>
    <s v="Male"/>
    <n v="23"/>
    <s v="Delhi"/>
    <x v="0"/>
    <n v="99643"/>
    <d v="2024-03-21T00:00:00"/>
    <n v="10"/>
    <n v="5"/>
    <n v="9964"/>
    <n v="4982"/>
    <n v="104625"/>
    <n v="4982"/>
    <n v="114589"/>
  </r>
  <r>
    <n v="2479"/>
    <x v="6"/>
    <s v="Female"/>
    <n v="53"/>
    <s v="Bangalore"/>
    <x v="3"/>
    <n v="98761"/>
    <d v="2024-07-23T00:00:00"/>
    <n v="13"/>
    <n v="1"/>
    <n v="9876"/>
    <n v="4938"/>
    <n v="103699"/>
    <n v="4938"/>
    <n v="113575"/>
  </r>
  <r>
    <n v="2480"/>
    <x v="8"/>
    <s v="Male"/>
    <n v="57"/>
    <s v="Bangalore"/>
    <x v="4"/>
    <n v="28003"/>
    <d v="2022-10-20T00:00:00"/>
    <n v="4"/>
    <n v="3"/>
    <n v="2800"/>
    <n v="1400"/>
    <n v="29403"/>
    <n v="0"/>
    <n v="30803"/>
  </r>
  <r>
    <n v="2481"/>
    <x v="2"/>
    <s v="Male"/>
    <n v="32"/>
    <s v="Mumbai"/>
    <x v="4"/>
    <n v="65830"/>
    <d v="2022-04-15T00:00:00"/>
    <n v="10"/>
    <n v="1"/>
    <n v="6583"/>
    <n v="3292"/>
    <n v="69121"/>
    <n v="3292"/>
    <n v="75705"/>
  </r>
  <r>
    <n v="2482"/>
    <x v="0"/>
    <s v="Male"/>
    <n v="22"/>
    <s v="Mumbai"/>
    <x v="4"/>
    <n v="80938"/>
    <d v="2022-01-21T00:00:00"/>
    <n v="4"/>
    <n v="4"/>
    <n v="8094"/>
    <n v="4047"/>
    <n v="84985"/>
    <n v="0"/>
    <n v="89032"/>
  </r>
  <r>
    <n v="2483"/>
    <x v="2"/>
    <s v="Male"/>
    <n v="38"/>
    <s v="Mumbai"/>
    <x v="1"/>
    <n v="82497"/>
    <d v="2022-11-12T00:00:00"/>
    <n v="8"/>
    <n v="5"/>
    <n v="8250"/>
    <n v="4125"/>
    <n v="86622"/>
    <n v="4125"/>
    <n v="94872"/>
  </r>
  <r>
    <n v="2484"/>
    <x v="6"/>
    <s v="Female"/>
    <n v="27"/>
    <s v="Chennai"/>
    <x v="2"/>
    <n v="35058"/>
    <d v="2024-05-28T00:00:00"/>
    <n v="2"/>
    <n v="3"/>
    <n v="3506"/>
    <n v="1753"/>
    <n v="36811"/>
    <n v="0"/>
    <n v="38564"/>
  </r>
  <r>
    <n v="2485"/>
    <x v="4"/>
    <s v="Male"/>
    <n v="36"/>
    <s v="Bangalore"/>
    <x v="0"/>
    <n v="58806"/>
    <d v="2022-12-30T00:00:00"/>
    <n v="3"/>
    <n v="2"/>
    <n v="5881"/>
    <n v="2940"/>
    <n v="61747"/>
    <n v="0"/>
    <n v="64687"/>
  </r>
  <r>
    <n v="2486"/>
    <x v="5"/>
    <s v="Female"/>
    <n v="35"/>
    <s v="Delhi"/>
    <x v="3"/>
    <n v="58054"/>
    <d v="2024-02-29T00:00:00"/>
    <n v="1"/>
    <n v="5"/>
    <n v="5805"/>
    <n v="2903"/>
    <n v="60956"/>
    <n v="0"/>
    <n v="63859"/>
  </r>
  <r>
    <n v="2487"/>
    <x v="2"/>
    <s v="Male"/>
    <n v="39"/>
    <s v="Hyderabad"/>
    <x v="2"/>
    <n v="96868"/>
    <d v="2022-04-05T00:00:00"/>
    <n v="5"/>
    <n v="3"/>
    <n v="9687"/>
    <n v="4843"/>
    <n v="101712"/>
    <n v="0"/>
    <n v="106555"/>
  </r>
  <r>
    <n v="2488"/>
    <x v="6"/>
    <s v="Male"/>
    <n v="36"/>
    <s v="Delhi"/>
    <x v="3"/>
    <n v="75891"/>
    <d v="2023-01-05T00:00:00"/>
    <n v="8"/>
    <n v="3"/>
    <n v="7589"/>
    <n v="3795"/>
    <n v="79685"/>
    <n v="3795"/>
    <n v="87275"/>
  </r>
  <r>
    <n v="2489"/>
    <x v="0"/>
    <s v="Female"/>
    <n v="28"/>
    <s v="Delhi"/>
    <x v="2"/>
    <n v="53049"/>
    <d v="2024-01-01T00:00:00"/>
    <n v="6"/>
    <n v="4"/>
    <n v="5305"/>
    <n v="2652"/>
    <n v="55702"/>
    <n v="2652"/>
    <n v="61006"/>
  </r>
  <r>
    <n v="2490"/>
    <x v="6"/>
    <s v="Male"/>
    <n v="28"/>
    <s v="Mumbai"/>
    <x v="1"/>
    <n v="49768"/>
    <d v="2023-07-25T00:00:00"/>
    <n v="3"/>
    <n v="3"/>
    <n v="4977"/>
    <n v="2488"/>
    <n v="52257"/>
    <n v="0"/>
    <n v="54745"/>
  </r>
  <r>
    <n v="2491"/>
    <x v="7"/>
    <s v="Female"/>
    <n v="42"/>
    <s v="Bangalore"/>
    <x v="2"/>
    <n v="28831"/>
    <d v="2022-03-17T00:00:00"/>
    <n v="11"/>
    <n v="1"/>
    <n v="2883"/>
    <n v="1442"/>
    <n v="30272"/>
    <n v="1442"/>
    <n v="33156"/>
  </r>
  <r>
    <n v="2492"/>
    <x v="6"/>
    <s v="Male"/>
    <n v="25"/>
    <s v="Delhi"/>
    <x v="3"/>
    <n v="94322"/>
    <d v="2024-05-11T00:00:00"/>
    <n v="8"/>
    <n v="2"/>
    <n v="9432"/>
    <n v="4716"/>
    <n v="99038"/>
    <n v="4716"/>
    <n v="108470"/>
  </r>
  <r>
    <n v="2493"/>
    <x v="5"/>
    <s v="Male"/>
    <n v="49"/>
    <s v="Bangalore"/>
    <x v="2"/>
    <n v="82745"/>
    <d v="2023-09-27T00:00:00"/>
    <n v="4"/>
    <n v="4"/>
    <n v="8274"/>
    <n v="4137"/>
    <n v="86882"/>
    <n v="0"/>
    <n v="91019"/>
  </r>
  <r>
    <n v="2494"/>
    <x v="1"/>
    <s v="Male"/>
    <n v="55"/>
    <s v="Delhi"/>
    <x v="4"/>
    <n v="38719"/>
    <d v="2023-09-03T00:00:00"/>
    <n v="9"/>
    <n v="2"/>
    <n v="3872"/>
    <n v="1936"/>
    <n v="40655"/>
    <n v="1936"/>
    <n v="44527"/>
  </r>
  <r>
    <n v="2495"/>
    <x v="4"/>
    <s v="Male"/>
    <n v="42"/>
    <s v="Hyderabad"/>
    <x v="2"/>
    <n v="26246"/>
    <d v="2022-03-25T00:00:00"/>
    <n v="20"/>
    <n v="4"/>
    <n v="2625"/>
    <n v="1312"/>
    <n v="27559"/>
    <n v="1312"/>
    <n v="30183"/>
  </r>
  <r>
    <n v="2496"/>
    <x v="0"/>
    <s v="Female"/>
    <n v="32"/>
    <s v="Mumbai"/>
    <x v="1"/>
    <n v="34343"/>
    <d v="2022-03-08T00:00:00"/>
    <n v="20"/>
    <n v="1"/>
    <n v="3434"/>
    <n v="1717"/>
    <n v="36060"/>
    <n v="1717"/>
    <n v="39494"/>
  </r>
  <r>
    <n v="2497"/>
    <x v="9"/>
    <s v="Female"/>
    <n v="45"/>
    <s v="Hyderabad"/>
    <x v="1"/>
    <n v="85817"/>
    <d v="2023-03-03T00:00:00"/>
    <n v="20"/>
    <n v="5"/>
    <n v="8582"/>
    <n v="4291"/>
    <n v="90108"/>
    <n v="4291"/>
    <n v="98690"/>
  </r>
  <r>
    <n v="2498"/>
    <x v="6"/>
    <s v="Male"/>
    <n v="45"/>
    <s v="Mumbai"/>
    <x v="3"/>
    <n v="30770"/>
    <d v="2024-07-19T00:00:00"/>
    <n v="18"/>
    <n v="2"/>
    <n v="3077"/>
    <n v="1538"/>
    <n v="32309"/>
    <n v="1538"/>
    <n v="35385"/>
  </r>
  <r>
    <n v="2499"/>
    <x v="5"/>
    <s v="Male"/>
    <n v="47"/>
    <s v="Bangalore"/>
    <x v="1"/>
    <n v="66458"/>
    <d v="2023-07-04T00:00:00"/>
    <n v="5"/>
    <n v="3"/>
    <n v="6646"/>
    <n v="3323"/>
    <n v="69781"/>
    <n v="0"/>
    <n v="73104"/>
  </r>
  <r>
    <n v="2500"/>
    <x v="0"/>
    <s v="Male"/>
    <n v="48"/>
    <s v="Hyderabad"/>
    <x v="2"/>
    <n v="99334"/>
    <d v="2022-07-30T00:00:00"/>
    <n v="1"/>
    <n v="1"/>
    <n v="9933"/>
    <n v="4967"/>
    <n v="104300"/>
    <n v="0"/>
    <n v="109267"/>
  </r>
  <r>
    <n v="2501"/>
    <x v="2"/>
    <s v="Male"/>
    <n v="51"/>
    <s v="Chennai"/>
    <x v="0"/>
    <n v="63288"/>
    <d v="2024-01-09T00:00:00"/>
    <n v="3"/>
    <n v="5"/>
    <n v="6329"/>
    <n v="3164"/>
    <n v="66453"/>
    <n v="0"/>
    <n v="69617"/>
  </r>
  <r>
    <n v="2502"/>
    <x v="8"/>
    <s v="Female"/>
    <n v="26"/>
    <s v="Delhi"/>
    <x v="0"/>
    <n v="34477"/>
    <d v="2024-05-16T00:00:00"/>
    <n v="8"/>
    <n v="1"/>
    <n v="3448"/>
    <n v="1724"/>
    <n v="36201"/>
    <n v="1724"/>
    <n v="39649"/>
  </r>
  <r>
    <n v="2503"/>
    <x v="1"/>
    <s v="Male"/>
    <n v="43"/>
    <s v="Hyderabad"/>
    <x v="3"/>
    <n v="70921"/>
    <d v="2022-05-24T00:00:00"/>
    <n v="18"/>
    <n v="1"/>
    <n v="7092"/>
    <n v="3546"/>
    <n v="74467"/>
    <n v="3546"/>
    <n v="81559"/>
  </r>
  <r>
    <n v="2504"/>
    <x v="7"/>
    <s v="Female"/>
    <n v="59"/>
    <s v="Bangalore"/>
    <x v="2"/>
    <n v="96177"/>
    <d v="2022-02-26T00:00:00"/>
    <n v="1"/>
    <n v="2"/>
    <n v="9618"/>
    <n v="4809"/>
    <n v="100986"/>
    <n v="0"/>
    <n v="105795"/>
  </r>
  <r>
    <n v="2505"/>
    <x v="0"/>
    <s v="Female"/>
    <n v="36"/>
    <s v="Hyderabad"/>
    <x v="0"/>
    <n v="93568"/>
    <d v="2022-07-19T00:00:00"/>
    <n v="16"/>
    <n v="5"/>
    <n v="9357"/>
    <n v="4678"/>
    <n v="98247"/>
    <n v="4678"/>
    <n v="107603"/>
  </r>
  <r>
    <n v="2506"/>
    <x v="0"/>
    <s v="Male"/>
    <n v="40"/>
    <s v="Hyderabad"/>
    <x v="1"/>
    <n v="60027"/>
    <d v="2023-08-10T00:00:00"/>
    <n v="7"/>
    <n v="2"/>
    <n v="6003"/>
    <n v="3001"/>
    <n v="63029"/>
    <n v="3001"/>
    <n v="69031"/>
  </r>
  <r>
    <n v="2507"/>
    <x v="3"/>
    <s v="Female"/>
    <n v="25"/>
    <s v="Bangalore"/>
    <x v="0"/>
    <n v="36195"/>
    <d v="2023-11-26T00:00:00"/>
    <n v="20"/>
    <n v="4"/>
    <n v="3620"/>
    <n v="1810"/>
    <n v="38005"/>
    <n v="1810"/>
    <n v="41625"/>
  </r>
  <r>
    <n v="2508"/>
    <x v="1"/>
    <s v="Female"/>
    <n v="52"/>
    <s v="Delhi"/>
    <x v="1"/>
    <n v="56470"/>
    <d v="2022-09-03T00:00:00"/>
    <n v="14"/>
    <n v="3"/>
    <n v="5647"/>
    <n v="2824"/>
    <n v="59293"/>
    <n v="2824"/>
    <n v="64941"/>
  </r>
  <r>
    <n v="2509"/>
    <x v="7"/>
    <s v="Male"/>
    <n v="38"/>
    <s v="Delhi"/>
    <x v="2"/>
    <n v="58868"/>
    <d v="2024-09-15T00:00:00"/>
    <n v="9"/>
    <n v="5"/>
    <n v="5887"/>
    <n v="2943"/>
    <n v="61812"/>
    <n v="2943"/>
    <n v="67698"/>
  </r>
  <r>
    <n v="2510"/>
    <x v="1"/>
    <s v="Male"/>
    <n v="21"/>
    <s v="Hyderabad"/>
    <x v="2"/>
    <n v="66620"/>
    <d v="2024-03-11T00:00:00"/>
    <n v="10"/>
    <n v="4"/>
    <n v="6662"/>
    <n v="3331"/>
    <n v="69951"/>
    <n v="3331"/>
    <n v="76613"/>
  </r>
  <r>
    <n v="2511"/>
    <x v="5"/>
    <s v="Male"/>
    <n v="22"/>
    <s v="Mumbai"/>
    <x v="3"/>
    <n v="50544"/>
    <d v="2024-02-19T00:00:00"/>
    <n v="12"/>
    <n v="4"/>
    <n v="5054"/>
    <n v="2527"/>
    <n v="53071"/>
    <n v="2527"/>
    <n v="58125"/>
  </r>
  <r>
    <n v="2512"/>
    <x v="4"/>
    <s v="Male"/>
    <n v="25"/>
    <s v="Hyderabad"/>
    <x v="2"/>
    <n v="38243"/>
    <d v="2022-09-05T00:00:00"/>
    <n v="14"/>
    <n v="2"/>
    <n v="3824"/>
    <n v="1912"/>
    <n v="40155"/>
    <n v="1912"/>
    <n v="43979"/>
  </r>
  <r>
    <n v="2513"/>
    <x v="6"/>
    <s v="Female"/>
    <n v="46"/>
    <s v="Chennai"/>
    <x v="2"/>
    <n v="36500"/>
    <d v="2023-06-28T00:00:00"/>
    <n v="3"/>
    <n v="4"/>
    <n v="3650"/>
    <n v="1825"/>
    <n v="38325"/>
    <n v="0"/>
    <n v="40150"/>
  </r>
  <r>
    <n v="2514"/>
    <x v="6"/>
    <s v="Female"/>
    <n v="47"/>
    <s v="Bangalore"/>
    <x v="2"/>
    <n v="37567"/>
    <d v="2024-07-09T00:00:00"/>
    <n v="1"/>
    <n v="5"/>
    <n v="3757"/>
    <n v="1878"/>
    <n v="39446"/>
    <n v="0"/>
    <n v="41324"/>
  </r>
  <r>
    <n v="2515"/>
    <x v="5"/>
    <s v="Male"/>
    <n v="27"/>
    <s v="Hyderabad"/>
    <x v="1"/>
    <n v="85637"/>
    <d v="2023-06-16T00:00:00"/>
    <n v="15"/>
    <n v="5"/>
    <n v="8564"/>
    <n v="4282"/>
    <n v="89919"/>
    <n v="4282"/>
    <n v="98483"/>
  </r>
  <r>
    <n v="2516"/>
    <x v="7"/>
    <s v="Female"/>
    <n v="34"/>
    <s v="Mumbai"/>
    <x v="0"/>
    <n v="96416"/>
    <d v="2023-09-23T00:00:00"/>
    <n v="13"/>
    <n v="1"/>
    <n v="9642"/>
    <n v="4821"/>
    <n v="101237"/>
    <n v="4821"/>
    <n v="110879"/>
  </r>
  <r>
    <n v="2517"/>
    <x v="6"/>
    <s v="Female"/>
    <n v="33"/>
    <s v="Chennai"/>
    <x v="2"/>
    <n v="36458"/>
    <d v="2023-01-03T00:00:00"/>
    <n v="13"/>
    <n v="2"/>
    <n v="3646"/>
    <n v="1823"/>
    <n v="38281"/>
    <n v="1823"/>
    <n v="41927"/>
  </r>
  <r>
    <n v="2518"/>
    <x v="9"/>
    <s v="Male"/>
    <n v="39"/>
    <s v="Chennai"/>
    <x v="1"/>
    <n v="83151"/>
    <d v="2024-04-07T00:00:00"/>
    <n v="1"/>
    <n v="1"/>
    <n v="8315"/>
    <n v="4158"/>
    <n v="87308"/>
    <n v="0"/>
    <n v="91466"/>
  </r>
  <r>
    <n v="2519"/>
    <x v="4"/>
    <s v="Male"/>
    <n v="51"/>
    <s v="Hyderabad"/>
    <x v="2"/>
    <n v="95310"/>
    <d v="2023-11-06T00:00:00"/>
    <n v="19"/>
    <n v="5"/>
    <n v="9531"/>
    <n v="4766"/>
    <n v="100075"/>
    <n v="4766"/>
    <n v="109607"/>
  </r>
  <r>
    <n v="2520"/>
    <x v="0"/>
    <s v="Male"/>
    <n v="36"/>
    <s v="Hyderabad"/>
    <x v="3"/>
    <n v="71338"/>
    <d v="2022-06-26T00:00:00"/>
    <n v="6"/>
    <n v="5"/>
    <n v="7134"/>
    <n v="3567"/>
    <n v="74905"/>
    <n v="3567"/>
    <n v="82039"/>
  </r>
  <r>
    <n v="2521"/>
    <x v="5"/>
    <s v="Male"/>
    <n v="29"/>
    <s v="Hyderabad"/>
    <x v="4"/>
    <n v="25421"/>
    <d v="2024-09-01T00:00:00"/>
    <n v="13"/>
    <n v="3"/>
    <n v="2542"/>
    <n v="1271"/>
    <n v="26692"/>
    <n v="1271"/>
    <n v="29234"/>
  </r>
  <r>
    <n v="2522"/>
    <x v="7"/>
    <s v="Male"/>
    <n v="58"/>
    <s v="Mumbai"/>
    <x v="2"/>
    <n v="61762"/>
    <d v="2023-04-24T00:00:00"/>
    <n v="11"/>
    <n v="1"/>
    <n v="6176"/>
    <n v="3088"/>
    <n v="64850"/>
    <n v="3088"/>
    <n v="71026"/>
  </r>
  <r>
    <n v="2523"/>
    <x v="1"/>
    <s v="Female"/>
    <n v="43"/>
    <s v="Chennai"/>
    <x v="4"/>
    <n v="37181"/>
    <d v="2023-02-20T00:00:00"/>
    <n v="16"/>
    <n v="3"/>
    <n v="3718"/>
    <n v="1859"/>
    <n v="39040"/>
    <n v="1859"/>
    <n v="42758"/>
  </r>
  <r>
    <n v="2524"/>
    <x v="1"/>
    <s v="Female"/>
    <n v="29"/>
    <s v="Hyderabad"/>
    <x v="0"/>
    <n v="49871"/>
    <d v="2024-01-25T00:00:00"/>
    <n v="12"/>
    <n v="4"/>
    <n v="4987"/>
    <n v="2494"/>
    <n v="52364"/>
    <n v="2494"/>
    <n v="57352"/>
  </r>
  <r>
    <n v="2525"/>
    <x v="8"/>
    <s v="Male"/>
    <n v="32"/>
    <s v="Chennai"/>
    <x v="3"/>
    <n v="22489"/>
    <d v="2023-08-29T00:00:00"/>
    <n v="9"/>
    <n v="5"/>
    <n v="2249"/>
    <n v="1124"/>
    <n v="23614"/>
    <n v="1124"/>
    <n v="25862"/>
  </r>
  <r>
    <n v="2526"/>
    <x v="0"/>
    <s v="Male"/>
    <n v="24"/>
    <s v="Bangalore"/>
    <x v="2"/>
    <n v="31765"/>
    <d v="2023-04-04T00:00:00"/>
    <n v="16"/>
    <n v="3"/>
    <n v="3176"/>
    <n v="1588"/>
    <n v="33353"/>
    <n v="1588"/>
    <n v="36529"/>
  </r>
  <r>
    <n v="2527"/>
    <x v="5"/>
    <s v="Male"/>
    <n v="53"/>
    <s v="Mumbai"/>
    <x v="4"/>
    <n v="66067"/>
    <d v="2023-01-27T00:00:00"/>
    <n v="18"/>
    <n v="2"/>
    <n v="6607"/>
    <n v="3303"/>
    <n v="69371"/>
    <n v="3303"/>
    <n v="75977"/>
  </r>
  <r>
    <n v="2528"/>
    <x v="1"/>
    <s v="Male"/>
    <n v="35"/>
    <s v="Bangalore"/>
    <x v="2"/>
    <n v="71831"/>
    <d v="2023-03-19T00:00:00"/>
    <n v="4"/>
    <n v="3"/>
    <n v="7183"/>
    <n v="3592"/>
    <n v="75422"/>
    <n v="0"/>
    <n v="79014"/>
  </r>
  <r>
    <n v="2529"/>
    <x v="0"/>
    <s v="Male"/>
    <n v="32"/>
    <s v="Mumbai"/>
    <x v="1"/>
    <n v="71943"/>
    <d v="2023-10-26T00:00:00"/>
    <n v="19"/>
    <n v="5"/>
    <n v="7194"/>
    <n v="3597"/>
    <n v="75540"/>
    <n v="3597"/>
    <n v="82734"/>
  </r>
  <r>
    <n v="2530"/>
    <x v="2"/>
    <s v="Male"/>
    <n v="45"/>
    <s v="Bangalore"/>
    <x v="0"/>
    <n v="23127"/>
    <d v="2024-02-06T00:00:00"/>
    <n v="14"/>
    <n v="3"/>
    <n v="2313"/>
    <n v="1156"/>
    <n v="24284"/>
    <n v="1156"/>
    <n v="26596"/>
  </r>
  <r>
    <n v="2531"/>
    <x v="3"/>
    <s v="Male"/>
    <n v="34"/>
    <s v="Hyderabad"/>
    <x v="2"/>
    <n v="76279"/>
    <d v="2023-09-30T00:00:00"/>
    <n v="13"/>
    <n v="3"/>
    <n v="7628"/>
    <n v="3814"/>
    <n v="80093"/>
    <n v="3814"/>
    <n v="87721"/>
  </r>
  <r>
    <n v="2532"/>
    <x v="3"/>
    <s v="Female"/>
    <n v="37"/>
    <s v="Mumbai"/>
    <x v="1"/>
    <n v="64654"/>
    <d v="2024-04-23T00:00:00"/>
    <n v="7"/>
    <n v="3"/>
    <n v="6465"/>
    <n v="3233"/>
    <n v="67886"/>
    <n v="3233"/>
    <n v="74352"/>
  </r>
  <r>
    <n v="2533"/>
    <x v="8"/>
    <s v="Female"/>
    <n v="53"/>
    <s v="Chennai"/>
    <x v="2"/>
    <n v="20338"/>
    <d v="2022-01-24T00:00:00"/>
    <n v="12"/>
    <n v="2"/>
    <n v="2034"/>
    <n v="1017"/>
    <n v="21355"/>
    <n v="1017"/>
    <n v="23389"/>
  </r>
  <r>
    <n v="2534"/>
    <x v="9"/>
    <s v="Male"/>
    <n v="51"/>
    <s v="Chennai"/>
    <x v="1"/>
    <n v="38930"/>
    <d v="2022-10-23T00:00:00"/>
    <n v="17"/>
    <n v="3"/>
    <n v="3893"/>
    <n v="1946"/>
    <n v="40877"/>
    <n v="1946"/>
    <n v="44769"/>
  </r>
  <r>
    <n v="2535"/>
    <x v="6"/>
    <s v="Female"/>
    <n v="54"/>
    <s v="Hyderabad"/>
    <x v="3"/>
    <n v="94502"/>
    <d v="2022-05-21T00:00:00"/>
    <n v="5"/>
    <n v="5"/>
    <n v="9450"/>
    <n v="4725"/>
    <n v="99227"/>
    <n v="0"/>
    <n v="103952"/>
  </r>
  <r>
    <n v="2536"/>
    <x v="9"/>
    <s v="Male"/>
    <n v="37"/>
    <s v="Mumbai"/>
    <x v="1"/>
    <n v="73898"/>
    <d v="2024-07-05T00:00:00"/>
    <n v="1"/>
    <n v="3"/>
    <n v="7390"/>
    <n v="3695"/>
    <n v="77593"/>
    <n v="0"/>
    <n v="81288"/>
  </r>
  <r>
    <n v="2537"/>
    <x v="4"/>
    <s v="Male"/>
    <n v="49"/>
    <s v="Delhi"/>
    <x v="3"/>
    <n v="49086"/>
    <d v="2022-08-10T00:00:00"/>
    <n v="13"/>
    <n v="2"/>
    <n v="4909"/>
    <n v="2454"/>
    <n v="51541"/>
    <n v="2454"/>
    <n v="56449"/>
  </r>
  <r>
    <n v="2538"/>
    <x v="1"/>
    <s v="Male"/>
    <n v="57"/>
    <s v="Hyderabad"/>
    <x v="0"/>
    <n v="24213"/>
    <d v="2023-03-12T00:00:00"/>
    <n v="2"/>
    <n v="4"/>
    <n v="2421"/>
    <n v="1211"/>
    <n v="25423"/>
    <n v="0"/>
    <n v="26634"/>
  </r>
  <r>
    <n v="2539"/>
    <x v="6"/>
    <s v="Female"/>
    <n v="49"/>
    <s v="Mumbai"/>
    <x v="3"/>
    <n v="47187"/>
    <d v="2022-12-29T00:00:00"/>
    <n v="8"/>
    <n v="1"/>
    <n v="4719"/>
    <n v="2359"/>
    <n v="49547"/>
    <n v="2359"/>
    <n v="54265"/>
  </r>
  <r>
    <n v="2540"/>
    <x v="4"/>
    <s v="Male"/>
    <n v="47"/>
    <s v="Mumbai"/>
    <x v="2"/>
    <n v="67577"/>
    <d v="2022-02-06T00:00:00"/>
    <n v="1"/>
    <n v="3"/>
    <n v="6758"/>
    <n v="3379"/>
    <n v="70956"/>
    <n v="0"/>
    <n v="74335"/>
  </r>
  <r>
    <n v="2541"/>
    <x v="7"/>
    <s v="Female"/>
    <n v="60"/>
    <s v="Hyderabad"/>
    <x v="2"/>
    <n v="65189"/>
    <d v="2023-10-25T00:00:00"/>
    <n v="4"/>
    <n v="2"/>
    <n v="6519"/>
    <n v="3259"/>
    <n v="68449"/>
    <n v="0"/>
    <n v="71708"/>
  </r>
  <r>
    <n v="2542"/>
    <x v="5"/>
    <s v="Male"/>
    <n v="36"/>
    <s v="Chennai"/>
    <x v="4"/>
    <n v="34441"/>
    <d v="2022-12-05T00:00:00"/>
    <n v="17"/>
    <n v="1"/>
    <n v="3444"/>
    <n v="1722"/>
    <n v="36163"/>
    <n v="1722"/>
    <n v="39607"/>
  </r>
  <r>
    <n v="2543"/>
    <x v="8"/>
    <s v="Male"/>
    <n v="23"/>
    <s v="Chennai"/>
    <x v="1"/>
    <n v="56867"/>
    <d v="2023-11-15T00:00:00"/>
    <n v="3"/>
    <n v="5"/>
    <n v="5687"/>
    <n v="2843"/>
    <n v="59711"/>
    <n v="0"/>
    <n v="62554"/>
  </r>
  <r>
    <n v="2544"/>
    <x v="1"/>
    <s v="Male"/>
    <n v="52"/>
    <s v="Hyderabad"/>
    <x v="3"/>
    <n v="82143"/>
    <d v="2023-02-08T00:00:00"/>
    <n v="4"/>
    <n v="5"/>
    <n v="8214"/>
    <n v="4107"/>
    <n v="86250"/>
    <n v="0"/>
    <n v="90357"/>
  </r>
  <r>
    <n v="2545"/>
    <x v="3"/>
    <s v="Female"/>
    <n v="21"/>
    <s v="Delhi"/>
    <x v="0"/>
    <n v="36899"/>
    <d v="2023-04-05T00:00:00"/>
    <n v="1"/>
    <n v="5"/>
    <n v="3690"/>
    <n v="1845"/>
    <n v="38744"/>
    <n v="0"/>
    <n v="40589"/>
  </r>
  <r>
    <n v="2546"/>
    <x v="5"/>
    <s v="Female"/>
    <n v="38"/>
    <s v="Chennai"/>
    <x v="1"/>
    <n v="30347"/>
    <d v="2022-07-03T00:00:00"/>
    <n v="6"/>
    <n v="1"/>
    <n v="3035"/>
    <n v="1517"/>
    <n v="31865"/>
    <n v="1517"/>
    <n v="34899"/>
  </r>
  <r>
    <n v="2547"/>
    <x v="7"/>
    <s v="Female"/>
    <n v="37"/>
    <s v="Hyderabad"/>
    <x v="1"/>
    <n v="20338"/>
    <d v="2022-08-28T00:00:00"/>
    <n v="13"/>
    <n v="1"/>
    <n v="2034"/>
    <n v="1017"/>
    <n v="21355"/>
    <n v="1017"/>
    <n v="23389"/>
  </r>
  <r>
    <n v="2548"/>
    <x v="2"/>
    <s v="Female"/>
    <n v="49"/>
    <s v="Chennai"/>
    <x v="4"/>
    <n v="80708"/>
    <d v="2023-01-26T00:00:00"/>
    <n v="14"/>
    <n v="3"/>
    <n v="8071"/>
    <n v="4035"/>
    <n v="84744"/>
    <n v="4035"/>
    <n v="92814"/>
  </r>
  <r>
    <n v="2549"/>
    <x v="1"/>
    <s v="Female"/>
    <n v="25"/>
    <s v="Mumbai"/>
    <x v="4"/>
    <n v="92745"/>
    <d v="2024-09-05T00:00:00"/>
    <n v="7"/>
    <n v="1"/>
    <n v="9274"/>
    <n v="4637"/>
    <n v="97382"/>
    <n v="4637"/>
    <n v="106656"/>
  </r>
  <r>
    <n v="2550"/>
    <x v="1"/>
    <s v="Male"/>
    <n v="53"/>
    <s v="Bangalore"/>
    <x v="3"/>
    <n v="23166"/>
    <d v="2023-12-13T00:00:00"/>
    <n v="17"/>
    <n v="5"/>
    <n v="2317"/>
    <n v="1158"/>
    <n v="24325"/>
    <n v="1158"/>
    <n v="26641"/>
  </r>
  <r>
    <n v="2551"/>
    <x v="7"/>
    <s v="Female"/>
    <n v="44"/>
    <s v="Mumbai"/>
    <x v="0"/>
    <n v="44792"/>
    <d v="2024-04-16T00:00:00"/>
    <n v="10"/>
    <n v="5"/>
    <n v="4479"/>
    <n v="2240"/>
    <n v="47031"/>
    <n v="2240"/>
    <n v="51511"/>
  </r>
  <r>
    <n v="2552"/>
    <x v="2"/>
    <s v="Male"/>
    <n v="57"/>
    <s v="Chennai"/>
    <x v="4"/>
    <n v="80323"/>
    <d v="2024-03-03T00:00:00"/>
    <n v="18"/>
    <n v="4"/>
    <n v="8032"/>
    <n v="4016"/>
    <n v="84339"/>
    <n v="4016"/>
    <n v="92371"/>
  </r>
  <r>
    <n v="2553"/>
    <x v="5"/>
    <s v="Female"/>
    <n v="42"/>
    <s v="Hyderabad"/>
    <x v="0"/>
    <n v="83644"/>
    <d v="2023-06-25T00:00:00"/>
    <n v="14"/>
    <n v="2"/>
    <n v="8364"/>
    <n v="4182"/>
    <n v="87826"/>
    <n v="4182"/>
    <n v="96190"/>
  </r>
  <r>
    <n v="2554"/>
    <x v="9"/>
    <s v="Female"/>
    <n v="44"/>
    <s v="Hyderabad"/>
    <x v="2"/>
    <n v="70827"/>
    <d v="2022-12-12T00:00:00"/>
    <n v="8"/>
    <n v="4"/>
    <n v="7083"/>
    <n v="3541"/>
    <n v="74369"/>
    <n v="3541"/>
    <n v="81451"/>
  </r>
  <r>
    <n v="2555"/>
    <x v="4"/>
    <s v="Female"/>
    <n v="22"/>
    <s v="Hyderabad"/>
    <x v="1"/>
    <n v="42563"/>
    <d v="2023-05-05T00:00:00"/>
    <n v="2"/>
    <n v="3"/>
    <n v="4256"/>
    <n v="2128"/>
    <n v="44691"/>
    <n v="0"/>
    <n v="46819"/>
  </r>
  <r>
    <n v="2556"/>
    <x v="9"/>
    <s v="Male"/>
    <n v="57"/>
    <s v="Mumbai"/>
    <x v="1"/>
    <n v="70575"/>
    <d v="2022-11-25T00:00:00"/>
    <n v="14"/>
    <n v="1"/>
    <n v="7058"/>
    <n v="3529"/>
    <n v="74104"/>
    <n v="3529"/>
    <n v="81162"/>
  </r>
  <r>
    <n v="2557"/>
    <x v="3"/>
    <s v="Male"/>
    <n v="53"/>
    <s v="Chennai"/>
    <x v="4"/>
    <n v="49984"/>
    <d v="2023-06-16T00:00:00"/>
    <n v="7"/>
    <n v="2"/>
    <n v="4998"/>
    <n v="2499"/>
    <n v="52483"/>
    <n v="2499"/>
    <n v="57481"/>
  </r>
  <r>
    <n v="2558"/>
    <x v="8"/>
    <s v="Male"/>
    <n v="43"/>
    <s v="Bangalore"/>
    <x v="4"/>
    <n v="68266"/>
    <d v="2024-01-12T00:00:00"/>
    <n v="17"/>
    <n v="5"/>
    <n v="6827"/>
    <n v="3413"/>
    <n v="71680"/>
    <n v="3413"/>
    <n v="78506"/>
  </r>
  <r>
    <n v="2559"/>
    <x v="1"/>
    <s v="Male"/>
    <n v="58"/>
    <s v="Chennai"/>
    <x v="4"/>
    <n v="92709"/>
    <d v="2024-01-04T00:00:00"/>
    <n v="2"/>
    <n v="5"/>
    <n v="9271"/>
    <n v="4635"/>
    <n v="97345"/>
    <n v="0"/>
    <n v="101980"/>
  </r>
  <r>
    <n v="2560"/>
    <x v="1"/>
    <s v="Female"/>
    <n v="48"/>
    <s v="Mumbai"/>
    <x v="0"/>
    <n v="59579"/>
    <d v="2023-10-22T00:00:00"/>
    <n v="11"/>
    <n v="1"/>
    <n v="5958"/>
    <n v="2979"/>
    <n v="62558"/>
    <n v="2979"/>
    <n v="68516"/>
  </r>
  <r>
    <n v="2561"/>
    <x v="7"/>
    <s v="Female"/>
    <n v="60"/>
    <s v="Delhi"/>
    <x v="3"/>
    <n v="84954"/>
    <d v="2022-09-09T00:00:00"/>
    <n v="2"/>
    <n v="5"/>
    <n v="8495"/>
    <n v="4248"/>
    <n v="89201"/>
    <n v="0"/>
    <n v="93449"/>
  </r>
  <r>
    <n v="2562"/>
    <x v="4"/>
    <s v="Female"/>
    <n v="52"/>
    <s v="Hyderabad"/>
    <x v="4"/>
    <n v="70872"/>
    <d v="2023-05-18T00:00:00"/>
    <n v="10"/>
    <n v="1"/>
    <n v="7087"/>
    <n v="3544"/>
    <n v="74415"/>
    <n v="3544"/>
    <n v="81503"/>
  </r>
  <r>
    <n v="2563"/>
    <x v="6"/>
    <s v="Female"/>
    <n v="28"/>
    <s v="Mumbai"/>
    <x v="1"/>
    <n v="61898"/>
    <d v="2024-02-16T00:00:00"/>
    <n v="6"/>
    <n v="2"/>
    <n v="6190"/>
    <n v="3095"/>
    <n v="64993"/>
    <n v="3095"/>
    <n v="71183"/>
  </r>
  <r>
    <n v="2564"/>
    <x v="4"/>
    <s v="Male"/>
    <n v="53"/>
    <s v="Chennai"/>
    <x v="2"/>
    <n v="62501"/>
    <d v="2022-03-28T00:00:00"/>
    <n v="7"/>
    <n v="3"/>
    <n v="6250"/>
    <n v="3125"/>
    <n v="65626"/>
    <n v="3125"/>
    <n v="71876"/>
  </r>
  <r>
    <n v="2565"/>
    <x v="5"/>
    <s v="Female"/>
    <n v="25"/>
    <s v="Mumbai"/>
    <x v="2"/>
    <n v="98156"/>
    <d v="2023-04-01T00:00:00"/>
    <n v="16"/>
    <n v="1"/>
    <n v="9816"/>
    <n v="4908"/>
    <n v="103064"/>
    <n v="4908"/>
    <n v="112880"/>
  </r>
  <r>
    <n v="2566"/>
    <x v="2"/>
    <s v="Female"/>
    <n v="57"/>
    <s v="Mumbai"/>
    <x v="0"/>
    <n v="21833"/>
    <d v="2024-06-15T00:00:00"/>
    <n v="9"/>
    <n v="1"/>
    <n v="2183"/>
    <n v="1092"/>
    <n v="22924"/>
    <n v="1092"/>
    <n v="25108"/>
  </r>
  <r>
    <n v="2567"/>
    <x v="4"/>
    <s v="Female"/>
    <n v="32"/>
    <s v="Chennai"/>
    <x v="1"/>
    <n v="85100"/>
    <d v="2022-05-18T00:00:00"/>
    <n v="17"/>
    <n v="4"/>
    <n v="8510"/>
    <n v="4255"/>
    <n v="89355"/>
    <n v="4255"/>
    <n v="97865"/>
  </r>
  <r>
    <n v="2568"/>
    <x v="6"/>
    <s v="Female"/>
    <n v="37"/>
    <s v="Mumbai"/>
    <x v="4"/>
    <n v="36927"/>
    <d v="2023-12-28T00:00:00"/>
    <n v="3"/>
    <n v="2"/>
    <n v="3693"/>
    <n v="1846"/>
    <n v="38774"/>
    <n v="0"/>
    <n v="40620"/>
  </r>
  <r>
    <n v="2569"/>
    <x v="1"/>
    <s v="Female"/>
    <n v="46"/>
    <s v="Bangalore"/>
    <x v="0"/>
    <n v="49924"/>
    <d v="2024-01-22T00:00:00"/>
    <n v="9"/>
    <n v="1"/>
    <n v="4992"/>
    <n v="2496"/>
    <n v="52420"/>
    <n v="2496"/>
    <n v="57412"/>
  </r>
  <r>
    <n v="2570"/>
    <x v="4"/>
    <s v="Male"/>
    <n v="21"/>
    <s v="Delhi"/>
    <x v="0"/>
    <n v="94385"/>
    <d v="2022-07-10T00:00:00"/>
    <n v="12"/>
    <n v="5"/>
    <n v="9438"/>
    <n v="4719"/>
    <n v="99104"/>
    <n v="4719"/>
    <n v="108542"/>
  </r>
  <r>
    <n v="2571"/>
    <x v="7"/>
    <s v="Male"/>
    <n v="55"/>
    <s v="Bangalore"/>
    <x v="2"/>
    <n v="87667"/>
    <d v="2023-12-27T00:00:00"/>
    <n v="13"/>
    <n v="2"/>
    <n v="8767"/>
    <n v="4383"/>
    <n v="92051"/>
    <n v="4383"/>
    <n v="100817"/>
  </r>
  <r>
    <n v="2572"/>
    <x v="2"/>
    <s v="Male"/>
    <n v="22"/>
    <s v="Hyderabad"/>
    <x v="0"/>
    <n v="59438"/>
    <d v="2022-07-01T00:00:00"/>
    <n v="11"/>
    <n v="1"/>
    <n v="5944"/>
    <n v="2972"/>
    <n v="62410"/>
    <n v="2972"/>
    <n v="68354"/>
  </r>
  <r>
    <n v="2573"/>
    <x v="6"/>
    <s v="Male"/>
    <n v="59"/>
    <s v="Bangalore"/>
    <x v="0"/>
    <n v="25237"/>
    <d v="2023-03-30T00:00:00"/>
    <n v="16"/>
    <n v="1"/>
    <n v="2524"/>
    <n v="1262"/>
    <n v="26499"/>
    <n v="1262"/>
    <n v="29023"/>
  </r>
  <r>
    <n v="2574"/>
    <x v="0"/>
    <s v="Male"/>
    <n v="52"/>
    <s v="Chennai"/>
    <x v="2"/>
    <n v="83064"/>
    <d v="2023-04-05T00:00:00"/>
    <n v="14"/>
    <n v="3"/>
    <n v="8306"/>
    <n v="4153"/>
    <n v="87217"/>
    <n v="4153"/>
    <n v="95523"/>
  </r>
  <r>
    <n v="2575"/>
    <x v="0"/>
    <s v="Male"/>
    <n v="47"/>
    <s v="Delhi"/>
    <x v="3"/>
    <n v="51099"/>
    <d v="2023-07-15T00:00:00"/>
    <n v="7"/>
    <n v="3"/>
    <n v="5110"/>
    <n v="2555"/>
    <n v="53654"/>
    <n v="2555"/>
    <n v="58764"/>
  </r>
  <r>
    <n v="2576"/>
    <x v="0"/>
    <s v="Male"/>
    <n v="51"/>
    <s v="Chennai"/>
    <x v="0"/>
    <n v="34144"/>
    <d v="2022-03-15T00:00:00"/>
    <n v="15"/>
    <n v="2"/>
    <n v="3414"/>
    <n v="1707"/>
    <n v="35851"/>
    <n v="1707"/>
    <n v="39265"/>
  </r>
  <r>
    <n v="2577"/>
    <x v="9"/>
    <s v="Female"/>
    <n v="60"/>
    <s v="Delhi"/>
    <x v="4"/>
    <n v="75052"/>
    <d v="2023-08-29T00:00:00"/>
    <n v="10"/>
    <n v="1"/>
    <n v="7505"/>
    <n v="3753"/>
    <n v="78804"/>
    <n v="3753"/>
    <n v="86310"/>
  </r>
  <r>
    <n v="2578"/>
    <x v="0"/>
    <s v="Female"/>
    <n v="58"/>
    <s v="Hyderabad"/>
    <x v="4"/>
    <n v="56613"/>
    <d v="2023-01-16T00:00:00"/>
    <n v="13"/>
    <n v="2"/>
    <n v="5661"/>
    <n v="2831"/>
    <n v="59443"/>
    <n v="2831"/>
    <n v="65105"/>
  </r>
  <r>
    <n v="2579"/>
    <x v="2"/>
    <s v="Female"/>
    <n v="26"/>
    <s v="Bangalore"/>
    <x v="4"/>
    <n v="85401"/>
    <d v="2023-11-18T00:00:00"/>
    <n v="13"/>
    <n v="1"/>
    <n v="8540"/>
    <n v="4270"/>
    <n v="89671"/>
    <n v="4270"/>
    <n v="98211"/>
  </r>
  <r>
    <n v="2580"/>
    <x v="6"/>
    <s v="Female"/>
    <n v="27"/>
    <s v="Delhi"/>
    <x v="0"/>
    <n v="72568"/>
    <d v="2022-07-20T00:00:00"/>
    <n v="9"/>
    <n v="5"/>
    <n v="7257"/>
    <n v="3628"/>
    <n v="76197"/>
    <n v="3628"/>
    <n v="83453"/>
  </r>
  <r>
    <n v="2581"/>
    <x v="2"/>
    <s v="Male"/>
    <n v="50"/>
    <s v="Mumbai"/>
    <x v="1"/>
    <n v="34960"/>
    <d v="2022-06-08T00:00:00"/>
    <n v="3"/>
    <n v="4"/>
    <n v="3496"/>
    <n v="1748"/>
    <n v="36708"/>
    <n v="0"/>
    <n v="38456"/>
  </r>
  <r>
    <n v="2582"/>
    <x v="7"/>
    <s v="Female"/>
    <n v="36"/>
    <s v="Hyderabad"/>
    <x v="3"/>
    <n v="79772"/>
    <d v="2023-08-04T00:00:00"/>
    <n v="14"/>
    <n v="4"/>
    <n v="7977"/>
    <n v="3989"/>
    <n v="83760"/>
    <n v="3989"/>
    <n v="91738"/>
  </r>
  <r>
    <n v="2583"/>
    <x v="9"/>
    <s v="Female"/>
    <n v="46"/>
    <s v="Mumbai"/>
    <x v="1"/>
    <n v="28055"/>
    <d v="2023-05-16T00:00:00"/>
    <n v="7"/>
    <n v="2"/>
    <n v="2806"/>
    <n v="1403"/>
    <n v="29458"/>
    <n v="1403"/>
    <n v="32264"/>
  </r>
  <r>
    <n v="2584"/>
    <x v="1"/>
    <s v="Female"/>
    <n v="33"/>
    <s v="Bangalore"/>
    <x v="1"/>
    <n v="20339"/>
    <d v="2023-06-14T00:00:00"/>
    <n v="3"/>
    <n v="2"/>
    <n v="2034"/>
    <n v="1017"/>
    <n v="21356"/>
    <n v="0"/>
    <n v="22373"/>
  </r>
  <r>
    <n v="2585"/>
    <x v="1"/>
    <s v="Male"/>
    <n v="40"/>
    <s v="Mumbai"/>
    <x v="1"/>
    <n v="97131"/>
    <d v="2022-02-04T00:00:00"/>
    <n v="6"/>
    <n v="5"/>
    <n v="9713"/>
    <n v="4857"/>
    <n v="101987"/>
    <n v="4857"/>
    <n v="111701"/>
  </r>
  <r>
    <n v="2586"/>
    <x v="5"/>
    <s v="Female"/>
    <n v="41"/>
    <s v="Chennai"/>
    <x v="4"/>
    <n v="99612"/>
    <d v="2022-05-11T00:00:00"/>
    <n v="13"/>
    <n v="3"/>
    <n v="9961"/>
    <n v="4981"/>
    <n v="104592"/>
    <n v="4981"/>
    <n v="114554"/>
  </r>
  <r>
    <n v="2587"/>
    <x v="7"/>
    <s v="Male"/>
    <n v="32"/>
    <s v="Delhi"/>
    <x v="3"/>
    <n v="79155"/>
    <d v="2023-09-19T00:00:00"/>
    <n v="5"/>
    <n v="2"/>
    <n v="7916"/>
    <n v="3958"/>
    <n v="83113"/>
    <n v="0"/>
    <n v="87071"/>
  </r>
  <r>
    <n v="2588"/>
    <x v="0"/>
    <s v="Male"/>
    <n v="27"/>
    <s v="Hyderabad"/>
    <x v="4"/>
    <n v="48263"/>
    <d v="2023-04-06T00:00:00"/>
    <n v="1"/>
    <n v="4"/>
    <n v="4826"/>
    <n v="2413"/>
    <n v="50676"/>
    <n v="0"/>
    <n v="53089"/>
  </r>
  <r>
    <n v="2589"/>
    <x v="0"/>
    <s v="Male"/>
    <n v="35"/>
    <s v="Bangalore"/>
    <x v="4"/>
    <n v="24541"/>
    <d v="2023-05-17T00:00:00"/>
    <n v="13"/>
    <n v="2"/>
    <n v="2454"/>
    <n v="1227"/>
    <n v="25768"/>
    <n v="1227"/>
    <n v="28222"/>
  </r>
  <r>
    <n v="2590"/>
    <x v="8"/>
    <s v="Female"/>
    <n v="44"/>
    <s v="Hyderabad"/>
    <x v="1"/>
    <n v="44816"/>
    <d v="2024-06-12T00:00:00"/>
    <n v="4"/>
    <n v="5"/>
    <n v="4482"/>
    <n v="2241"/>
    <n v="47057"/>
    <n v="0"/>
    <n v="49298"/>
  </r>
  <r>
    <n v="2591"/>
    <x v="4"/>
    <s v="Female"/>
    <n v="43"/>
    <s v="Hyderabad"/>
    <x v="2"/>
    <n v="61341"/>
    <d v="2023-06-30T00:00:00"/>
    <n v="9"/>
    <n v="4"/>
    <n v="6134"/>
    <n v="3067"/>
    <n v="64408"/>
    <n v="3067"/>
    <n v="70542"/>
  </r>
  <r>
    <n v="2592"/>
    <x v="0"/>
    <s v="Male"/>
    <n v="34"/>
    <s v="Mumbai"/>
    <x v="3"/>
    <n v="63173"/>
    <d v="2023-10-31T00:00:00"/>
    <n v="13"/>
    <n v="3"/>
    <n v="6317"/>
    <n v="3159"/>
    <n v="66331"/>
    <n v="3159"/>
    <n v="72649"/>
  </r>
  <r>
    <n v="2593"/>
    <x v="8"/>
    <s v="Male"/>
    <n v="39"/>
    <s v="Hyderabad"/>
    <x v="3"/>
    <n v="81573"/>
    <d v="2023-11-06T00:00:00"/>
    <n v="2"/>
    <n v="4"/>
    <n v="8157"/>
    <n v="4079"/>
    <n v="85651"/>
    <n v="0"/>
    <n v="89730"/>
  </r>
  <r>
    <n v="2594"/>
    <x v="5"/>
    <s v="Male"/>
    <n v="35"/>
    <s v="Mumbai"/>
    <x v="2"/>
    <n v="93043"/>
    <d v="2024-04-03T00:00:00"/>
    <n v="16"/>
    <n v="5"/>
    <n v="9304"/>
    <n v="4652"/>
    <n v="97695"/>
    <n v="4652"/>
    <n v="106999"/>
  </r>
  <r>
    <n v="2595"/>
    <x v="7"/>
    <s v="Female"/>
    <n v="26"/>
    <s v="Bangalore"/>
    <x v="0"/>
    <n v="80673"/>
    <d v="2023-05-10T00:00:00"/>
    <n v="12"/>
    <n v="4"/>
    <n v="8067"/>
    <n v="4034"/>
    <n v="84706"/>
    <n v="4034"/>
    <n v="92774"/>
  </r>
  <r>
    <n v="2596"/>
    <x v="6"/>
    <s v="Male"/>
    <n v="43"/>
    <s v="Mumbai"/>
    <x v="1"/>
    <n v="79225"/>
    <d v="2022-06-11T00:00:00"/>
    <n v="18"/>
    <n v="1"/>
    <n v="7922"/>
    <n v="3961"/>
    <n v="83186"/>
    <n v="3961"/>
    <n v="91108"/>
  </r>
  <r>
    <n v="2597"/>
    <x v="8"/>
    <s v="Female"/>
    <n v="33"/>
    <s v="Mumbai"/>
    <x v="2"/>
    <n v="81915"/>
    <d v="2022-04-08T00:00:00"/>
    <n v="1"/>
    <n v="1"/>
    <n v="8192"/>
    <n v="4096"/>
    <n v="86011"/>
    <n v="0"/>
    <n v="90107"/>
  </r>
  <r>
    <n v="2598"/>
    <x v="1"/>
    <s v="Female"/>
    <n v="37"/>
    <s v="Chennai"/>
    <x v="2"/>
    <n v="28421"/>
    <d v="2022-07-07T00:00:00"/>
    <n v="12"/>
    <n v="5"/>
    <n v="2842"/>
    <n v="1421"/>
    <n v="29842"/>
    <n v="1421"/>
    <n v="32684"/>
  </r>
  <r>
    <n v="2599"/>
    <x v="8"/>
    <s v="Female"/>
    <n v="26"/>
    <s v="Chennai"/>
    <x v="1"/>
    <n v="28954"/>
    <d v="2023-12-31T00:00:00"/>
    <n v="4"/>
    <n v="3"/>
    <n v="2895"/>
    <n v="1448"/>
    <n v="30401"/>
    <n v="0"/>
    <n v="31849"/>
  </r>
  <r>
    <n v="2600"/>
    <x v="4"/>
    <s v="Male"/>
    <n v="44"/>
    <s v="Mumbai"/>
    <x v="1"/>
    <n v="83663"/>
    <d v="2022-05-02T00:00:00"/>
    <n v="7"/>
    <n v="2"/>
    <n v="8366"/>
    <n v="4183"/>
    <n v="87846"/>
    <n v="4183"/>
    <n v="96212"/>
  </r>
  <r>
    <n v="2601"/>
    <x v="0"/>
    <s v="Female"/>
    <n v="39"/>
    <s v="Hyderabad"/>
    <x v="1"/>
    <n v="27348"/>
    <d v="2024-07-25T00:00:00"/>
    <n v="6"/>
    <n v="2"/>
    <n v="2735"/>
    <n v="1367"/>
    <n v="28716"/>
    <n v="1367"/>
    <n v="31450"/>
  </r>
  <r>
    <n v="2602"/>
    <x v="7"/>
    <s v="Male"/>
    <n v="34"/>
    <s v="Delhi"/>
    <x v="3"/>
    <n v="22584"/>
    <d v="2024-07-08T00:00:00"/>
    <n v="13"/>
    <n v="5"/>
    <n v="2258"/>
    <n v="1129"/>
    <n v="23713"/>
    <n v="1129"/>
    <n v="25971"/>
  </r>
  <r>
    <n v="2603"/>
    <x v="9"/>
    <s v="Male"/>
    <n v="41"/>
    <s v="Bangalore"/>
    <x v="1"/>
    <n v="60323"/>
    <d v="2023-11-27T00:00:00"/>
    <n v="2"/>
    <n v="5"/>
    <n v="6032"/>
    <n v="3016"/>
    <n v="63339"/>
    <n v="0"/>
    <n v="66355"/>
  </r>
  <r>
    <n v="2604"/>
    <x v="0"/>
    <s v="Male"/>
    <n v="60"/>
    <s v="Mumbai"/>
    <x v="2"/>
    <n v="84444"/>
    <d v="2022-05-08T00:00:00"/>
    <n v="1"/>
    <n v="5"/>
    <n v="8444"/>
    <n v="4222"/>
    <n v="88666"/>
    <n v="0"/>
    <n v="92888"/>
  </r>
  <r>
    <n v="2605"/>
    <x v="3"/>
    <s v="Female"/>
    <n v="43"/>
    <s v="Bangalore"/>
    <x v="0"/>
    <n v="82218"/>
    <d v="2024-01-04T00:00:00"/>
    <n v="10"/>
    <n v="2"/>
    <n v="8222"/>
    <n v="4111"/>
    <n v="86329"/>
    <n v="4111"/>
    <n v="94551"/>
  </r>
  <r>
    <n v="2606"/>
    <x v="0"/>
    <s v="Male"/>
    <n v="22"/>
    <s v="Delhi"/>
    <x v="4"/>
    <n v="64626"/>
    <d v="2022-09-20T00:00:00"/>
    <n v="16"/>
    <n v="4"/>
    <n v="6463"/>
    <n v="3231"/>
    <n v="67858"/>
    <n v="3231"/>
    <n v="74320"/>
  </r>
  <r>
    <n v="2607"/>
    <x v="9"/>
    <s v="Male"/>
    <n v="22"/>
    <s v="Mumbai"/>
    <x v="2"/>
    <n v="76739"/>
    <d v="2024-06-25T00:00:00"/>
    <n v="16"/>
    <n v="1"/>
    <n v="7674"/>
    <n v="3837"/>
    <n v="80576"/>
    <n v="3837"/>
    <n v="88250"/>
  </r>
  <r>
    <n v="2608"/>
    <x v="1"/>
    <s v="Male"/>
    <n v="23"/>
    <s v="Chennai"/>
    <x v="1"/>
    <n v="20396"/>
    <d v="2022-03-11T00:00:00"/>
    <n v="9"/>
    <n v="5"/>
    <n v="2040"/>
    <n v="1020"/>
    <n v="21416"/>
    <n v="1020"/>
    <n v="23456"/>
  </r>
  <r>
    <n v="2609"/>
    <x v="2"/>
    <s v="Male"/>
    <n v="45"/>
    <s v="Mumbai"/>
    <x v="3"/>
    <n v="31170"/>
    <d v="2023-05-15T00:00:00"/>
    <n v="11"/>
    <n v="1"/>
    <n v="3117"/>
    <n v="1558"/>
    <n v="32729"/>
    <n v="1558"/>
    <n v="35845"/>
  </r>
  <r>
    <n v="2610"/>
    <x v="4"/>
    <s v="Male"/>
    <n v="47"/>
    <s v="Bangalore"/>
    <x v="2"/>
    <n v="55361"/>
    <d v="2022-03-25T00:00:00"/>
    <n v="14"/>
    <n v="4"/>
    <n v="5536"/>
    <n v="2768"/>
    <n v="58129"/>
    <n v="2768"/>
    <n v="63665"/>
  </r>
  <r>
    <n v="2611"/>
    <x v="8"/>
    <s v="Female"/>
    <n v="49"/>
    <s v="Bangalore"/>
    <x v="1"/>
    <n v="67471"/>
    <d v="2023-05-20T00:00:00"/>
    <n v="11"/>
    <n v="3"/>
    <n v="6747"/>
    <n v="3374"/>
    <n v="70844"/>
    <n v="3374"/>
    <n v="77592"/>
  </r>
  <r>
    <n v="2612"/>
    <x v="7"/>
    <s v="Male"/>
    <n v="59"/>
    <s v="Mumbai"/>
    <x v="0"/>
    <n v="91346"/>
    <d v="2023-06-27T00:00:00"/>
    <n v="4"/>
    <n v="2"/>
    <n v="9135"/>
    <n v="4567"/>
    <n v="95914"/>
    <n v="0"/>
    <n v="100481"/>
  </r>
  <r>
    <n v="2613"/>
    <x v="2"/>
    <s v="Female"/>
    <n v="54"/>
    <s v="Hyderabad"/>
    <x v="1"/>
    <n v="72160"/>
    <d v="2024-07-04T00:00:00"/>
    <n v="15"/>
    <n v="3"/>
    <n v="7216"/>
    <n v="3608"/>
    <n v="75768"/>
    <n v="3608"/>
    <n v="82984"/>
  </r>
  <r>
    <n v="2614"/>
    <x v="4"/>
    <s v="Female"/>
    <n v="60"/>
    <s v="Hyderabad"/>
    <x v="4"/>
    <n v="53447"/>
    <d v="2023-12-18T00:00:00"/>
    <n v="13"/>
    <n v="3"/>
    <n v="5345"/>
    <n v="2672"/>
    <n v="56120"/>
    <n v="2672"/>
    <n v="61464"/>
  </r>
  <r>
    <n v="2615"/>
    <x v="7"/>
    <s v="Male"/>
    <n v="50"/>
    <s v="Mumbai"/>
    <x v="3"/>
    <n v="25917"/>
    <d v="2024-05-20T00:00:00"/>
    <n v="3"/>
    <n v="5"/>
    <n v="2592"/>
    <n v="1296"/>
    <n v="27213"/>
    <n v="0"/>
    <n v="28509"/>
  </r>
  <r>
    <n v="2616"/>
    <x v="1"/>
    <s v="Male"/>
    <n v="31"/>
    <s v="Bangalore"/>
    <x v="1"/>
    <n v="39805"/>
    <d v="2022-05-27T00:00:00"/>
    <n v="12"/>
    <n v="1"/>
    <n v="3980"/>
    <n v="1990"/>
    <n v="41795"/>
    <n v="1990"/>
    <n v="45775"/>
  </r>
  <r>
    <n v="2617"/>
    <x v="4"/>
    <s v="Male"/>
    <n v="43"/>
    <s v="Delhi"/>
    <x v="1"/>
    <n v="54852"/>
    <d v="2024-07-08T00:00:00"/>
    <n v="1"/>
    <n v="5"/>
    <n v="5485"/>
    <n v="2743"/>
    <n v="57594"/>
    <n v="0"/>
    <n v="60337"/>
  </r>
  <r>
    <n v="2618"/>
    <x v="1"/>
    <s v="Male"/>
    <n v="27"/>
    <s v="Hyderabad"/>
    <x v="1"/>
    <n v="70988"/>
    <d v="2022-08-20T00:00:00"/>
    <n v="18"/>
    <n v="2"/>
    <n v="7099"/>
    <n v="3549"/>
    <n v="74538"/>
    <n v="3549"/>
    <n v="81636"/>
  </r>
  <r>
    <n v="2619"/>
    <x v="9"/>
    <s v="Female"/>
    <n v="35"/>
    <s v="Delhi"/>
    <x v="0"/>
    <n v="64425"/>
    <d v="2024-05-26T00:00:00"/>
    <n v="6"/>
    <n v="4"/>
    <n v="6442"/>
    <n v="3221"/>
    <n v="67646"/>
    <n v="3221"/>
    <n v="74088"/>
  </r>
  <r>
    <n v="2620"/>
    <x v="6"/>
    <s v="Female"/>
    <n v="45"/>
    <s v="Hyderabad"/>
    <x v="0"/>
    <n v="75043"/>
    <d v="2024-08-31T00:00:00"/>
    <n v="12"/>
    <n v="3"/>
    <n v="7504"/>
    <n v="3752"/>
    <n v="78795"/>
    <n v="3752"/>
    <n v="86299"/>
  </r>
  <r>
    <n v="2621"/>
    <x v="8"/>
    <s v="Female"/>
    <n v="46"/>
    <s v="Chennai"/>
    <x v="4"/>
    <n v="89651"/>
    <d v="2024-06-29T00:00:00"/>
    <n v="3"/>
    <n v="4"/>
    <n v="8965"/>
    <n v="4483"/>
    <n v="94133"/>
    <n v="0"/>
    <n v="98616"/>
  </r>
  <r>
    <n v="2622"/>
    <x v="4"/>
    <s v="Female"/>
    <n v="46"/>
    <s v="Delhi"/>
    <x v="2"/>
    <n v="83743"/>
    <d v="2023-07-30T00:00:00"/>
    <n v="17"/>
    <n v="4"/>
    <n v="8374"/>
    <n v="4187"/>
    <n v="87930"/>
    <n v="4187"/>
    <n v="96304"/>
  </r>
  <r>
    <n v="2623"/>
    <x v="2"/>
    <s v="Female"/>
    <n v="49"/>
    <s v="Mumbai"/>
    <x v="0"/>
    <n v="57300"/>
    <d v="2022-05-11T00:00:00"/>
    <n v="11"/>
    <n v="2"/>
    <n v="5730"/>
    <n v="2865"/>
    <n v="60165"/>
    <n v="2865"/>
    <n v="65895"/>
  </r>
  <r>
    <n v="2624"/>
    <x v="2"/>
    <s v="Female"/>
    <n v="53"/>
    <s v="Mumbai"/>
    <x v="4"/>
    <n v="51669"/>
    <d v="2023-09-26T00:00:00"/>
    <n v="13"/>
    <n v="3"/>
    <n v="5167"/>
    <n v="2583"/>
    <n v="54253"/>
    <n v="2583"/>
    <n v="59419"/>
  </r>
  <r>
    <n v="2625"/>
    <x v="4"/>
    <s v="Female"/>
    <n v="59"/>
    <s v="Bangalore"/>
    <x v="0"/>
    <n v="44943"/>
    <d v="2022-06-30T00:00:00"/>
    <n v="2"/>
    <n v="5"/>
    <n v="4494"/>
    <n v="2247"/>
    <n v="47190"/>
    <n v="0"/>
    <n v="49437"/>
  </r>
  <r>
    <n v="2626"/>
    <x v="3"/>
    <s v="Male"/>
    <n v="59"/>
    <s v="Bangalore"/>
    <x v="0"/>
    <n v="36917"/>
    <d v="2024-09-04T00:00:00"/>
    <n v="8"/>
    <n v="2"/>
    <n v="3692"/>
    <n v="1846"/>
    <n v="38763"/>
    <n v="1846"/>
    <n v="42455"/>
  </r>
  <r>
    <n v="2627"/>
    <x v="4"/>
    <s v="Male"/>
    <n v="39"/>
    <s v="Bangalore"/>
    <x v="1"/>
    <n v="26795"/>
    <d v="2022-12-13T00:00:00"/>
    <n v="9"/>
    <n v="4"/>
    <n v="2680"/>
    <n v="1340"/>
    <n v="28135"/>
    <n v="1340"/>
    <n v="30815"/>
  </r>
  <r>
    <n v="2628"/>
    <x v="8"/>
    <s v="Male"/>
    <n v="23"/>
    <s v="Delhi"/>
    <x v="2"/>
    <n v="24897"/>
    <d v="2024-04-11T00:00:00"/>
    <n v="13"/>
    <n v="2"/>
    <n v="2490"/>
    <n v="1245"/>
    <n v="26142"/>
    <n v="1245"/>
    <n v="28632"/>
  </r>
  <r>
    <n v="2629"/>
    <x v="8"/>
    <s v="Male"/>
    <n v="59"/>
    <s v="Chennai"/>
    <x v="3"/>
    <n v="43120"/>
    <d v="2022-02-11T00:00:00"/>
    <n v="16"/>
    <n v="5"/>
    <n v="4312"/>
    <n v="2156"/>
    <n v="45276"/>
    <n v="2156"/>
    <n v="49588"/>
  </r>
  <r>
    <n v="2630"/>
    <x v="9"/>
    <s v="Male"/>
    <n v="41"/>
    <s v="Chennai"/>
    <x v="0"/>
    <n v="29920"/>
    <d v="2022-12-17T00:00:00"/>
    <n v="14"/>
    <n v="1"/>
    <n v="2992"/>
    <n v="1496"/>
    <n v="31416"/>
    <n v="1496"/>
    <n v="34408"/>
  </r>
  <r>
    <n v="2631"/>
    <x v="9"/>
    <s v="Female"/>
    <n v="22"/>
    <s v="Bangalore"/>
    <x v="1"/>
    <n v="73895"/>
    <d v="2023-12-11T00:00:00"/>
    <n v="13"/>
    <n v="5"/>
    <n v="7390"/>
    <n v="3695"/>
    <n v="77590"/>
    <n v="3695"/>
    <n v="84980"/>
  </r>
  <r>
    <n v="2632"/>
    <x v="3"/>
    <s v="Male"/>
    <n v="43"/>
    <s v="Delhi"/>
    <x v="1"/>
    <n v="86451"/>
    <d v="2024-01-04T00:00:00"/>
    <n v="6"/>
    <n v="1"/>
    <n v="8645"/>
    <n v="4323"/>
    <n v="90773"/>
    <n v="4323"/>
    <n v="99419"/>
  </r>
  <r>
    <n v="2633"/>
    <x v="8"/>
    <s v="Male"/>
    <n v="26"/>
    <s v="Hyderabad"/>
    <x v="1"/>
    <n v="77969"/>
    <d v="2022-04-22T00:00:00"/>
    <n v="10"/>
    <n v="4"/>
    <n v="7797"/>
    <n v="3898"/>
    <n v="81868"/>
    <n v="3898"/>
    <n v="89664"/>
  </r>
  <r>
    <n v="2634"/>
    <x v="2"/>
    <s v="Male"/>
    <n v="46"/>
    <s v="Delhi"/>
    <x v="4"/>
    <n v="68928"/>
    <d v="2023-08-21T00:00:00"/>
    <n v="4"/>
    <n v="5"/>
    <n v="6893"/>
    <n v="3446"/>
    <n v="72375"/>
    <n v="0"/>
    <n v="75821"/>
  </r>
  <r>
    <n v="2635"/>
    <x v="6"/>
    <s v="Female"/>
    <n v="28"/>
    <s v="Hyderabad"/>
    <x v="0"/>
    <n v="95204"/>
    <d v="2022-06-16T00:00:00"/>
    <n v="1"/>
    <n v="4"/>
    <n v="9520"/>
    <n v="4760"/>
    <n v="99964"/>
    <n v="0"/>
    <n v="104724"/>
  </r>
  <r>
    <n v="2636"/>
    <x v="1"/>
    <s v="Male"/>
    <n v="37"/>
    <s v="Delhi"/>
    <x v="4"/>
    <n v="86488"/>
    <d v="2022-06-09T00:00:00"/>
    <n v="1"/>
    <n v="4"/>
    <n v="8649"/>
    <n v="4324"/>
    <n v="90813"/>
    <n v="0"/>
    <n v="95137"/>
  </r>
  <r>
    <n v="2637"/>
    <x v="7"/>
    <s v="Male"/>
    <n v="38"/>
    <s v="Delhi"/>
    <x v="4"/>
    <n v="61276"/>
    <d v="2023-03-13T00:00:00"/>
    <n v="10"/>
    <n v="2"/>
    <n v="6128"/>
    <n v="3064"/>
    <n v="64340"/>
    <n v="3064"/>
    <n v="70468"/>
  </r>
  <r>
    <n v="2638"/>
    <x v="2"/>
    <s v="Male"/>
    <n v="57"/>
    <s v="Bangalore"/>
    <x v="3"/>
    <n v="80706"/>
    <d v="2024-07-10T00:00:00"/>
    <n v="19"/>
    <n v="3"/>
    <n v="8071"/>
    <n v="4035"/>
    <n v="84742"/>
    <n v="4035"/>
    <n v="92812"/>
  </r>
  <r>
    <n v="2639"/>
    <x v="5"/>
    <s v="Female"/>
    <n v="23"/>
    <s v="Chennai"/>
    <x v="1"/>
    <n v="54006"/>
    <d v="2023-08-23T00:00:00"/>
    <n v="11"/>
    <n v="3"/>
    <n v="5401"/>
    <n v="2700"/>
    <n v="56707"/>
    <n v="2700"/>
    <n v="62107"/>
  </r>
  <r>
    <n v="2640"/>
    <x v="1"/>
    <s v="Male"/>
    <n v="21"/>
    <s v="Chennai"/>
    <x v="4"/>
    <n v="80792"/>
    <d v="2022-12-08T00:00:00"/>
    <n v="7"/>
    <n v="2"/>
    <n v="8079"/>
    <n v="4040"/>
    <n v="84831"/>
    <n v="4040"/>
    <n v="92911"/>
  </r>
  <r>
    <n v="2641"/>
    <x v="6"/>
    <s v="Female"/>
    <n v="49"/>
    <s v="Mumbai"/>
    <x v="2"/>
    <n v="88295"/>
    <d v="2022-01-01T00:00:00"/>
    <n v="6"/>
    <n v="4"/>
    <n v="8830"/>
    <n v="4415"/>
    <n v="92710"/>
    <n v="4415"/>
    <n v="101540"/>
  </r>
  <r>
    <n v="2642"/>
    <x v="8"/>
    <s v="Female"/>
    <n v="40"/>
    <s v="Mumbai"/>
    <x v="1"/>
    <n v="94863"/>
    <d v="2023-09-26T00:00:00"/>
    <n v="17"/>
    <n v="4"/>
    <n v="9486"/>
    <n v="4743"/>
    <n v="99606"/>
    <n v="4743"/>
    <n v="109092"/>
  </r>
  <r>
    <n v="2643"/>
    <x v="5"/>
    <s v="Male"/>
    <n v="21"/>
    <s v="Mumbai"/>
    <x v="4"/>
    <n v="67443"/>
    <d v="2024-07-27T00:00:00"/>
    <n v="14"/>
    <n v="1"/>
    <n v="6744"/>
    <n v="3372"/>
    <n v="70815"/>
    <n v="3372"/>
    <n v="77559"/>
  </r>
  <r>
    <n v="2644"/>
    <x v="5"/>
    <s v="Female"/>
    <n v="37"/>
    <s v="Hyderabad"/>
    <x v="1"/>
    <n v="66860"/>
    <d v="2022-08-29T00:00:00"/>
    <n v="1"/>
    <n v="1"/>
    <n v="6686"/>
    <n v="3343"/>
    <n v="70203"/>
    <n v="0"/>
    <n v="73546"/>
  </r>
  <r>
    <n v="2645"/>
    <x v="0"/>
    <s v="Female"/>
    <n v="52"/>
    <s v="Hyderabad"/>
    <x v="4"/>
    <n v="73972"/>
    <d v="2022-04-13T00:00:00"/>
    <n v="18"/>
    <n v="3"/>
    <n v="7397"/>
    <n v="3699"/>
    <n v="77670"/>
    <n v="3699"/>
    <n v="85068"/>
  </r>
  <r>
    <n v="2646"/>
    <x v="5"/>
    <s v="Male"/>
    <n v="32"/>
    <s v="Hyderabad"/>
    <x v="2"/>
    <n v="73804"/>
    <d v="2023-10-06T00:00:00"/>
    <n v="2"/>
    <n v="4"/>
    <n v="7380"/>
    <n v="3690"/>
    <n v="77494"/>
    <n v="0"/>
    <n v="81184"/>
  </r>
  <r>
    <n v="2647"/>
    <x v="0"/>
    <s v="Male"/>
    <n v="42"/>
    <s v="Bangalore"/>
    <x v="0"/>
    <n v="39885"/>
    <d v="2024-03-29T00:00:00"/>
    <n v="8"/>
    <n v="1"/>
    <n v="3988"/>
    <n v="1994"/>
    <n v="41879"/>
    <n v="1994"/>
    <n v="45867"/>
  </r>
  <r>
    <n v="2648"/>
    <x v="5"/>
    <s v="Male"/>
    <n v="60"/>
    <s v="Hyderabad"/>
    <x v="3"/>
    <n v="80253"/>
    <d v="2023-11-24T00:00:00"/>
    <n v="15"/>
    <n v="2"/>
    <n v="8025"/>
    <n v="4013"/>
    <n v="84265"/>
    <n v="4013"/>
    <n v="92291"/>
  </r>
  <r>
    <n v="2649"/>
    <x v="9"/>
    <s v="Female"/>
    <n v="52"/>
    <s v="Chennai"/>
    <x v="4"/>
    <n v="25241"/>
    <d v="2022-08-17T00:00:00"/>
    <n v="17"/>
    <n v="1"/>
    <n v="2524"/>
    <n v="1262"/>
    <n v="26503"/>
    <n v="1262"/>
    <n v="29027"/>
  </r>
  <r>
    <n v="2650"/>
    <x v="5"/>
    <s v="Male"/>
    <n v="59"/>
    <s v="Mumbai"/>
    <x v="3"/>
    <n v="91551"/>
    <d v="2023-09-30T00:00:00"/>
    <n v="17"/>
    <n v="2"/>
    <n v="9155"/>
    <n v="4578"/>
    <n v="96128"/>
    <n v="4578"/>
    <n v="105284"/>
  </r>
  <r>
    <n v="2651"/>
    <x v="1"/>
    <s v="Female"/>
    <n v="31"/>
    <s v="Mumbai"/>
    <x v="3"/>
    <n v="90511"/>
    <d v="2023-02-05T00:00:00"/>
    <n v="16"/>
    <n v="3"/>
    <n v="9051"/>
    <n v="4526"/>
    <n v="95036"/>
    <n v="4526"/>
    <n v="104088"/>
  </r>
  <r>
    <n v="2652"/>
    <x v="2"/>
    <s v="Male"/>
    <n v="49"/>
    <s v="Hyderabad"/>
    <x v="4"/>
    <n v="24817"/>
    <d v="2022-05-25T00:00:00"/>
    <n v="5"/>
    <n v="1"/>
    <n v="2482"/>
    <n v="1241"/>
    <n v="26058"/>
    <n v="0"/>
    <n v="27299"/>
  </r>
  <r>
    <n v="2653"/>
    <x v="2"/>
    <s v="Male"/>
    <n v="33"/>
    <s v="Hyderabad"/>
    <x v="2"/>
    <n v="82639"/>
    <d v="2022-03-30T00:00:00"/>
    <n v="14"/>
    <n v="4"/>
    <n v="8264"/>
    <n v="4132"/>
    <n v="86771"/>
    <n v="4132"/>
    <n v="95035"/>
  </r>
  <r>
    <n v="2654"/>
    <x v="1"/>
    <s v="Female"/>
    <n v="35"/>
    <s v="Delhi"/>
    <x v="3"/>
    <n v="36021"/>
    <d v="2023-04-18T00:00:00"/>
    <n v="5"/>
    <n v="4"/>
    <n v="3602"/>
    <n v="1801"/>
    <n v="37822"/>
    <n v="0"/>
    <n v="39623"/>
  </r>
  <r>
    <n v="2655"/>
    <x v="3"/>
    <s v="Female"/>
    <n v="39"/>
    <s v="Delhi"/>
    <x v="2"/>
    <n v="49438"/>
    <d v="2024-05-07T00:00:00"/>
    <n v="1"/>
    <n v="5"/>
    <n v="4944"/>
    <n v="2472"/>
    <n v="51910"/>
    <n v="0"/>
    <n v="54382"/>
  </r>
  <r>
    <n v="2656"/>
    <x v="1"/>
    <s v="Male"/>
    <n v="36"/>
    <s v="Hyderabad"/>
    <x v="1"/>
    <n v="59246"/>
    <d v="2024-08-20T00:00:00"/>
    <n v="7"/>
    <n v="5"/>
    <n v="5925"/>
    <n v="2962"/>
    <n v="62209"/>
    <n v="2962"/>
    <n v="68133"/>
  </r>
  <r>
    <n v="2657"/>
    <x v="6"/>
    <s v="Female"/>
    <n v="27"/>
    <s v="Delhi"/>
    <x v="2"/>
    <n v="25941"/>
    <d v="2024-01-07T00:00:00"/>
    <n v="2"/>
    <n v="5"/>
    <n v="2594"/>
    <n v="1297"/>
    <n v="27238"/>
    <n v="0"/>
    <n v="28535"/>
  </r>
  <r>
    <n v="2658"/>
    <x v="5"/>
    <s v="Male"/>
    <n v="23"/>
    <s v="Chennai"/>
    <x v="2"/>
    <n v="90432"/>
    <d v="2023-12-29T00:00:00"/>
    <n v="8"/>
    <n v="4"/>
    <n v="9043"/>
    <n v="4522"/>
    <n v="94953"/>
    <n v="4522"/>
    <n v="103997"/>
  </r>
  <r>
    <n v="2659"/>
    <x v="8"/>
    <s v="Female"/>
    <n v="23"/>
    <s v="Chennai"/>
    <x v="3"/>
    <n v="35427"/>
    <d v="2022-03-11T00:00:00"/>
    <n v="17"/>
    <n v="2"/>
    <n v="3543"/>
    <n v="1771"/>
    <n v="37199"/>
    <n v="1771"/>
    <n v="40741"/>
  </r>
  <r>
    <n v="2660"/>
    <x v="0"/>
    <s v="Male"/>
    <n v="26"/>
    <s v="Bangalore"/>
    <x v="1"/>
    <n v="90461"/>
    <d v="2022-08-19T00:00:00"/>
    <n v="20"/>
    <n v="5"/>
    <n v="9046"/>
    <n v="4523"/>
    <n v="94984"/>
    <n v="4523"/>
    <n v="104030"/>
  </r>
  <r>
    <n v="2661"/>
    <x v="4"/>
    <s v="Male"/>
    <n v="47"/>
    <s v="Chennai"/>
    <x v="4"/>
    <n v="34657"/>
    <d v="2022-10-15T00:00:00"/>
    <n v="14"/>
    <n v="4"/>
    <n v="3466"/>
    <n v="1733"/>
    <n v="36390"/>
    <n v="1733"/>
    <n v="39856"/>
  </r>
  <r>
    <n v="2662"/>
    <x v="7"/>
    <s v="Male"/>
    <n v="33"/>
    <s v="Bangalore"/>
    <x v="0"/>
    <n v="38350"/>
    <d v="2024-09-09T00:00:00"/>
    <n v="14"/>
    <n v="2"/>
    <n v="3835"/>
    <n v="1918"/>
    <n v="40267"/>
    <n v="1918"/>
    <n v="44103"/>
  </r>
  <r>
    <n v="2663"/>
    <x v="9"/>
    <s v="Male"/>
    <n v="43"/>
    <s v="Delhi"/>
    <x v="1"/>
    <n v="95738"/>
    <d v="2022-11-25T00:00:00"/>
    <n v="9"/>
    <n v="4"/>
    <n v="9574"/>
    <n v="4787"/>
    <n v="100525"/>
    <n v="4787"/>
    <n v="110099"/>
  </r>
  <r>
    <n v="2664"/>
    <x v="8"/>
    <s v="Male"/>
    <n v="55"/>
    <s v="Mumbai"/>
    <x v="0"/>
    <n v="39481"/>
    <d v="2022-08-08T00:00:00"/>
    <n v="14"/>
    <n v="1"/>
    <n v="3948"/>
    <n v="1974"/>
    <n v="41455"/>
    <n v="1974"/>
    <n v="45403"/>
  </r>
  <r>
    <n v="2665"/>
    <x v="3"/>
    <s v="Female"/>
    <n v="24"/>
    <s v="Delhi"/>
    <x v="1"/>
    <n v="61438"/>
    <d v="2023-02-28T00:00:00"/>
    <n v="19"/>
    <n v="3"/>
    <n v="6144"/>
    <n v="3072"/>
    <n v="64510"/>
    <n v="3072"/>
    <n v="70654"/>
  </r>
  <r>
    <n v="2666"/>
    <x v="9"/>
    <s v="Male"/>
    <n v="26"/>
    <s v="Chennai"/>
    <x v="3"/>
    <n v="29908"/>
    <d v="2023-01-26T00:00:00"/>
    <n v="20"/>
    <n v="1"/>
    <n v="2991"/>
    <n v="1495"/>
    <n v="31404"/>
    <n v="1495"/>
    <n v="34394"/>
  </r>
  <r>
    <n v="2667"/>
    <x v="9"/>
    <s v="Female"/>
    <n v="29"/>
    <s v="Chennai"/>
    <x v="0"/>
    <n v="27053"/>
    <d v="2023-07-09T00:00:00"/>
    <n v="5"/>
    <n v="5"/>
    <n v="2705"/>
    <n v="1353"/>
    <n v="28405"/>
    <n v="0"/>
    <n v="29758"/>
  </r>
  <r>
    <n v="2668"/>
    <x v="9"/>
    <s v="Female"/>
    <n v="37"/>
    <s v="Hyderabad"/>
    <x v="0"/>
    <n v="48490"/>
    <d v="2023-07-17T00:00:00"/>
    <n v="11"/>
    <n v="2"/>
    <n v="4849"/>
    <n v="2424"/>
    <n v="50915"/>
    <n v="2424"/>
    <n v="55763"/>
  </r>
  <r>
    <n v="2669"/>
    <x v="3"/>
    <s v="Male"/>
    <n v="48"/>
    <s v="Bangalore"/>
    <x v="2"/>
    <n v="58856"/>
    <d v="2024-01-29T00:00:00"/>
    <n v="4"/>
    <n v="3"/>
    <n v="5886"/>
    <n v="2943"/>
    <n v="61799"/>
    <n v="0"/>
    <n v="64742"/>
  </r>
  <r>
    <n v="2670"/>
    <x v="5"/>
    <s v="Female"/>
    <n v="39"/>
    <s v="Chennai"/>
    <x v="4"/>
    <n v="97941"/>
    <d v="2023-11-26T00:00:00"/>
    <n v="19"/>
    <n v="5"/>
    <n v="9794"/>
    <n v="4897"/>
    <n v="102838"/>
    <n v="4897"/>
    <n v="112632"/>
  </r>
  <r>
    <n v="2671"/>
    <x v="8"/>
    <s v="Female"/>
    <n v="30"/>
    <s v="Mumbai"/>
    <x v="4"/>
    <n v="27074"/>
    <d v="2022-11-26T00:00:00"/>
    <n v="16"/>
    <n v="3"/>
    <n v="2707"/>
    <n v="1354"/>
    <n v="28427"/>
    <n v="1354"/>
    <n v="31135"/>
  </r>
  <r>
    <n v="2672"/>
    <x v="3"/>
    <s v="Male"/>
    <n v="46"/>
    <s v="Delhi"/>
    <x v="2"/>
    <n v="46844"/>
    <d v="2023-02-24T00:00:00"/>
    <n v="2"/>
    <n v="5"/>
    <n v="4684"/>
    <n v="2342"/>
    <n v="49186"/>
    <n v="0"/>
    <n v="51528"/>
  </r>
  <r>
    <n v="2673"/>
    <x v="6"/>
    <s v="Female"/>
    <n v="55"/>
    <s v="Mumbai"/>
    <x v="0"/>
    <n v="78412"/>
    <d v="2023-10-21T00:00:00"/>
    <n v="10"/>
    <n v="1"/>
    <n v="7841"/>
    <n v="3921"/>
    <n v="82332"/>
    <n v="3921"/>
    <n v="90174"/>
  </r>
  <r>
    <n v="2674"/>
    <x v="8"/>
    <s v="Female"/>
    <n v="38"/>
    <s v="Delhi"/>
    <x v="3"/>
    <n v="27449"/>
    <d v="2022-05-25T00:00:00"/>
    <n v="13"/>
    <n v="5"/>
    <n v="2745"/>
    <n v="1372"/>
    <n v="28822"/>
    <n v="1372"/>
    <n v="31566"/>
  </r>
  <r>
    <n v="2675"/>
    <x v="9"/>
    <s v="Female"/>
    <n v="39"/>
    <s v="Chennai"/>
    <x v="1"/>
    <n v="26020"/>
    <d v="2024-09-21T00:00:00"/>
    <n v="4"/>
    <n v="2"/>
    <n v="2602"/>
    <n v="1301"/>
    <n v="27321"/>
    <n v="0"/>
    <n v="28622"/>
  </r>
  <r>
    <n v="2676"/>
    <x v="5"/>
    <s v="Male"/>
    <n v="34"/>
    <s v="Delhi"/>
    <x v="0"/>
    <n v="41068"/>
    <d v="2024-03-26T00:00:00"/>
    <n v="6"/>
    <n v="5"/>
    <n v="4107"/>
    <n v="2053"/>
    <n v="43122"/>
    <n v="2053"/>
    <n v="47228"/>
  </r>
  <r>
    <n v="2677"/>
    <x v="9"/>
    <s v="Female"/>
    <n v="47"/>
    <s v="Mumbai"/>
    <x v="4"/>
    <n v="33061"/>
    <d v="2022-10-16T00:00:00"/>
    <n v="8"/>
    <n v="4"/>
    <n v="3306"/>
    <n v="1653"/>
    <n v="34714"/>
    <n v="1653"/>
    <n v="38020"/>
  </r>
  <r>
    <n v="2678"/>
    <x v="1"/>
    <s v="Female"/>
    <n v="27"/>
    <s v="Delhi"/>
    <x v="0"/>
    <n v="61812"/>
    <d v="2022-08-29T00:00:00"/>
    <n v="1"/>
    <n v="4"/>
    <n v="6181"/>
    <n v="3091"/>
    <n v="64902"/>
    <n v="0"/>
    <n v="67993"/>
  </r>
  <r>
    <n v="2679"/>
    <x v="0"/>
    <s v="Male"/>
    <n v="46"/>
    <s v="Mumbai"/>
    <x v="4"/>
    <n v="91499"/>
    <d v="2022-02-03T00:00:00"/>
    <n v="13"/>
    <n v="2"/>
    <n v="9150"/>
    <n v="4575"/>
    <n v="96074"/>
    <n v="4575"/>
    <n v="105224"/>
  </r>
  <r>
    <n v="2680"/>
    <x v="4"/>
    <s v="Female"/>
    <n v="27"/>
    <s v="Mumbai"/>
    <x v="0"/>
    <n v="44203"/>
    <d v="2022-07-11T00:00:00"/>
    <n v="10"/>
    <n v="1"/>
    <n v="4420"/>
    <n v="2210"/>
    <n v="46413"/>
    <n v="2210"/>
    <n v="50833"/>
  </r>
  <r>
    <n v="2681"/>
    <x v="1"/>
    <s v="Female"/>
    <n v="23"/>
    <s v="Mumbai"/>
    <x v="4"/>
    <n v="93108"/>
    <d v="2022-12-07T00:00:00"/>
    <n v="16"/>
    <n v="5"/>
    <n v="9311"/>
    <n v="4655"/>
    <n v="97764"/>
    <n v="4655"/>
    <n v="107074"/>
  </r>
  <r>
    <n v="2682"/>
    <x v="0"/>
    <s v="Male"/>
    <n v="50"/>
    <s v="Mumbai"/>
    <x v="0"/>
    <n v="25041"/>
    <d v="2024-08-20T00:00:00"/>
    <n v="3"/>
    <n v="1"/>
    <n v="2504"/>
    <n v="1252"/>
    <n v="26293"/>
    <n v="0"/>
    <n v="27545"/>
  </r>
  <r>
    <n v="2683"/>
    <x v="4"/>
    <s v="Male"/>
    <n v="22"/>
    <s v="Mumbai"/>
    <x v="3"/>
    <n v="95559"/>
    <d v="2023-10-29T00:00:00"/>
    <n v="10"/>
    <n v="3"/>
    <n v="9556"/>
    <n v="4778"/>
    <n v="100337"/>
    <n v="4778"/>
    <n v="109893"/>
  </r>
  <r>
    <n v="2684"/>
    <x v="9"/>
    <s v="Male"/>
    <n v="47"/>
    <s v="Delhi"/>
    <x v="2"/>
    <n v="83144"/>
    <d v="2022-02-04T00:00:00"/>
    <n v="12"/>
    <n v="4"/>
    <n v="8314"/>
    <n v="4157"/>
    <n v="87301"/>
    <n v="4157"/>
    <n v="95615"/>
  </r>
  <r>
    <n v="2685"/>
    <x v="0"/>
    <s v="Female"/>
    <n v="24"/>
    <s v="Chennai"/>
    <x v="4"/>
    <n v="22928"/>
    <d v="2023-11-06T00:00:00"/>
    <n v="4"/>
    <n v="2"/>
    <n v="2293"/>
    <n v="1146"/>
    <n v="24075"/>
    <n v="0"/>
    <n v="25221"/>
  </r>
  <r>
    <n v="2686"/>
    <x v="8"/>
    <s v="Female"/>
    <n v="50"/>
    <s v="Delhi"/>
    <x v="3"/>
    <n v="71513"/>
    <d v="2022-04-29T00:00:00"/>
    <n v="10"/>
    <n v="5"/>
    <n v="7151"/>
    <n v="3576"/>
    <n v="75088"/>
    <n v="3576"/>
    <n v="82240"/>
  </r>
  <r>
    <n v="2687"/>
    <x v="1"/>
    <s v="Male"/>
    <n v="35"/>
    <s v="Mumbai"/>
    <x v="1"/>
    <n v="56672"/>
    <d v="2024-02-02T00:00:00"/>
    <n v="13"/>
    <n v="3"/>
    <n v="5667"/>
    <n v="2834"/>
    <n v="59505"/>
    <n v="2834"/>
    <n v="65173"/>
  </r>
  <r>
    <n v="2688"/>
    <x v="7"/>
    <s v="Male"/>
    <n v="46"/>
    <s v="Delhi"/>
    <x v="0"/>
    <n v="66827"/>
    <d v="2023-12-13T00:00:00"/>
    <n v="6"/>
    <n v="4"/>
    <n v="6683"/>
    <n v="3341"/>
    <n v="70169"/>
    <n v="3341"/>
    <n v="76851"/>
  </r>
  <r>
    <n v="2689"/>
    <x v="0"/>
    <s v="Male"/>
    <n v="32"/>
    <s v="Bangalore"/>
    <x v="4"/>
    <n v="35628"/>
    <d v="2024-06-16T00:00:00"/>
    <n v="17"/>
    <n v="5"/>
    <n v="3563"/>
    <n v="1781"/>
    <n v="37410"/>
    <n v="1781"/>
    <n v="40972"/>
  </r>
  <r>
    <n v="2690"/>
    <x v="8"/>
    <s v="Female"/>
    <n v="51"/>
    <s v="Delhi"/>
    <x v="0"/>
    <n v="41635"/>
    <d v="2023-01-06T00:00:00"/>
    <n v="17"/>
    <n v="1"/>
    <n v="4164"/>
    <n v="2082"/>
    <n v="43717"/>
    <n v="2082"/>
    <n v="47881"/>
  </r>
  <r>
    <n v="2691"/>
    <x v="6"/>
    <s v="Female"/>
    <n v="47"/>
    <s v="Bangalore"/>
    <x v="1"/>
    <n v="25934"/>
    <d v="2023-05-12T00:00:00"/>
    <n v="16"/>
    <n v="1"/>
    <n v="2593"/>
    <n v="1297"/>
    <n v="27230"/>
    <n v="1297"/>
    <n v="29824"/>
  </r>
  <r>
    <n v="2692"/>
    <x v="1"/>
    <s v="Female"/>
    <n v="50"/>
    <s v="Hyderabad"/>
    <x v="2"/>
    <n v="91373"/>
    <d v="2024-04-10T00:00:00"/>
    <n v="16"/>
    <n v="3"/>
    <n v="9137"/>
    <n v="4569"/>
    <n v="95941"/>
    <n v="4569"/>
    <n v="105079"/>
  </r>
  <r>
    <n v="2693"/>
    <x v="7"/>
    <s v="Male"/>
    <n v="49"/>
    <s v="Bangalore"/>
    <x v="0"/>
    <n v="60111"/>
    <d v="2024-02-10T00:00:00"/>
    <n v="8"/>
    <n v="1"/>
    <n v="6011"/>
    <n v="3006"/>
    <n v="63116"/>
    <n v="3006"/>
    <n v="69128"/>
  </r>
  <r>
    <n v="2694"/>
    <x v="2"/>
    <s v="Male"/>
    <n v="40"/>
    <s v="Delhi"/>
    <x v="4"/>
    <n v="94839"/>
    <d v="2022-03-07T00:00:00"/>
    <n v="20"/>
    <n v="1"/>
    <n v="9484"/>
    <n v="4742"/>
    <n v="99581"/>
    <n v="4742"/>
    <n v="109065"/>
  </r>
  <r>
    <n v="2695"/>
    <x v="6"/>
    <s v="Female"/>
    <n v="35"/>
    <s v="Delhi"/>
    <x v="3"/>
    <n v="20280"/>
    <d v="2023-12-08T00:00:00"/>
    <n v="6"/>
    <n v="1"/>
    <n v="2028"/>
    <n v="1014"/>
    <n v="21294"/>
    <n v="1014"/>
    <n v="23322"/>
  </r>
  <r>
    <n v="2696"/>
    <x v="2"/>
    <s v="Female"/>
    <n v="24"/>
    <s v="Mumbai"/>
    <x v="3"/>
    <n v="41695"/>
    <d v="2023-08-16T00:00:00"/>
    <n v="19"/>
    <n v="4"/>
    <n v="4170"/>
    <n v="2085"/>
    <n v="43780"/>
    <n v="2085"/>
    <n v="47950"/>
  </r>
  <r>
    <n v="2697"/>
    <x v="2"/>
    <s v="Male"/>
    <n v="46"/>
    <s v="Mumbai"/>
    <x v="4"/>
    <n v="81504"/>
    <d v="2023-06-06T00:00:00"/>
    <n v="12"/>
    <n v="5"/>
    <n v="8150"/>
    <n v="4075"/>
    <n v="85579"/>
    <n v="4075"/>
    <n v="93729"/>
  </r>
  <r>
    <n v="2698"/>
    <x v="8"/>
    <s v="Female"/>
    <n v="36"/>
    <s v="Mumbai"/>
    <x v="1"/>
    <n v="44576"/>
    <d v="2023-12-16T00:00:00"/>
    <n v="19"/>
    <n v="1"/>
    <n v="4458"/>
    <n v="2229"/>
    <n v="46805"/>
    <n v="2229"/>
    <n v="51263"/>
  </r>
  <r>
    <n v="2699"/>
    <x v="8"/>
    <s v="Male"/>
    <n v="23"/>
    <s v="Mumbai"/>
    <x v="4"/>
    <n v="98690"/>
    <d v="2022-05-04T00:00:00"/>
    <n v="8"/>
    <n v="4"/>
    <n v="9869"/>
    <n v="4934"/>
    <n v="103625"/>
    <n v="4934"/>
    <n v="113493"/>
  </r>
  <r>
    <n v="2700"/>
    <x v="2"/>
    <s v="Female"/>
    <n v="54"/>
    <s v="Chennai"/>
    <x v="1"/>
    <n v="57498"/>
    <d v="2022-11-11T00:00:00"/>
    <n v="5"/>
    <n v="3"/>
    <n v="5750"/>
    <n v="2875"/>
    <n v="60373"/>
    <n v="0"/>
    <n v="63248"/>
  </r>
  <r>
    <n v="2701"/>
    <x v="3"/>
    <s v="Female"/>
    <n v="60"/>
    <s v="Chennai"/>
    <x v="4"/>
    <n v="60756"/>
    <d v="2023-05-24T00:00:00"/>
    <n v="15"/>
    <n v="3"/>
    <n v="6076"/>
    <n v="3038"/>
    <n v="63794"/>
    <n v="3038"/>
    <n v="69870"/>
  </r>
  <r>
    <n v="2702"/>
    <x v="2"/>
    <s v="Male"/>
    <n v="54"/>
    <s v="Delhi"/>
    <x v="4"/>
    <n v="94569"/>
    <d v="2022-07-13T00:00:00"/>
    <n v="13"/>
    <n v="2"/>
    <n v="9457"/>
    <n v="4728"/>
    <n v="99298"/>
    <n v="4728"/>
    <n v="108754"/>
  </r>
  <r>
    <n v="2703"/>
    <x v="5"/>
    <s v="Female"/>
    <n v="54"/>
    <s v="Mumbai"/>
    <x v="4"/>
    <n v="91154"/>
    <d v="2022-09-15T00:00:00"/>
    <n v="12"/>
    <n v="2"/>
    <n v="9115"/>
    <n v="4558"/>
    <n v="95711"/>
    <n v="4558"/>
    <n v="104827"/>
  </r>
  <r>
    <n v="2704"/>
    <x v="9"/>
    <s v="Female"/>
    <n v="36"/>
    <s v="Delhi"/>
    <x v="2"/>
    <n v="26913"/>
    <d v="2023-08-11T00:00:00"/>
    <n v="11"/>
    <n v="5"/>
    <n v="2691"/>
    <n v="1346"/>
    <n v="28258"/>
    <n v="1346"/>
    <n v="30950"/>
  </r>
  <r>
    <n v="2705"/>
    <x v="0"/>
    <s v="Male"/>
    <n v="55"/>
    <s v="Delhi"/>
    <x v="0"/>
    <n v="28503"/>
    <d v="2024-07-06T00:00:00"/>
    <n v="5"/>
    <n v="3"/>
    <n v="2850"/>
    <n v="1425"/>
    <n v="29928"/>
    <n v="0"/>
    <n v="31353"/>
  </r>
  <r>
    <n v="2706"/>
    <x v="7"/>
    <s v="Male"/>
    <n v="28"/>
    <s v="Delhi"/>
    <x v="1"/>
    <n v="29946"/>
    <d v="2023-06-02T00:00:00"/>
    <n v="12"/>
    <n v="2"/>
    <n v="2995"/>
    <n v="1497"/>
    <n v="31444"/>
    <n v="1497"/>
    <n v="34438"/>
  </r>
  <r>
    <n v="2707"/>
    <x v="3"/>
    <s v="Female"/>
    <n v="43"/>
    <s v="Delhi"/>
    <x v="2"/>
    <n v="42753"/>
    <d v="2022-07-27T00:00:00"/>
    <n v="12"/>
    <n v="3"/>
    <n v="4275"/>
    <n v="2138"/>
    <n v="44890"/>
    <n v="2138"/>
    <n v="49166"/>
  </r>
  <r>
    <n v="2708"/>
    <x v="5"/>
    <s v="Female"/>
    <n v="41"/>
    <s v="Mumbai"/>
    <x v="0"/>
    <n v="20009"/>
    <d v="2024-05-15T00:00:00"/>
    <n v="13"/>
    <n v="2"/>
    <n v="2001"/>
    <n v="1000"/>
    <n v="21010"/>
    <n v="1000"/>
    <n v="23010"/>
  </r>
  <r>
    <n v="2709"/>
    <x v="3"/>
    <s v="Female"/>
    <n v="39"/>
    <s v="Bangalore"/>
    <x v="0"/>
    <n v="71765"/>
    <d v="2022-02-20T00:00:00"/>
    <n v="17"/>
    <n v="3"/>
    <n v="7176"/>
    <n v="3588"/>
    <n v="75353"/>
    <n v="3588"/>
    <n v="82529"/>
  </r>
  <r>
    <n v="2710"/>
    <x v="7"/>
    <s v="Female"/>
    <n v="32"/>
    <s v="Bangalore"/>
    <x v="4"/>
    <n v="86423"/>
    <d v="2022-12-03T00:00:00"/>
    <n v="7"/>
    <n v="5"/>
    <n v="8642"/>
    <n v="4321"/>
    <n v="90744"/>
    <n v="4321"/>
    <n v="99386"/>
  </r>
  <r>
    <n v="2711"/>
    <x v="3"/>
    <s v="Female"/>
    <n v="34"/>
    <s v="Chennai"/>
    <x v="2"/>
    <n v="74821"/>
    <d v="2023-01-10T00:00:00"/>
    <n v="3"/>
    <n v="2"/>
    <n v="7482"/>
    <n v="3741"/>
    <n v="78562"/>
    <n v="0"/>
    <n v="82303"/>
  </r>
  <r>
    <n v="2712"/>
    <x v="0"/>
    <s v="Female"/>
    <n v="37"/>
    <s v="Mumbai"/>
    <x v="0"/>
    <n v="92465"/>
    <d v="2024-01-16T00:00:00"/>
    <n v="5"/>
    <n v="5"/>
    <n v="9246"/>
    <n v="4623"/>
    <n v="97088"/>
    <n v="0"/>
    <n v="101711"/>
  </r>
  <r>
    <n v="2713"/>
    <x v="0"/>
    <s v="Female"/>
    <n v="50"/>
    <s v="Chennai"/>
    <x v="2"/>
    <n v="37422"/>
    <d v="2023-07-20T00:00:00"/>
    <n v="11"/>
    <n v="5"/>
    <n v="3742"/>
    <n v="1871"/>
    <n v="39293"/>
    <n v="1871"/>
    <n v="43035"/>
  </r>
  <r>
    <n v="2714"/>
    <x v="4"/>
    <s v="Female"/>
    <n v="51"/>
    <s v="Chennai"/>
    <x v="3"/>
    <n v="55871"/>
    <d v="2024-07-31T00:00:00"/>
    <n v="11"/>
    <n v="1"/>
    <n v="5587"/>
    <n v="2794"/>
    <n v="58664"/>
    <n v="2794"/>
    <n v="64252"/>
  </r>
  <r>
    <n v="2715"/>
    <x v="9"/>
    <s v="Male"/>
    <n v="38"/>
    <s v="Mumbai"/>
    <x v="0"/>
    <n v="96515"/>
    <d v="2023-01-27T00:00:00"/>
    <n v="1"/>
    <n v="1"/>
    <n v="9652"/>
    <n v="4826"/>
    <n v="101341"/>
    <n v="0"/>
    <n v="106167"/>
  </r>
  <r>
    <n v="2716"/>
    <x v="9"/>
    <s v="Male"/>
    <n v="27"/>
    <s v="Mumbai"/>
    <x v="1"/>
    <n v="92838"/>
    <d v="2024-02-05T00:00:00"/>
    <n v="7"/>
    <n v="5"/>
    <n v="9284"/>
    <n v="4642"/>
    <n v="97480"/>
    <n v="4642"/>
    <n v="106764"/>
  </r>
  <r>
    <n v="2717"/>
    <x v="2"/>
    <s v="Male"/>
    <n v="45"/>
    <s v="Hyderabad"/>
    <x v="3"/>
    <n v="47729"/>
    <d v="2022-07-07T00:00:00"/>
    <n v="6"/>
    <n v="3"/>
    <n v="4773"/>
    <n v="2386"/>
    <n v="50116"/>
    <n v="2386"/>
    <n v="54888"/>
  </r>
  <r>
    <n v="2718"/>
    <x v="0"/>
    <s v="Female"/>
    <n v="36"/>
    <s v="Bangalore"/>
    <x v="1"/>
    <n v="87142"/>
    <d v="2023-01-27T00:00:00"/>
    <n v="7"/>
    <n v="4"/>
    <n v="8714"/>
    <n v="4357"/>
    <n v="91499"/>
    <n v="4357"/>
    <n v="100213"/>
  </r>
  <r>
    <n v="2719"/>
    <x v="6"/>
    <s v="Male"/>
    <n v="23"/>
    <s v="Mumbai"/>
    <x v="2"/>
    <n v="94840"/>
    <d v="2022-05-28T00:00:00"/>
    <n v="17"/>
    <n v="1"/>
    <n v="9484"/>
    <n v="4742"/>
    <n v="99582"/>
    <n v="4742"/>
    <n v="109066"/>
  </r>
  <r>
    <n v="2720"/>
    <x v="6"/>
    <s v="Female"/>
    <n v="21"/>
    <s v="Chennai"/>
    <x v="0"/>
    <n v="67888"/>
    <d v="2024-06-03T00:00:00"/>
    <n v="5"/>
    <n v="5"/>
    <n v="6789"/>
    <n v="3394"/>
    <n v="71283"/>
    <n v="0"/>
    <n v="74677"/>
  </r>
  <r>
    <n v="2721"/>
    <x v="3"/>
    <s v="Male"/>
    <n v="40"/>
    <s v="Chennai"/>
    <x v="1"/>
    <n v="60472"/>
    <d v="2024-06-19T00:00:00"/>
    <n v="14"/>
    <n v="2"/>
    <n v="6047"/>
    <n v="3024"/>
    <n v="63495"/>
    <n v="3024"/>
    <n v="69543"/>
  </r>
  <r>
    <n v="2722"/>
    <x v="6"/>
    <s v="Female"/>
    <n v="42"/>
    <s v="Hyderabad"/>
    <x v="1"/>
    <n v="78325"/>
    <d v="2024-09-20T00:00:00"/>
    <n v="1"/>
    <n v="4"/>
    <n v="7832"/>
    <n v="3916"/>
    <n v="82241"/>
    <n v="0"/>
    <n v="86157"/>
  </r>
  <r>
    <n v="2723"/>
    <x v="7"/>
    <s v="Male"/>
    <n v="40"/>
    <s v="Chennai"/>
    <x v="0"/>
    <n v="89844"/>
    <d v="2023-08-18T00:00:00"/>
    <n v="20"/>
    <n v="2"/>
    <n v="8984"/>
    <n v="4492"/>
    <n v="94336"/>
    <n v="4492"/>
    <n v="103320"/>
  </r>
  <r>
    <n v="2724"/>
    <x v="5"/>
    <s v="Female"/>
    <n v="32"/>
    <s v="Hyderabad"/>
    <x v="0"/>
    <n v="68903"/>
    <d v="2024-04-15T00:00:00"/>
    <n v="13"/>
    <n v="3"/>
    <n v="6890"/>
    <n v="3445"/>
    <n v="72348"/>
    <n v="3445"/>
    <n v="79238"/>
  </r>
  <r>
    <n v="2725"/>
    <x v="4"/>
    <s v="Female"/>
    <n v="44"/>
    <s v="Hyderabad"/>
    <x v="0"/>
    <n v="29436"/>
    <d v="2022-11-21T00:00:00"/>
    <n v="14"/>
    <n v="2"/>
    <n v="2944"/>
    <n v="1472"/>
    <n v="30908"/>
    <n v="1472"/>
    <n v="33852"/>
  </r>
  <r>
    <n v="2726"/>
    <x v="7"/>
    <s v="Male"/>
    <n v="24"/>
    <s v="Bangalore"/>
    <x v="2"/>
    <n v="85198"/>
    <d v="2022-01-25T00:00:00"/>
    <n v="15"/>
    <n v="4"/>
    <n v="8520"/>
    <n v="4260"/>
    <n v="89458"/>
    <n v="4260"/>
    <n v="97978"/>
  </r>
  <r>
    <n v="2727"/>
    <x v="7"/>
    <s v="Male"/>
    <n v="39"/>
    <s v="Chennai"/>
    <x v="1"/>
    <n v="80447"/>
    <d v="2024-03-27T00:00:00"/>
    <n v="16"/>
    <n v="2"/>
    <n v="8045"/>
    <n v="4022"/>
    <n v="84470"/>
    <n v="4022"/>
    <n v="92514"/>
  </r>
  <r>
    <n v="2728"/>
    <x v="1"/>
    <s v="Female"/>
    <n v="24"/>
    <s v="Bangalore"/>
    <x v="2"/>
    <n v="30991"/>
    <d v="2024-03-19T00:00:00"/>
    <n v="9"/>
    <n v="1"/>
    <n v="3099"/>
    <n v="1550"/>
    <n v="32540"/>
    <n v="1550"/>
    <n v="35640"/>
  </r>
  <r>
    <n v="2729"/>
    <x v="2"/>
    <s v="Male"/>
    <n v="24"/>
    <s v="Bangalore"/>
    <x v="1"/>
    <n v="65870"/>
    <d v="2024-06-03T00:00:00"/>
    <n v="2"/>
    <n v="3"/>
    <n v="6587"/>
    <n v="3294"/>
    <n v="69163"/>
    <n v="0"/>
    <n v="72457"/>
  </r>
  <r>
    <n v="2730"/>
    <x v="4"/>
    <s v="Male"/>
    <n v="29"/>
    <s v="Mumbai"/>
    <x v="0"/>
    <n v="25359"/>
    <d v="2022-03-21T00:00:00"/>
    <n v="7"/>
    <n v="4"/>
    <n v="2536"/>
    <n v="1268"/>
    <n v="26627"/>
    <n v="1268"/>
    <n v="29163"/>
  </r>
  <r>
    <n v="2731"/>
    <x v="9"/>
    <s v="Male"/>
    <n v="37"/>
    <s v="Chennai"/>
    <x v="3"/>
    <n v="69508"/>
    <d v="2022-10-19T00:00:00"/>
    <n v="16"/>
    <n v="5"/>
    <n v="6951"/>
    <n v="3475"/>
    <n v="72984"/>
    <n v="3475"/>
    <n v="79934"/>
  </r>
  <r>
    <n v="2732"/>
    <x v="1"/>
    <s v="Female"/>
    <n v="26"/>
    <s v="Delhi"/>
    <x v="2"/>
    <n v="51511"/>
    <d v="2022-05-14T00:00:00"/>
    <n v="12"/>
    <n v="1"/>
    <n v="5151"/>
    <n v="2576"/>
    <n v="54086"/>
    <n v="2576"/>
    <n v="59238"/>
  </r>
  <r>
    <n v="2733"/>
    <x v="1"/>
    <s v="Male"/>
    <n v="53"/>
    <s v="Chennai"/>
    <x v="1"/>
    <n v="69648"/>
    <d v="2023-11-06T00:00:00"/>
    <n v="3"/>
    <n v="2"/>
    <n v="6965"/>
    <n v="3482"/>
    <n v="73131"/>
    <n v="0"/>
    <n v="76613"/>
  </r>
  <r>
    <n v="2734"/>
    <x v="1"/>
    <s v="Male"/>
    <n v="48"/>
    <s v="Hyderabad"/>
    <x v="4"/>
    <n v="30557"/>
    <d v="2024-04-07T00:00:00"/>
    <n v="14"/>
    <n v="5"/>
    <n v="3056"/>
    <n v="1528"/>
    <n v="32085"/>
    <n v="1528"/>
    <n v="35141"/>
  </r>
  <r>
    <n v="2735"/>
    <x v="8"/>
    <s v="Female"/>
    <n v="53"/>
    <s v="Hyderabad"/>
    <x v="3"/>
    <n v="88786"/>
    <d v="2023-11-09T00:00:00"/>
    <n v="6"/>
    <n v="4"/>
    <n v="8879"/>
    <n v="4439"/>
    <n v="93226"/>
    <n v="4439"/>
    <n v="102104"/>
  </r>
  <r>
    <n v="2736"/>
    <x v="5"/>
    <s v="Female"/>
    <n v="60"/>
    <s v="Mumbai"/>
    <x v="0"/>
    <n v="25033"/>
    <d v="2023-05-26T00:00:00"/>
    <n v="18"/>
    <n v="2"/>
    <n v="2503"/>
    <n v="1252"/>
    <n v="26284"/>
    <n v="1252"/>
    <n v="28788"/>
  </r>
  <r>
    <n v="2737"/>
    <x v="2"/>
    <s v="Male"/>
    <n v="36"/>
    <s v="Bangalore"/>
    <x v="4"/>
    <n v="40818"/>
    <d v="2023-07-23T00:00:00"/>
    <n v="1"/>
    <n v="5"/>
    <n v="4082"/>
    <n v="2041"/>
    <n v="42859"/>
    <n v="0"/>
    <n v="44900"/>
  </r>
  <r>
    <n v="2738"/>
    <x v="4"/>
    <s v="Female"/>
    <n v="50"/>
    <s v="Delhi"/>
    <x v="3"/>
    <n v="83870"/>
    <d v="2022-08-04T00:00:00"/>
    <n v="9"/>
    <n v="1"/>
    <n v="8387"/>
    <n v="4194"/>
    <n v="88063"/>
    <n v="4194"/>
    <n v="96451"/>
  </r>
  <r>
    <n v="2739"/>
    <x v="1"/>
    <s v="Male"/>
    <n v="26"/>
    <s v="Bangalore"/>
    <x v="4"/>
    <n v="44996"/>
    <d v="2024-03-01T00:00:00"/>
    <n v="5"/>
    <n v="2"/>
    <n v="4500"/>
    <n v="2250"/>
    <n v="47246"/>
    <n v="0"/>
    <n v="49496"/>
  </r>
  <r>
    <n v="2740"/>
    <x v="7"/>
    <s v="Female"/>
    <n v="51"/>
    <s v="Mumbai"/>
    <x v="2"/>
    <n v="99037"/>
    <d v="2023-08-15T00:00:00"/>
    <n v="5"/>
    <n v="2"/>
    <n v="9904"/>
    <n v="4952"/>
    <n v="103989"/>
    <n v="0"/>
    <n v="108941"/>
  </r>
  <r>
    <n v="2741"/>
    <x v="5"/>
    <s v="Female"/>
    <n v="26"/>
    <s v="Chennai"/>
    <x v="1"/>
    <n v="59041"/>
    <d v="2024-04-04T00:00:00"/>
    <n v="9"/>
    <n v="4"/>
    <n v="5904"/>
    <n v="2952"/>
    <n v="61993"/>
    <n v="2952"/>
    <n v="67897"/>
  </r>
  <r>
    <n v="2742"/>
    <x v="0"/>
    <s v="Male"/>
    <n v="34"/>
    <s v="Chennai"/>
    <x v="4"/>
    <n v="82397"/>
    <d v="2023-08-22T00:00:00"/>
    <n v="5"/>
    <n v="1"/>
    <n v="8240"/>
    <n v="4120"/>
    <n v="86517"/>
    <n v="0"/>
    <n v="90637"/>
  </r>
  <r>
    <n v="2743"/>
    <x v="0"/>
    <s v="Female"/>
    <n v="22"/>
    <s v="Chennai"/>
    <x v="4"/>
    <n v="78947"/>
    <d v="2023-01-13T00:00:00"/>
    <n v="18"/>
    <n v="5"/>
    <n v="7895"/>
    <n v="3947"/>
    <n v="82895"/>
    <n v="3947"/>
    <n v="90789"/>
  </r>
  <r>
    <n v="2744"/>
    <x v="6"/>
    <s v="Female"/>
    <n v="31"/>
    <s v="Chennai"/>
    <x v="0"/>
    <n v="49773"/>
    <d v="2023-06-11T00:00:00"/>
    <n v="13"/>
    <n v="4"/>
    <n v="4977"/>
    <n v="2489"/>
    <n v="52261"/>
    <n v="2489"/>
    <n v="57239"/>
  </r>
  <r>
    <n v="2745"/>
    <x v="6"/>
    <s v="Female"/>
    <n v="36"/>
    <s v="Delhi"/>
    <x v="2"/>
    <n v="43961"/>
    <d v="2022-08-26T00:00:00"/>
    <n v="11"/>
    <n v="1"/>
    <n v="4396"/>
    <n v="2198"/>
    <n v="46159"/>
    <n v="2198"/>
    <n v="50555"/>
  </r>
  <r>
    <n v="2746"/>
    <x v="5"/>
    <s v="Male"/>
    <n v="54"/>
    <s v="Bangalore"/>
    <x v="4"/>
    <n v="67067"/>
    <d v="2024-07-12T00:00:00"/>
    <n v="8"/>
    <n v="5"/>
    <n v="6707"/>
    <n v="3353"/>
    <n v="70421"/>
    <n v="3353"/>
    <n v="77127"/>
  </r>
  <r>
    <n v="2747"/>
    <x v="9"/>
    <s v="Female"/>
    <n v="47"/>
    <s v="Delhi"/>
    <x v="4"/>
    <n v="97151"/>
    <d v="2023-08-18T00:00:00"/>
    <n v="7"/>
    <n v="5"/>
    <n v="9715"/>
    <n v="4858"/>
    <n v="102008"/>
    <n v="4858"/>
    <n v="111724"/>
  </r>
  <r>
    <n v="2748"/>
    <x v="8"/>
    <s v="Female"/>
    <n v="55"/>
    <s v="Mumbai"/>
    <x v="1"/>
    <n v="46464"/>
    <d v="2023-11-10T00:00:00"/>
    <n v="8"/>
    <n v="3"/>
    <n v="4646"/>
    <n v="2323"/>
    <n v="48787"/>
    <n v="2323"/>
    <n v="53433"/>
  </r>
  <r>
    <n v="2749"/>
    <x v="6"/>
    <s v="Male"/>
    <n v="26"/>
    <s v="Mumbai"/>
    <x v="4"/>
    <n v="80699"/>
    <d v="2023-09-22T00:00:00"/>
    <n v="10"/>
    <n v="3"/>
    <n v="8070"/>
    <n v="4035"/>
    <n v="84734"/>
    <n v="4035"/>
    <n v="92804"/>
  </r>
  <r>
    <n v="2750"/>
    <x v="2"/>
    <s v="Female"/>
    <n v="50"/>
    <s v="Chennai"/>
    <x v="0"/>
    <n v="77456"/>
    <d v="2023-09-22T00:00:00"/>
    <n v="10"/>
    <n v="4"/>
    <n v="7746"/>
    <n v="3873"/>
    <n v="81329"/>
    <n v="3873"/>
    <n v="89075"/>
  </r>
  <r>
    <n v="2751"/>
    <x v="9"/>
    <s v="Male"/>
    <n v="34"/>
    <s v="Delhi"/>
    <x v="3"/>
    <n v="20914"/>
    <d v="2022-03-12T00:00:00"/>
    <n v="9"/>
    <n v="1"/>
    <n v="2091"/>
    <n v="1046"/>
    <n v="21959"/>
    <n v="1046"/>
    <n v="24051"/>
  </r>
  <r>
    <n v="2752"/>
    <x v="8"/>
    <s v="Male"/>
    <n v="37"/>
    <s v="Bangalore"/>
    <x v="2"/>
    <n v="49825"/>
    <d v="2024-05-23T00:00:00"/>
    <n v="19"/>
    <n v="2"/>
    <n v="4982"/>
    <n v="2491"/>
    <n v="52316"/>
    <n v="2491"/>
    <n v="57298"/>
  </r>
  <r>
    <n v="2753"/>
    <x v="2"/>
    <s v="Male"/>
    <n v="57"/>
    <s v="Hyderabad"/>
    <x v="0"/>
    <n v="27449"/>
    <d v="2022-04-21T00:00:00"/>
    <n v="13"/>
    <n v="2"/>
    <n v="2745"/>
    <n v="1372"/>
    <n v="28822"/>
    <n v="1372"/>
    <n v="31566"/>
  </r>
  <r>
    <n v="2754"/>
    <x v="0"/>
    <s v="Male"/>
    <n v="54"/>
    <s v="Chennai"/>
    <x v="2"/>
    <n v="71129"/>
    <d v="2023-07-04T00:00:00"/>
    <n v="8"/>
    <n v="4"/>
    <n v="7113"/>
    <n v="3556"/>
    <n v="74686"/>
    <n v="3556"/>
    <n v="81798"/>
  </r>
  <r>
    <n v="2755"/>
    <x v="5"/>
    <s v="Female"/>
    <n v="46"/>
    <s v="Chennai"/>
    <x v="3"/>
    <n v="99149"/>
    <d v="2024-02-20T00:00:00"/>
    <n v="9"/>
    <n v="4"/>
    <n v="9915"/>
    <n v="4957"/>
    <n v="104107"/>
    <n v="4957"/>
    <n v="114021"/>
  </r>
  <r>
    <n v="2756"/>
    <x v="4"/>
    <s v="Female"/>
    <n v="59"/>
    <s v="Mumbai"/>
    <x v="3"/>
    <n v="71916"/>
    <d v="2022-02-21T00:00:00"/>
    <n v="19"/>
    <n v="2"/>
    <n v="7192"/>
    <n v="3596"/>
    <n v="75512"/>
    <n v="3596"/>
    <n v="82704"/>
  </r>
  <r>
    <n v="2757"/>
    <x v="0"/>
    <s v="Male"/>
    <n v="39"/>
    <s v="Chennai"/>
    <x v="0"/>
    <n v="88115"/>
    <d v="2023-02-19T00:00:00"/>
    <n v="2"/>
    <n v="4"/>
    <n v="8812"/>
    <n v="4406"/>
    <n v="92521"/>
    <n v="0"/>
    <n v="96927"/>
  </r>
  <r>
    <n v="2758"/>
    <x v="4"/>
    <s v="Male"/>
    <n v="53"/>
    <s v="Mumbai"/>
    <x v="1"/>
    <n v="43340"/>
    <d v="2023-01-11T00:00:00"/>
    <n v="16"/>
    <n v="3"/>
    <n v="4334"/>
    <n v="2167"/>
    <n v="45507"/>
    <n v="2167"/>
    <n v="49841"/>
  </r>
  <r>
    <n v="2759"/>
    <x v="2"/>
    <s v="Female"/>
    <n v="41"/>
    <s v="Hyderabad"/>
    <x v="1"/>
    <n v="81685"/>
    <d v="2023-07-16T00:00:00"/>
    <n v="12"/>
    <n v="4"/>
    <n v="8168"/>
    <n v="4084"/>
    <n v="85769"/>
    <n v="4084"/>
    <n v="93937"/>
  </r>
  <r>
    <n v="2760"/>
    <x v="7"/>
    <s v="Male"/>
    <n v="50"/>
    <s v="Delhi"/>
    <x v="0"/>
    <n v="96949"/>
    <d v="2024-07-30T00:00:00"/>
    <n v="14"/>
    <n v="2"/>
    <n v="9695"/>
    <n v="4847"/>
    <n v="101797"/>
    <n v="4847"/>
    <n v="111491"/>
  </r>
  <r>
    <n v="2761"/>
    <x v="4"/>
    <s v="Female"/>
    <n v="53"/>
    <s v="Delhi"/>
    <x v="4"/>
    <n v="50802"/>
    <d v="2024-01-24T00:00:00"/>
    <n v="1"/>
    <n v="1"/>
    <n v="5080"/>
    <n v="2540"/>
    <n v="53342"/>
    <n v="0"/>
    <n v="55882"/>
  </r>
  <r>
    <n v="2762"/>
    <x v="2"/>
    <s v="Male"/>
    <n v="53"/>
    <s v="Chennai"/>
    <x v="0"/>
    <n v="54356"/>
    <d v="2022-03-09T00:00:00"/>
    <n v="1"/>
    <n v="4"/>
    <n v="5436"/>
    <n v="2718"/>
    <n v="57074"/>
    <n v="0"/>
    <n v="59792"/>
  </r>
  <r>
    <n v="2763"/>
    <x v="9"/>
    <s v="Male"/>
    <n v="29"/>
    <s v="Mumbai"/>
    <x v="2"/>
    <n v="21529"/>
    <d v="2023-10-06T00:00:00"/>
    <n v="8"/>
    <n v="4"/>
    <n v="2153"/>
    <n v="1076"/>
    <n v="22606"/>
    <n v="1076"/>
    <n v="24758"/>
  </r>
  <r>
    <n v="2764"/>
    <x v="3"/>
    <s v="Male"/>
    <n v="29"/>
    <s v="Mumbai"/>
    <x v="0"/>
    <n v="69796"/>
    <d v="2024-01-06T00:00:00"/>
    <n v="15"/>
    <n v="3"/>
    <n v="6980"/>
    <n v="3490"/>
    <n v="73286"/>
    <n v="3490"/>
    <n v="80266"/>
  </r>
  <r>
    <n v="2765"/>
    <x v="8"/>
    <s v="Female"/>
    <n v="41"/>
    <s v="Mumbai"/>
    <x v="2"/>
    <n v="21603"/>
    <d v="2023-08-25T00:00:00"/>
    <n v="13"/>
    <n v="1"/>
    <n v="2160"/>
    <n v="1080"/>
    <n v="22683"/>
    <n v="1080"/>
    <n v="24843"/>
  </r>
  <r>
    <n v="2766"/>
    <x v="4"/>
    <s v="Male"/>
    <n v="33"/>
    <s v="Hyderabad"/>
    <x v="2"/>
    <n v="66180"/>
    <d v="2024-08-12T00:00:00"/>
    <n v="17"/>
    <n v="5"/>
    <n v="6618"/>
    <n v="3309"/>
    <n v="69489"/>
    <n v="3309"/>
    <n v="76107"/>
  </r>
  <r>
    <n v="2767"/>
    <x v="0"/>
    <s v="Female"/>
    <n v="50"/>
    <s v="Chennai"/>
    <x v="2"/>
    <n v="28918"/>
    <d v="2024-05-31T00:00:00"/>
    <n v="6"/>
    <n v="3"/>
    <n v="2892"/>
    <n v="1446"/>
    <n v="30364"/>
    <n v="1446"/>
    <n v="33256"/>
  </r>
  <r>
    <n v="2768"/>
    <x v="0"/>
    <s v="Female"/>
    <n v="40"/>
    <s v="Hyderabad"/>
    <x v="1"/>
    <n v="56342"/>
    <d v="2022-03-20T00:00:00"/>
    <n v="4"/>
    <n v="1"/>
    <n v="5634"/>
    <n v="2817"/>
    <n v="59159"/>
    <n v="0"/>
    <n v="61976"/>
  </r>
  <r>
    <n v="2769"/>
    <x v="0"/>
    <s v="Male"/>
    <n v="25"/>
    <s v="Bangalore"/>
    <x v="4"/>
    <n v="38859"/>
    <d v="2022-09-15T00:00:00"/>
    <n v="4"/>
    <n v="5"/>
    <n v="3886"/>
    <n v="1943"/>
    <n v="40802"/>
    <n v="0"/>
    <n v="42745"/>
  </r>
  <r>
    <n v="2770"/>
    <x v="1"/>
    <s v="Female"/>
    <n v="28"/>
    <s v="Delhi"/>
    <x v="4"/>
    <n v="57783"/>
    <d v="2023-07-07T00:00:00"/>
    <n v="18"/>
    <n v="2"/>
    <n v="5778"/>
    <n v="2889"/>
    <n v="60672"/>
    <n v="2889"/>
    <n v="66450"/>
  </r>
  <r>
    <n v="2771"/>
    <x v="2"/>
    <s v="Male"/>
    <n v="28"/>
    <s v="Bangalore"/>
    <x v="0"/>
    <n v="51200"/>
    <d v="2023-12-22T00:00:00"/>
    <n v="6"/>
    <n v="4"/>
    <n v="5120"/>
    <n v="2560"/>
    <n v="53760"/>
    <n v="2560"/>
    <n v="58880"/>
  </r>
  <r>
    <n v="2772"/>
    <x v="8"/>
    <s v="Female"/>
    <n v="44"/>
    <s v="Delhi"/>
    <x v="1"/>
    <n v="25297"/>
    <d v="2023-10-20T00:00:00"/>
    <n v="16"/>
    <n v="5"/>
    <n v="2530"/>
    <n v="1265"/>
    <n v="26562"/>
    <n v="1265"/>
    <n v="29092"/>
  </r>
  <r>
    <n v="2773"/>
    <x v="3"/>
    <s v="Female"/>
    <n v="50"/>
    <s v="Bangalore"/>
    <x v="1"/>
    <n v="39870"/>
    <d v="2023-09-20T00:00:00"/>
    <n v="10"/>
    <n v="5"/>
    <n v="3987"/>
    <n v="1994"/>
    <n v="41863"/>
    <n v="1994"/>
    <n v="45851"/>
  </r>
  <r>
    <n v="2774"/>
    <x v="0"/>
    <s v="Female"/>
    <n v="56"/>
    <s v="Bangalore"/>
    <x v="2"/>
    <n v="41677"/>
    <d v="2023-03-25T00:00:00"/>
    <n v="18"/>
    <n v="2"/>
    <n v="4168"/>
    <n v="2084"/>
    <n v="43761"/>
    <n v="2084"/>
    <n v="47929"/>
  </r>
  <r>
    <n v="2775"/>
    <x v="0"/>
    <s v="Male"/>
    <n v="30"/>
    <s v="Hyderabad"/>
    <x v="4"/>
    <n v="40181"/>
    <d v="2023-10-07T00:00:00"/>
    <n v="16"/>
    <n v="3"/>
    <n v="4018"/>
    <n v="2009"/>
    <n v="42190"/>
    <n v="2009"/>
    <n v="46208"/>
  </r>
  <r>
    <n v="2776"/>
    <x v="7"/>
    <s v="Female"/>
    <n v="25"/>
    <s v="Chennai"/>
    <x v="3"/>
    <n v="69058"/>
    <d v="2024-02-16T00:00:00"/>
    <n v="18"/>
    <n v="1"/>
    <n v="6906"/>
    <n v="3453"/>
    <n v="72511"/>
    <n v="3453"/>
    <n v="79417"/>
  </r>
  <r>
    <n v="2777"/>
    <x v="7"/>
    <s v="Female"/>
    <n v="51"/>
    <s v="Chennai"/>
    <x v="3"/>
    <n v="54758"/>
    <d v="2022-02-11T00:00:00"/>
    <n v="12"/>
    <n v="1"/>
    <n v="5476"/>
    <n v="2738"/>
    <n v="57496"/>
    <n v="2738"/>
    <n v="62972"/>
  </r>
  <r>
    <n v="2778"/>
    <x v="2"/>
    <s v="Female"/>
    <n v="60"/>
    <s v="Bangalore"/>
    <x v="0"/>
    <n v="77514"/>
    <d v="2024-03-08T00:00:00"/>
    <n v="15"/>
    <n v="1"/>
    <n v="7751"/>
    <n v="3876"/>
    <n v="81389"/>
    <n v="3876"/>
    <n v="89141"/>
  </r>
  <r>
    <n v="2779"/>
    <x v="7"/>
    <s v="Female"/>
    <n v="56"/>
    <s v="Chennai"/>
    <x v="3"/>
    <n v="50845"/>
    <d v="2024-05-08T00:00:00"/>
    <n v="6"/>
    <n v="4"/>
    <n v="5084"/>
    <n v="2542"/>
    <n v="53387"/>
    <n v="2542"/>
    <n v="58471"/>
  </r>
  <r>
    <n v="2780"/>
    <x v="2"/>
    <s v="Male"/>
    <n v="41"/>
    <s v="Bangalore"/>
    <x v="4"/>
    <n v="28811"/>
    <d v="2022-01-30T00:00:00"/>
    <n v="17"/>
    <n v="1"/>
    <n v="2881"/>
    <n v="1441"/>
    <n v="30251"/>
    <n v="1441"/>
    <n v="33133"/>
  </r>
  <r>
    <n v="2781"/>
    <x v="8"/>
    <s v="Male"/>
    <n v="41"/>
    <s v="Hyderabad"/>
    <x v="1"/>
    <n v="41598"/>
    <d v="2023-08-30T00:00:00"/>
    <n v="12"/>
    <n v="5"/>
    <n v="4160"/>
    <n v="2080"/>
    <n v="43678"/>
    <n v="2080"/>
    <n v="47838"/>
  </r>
  <r>
    <n v="2782"/>
    <x v="4"/>
    <s v="Female"/>
    <n v="58"/>
    <s v="Bangalore"/>
    <x v="4"/>
    <n v="38107"/>
    <d v="2023-09-22T00:00:00"/>
    <n v="4"/>
    <n v="3"/>
    <n v="3811"/>
    <n v="1905"/>
    <n v="40013"/>
    <n v="0"/>
    <n v="41918"/>
  </r>
  <r>
    <n v="2783"/>
    <x v="4"/>
    <s v="Female"/>
    <n v="31"/>
    <s v="Hyderabad"/>
    <x v="3"/>
    <n v="81454"/>
    <d v="2022-07-29T00:00:00"/>
    <n v="14"/>
    <n v="1"/>
    <n v="8145"/>
    <n v="4073"/>
    <n v="85526"/>
    <n v="4073"/>
    <n v="93672"/>
  </r>
  <r>
    <n v="2784"/>
    <x v="4"/>
    <s v="Male"/>
    <n v="43"/>
    <s v="Delhi"/>
    <x v="1"/>
    <n v="63838"/>
    <d v="2024-05-03T00:00:00"/>
    <n v="15"/>
    <n v="4"/>
    <n v="6384"/>
    <n v="3192"/>
    <n v="67030"/>
    <n v="3192"/>
    <n v="73414"/>
  </r>
  <r>
    <n v="2785"/>
    <x v="6"/>
    <s v="Male"/>
    <n v="32"/>
    <s v="Hyderabad"/>
    <x v="4"/>
    <n v="77461"/>
    <d v="2023-06-13T00:00:00"/>
    <n v="6"/>
    <n v="2"/>
    <n v="7746"/>
    <n v="3873"/>
    <n v="81334"/>
    <n v="3873"/>
    <n v="89080"/>
  </r>
  <r>
    <n v="2786"/>
    <x v="6"/>
    <s v="Female"/>
    <n v="50"/>
    <s v="Mumbai"/>
    <x v="2"/>
    <n v="62369"/>
    <d v="2022-11-12T00:00:00"/>
    <n v="10"/>
    <n v="3"/>
    <n v="6237"/>
    <n v="3118"/>
    <n v="65488"/>
    <n v="3118"/>
    <n v="71724"/>
  </r>
  <r>
    <n v="2787"/>
    <x v="0"/>
    <s v="Male"/>
    <n v="56"/>
    <s v="Hyderabad"/>
    <x v="4"/>
    <n v="88814"/>
    <d v="2024-03-05T00:00:00"/>
    <n v="16"/>
    <n v="4"/>
    <n v="8881"/>
    <n v="4441"/>
    <n v="93254"/>
    <n v="4441"/>
    <n v="102136"/>
  </r>
  <r>
    <n v="2788"/>
    <x v="6"/>
    <s v="Female"/>
    <n v="34"/>
    <s v="Mumbai"/>
    <x v="0"/>
    <n v="71248"/>
    <d v="2022-12-30T00:00:00"/>
    <n v="18"/>
    <n v="2"/>
    <n v="7125"/>
    <n v="3562"/>
    <n v="74811"/>
    <n v="3562"/>
    <n v="81935"/>
  </r>
  <r>
    <n v="2789"/>
    <x v="5"/>
    <s v="Female"/>
    <n v="44"/>
    <s v="Mumbai"/>
    <x v="3"/>
    <n v="65484"/>
    <d v="2023-12-06T00:00:00"/>
    <n v="20"/>
    <n v="3"/>
    <n v="6548"/>
    <n v="3274"/>
    <n v="68758"/>
    <n v="3274"/>
    <n v="75306"/>
  </r>
  <r>
    <n v="2790"/>
    <x v="0"/>
    <s v="Female"/>
    <n v="41"/>
    <s v="Delhi"/>
    <x v="2"/>
    <n v="75351"/>
    <d v="2024-02-15T00:00:00"/>
    <n v="4"/>
    <n v="3"/>
    <n v="7535"/>
    <n v="3768"/>
    <n v="79118"/>
    <n v="0"/>
    <n v="82886"/>
  </r>
  <r>
    <n v="2791"/>
    <x v="9"/>
    <s v="Male"/>
    <n v="24"/>
    <s v="Hyderabad"/>
    <x v="0"/>
    <n v="26184"/>
    <d v="2024-08-20T00:00:00"/>
    <n v="2"/>
    <n v="3"/>
    <n v="2618"/>
    <n v="1309"/>
    <n v="27493"/>
    <n v="0"/>
    <n v="28802"/>
  </r>
  <r>
    <n v="2792"/>
    <x v="8"/>
    <s v="Male"/>
    <n v="57"/>
    <s v="Chennai"/>
    <x v="3"/>
    <n v="49911"/>
    <d v="2024-04-07T00:00:00"/>
    <n v="13"/>
    <n v="4"/>
    <n v="4991"/>
    <n v="2496"/>
    <n v="52406"/>
    <n v="2496"/>
    <n v="57398"/>
  </r>
  <r>
    <n v="2793"/>
    <x v="8"/>
    <s v="Male"/>
    <n v="32"/>
    <s v="Mumbai"/>
    <x v="4"/>
    <n v="49836"/>
    <d v="2024-08-29T00:00:00"/>
    <n v="1"/>
    <n v="5"/>
    <n v="4984"/>
    <n v="2492"/>
    <n v="52328"/>
    <n v="0"/>
    <n v="54820"/>
  </r>
  <r>
    <n v="2794"/>
    <x v="4"/>
    <s v="Female"/>
    <n v="57"/>
    <s v="Hyderabad"/>
    <x v="3"/>
    <n v="52023"/>
    <d v="2022-06-13T00:00:00"/>
    <n v="9"/>
    <n v="2"/>
    <n v="5202"/>
    <n v="2601"/>
    <n v="54624"/>
    <n v="2601"/>
    <n v="59826"/>
  </r>
  <r>
    <n v="2795"/>
    <x v="4"/>
    <s v="Female"/>
    <n v="30"/>
    <s v="Mumbai"/>
    <x v="4"/>
    <n v="40791"/>
    <d v="2022-09-06T00:00:00"/>
    <n v="6"/>
    <n v="4"/>
    <n v="4079"/>
    <n v="2040"/>
    <n v="42830"/>
    <n v="2040"/>
    <n v="46910"/>
  </r>
  <r>
    <n v="2796"/>
    <x v="1"/>
    <s v="Male"/>
    <n v="43"/>
    <s v="Delhi"/>
    <x v="0"/>
    <n v="75763"/>
    <d v="2024-04-13T00:00:00"/>
    <n v="6"/>
    <n v="5"/>
    <n v="7576"/>
    <n v="3788"/>
    <n v="79551"/>
    <n v="3788"/>
    <n v="87127"/>
  </r>
  <r>
    <n v="2797"/>
    <x v="8"/>
    <s v="Male"/>
    <n v="60"/>
    <s v="Hyderabad"/>
    <x v="3"/>
    <n v="36425"/>
    <d v="2022-01-10T00:00:00"/>
    <n v="5"/>
    <n v="4"/>
    <n v="3642"/>
    <n v="1821"/>
    <n v="38246"/>
    <n v="0"/>
    <n v="40067"/>
  </r>
  <r>
    <n v="2798"/>
    <x v="2"/>
    <s v="Female"/>
    <n v="42"/>
    <s v="Bangalore"/>
    <x v="0"/>
    <n v="82250"/>
    <d v="2023-09-06T00:00:00"/>
    <n v="17"/>
    <n v="3"/>
    <n v="8225"/>
    <n v="4112"/>
    <n v="86363"/>
    <n v="4112"/>
    <n v="94587"/>
  </r>
  <r>
    <n v="2799"/>
    <x v="4"/>
    <s v="Male"/>
    <n v="59"/>
    <s v="Mumbai"/>
    <x v="2"/>
    <n v="70209"/>
    <d v="2022-10-29T00:00:00"/>
    <n v="16"/>
    <n v="3"/>
    <n v="7021"/>
    <n v="3510"/>
    <n v="73720"/>
    <n v="3510"/>
    <n v="80740"/>
  </r>
  <r>
    <n v="2800"/>
    <x v="1"/>
    <s v="Male"/>
    <n v="56"/>
    <s v="Bangalore"/>
    <x v="2"/>
    <n v="98500"/>
    <d v="2023-03-29T00:00:00"/>
    <n v="15"/>
    <n v="3"/>
    <n v="9850"/>
    <n v="4925"/>
    <n v="103425"/>
    <n v="4925"/>
    <n v="113275"/>
  </r>
  <r>
    <n v="2801"/>
    <x v="2"/>
    <s v="Female"/>
    <n v="23"/>
    <s v="Mumbai"/>
    <x v="4"/>
    <n v="91125"/>
    <d v="2023-01-26T00:00:00"/>
    <n v="4"/>
    <n v="3"/>
    <n v="9112"/>
    <n v="4556"/>
    <n v="95681"/>
    <n v="0"/>
    <n v="100237"/>
  </r>
  <r>
    <n v="2802"/>
    <x v="1"/>
    <s v="Male"/>
    <n v="60"/>
    <s v="Hyderabad"/>
    <x v="2"/>
    <n v="58544"/>
    <d v="2022-03-08T00:00:00"/>
    <n v="3"/>
    <n v="2"/>
    <n v="5854"/>
    <n v="2927"/>
    <n v="61471"/>
    <n v="0"/>
    <n v="64398"/>
  </r>
  <r>
    <n v="2803"/>
    <x v="2"/>
    <s v="Female"/>
    <n v="39"/>
    <s v="Bangalore"/>
    <x v="4"/>
    <n v="49543"/>
    <d v="2023-06-28T00:00:00"/>
    <n v="10"/>
    <n v="1"/>
    <n v="4954"/>
    <n v="2477"/>
    <n v="52020"/>
    <n v="2477"/>
    <n v="56974"/>
  </r>
  <r>
    <n v="2804"/>
    <x v="1"/>
    <s v="Female"/>
    <n v="53"/>
    <s v="Delhi"/>
    <x v="2"/>
    <n v="21421"/>
    <d v="2023-09-29T00:00:00"/>
    <n v="18"/>
    <n v="2"/>
    <n v="2142"/>
    <n v="1071"/>
    <n v="22492"/>
    <n v="1071"/>
    <n v="24634"/>
  </r>
  <r>
    <n v="2805"/>
    <x v="9"/>
    <s v="Male"/>
    <n v="59"/>
    <s v="Mumbai"/>
    <x v="1"/>
    <n v="67486"/>
    <d v="2023-12-04T00:00:00"/>
    <n v="6"/>
    <n v="5"/>
    <n v="6749"/>
    <n v="3374"/>
    <n v="70861"/>
    <n v="3374"/>
    <n v="77609"/>
  </r>
  <r>
    <n v="2806"/>
    <x v="3"/>
    <s v="Male"/>
    <n v="30"/>
    <s v="Hyderabad"/>
    <x v="4"/>
    <n v="66069"/>
    <d v="2022-08-21T00:00:00"/>
    <n v="14"/>
    <n v="1"/>
    <n v="6607"/>
    <n v="3303"/>
    <n v="69373"/>
    <n v="3303"/>
    <n v="75979"/>
  </r>
  <r>
    <n v="2807"/>
    <x v="0"/>
    <s v="Female"/>
    <n v="27"/>
    <s v="Chennai"/>
    <x v="2"/>
    <n v="96407"/>
    <d v="2024-01-23T00:00:00"/>
    <n v="7"/>
    <n v="4"/>
    <n v="9641"/>
    <n v="4820"/>
    <n v="101228"/>
    <n v="4820"/>
    <n v="110868"/>
  </r>
  <r>
    <n v="2808"/>
    <x v="2"/>
    <s v="Male"/>
    <n v="27"/>
    <s v="Hyderabad"/>
    <x v="4"/>
    <n v="40718"/>
    <d v="2023-09-01T00:00:00"/>
    <n v="14"/>
    <n v="5"/>
    <n v="4072"/>
    <n v="2036"/>
    <n v="42754"/>
    <n v="2036"/>
    <n v="46826"/>
  </r>
  <r>
    <n v="2809"/>
    <x v="6"/>
    <s v="Male"/>
    <n v="55"/>
    <s v="Bangalore"/>
    <x v="0"/>
    <n v="84148"/>
    <d v="2023-03-07T00:00:00"/>
    <n v="2"/>
    <n v="1"/>
    <n v="8415"/>
    <n v="4207"/>
    <n v="88356"/>
    <n v="0"/>
    <n v="92563"/>
  </r>
  <r>
    <n v="2810"/>
    <x v="6"/>
    <s v="Male"/>
    <n v="56"/>
    <s v="Delhi"/>
    <x v="0"/>
    <n v="24526"/>
    <d v="2023-04-08T00:00:00"/>
    <n v="1"/>
    <n v="1"/>
    <n v="2453"/>
    <n v="1226"/>
    <n v="25753"/>
    <n v="0"/>
    <n v="26979"/>
  </r>
  <r>
    <n v="2811"/>
    <x v="6"/>
    <s v="Female"/>
    <n v="52"/>
    <s v="Chennai"/>
    <x v="0"/>
    <n v="29867"/>
    <d v="2023-01-03T00:00:00"/>
    <n v="12"/>
    <n v="5"/>
    <n v="2987"/>
    <n v="1493"/>
    <n v="31361"/>
    <n v="1493"/>
    <n v="34347"/>
  </r>
  <r>
    <n v="2812"/>
    <x v="2"/>
    <s v="Male"/>
    <n v="45"/>
    <s v="Chennai"/>
    <x v="2"/>
    <n v="57794"/>
    <d v="2022-04-07T00:00:00"/>
    <n v="3"/>
    <n v="3"/>
    <n v="5779"/>
    <n v="2890"/>
    <n v="60683"/>
    <n v="0"/>
    <n v="63573"/>
  </r>
  <r>
    <n v="2813"/>
    <x v="3"/>
    <s v="Male"/>
    <n v="39"/>
    <s v="Chennai"/>
    <x v="3"/>
    <n v="43692"/>
    <d v="2024-06-27T00:00:00"/>
    <n v="7"/>
    <n v="5"/>
    <n v="4369"/>
    <n v="2185"/>
    <n v="45876"/>
    <n v="2185"/>
    <n v="50246"/>
  </r>
  <r>
    <n v="2814"/>
    <x v="9"/>
    <s v="Female"/>
    <n v="36"/>
    <s v="Delhi"/>
    <x v="1"/>
    <n v="27564"/>
    <d v="2022-01-09T00:00:00"/>
    <n v="12"/>
    <n v="5"/>
    <n v="2756"/>
    <n v="1378"/>
    <n v="28942"/>
    <n v="1378"/>
    <n v="31698"/>
  </r>
  <r>
    <n v="2815"/>
    <x v="1"/>
    <s v="Male"/>
    <n v="30"/>
    <s v="Mumbai"/>
    <x v="1"/>
    <n v="72907"/>
    <d v="2022-01-09T00:00:00"/>
    <n v="4"/>
    <n v="2"/>
    <n v="7291"/>
    <n v="3645"/>
    <n v="76553"/>
    <n v="0"/>
    <n v="80198"/>
  </r>
  <r>
    <n v="2816"/>
    <x v="6"/>
    <s v="Male"/>
    <n v="53"/>
    <s v="Hyderabad"/>
    <x v="2"/>
    <n v="34516"/>
    <d v="2024-02-18T00:00:00"/>
    <n v="15"/>
    <n v="1"/>
    <n v="3452"/>
    <n v="1726"/>
    <n v="36242"/>
    <n v="1726"/>
    <n v="39694"/>
  </r>
  <r>
    <n v="2817"/>
    <x v="9"/>
    <s v="Female"/>
    <n v="25"/>
    <s v="Hyderabad"/>
    <x v="2"/>
    <n v="52011"/>
    <d v="2022-03-21T00:00:00"/>
    <n v="16"/>
    <n v="5"/>
    <n v="5201"/>
    <n v="2601"/>
    <n v="54611"/>
    <n v="2601"/>
    <n v="59813"/>
  </r>
  <r>
    <n v="2818"/>
    <x v="9"/>
    <s v="Male"/>
    <n v="45"/>
    <s v="Hyderabad"/>
    <x v="3"/>
    <n v="58646"/>
    <d v="2024-03-04T00:00:00"/>
    <n v="18"/>
    <n v="1"/>
    <n v="5865"/>
    <n v="2932"/>
    <n v="61579"/>
    <n v="2932"/>
    <n v="67443"/>
  </r>
  <r>
    <n v="2819"/>
    <x v="1"/>
    <s v="Male"/>
    <n v="21"/>
    <s v="Chennai"/>
    <x v="1"/>
    <n v="22261"/>
    <d v="2022-07-05T00:00:00"/>
    <n v="9"/>
    <n v="4"/>
    <n v="2226"/>
    <n v="1113"/>
    <n v="23374"/>
    <n v="1113"/>
    <n v="25600"/>
  </r>
  <r>
    <n v="2820"/>
    <x v="8"/>
    <s v="Male"/>
    <n v="55"/>
    <s v="Mumbai"/>
    <x v="1"/>
    <n v="52696"/>
    <d v="2023-01-12T00:00:00"/>
    <n v="4"/>
    <n v="4"/>
    <n v="5270"/>
    <n v="2635"/>
    <n v="55331"/>
    <n v="0"/>
    <n v="57966"/>
  </r>
  <r>
    <n v="2821"/>
    <x v="0"/>
    <s v="Female"/>
    <n v="38"/>
    <s v="Delhi"/>
    <x v="1"/>
    <n v="28668"/>
    <d v="2022-09-22T00:00:00"/>
    <n v="11"/>
    <n v="4"/>
    <n v="2867"/>
    <n v="1433"/>
    <n v="30102"/>
    <n v="1433"/>
    <n v="32968"/>
  </r>
  <r>
    <n v="2822"/>
    <x v="1"/>
    <s v="Female"/>
    <n v="42"/>
    <s v="Bangalore"/>
    <x v="2"/>
    <n v="73469"/>
    <d v="2023-01-13T00:00:00"/>
    <n v="11"/>
    <n v="2"/>
    <n v="7347"/>
    <n v="3673"/>
    <n v="77143"/>
    <n v="3673"/>
    <n v="84489"/>
  </r>
  <r>
    <n v="2823"/>
    <x v="4"/>
    <s v="Male"/>
    <n v="54"/>
    <s v="Hyderabad"/>
    <x v="2"/>
    <n v="58332"/>
    <d v="2022-07-02T00:00:00"/>
    <n v="17"/>
    <n v="2"/>
    <n v="5833"/>
    <n v="2917"/>
    <n v="61248"/>
    <n v="2917"/>
    <n v="67082"/>
  </r>
  <r>
    <n v="2824"/>
    <x v="6"/>
    <s v="Female"/>
    <n v="25"/>
    <s v="Delhi"/>
    <x v="4"/>
    <n v="50989"/>
    <d v="2022-05-16T00:00:00"/>
    <n v="10"/>
    <n v="4"/>
    <n v="5099"/>
    <n v="2549"/>
    <n v="53539"/>
    <n v="2549"/>
    <n v="58637"/>
  </r>
  <r>
    <n v="2825"/>
    <x v="5"/>
    <s v="Male"/>
    <n v="26"/>
    <s v="Delhi"/>
    <x v="3"/>
    <n v="56255"/>
    <d v="2022-09-20T00:00:00"/>
    <n v="20"/>
    <n v="1"/>
    <n v="5626"/>
    <n v="2813"/>
    <n v="59068"/>
    <n v="2813"/>
    <n v="64694"/>
  </r>
  <r>
    <n v="2826"/>
    <x v="0"/>
    <s v="Female"/>
    <n v="25"/>
    <s v="Chennai"/>
    <x v="1"/>
    <n v="50804"/>
    <d v="2024-03-23T00:00:00"/>
    <n v="16"/>
    <n v="5"/>
    <n v="5080"/>
    <n v="2540"/>
    <n v="53344"/>
    <n v="2540"/>
    <n v="58424"/>
  </r>
  <r>
    <n v="2827"/>
    <x v="7"/>
    <s v="Male"/>
    <n v="40"/>
    <s v="Chennai"/>
    <x v="0"/>
    <n v="37588"/>
    <d v="2022-07-08T00:00:00"/>
    <n v="8"/>
    <n v="3"/>
    <n v="3759"/>
    <n v="1879"/>
    <n v="39468"/>
    <n v="1879"/>
    <n v="43226"/>
  </r>
  <r>
    <n v="2828"/>
    <x v="5"/>
    <s v="Female"/>
    <n v="47"/>
    <s v="Bangalore"/>
    <x v="2"/>
    <n v="57590"/>
    <d v="2024-03-18T00:00:00"/>
    <n v="19"/>
    <n v="2"/>
    <n v="5759"/>
    <n v="2880"/>
    <n v="60469"/>
    <n v="2880"/>
    <n v="66229"/>
  </r>
  <r>
    <n v="2829"/>
    <x v="9"/>
    <s v="Male"/>
    <n v="44"/>
    <s v="Mumbai"/>
    <x v="0"/>
    <n v="26361"/>
    <d v="2022-01-07T00:00:00"/>
    <n v="18"/>
    <n v="4"/>
    <n v="2636"/>
    <n v="1318"/>
    <n v="27679"/>
    <n v="1318"/>
    <n v="30315"/>
  </r>
  <r>
    <n v="2830"/>
    <x v="3"/>
    <s v="Female"/>
    <n v="36"/>
    <s v="Mumbai"/>
    <x v="4"/>
    <n v="63982"/>
    <d v="2024-05-18T00:00:00"/>
    <n v="17"/>
    <n v="5"/>
    <n v="6398"/>
    <n v="3199"/>
    <n v="67181"/>
    <n v="3199"/>
    <n v="73579"/>
  </r>
  <r>
    <n v="2831"/>
    <x v="6"/>
    <s v="Female"/>
    <n v="50"/>
    <s v="Delhi"/>
    <x v="2"/>
    <n v="63810"/>
    <d v="2024-08-24T00:00:00"/>
    <n v="13"/>
    <n v="3"/>
    <n v="6381"/>
    <n v="3190"/>
    <n v="67001"/>
    <n v="3190"/>
    <n v="73381"/>
  </r>
  <r>
    <n v="2832"/>
    <x v="2"/>
    <s v="Female"/>
    <n v="39"/>
    <s v="Chennai"/>
    <x v="3"/>
    <n v="76210"/>
    <d v="2022-04-19T00:00:00"/>
    <n v="18"/>
    <n v="2"/>
    <n v="7621"/>
    <n v="3810"/>
    <n v="80021"/>
    <n v="3810"/>
    <n v="87641"/>
  </r>
  <r>
    <n v="2833"/>
    <x v="9"/>
    <s v="Male"/>
    <n v="43"/>
    <s v="Delhi"/>
    <x v="3"/>
    <n v="30900"/>
    <d v="2022-03-27T00:00:00"/>
    <n v="1"/>
    <n v="5"/>
    <n v="3090"/>
    <n v="1545"/>
    <n v="32445"/>
    <n v="0"/>
    <n v="33990"/>
  </r>
  <r>
    <n v="2834"/>
    <x v="6"/>
    <s v="Male"/>
    <n v="42"/>
    <s v="Hyderabad"/>
    <x v="1"/>
    <n v="34074"/>
    <d v="2022-10-03T00:00:00"/>
    <n v="15"/>
    <n v="2"/>
    <n v="3407"/>
    <n v="1704"/>
    <n v="35777"/>
    <n v="1704"/>
    <n v="39185"/>
  </r>
  <r>
    <n v="2835"/>
    <x v="6"/>
    <s v="Female"/>
    <n v="47"/>
    <s v="Chennai"/>
    <x v="3"/>
    <n v="84937"/>
    <d v="2022-12-11T00:00:00"/>
    <n v="11"/>
    <n v="1"/>
    <n v="8494"/>
    <n v="4247"/>
    <n v="89184"/>
    <n v="4247"/>
    <n v="97678"/>
  </r>
  <r>
    <n v="2836"/>
    <x v="0"/>
    <s v="Female"/>
    <n v="45"/>
    <s v="Hyderabad"/>
    <x v="3"/>
    <n v="76127"/>
    <d v="2022-04-09T00:00:00"/>
    <n v="9"/>
    <n v="3"/>
    <n v="7613"/>
    <n v="3806"/>
    <n v="79934"/>
    <n v="3806"/>
    <n v="87546"/>
  </r>
  <r>
    <n v="2837"/>
    <x v="4"/>
    <s v="Male"/>
    <n v="54"/>
    <s v="Hyderabad"/>
    <x v="1"/>
    <n v="65164"/>
    <d v="2022-12-14T00:00:00"/>
    <n v="10"/>
    <n v="4"/>
    <n v="6516"/>
    <n v="3258"/>
    <n v="68422"/>
    <n v="3258"/>
    <n v="74938"/>
  </r>
  <r>
    <n v="2838"/>
    <x v="6"/>
    <s v="Male"/>
    <n v="36"/>
    <s v="Bangalore"/>
    <x v="1"/>
    <n v="95792"/>
    <d v="2023-06-03T00:00:00"/>
    <n v="10"/>
    <n v="4"/>
    <n v="9579"/>
    <n v="4790"/>
    <n v="100581"/>
    <n v="4790"/>
    <n v="110161"/>
  </r>
  <r>
    <n v="2839"/>
    <x v="3"/>
    <s v="Female"/>
    <n v="52"/>
    <s v="Bangalore"/>
    <x v="0"/>
    <n v="72693"/>
    <d v="2024-03-03T00:00:00"/>
    <n v="20"/>
    <n v="5"/>
    <n v="7269"/>
    <n v="3635"/>
    <n v="76327"/>
    <n v="3635"/>
    <n v="83597"/>
  </r>
  <r>
    <n v="2840"/>
    <x v="1"/>
    <s v="Female"/>
    <n v="26"/>
    <s v="Chennai"/>
    <x v="1"/>
    <n v="88128"/>
    <d v="2023-02-13T00:00:00"/>
    <n v="6"/>
    <n v="2"/>
    <n v="8813"/>
    <n v="4406"/>
    <n v="92535"/>
    <n v="4406"/>
    <n v="101347"/>
  </r>
  <r>
    <n v="2841"/>
    <x v="8"/>
    <s v="Male"/>
    <n v="40"/>
    <s v="Hyderabad"/>
    <x v="1"/>
    <n v="20955"/>
    <d v="2023-06-28T00:00:00"/>
    <n v="17"/>
    <n v="1"/>
    <n v="2096"/>
    <n v="1048"/>
    <n v="22003"/>
    <n v="1048"/>
    <n v="24099"/>
  </r>
  <r>
    <n v="2842"/>
    <x v="1"/>
    <s v="Male"/>
    <n v="43"/>
    <s v="Mumbai"/>
    <x v="0"/>
    <n v="36705"/>
    <d v="2023-08-30T00:00:00"/>
    <n v="12"/>
    <n v="3"/>
    <n v="3670"/>
    <n v="1835"/>
    <n v="38540"/>
    <n v="1835"/>
    <n v="42210"/>
  </r>
  <r>
    <n v="2843"/>
    <x v="1"/>
    <s v="Female"/>
    <n v="27"/>
    <s v="Chennai"/>
    <x v="0"/>
    <n v="33680"/>
    <d v="2022-04-05T00:00:00"/>
    <n v="8"/>
    <n v="5"/>
    <n v="3368"/>
    <n v="1684"/>
    <n v="35364"/>
    <n v="1684"/>
    <n v="38732"/>
  </r>
  <r>
    <n v="2844"/>
    <x v="6"/>
    <s v="Female"/>
    <n v="36"/>
    <s v="Bangalore"/>
    <x v="1"/>
    <n v="33506"/>
    <d v="2024-07-29T00:00:00"/>
    <n v="13"/>
    <n v="5"/>
    <n v="3351"/>
    <n v="1675"/>
    <n v="35182"/>
    <n v="1675"/>
    <n v="38532"/>
  </r>
  <r>
    <n v="2845"/>
    <x v="0"/>
    <s v="Male"/>
    <n v="39"/>
    <s v="Delhi"/>
    <x v="2"/>
    <n v="82381"/>
    <d v="2022-03-15T00:00:00"/>
    <n v="4"/>
    <n v="5"/>
    <n v="8238"/>
    <n v="4119"/>
    <n v="86500"/>
    <n v="0"/>
    <n v="90619"/>
  </r>
  <r>
    <n v="2846"/>
    <x v="8"/>
    <s v="Male"/>
    <n v="52"/>
    <s v="Bangalore"/>
    <x v="2"/>
    <n v="62589"/>
    <d v="2022-02-03T00:00:00"/>
    <n v="9"/>
    <n v="1"/>
    <n v="6259"/>
    <n v="3129"/>
    <n v="65719"/>
    <n v="3129"/>
    <n v="71977"/>
  </r>
  <r>
    <n v="2847"/>
    <x v="4"/>
    <s v="Male"/>
    <n v="48"/>
    <s v="Chennai"/>
    <x v="0"/>
    <n v="70740"/>
    <d v="2023-05-23T00:00:00"/>
    <n v="7"/>
    <n v="2"/>
    <n v="7074"/>
    <n v="3537"/>
    <n v="74277"/>
    <n v="3537"/>
    <n v="81351"/>
  </r>
  <r>
    <n v="2848"/>
    <x v="5"/>
    <s v="Male"/>
    <n v="32"/>
    <s v="Delhi"/>
    <x v="3"/>
    <n v="91147"/>
    <d v="2022-05-05T00:00:00"/>
    <n v="7"/>
    <n v="1"/>
    <n v="9115"/>
    <n v="4557"/>
    <n v="95705"/>
    <n v="4557"/>
    <n v="104819"/>
  </r>
  <r>
    <n v="2849"/>
    <x v="5"/>
    <s v="Female"/>
    <n v="43"/>
    <s v="Hyderabad"/>
    <x v="1"/>
    <n v="84506"/>
    <d v="2024-07-19T00:00:00"/>
    <n v="6"/>
    <n v="5"/>
    <n v="8451"/>
    <n v="4225"/>
    <n v="88732"/>
    <n v="4225"/>
    <n v="97182"/>
  </r>
  <r>
    <n v="2850"/>
    <x v="2"/>
    <s v="Male"/>
    <n v="23"/>
    <s v="Mumbai"/>
    <x v="0"/>
    <n v="21337"/>
    <d v="2023-09-06T00:00:00"/>
    <n v="13"/>
    <n v="5"/>
    <n v="2134"/>
    <n v="1067"/>
    <n v="22404"/>
    <n v="1067"/>
    <n v="24538"/>
  </r>
  <r>
    <n v="2851"/>
    <x v="0"/>
    <s v="Male"/>
    <n v="53"/>
    <s v="Bangalore"/>
    <x v="3"/>
    <n v="80974"/>
    <d v="2024-04-25T00:00:00"/>
    <n v="9"/>
    <n v="4"/>
    <n v="8097"/>
    <n v="4049"/>
    <n v="85022"/>
    <n v="4049"/>
    <n v="93120"/>
  </r>
  <r>
    <n v="2852"/>
    <x v="9"/>
    <s v="Male"/>
    <n v="51"/>
    <s v="Mumbai"/>
    <x v="3"/>
    <n v="29505"/>
    <d v="2023-08-02T00:00:00"/>
    <n v="12"/>
    <n v="5"/>
    <n v="2950"/>
    <n v="1475"/>
    <n v="30980"/>
    <n v="1475"/>
    <n v="33930"/>
  </r>
  <r>
    <n v="2853"/>
    <x v="7"/>
    <s v="Male"/>
    <n v="39"/>
    <s v="Chennai"/>
    <x v="4"/>
    <n v="56226"/>
    <d v="2023-07-07T00:00:00"/>
    <n v="13"/>
    <n v="5"/>
    <n v="5623"/>
    <n v="2811"/>
    <n v="59038"/>
    <n v="2811"/>
    <n v="64660"/>
  </r>
  <r>
    <n v="2854"/>
    <x v="8"/>
    <s v="Male"/>
    <n v="30"/>
    <s v="Hyderabad"/>
    <x v="0"/>
    <n v="58741"/>
    <d v="2023-01-03T00:00:00"/>
    <n v="12"/>
    <n v="5"/>
    <n v="5874"/>
    <n v="2937"/>
    <n v="61678"/>
    <n v="2937"/>
    <n v="67552"/>
  </r>
  <r>
    <n v="2855"/>
    <x v="2"/>
    <s v="Female"/>
    <n v="46"/>
    <s v="Bangalore"/>
    <x v="3"/>
    <n v="70871"/>
    <d v="2022-12-12T00:00:00"/>
    <n v="6"/>
    <n v="4"/>
    <n v="7087"/>
    <n v="3544"/>
    <n v="74414"/>
    <n v="3544"/>
    <n v="81502"/>
  </r>
  <r>
    <n v="2856"/>
    <x v="4"/>
    <s v="Female"/>
    <n v="46"/>
    <s v="Delhi"/>
    <x v="4"/>
    <n v="31095"/>
    <d v="2023-04-26T00:00:00"/>
    <n v="2"/>
    <n v="4"/>
    <n v="3110"/>
    <n v="1555"/>
    <n v="32650"/>
    <n v="0"/>
    <n v="34205"/>
  </r>
  <r>
    <n v="2857"/>
    <x v="0"/>
    <s v="Female"/>
    <n v="27"/>
    <s v="Delhi"/>
    <x v="1"/>
    <n v="39946"/>
    <d v="2024-09-21T00:00:00"/>
    <n v="12"/>
    <n v="2"/>
    <n v="3995"/>
    <n v="1997"/>
    <n v="41944"/>
    <n v="1997"/>
    <n v="45938"/>
  </r>
  <r>
    <n v="2858"/>
    <x v="0"/>
    <s v="Female"/>
    <n v="57"/>
    <s v="Mumbai"/>
    <x v="3"/>
    <n v="97216"/>
    <d v="2023-05-28T00:00:00"/>
    <n v="14"/>
    <n v="5"/>
    <n v="9722"/>
    <n v="4861"/>
    <n v="102077"/>
    <n v="4861"/>
    <n v="111799"/>
  </r>
  <r>
    <n v="2859"/>
    <x v="9"/>
    <s v="Male"/>
    <n v="54"/>
    <s v="Bangalore"/>
    <x v="4"/>
    <n v="85032"/>
    <d v="2023-04-13T00:00:00"/>
    <n v="9"/>
    <n v="5"/>
    <n v="8503"/>
    <n v="4252"/>
    <n v="89283"/>
    <n v="4252"/>
    <n v="97787"/>
  </r>
  <r>
    <n v="2860"/>
    <x v="3"/>
    <s v="Male"/>
    <n v="34"/>
    <s v="Hyderabad"/>
    <x v="1"/>
    <n v="89544"/>
    <d v="2024-07-12T00:00:00"/>
    <n v="11"/>
    <n v="4"/>
    <n v="8954"/>
    <n v="4477"/>
    <n v="94021"/>
    <n v="4477"/>
    <n v="102975"/>
  </r>
  <r>
    <n v="2861"/>
    <x v="2"/>
    <s v="Female"/>
    <n v="60"/>
    <s v="Delhi"/>
    <x v="1"/>
    <n v="81409"/>
    <d v="2023-09-17T00:00:00"/>
    <n v="5"/>
    <n v="1"/>
    <n v="8141"/>
    <n v="4070"/>
    <n v="85480"/>
    <n v="0"/>
    <n v="89550"/>
  </r>
  <r>
    <n v="2862"/>
    <x v="9"/>
    <s v="Male"/>
    <n v="47"/>
    <s v="Bangalore"/>
    <x v="3"/>
    <n v="21806"/>
    <d v="2024-06-02T00:00:00"/>
    <n v="17"/>
    <n v="3"/>
    <n v="2181"/>
    <n v="1090"/>
    <n v="22897"/>
    <n v="1090"/>
    <n v="25077"/>
  </r>
  <r>
    <n v="2863"/>
    <x v="3"/>
    <s v="Male"/>
    <n v="29"/>
    <s v="Chennai"/>
    <x v="1"/>
    <n v="97102"/>
    <d v="2023-05-29T00:00:00"/>
    <n v="5"/>
    <n v="2"/>
    <n v="9710"/>
    <n v="4855"/>
    <n v="101957"/>
    <n v="0"/>
    <n v="106812"/>
  </r>
  <r>
    <n v="2864"/>
    <x v="3"/>
    <s v="Male"/>
    <n v="28"/>
    <s v="Delhi"/>
    <x v="2"/>
    <n v="80678"/>
    <d v="2023-01-17T00:00:00"/>
    <n v="5"/>
    <n v="2"/>
    <n v="8068"/>
    <n v="4034"/>
    <n v="84712"/>
    <n v="0"/>
    <n v="88746"/>
  </r>
  <r>
    <n v="2865"/>
    <x v="6"/>
    <s v="Male"/>
    <n v="26"/>
    <s v="Hyderabad"/>
    <x v="2"/>
    <n v="32277"/>
    <d v="2024-01-22T00:00:00"/>
    <n v="6"/>
    <n v="2"/>
    <n v="3228"/>
    <n v="1614"/>
    <n v="33891"/>
    <n v="1614"/>
    <n v="37119"/>
  </r>
  <r>
    <n v="2866"/>
    <x v="4"/>
    <s v="Male"/>
    <n v="48"/>
    <s v="Chennai"/>
    <x v="4"/>
    <n v="23780"/>
    <d v="2022-03-20T00:00:00"/>
    <n v="1"/>
    <n v="4"/>
    <n v="2378"/>
    <n v="1189"/>
    <n v="24969"/>
    <n v="0"/>
    <n v="26158"/>
  </r>
  <r>
    <n v="2867"/>
    <x v="6"/>
    <s v="Female"/>
    <n v="53"/>
    <s v="Bangalore"/>
    <x v="1"/>
    <n v="96968"/>
    <d v="2022-07-17T00:00:00"/>
    <n v="1"/>
    <n v="1"/>
    <n v="9697"/>
    <n v="4848"/>
    <n v="101817"/>
    <n v="0"/>
    <n v="106665"/>
  </r>
  <r>
    <n v="2868"/>
    <x v="6"/>
    <s v="Female"/>
    <n v="26"/>
    <s v="Bangalore"/>
    <x v="3"/>
    <n v="74932"/>
    <d v="2022-07-23T00:00:00"/>
    <n v="13"/>
    <n v="3"/>
    <n v="7493"/>
    <n v="3747"/>
    <n v="78678"/>
    <n v="3747"/>
    <n v="86172"/>
  </r>
  <r>
    <n v="2869"/>
    <x v="1"/>
    <s v="Male"/>
    <n v="48"/>
    <s v="Mumbai"/>
    <x v="0"/>
    <n v="28644"/>
    <d v="2023-08-26T00:00:00"/>
    <n v="1"/>
    <n v="4"/>
    <n v="2864"/>
    <n v="1432"/>
    <n v="30076"/>
    <n v="0"/>
    <n v="31508"/>
  </r>
  <r>
    <n v="2870"/>
    <x v="0"/>
    <s v="Male"/>
    <n v="58"/>
    <s v="Mumbai"/>
    <x v="1"/>
    <n v="95150"/>
    <d v="2022-05-30T00:00:00"/>
    <n v="18"/>
    <n v="1"/>
    <n v="9515"/>
    <n v="4758"/>
    <n v="99907"/>
    <n v="4758"/>
    <n v="109423"/>
  </r>
  <r>
    <n v="2871"/>
    <x v="9"/>
    <s v="Female"/>
    <n v="57"/>
    <s v="Mumbai"/>
    <x v="1"/>
    <n v="80410"/>
    <d v="2022-06-12T00:00:00"/>
    <n v="9"/>
    <n v="4"/>
    <n v="8041"/>
    <n v="4020"/>
    <n v="84431"/>
    <n v="4020"/>
    <n v="92471"/>
  </r>
  <r>
    <n v="2872"/>
    <x v="2"/>
    <s v="Male"/>
    <n v="24"/>
    <s v="Hyderabad"/>
    <x v="2"/>
    <n v="82120"/>
    <d v="2023-01-11T00:00:00"/>
    <n v="8"/>
    <n v="4"/>
    <n v="8212"/>
    <n v="4106"/>
    <n v="86226"/>
    <n v="4106"/>
    <n v="94438"/>
  </r>
  <r>
    <n v="2873"/>
    <x v="5"/>
    <s v="Male"/>
    <n v="33"/>
    <s v="Mumbai"/>
    <x v="3"/>
    <n v="37674"/>
    <d v="2022-11-12T00:00:00"/>
    <n v="3"/>
    <n v="2"/>
    <n v="3767"/>
    <n v="1884"/>
    <n v="39557"/>
    <n v="0"/>
    <n v="41441"/>
  </r>
  <r>
    <n v="2874"/>
    <x v="5"/>
    <s v="Female"/>
    <n v="28"/>
    <s v="Delhi"/>
    <x v="2"/>
    <n v="30624"/>
    <d v="2023-11-29T00:00:00"/>
    <n v="8"/>
    <n v="3"/>
    <n v="3062"/>
    <n v="1531"/>
    <n v="32155"/>
    <n v="1531"/>
    <n v="35217"/>
  </r>
  <r>
    <n v="2875"/>
    <x v="3"/>
    <s v="Female"/>
    <n v="41"/>
    <s v="Bangalore"/>
    <x v="2"/>
    <n v="97288"/>
    <d v="2024-02-10T00:00:00"/>
    <n v="14"/>
    <n v="4"/>
    <n v="9729"/>
    <n v="4864"/>
    <n v="102153"/>
    <n v="4864"/>
    <n v="111881"/>
  </r>
  <r>
    <n v="2876"/>
    <x v="2"/>
    <s v="Female"/>
    <n v="25"/>
    <s v="Delhi"/>
    <x v="0"/>
    <n v="34550"/>
    <d v="2023-01-22T00:00:00"/>
    <n v="1"/>
    <n v="3"/>
    <n v="3455"/>
    <n v="1728"/>
    <n v="36277"/>
    <n v="0"/>
    <n v="38005"/>
  </r>
  <r>
    <n v="2877"/>
    <x v="3"/>
    <s v="Male"/>
    <n v="40"/>
    <s v="Bangalore"/>
    <x v="3"/>
    <n v="32748"/>
    <d v="2022-08-15T00:00:00"/>
    <n v="19"/>
    <n v="5"/>
    <n v="3275"/>
    <n v="1637"/>
    <n v="34386"/>
    <n v="1637"/>
    <n v="37660"/>
  </r>
  <r>
    <n v="2878"/>
    <x v="7"/>
    <s v="Female"/>
    <n v="28"/>
    <s v="Delhi"/>
    <x v="0"/>
    <n v="96461"/>
    <d v="2023-04-08T00:00:00"/>
    <n v="17"/>
    <n v="3"/>
    <n v="9646"/>
    <n v="4823"/>
    <n v="101284"/>
    <n v="4823"/>
    <n v="110930"/>
  </r>
  <r>
    <n v="2879"/>
    <x v="3"/>
    <s v="Male"/>
    <n v="46"/>
    <s v="Mumbai"/>
    <x v="1"/>
    <n v="61066"/>
    <d v="2024-08-23T00:00:00"/>
    <n v="4"/>
    <n v="4"/>
    <n v="6107"/>
    <n v="3053"/>
    <n v="64120"/>
    <n v="0"/>
    <n v="67173"/>
  </r>
  <r>
    <n v="2880"/>
    <x v="9"/>
    <s v="Female"/>
    <n v="39"/>
    <s v="Delhi"/>
    <x v="3"/>
    <n v="80860"/>
    <d v="2024-02-26T00:00:00"/>
    <n v="1"/>
    <n v="1"/>
    <n v="8086"/>
    <n v="4043"/>
    <n v="84903"/>
    <n v="0"/>
    <n v="88946"/>
  </r>
  <r>
    <n v="2881"/>
    <x v="0"/>
    <s v="Male"/>
    <n v="31"/>
    <s v="Bangalore"/>
    <x v="4"/>
    <n v="78584"/>
    <d v="2022-06-30T00:00:00"/>
    <n v="15"/>
    <n v="1"/>
    <n v="7858"/>
    <n v="3929"/>
    <n v="82513"/>
    <n v="3929"/>
    <n v="90371"/>
  </r>
  <r>
    <n v="2882"/>
    <x v="8"/>
    <s v="Female"/>
    <n v="36"/>
    <s v="Mumbai"/>
    <x v="2"/>
    <n v="31982"/>
    <d v="2022-05-01T00:00:00"/>
    <n v="12"/>
    <n v="5"/>
    <n v="3198"/>
    <n v="1599"/>
    <n v="33581"/>
    <n v="1599"/>
    <n v="36779"/>
  </r>
  <r>
    <n v="2883"/>
    <x v="8"/>
    <s v="Female"/>
    <n v="30"/>
    <s v="Bangalore"/>
    <x v="1"/>
    <n v="88482"/>
    <d v="2023-11-05T00:00:00"/>
    <n v="7"/>
    <n v="2"/>
    <n v="8848"/>
    <n v="4424"/>
    <n v="92906"/>
    <n v="4424"/>
    <n v="101754"/>
  </r>
  <r>
    <n v="2884"/>
    <x v="8"/>
    <s v="Male"/>
    <n v="60"/>
    <s v="Mumbai"/>
    <x v="4"/>
    <n v="83178"/>
    <d v="2023-11-18T00:00:00"/>
    <n v="8"/>
    <n v="2"/>
    <n v="8318"/>
    <n v="4159"/>
    <n v="87337"/>
    <n v="4159"/>
    <n v="95655"/>
  </r>
  <r>
    <n v="2885"/>
    <x v="1"/>
    <s v="Male"/>
    <n v="50"/>
    <s v="Hyderabad"/>
    <x v="3"/>
    <n v="71544"/>
    <d v="2023-01-02T00:00:00"/>
    <n v="11"/>
    <n v="1"/>
    <n v="7154"/>
    <n v="3577"/>
    <n v="75121"/>
    <n v="3577"/>
    <n v="82275"/>
  </r>
  <r>
    <n v="2886"/>
    <x v="8"/>
    <s v="Female"/>
    <n v="25"/>
    <s v="Delhi"/>
    <x v="0"/>
    <n v="54545"/>
    <d v="2023-12-10T00:00:00"/>
    <n v="15"/>
    <n v="5"/>
    <n v="5454"/>
    <n v="2727"/>
    <n v="57272"/>
    <n v="2727"/>
    <n v="62726"/>
  </r>
  <r>
    <n v="2887"/>
    <x v="0"/>
    <s v="Male"/>
    <n v="59"/>
    <s v="Hyderabad"/>
    <x v="3"/>
    <n v="21302"/>
    <d v="2022-05-26T00:00:00"/>
    <n v="16"/>
    <n v="2"/>
    <n v="2130"/>
    <n v="1065"/>
    <n v="22367"/>
    <n v="1065"/>
    <n v="24497"/>
  </r>
  <r>
    <n v="2888"/>
    <x v="0"/>
    <s v="Male"/>
    <n v="42"/>
    <s v="Hyderabad"/>
    <x v="0"/>
    <n v="89906"/>
    <d v="2022-10-26T00:00:00"/>
    <n v="8"/>
    <n v="5"/>
    <n v="8991"/>
    <n v="4495"/>
    <n v="94402"/>
    <n v="4495"/>
    <n v="103392"/>
  </r>
  <r>
    <n v="2889"/>
    <x v="6"/>
    <s v="Female"/>
    <n v="55"/>
    <s v="Chennai"/>
    <x v="2"/>
    <n v="99813"/>
    <d v="2022-02-27T00:00:00"/>
    <n v="16"/>
    <n v="3"/>
    <n v="9981"/>
    <n v="4991"/>
    <n v="104803"/>
    <n v="4991"/>
    <n v="114785"/>
  </r>
  <r>
    <n v="2890"/>
    <x v="1"/>
    <s v="Male"/>
    <n v="42"/>
    <s v="Chennai"/>
    <x v="3"/>
    <n v="96009"/>
    <d v="2023-09-26T00:00:00"/>
    <n v="12"/>
    <n v="4"/>
    <n v="9601"/>
    <n v="4800"/>
    <n v="100810"/>
    <n v="4800"/>
    <n v="110410"/>
  </r>
  <r>
    <n v="2891"/>
    <x v="5"/>
    <s v="Male"/>
    <n v="24"/>
    <s v="Chennai"/>
    <x v="4"/>
    <n v="64822"/>
    <d v="2022-10-13T00:00:00"/>
    <n v="9"/>
    <n v="3"/>
    <n v="6482"/>
    <n v="3241"/>
    <n v="68063"/>
    <n v="3241"/>
    <n v="74545"/>
  </r>
  <r>
    <n v="2892"/>
    <x v="4"/>
    <s v="Male"/>
    <n v="22"/>
    <s v="Bangalore"/>
    <x v="4"/>
    <n v="32156"/>
    <d v="2022-07-02T00:00:00"/>
    <n v="7"/>
    <n v="1"/>
    <n v="3216"/>
    <n v="1608"/>
    <n v="33764"/>
    <n v="1608"/>
    <n v="36980"/>
  </r>
  <r>
    <n v="2893"/>
    <x v="3"/>
    <s v="Male"/>
    <n v="30"/>
    <s v="Hyderabad"/>
    <x v="4"/>
    <n v="85111"/>
    <d v="2024-01-05T00:00:00"/>
    <n v="2"/>
    <n v="5"/>
    <n v="8511"/>
    <n v="4256"/>
    <n v="89366"/>
    <n v="0"/>
    <n v="93622"/>
  </r>
  <r>
    <n v="2894"/>
    <x v="4"/>
    <s v="Female"/>
    <n v="53"/>
    <s v="Hyderabad"/>
    <x v="4"/>
    <n v="98933"/>
    <d v="2022-12-22T00:00:00"/>
    <n v="19"/>
    <n v="4"/>
    <n v="9893"/>
    <n v="4947"/>
    <n v="103879"/>
    <n v="4947"/>
    <n v="113773"/>
  </r>
  <r>
    <n v="2895"/>
    <x v="2"/>
    <s v="Female"/>
    <n v="39"/>
    <s v="Chennai"/>
    <x v="4"/>
    <n v="91036"/>
    <d v="2023-03-05T00:00:00"/>
    <n v="11"/>
    <n v="4"/>
    <n v="9104"/>
    <n v="4552"/>
    <n v="95588"/>
    <n v="4552"/>
    <n v="104692"/>
  </r>
  <r>
    <n v="2896"/>
    <x v="4"/>
    <s v="Male"/>
    <n v="53"/>
    <s v="Hyderabad"/>
    <x v="4"/>
    <n v="70809"/>
    <d v="2024-09-19T00:00:00"/>
    <n v="5"/>
    <n v="5"/>
    <n v="7081"/>
    <n v="3540"/>
    <n v="74350"/>
    <n v="0"/>
    <n v="77890"/>
  </r>
  <r>
    <n v="2897"/>
    <x v="8"/>
    <s v="Male"/>
    <n v="43"/>
    <s v="Hyderabad"/>
    <x v="1"/>
    <n v="31004"/>
    <d v="2022-05-28T00:00:00"/>
    <n v="18"/>
    <n v="1"/>
    <n v="3100"/>
    <n v="1550"/>
    <n v="32554"/>
    <n v="1550"/>
    <n v="35654"/>
  </r>
  <r>
    <n v="2898"/>
    <x v="9"/>
    <s v="Male"/>
    <n v="25"/>
    <s v="Chennai"/>
    <x v="3"/>
    <n v="44329"/>
    <d v="2023-02-16T00:00:00"/>
    <n v="8"/>
    <n v="5"/>
    <n v="4433"/>
    <n v="2216"/>
    <n v="46546"/>
    <n v="2216"/>
    <n v="50978"/>
  </r>
  <r>
    <n v="2899"/>
    <x v="2"/>
    <s v="Male"/>
    <n v="34"/>
    <s v="Bangalore"/>
    <x v="3"/>
    <n v="59292"/>
    <d v="2022-10-04T00:00:00"/>
    <n v="5"/>
    <n v="1"/>
    <n v="5929"/>
    <n v="2965"/>
    <n v="62256"/>
    <n v="0"/>
    <n v="65221"/>
  </r>
  <r>
    <n v="2900"/>
    <x v="0"/>
    <s v="Male"/>
    <n v="49"/>
    <s v="Hyderabad"/>
    <x v="3"/>
    <n v="48120"/>
    <d v="2022-06-12T00:00:00"/>
    <n v="9"/>
    <n v="5"/>
    <n v="4812"/>
    <n v="2406"/>
    <n v="50526"/>
    <n v="2406"/>
    <n v="55338"/>
  </r>
  <r>
    <n v="2901"/>
    <x v="1"/>
    <s v="Male"/>
    <n v="59"/>
    <s v="Bangalore"/>
    <x v="4"/>
    <n v="93116"/>
    <d v="2022-06-03T00:00:00"/>
    <n v="11"/>
    <n v="1"/>
    <n v="9312"/>
    <n v="4656"/>
    <n v="97772"/>
    <n v="4656"/>
    <n v="107084"/>
  </r>
  <r>
    <n v="2902"/>
    <x v="3"/>
    <s v="Male"/>
    <n v="40"/>
    <s v="Delhi"/>
    <x v="2"/>
    <n v="77500"/>
    <d v="2023-10-20T00:00:00"/>
    <n v="17"/>
    <n v="5"/>
    <n v="7750"/>
    <n v="3875"/>
    <n v="81375"/>
    <n v="3875"/>
    <n v="89125"/>
  </r>
  <r>
    <n v="2903"/>
    <x v="4"/>
    <s v="Male"/>
    <n v="37"/>
    <s v="Mumbai"/>
    <x v="1"/>
    <n v="73906"/>
    <d v="2022-05-29T00:00:00"/>
    <n v="14"/>
    <n v="4"/>
    <n v="7391"/>
    <n v="3695"/>
    <n v="77602"/>
    <n v="3695"/>
    <n v="84992"/>
  </r>
  <r>
    <n v="2904"/>
    <x v="3"/>
    <s v="Female"/>
    <n v="58"/>
    <s v="Bangalore"/>
    <x v="2"/>
    <n v="63245"/>
    <d v="2023-09-11T00:00:00"/>
    <n v="10"/>
    <n v="2"/>
    <n v="6324"/>
    <n v="3162"/>
    <n v="66407"/>
    <n v="3162"/>
    <n v="72731"/>
  </r>
  <r>
    <n v="2905"/>
    <x v="8"/>
    <s v="Male"/>
    <n v="43"/>
    <s v="Mumbai"/>
    <x v="2"/>
    <n v="86078"/>
    <d v="2024-03-20T00:00:00"/>
    <n v="3"/>
    <n v="3"/>
    <n v="8608"/>
    <n v="4304"/>
    <n v="90382"/>
    <n v="0"/>
    <n v="94686"/>
  </r>
  <r>
    <n v="2906"/>
    <x v="3"/>
    <s v="Female"/>
    <n v="37"/>
    <s v="Bangalore"/>
    <x v="1"/>
    <n v="75244"/>
    <d v="2022-03-19T00:00:00"/>
    <n v="1"/>
    <n v="4"/>
    <n v="7524"/>
    <n v="3762"/>
    <n v="79006"/>
    <n v="0"/>
    <n v="82768"/>
  </r>
  <r>
    <n v="2907"/>
    <x v="0"/>
    <s v="Female"/>
    <n v="50"/>
    <s v="Hyderabad"/>
    <x v="2"/>
    <n v="20541"/>
    <d v="2022-04-15T00:00:00"/>
    <n v="19"/>
    <n v="5"/>
    <n v="2054"/>
    <n v="1027"/>
    <n v="21568"/>
    <n v="1027"/>
    <n v="23622"/>
  </r>
  <r>
    <n v="2908"/>
    <x v="0"/>
    <s v="Male"/>
    <n v="48"/>
    <s v="Mumbai"/>
    <x v="0"/>
    <n v="48607"/>
    <d v="2022-10-19T00:00:00"/>
    <n v="20"/>
    <n v="1"/>
    <n v="4861"/>
    <n v="2430"/>
    <n v="51038"/>
    <n v="2430"/>
    <n v="55898"/>
  </r>
  <r>
    <n v="2909"/>
    <x v="8"/>
    <s v="Male"/>
    <n v="22"/>
    <s v="Mumbai"/>
    <x v="0"/>
    <n v="24849"/>
    <d v="2023-11-30T00:00:00"/>
    <n v="3"/>
    <n v="3"/>
    <n v="2485"/>
    <n v="1242"/>
    <n v="26092"/>
    <n v="0"/>
    <n v="27334"/>
  </r>
  <r>
    <n v="2910"/>
    <x v="4"/>
    <s v="Female"/>
    <n v="43"/>
    <s v="Hyderabad"/>
    <x v="1"/>
    <n v="54054"/>
    <d v="2022-01-11T00:00:00"/>
    <n v="16"/>
    <n v="3"/>
    <n v="5405"/>
    <n v="2703"/>
    <n v="56756"/>
    <n v="2703"/>
    <n v="62162"/>
  </r>
  <r>
    <n v="2911"/>
    <x v="1"/>
    <s v="Female"/>
    <n v="38"/>
    <s v="Chennai"/>
    <x v="3"/>
    <n v="41592"/>
    <d v="2022-04-22T00:00:00"/>
    <n v="9"/>
    <n v="2"/>
    <n v="4159"/>
    <n v="2080"/>
    <n v="43671"/>
    <n v="2080"/>
    <n v="47831"/>
  </r>
  <r>
    <n v="2912"/>
    <x v="4"/>
    <s v="Female"/>
    <n v="57"/>
    <s v="Chennai"/>
    <x v="3"/>
    <n v="34876"/>
    <d v="2023-03-01T00:00:00"/>
    <n v="12"/>
    <n v="2"/>
    <n v="3488"/>
    <n v="1744"/>
    <n v="36620"/>
    <n v="1744"/>
    <n v="40108"/>
  </r>
  <r>
    <n v="2913"/>
    <x v="4"/>
    <s v="Female"/>
    <n v="21"/>
    <s v="Chennai"/>
    <x v="3"/>
    <n v="26960"/>
    <d v="2023-01-01T00:00:00"/>
    <n v="11"/>
    <n v="2"/>
    <n v="2696"/>
    <n v="1348"/>
    <n v="28308"/>
    <n v="1348"/>
    <n v="31004"/>
  </r>
  <r>
    <n v="2914"/>
    <x v="5"/>
    <s v="Female"/>
    <n v="38"/>
    <s v="Chennai"/>
    <x v="1"/>
    <n v="72858"/>
    <d v="2024-09-10T00:00:00"/>
    <n v="10"/>
    <n v="2"/>
    <n v="7286"/>
    <n v="3643"/>
    <n v="76501"/>
    <n v="3643"/>
    <n v="83787"/>
  </r>
  <r>
    <n v="2915"/>
    <x v="5"/>
    <s v="Female"/>
    <n v="34"/>
    <s v="Delhi"/>
    <x v="0"/>
    <n v="62755"/>
    <d v="2022-06-29T00:00:00"/>
    <n v="3"/>
    <n v="1"/>
    <n v="6276"/>
    <n v="3138"/>
    <n v="65893"/>
    <n v="0"/>
    <n v="69031"/>
  </r>
  <r>
    <n v="2916"/>
    <x v="2"/>
    <s v="Male"/>
    <n v="32"/>
    <s v="Delhi"/>
    <x v="3"/>
    <n v="97082"/>
    <d v="2022-10-18T00:00:00"/>
    <n v="16"/>
    <n v="2"/>
    <n v="9708"/>
    <n v="4854"/>
    <n v="101936"/>
    <n v="4854"/>
    <n v="111644"/>
  </r>
  <r>
    <n v="2917"/>
    <x v="8"/>
    <s v="Male"/>
    <n v="45"/>
    <s v="Mumbai"/>
    <x v="3"/>
    <n v="94610"/>
    <d v="2022-10-20T00:00:00"/>
    <n v="18"/>
    <n v="1"/>
    <n v="9461"/>
    <n v="4730"/>
    <n v="99341"/>
    <n v="4730"/>
    <n v="108801"/>
  </r>
  <r>
    <n v="2918"/>
    <x v="6"/>
    <s v="Male"/>
    <n v="36"/>
    <s v="Mumbai"/>
    <x v="2"/>
    <n v="82370"/>
    <d v="2022-12-09T00:00:00"/>
    <n v="2"/>
    <n v="4"/>
    <n v="8237"/>
    <n v="4118"/>
    <n v="86489"/>
    <n v="0"/>
    <n v="90607"/>
  </r>
  <r>
    <n v="2919"/>
    <x v="3"/>
    <s v="Female"/>
    <n v="59"/>
    <s v="Bangalore"/>
    <x v="3"/>
    <n v="43864"/>
    <d v="2023-10-27T00:00:00"/>
    <n v="7"/>
    <n v="4"/>
    <n v="4386"/>
    <n v="2193"/>
    <n v="46057"/>
    <n v="2193"/>
    <n v="50443"/>
  </r>
  <r>
    <n v="2920"/>
    <x v="7"/>
    <s v="Male"/>
    <n v="42"/>
    <s v="Chennai"/>
    <x v="2"/>
    <n v="26615"/>
    <d v="2023-09-29T00:00:00"/>
    <n v="9"/>
    <n v="5"/>
    <n v="2662"/>
    <n v="1331"/>
    <n v="27946"/>
    <n v="1331"/>
    <n v="30608"/>
  </r>
  <r>
    <n v="2921"/>
    <x v="5"/>
    <s v="Male"/>
    <n v="24"/>
    <s v="Delhi"/>
    <x v="0"/>
    <n v="71424"/>
    <d v="2024-04-27T00:00:00"/>
    <n v="17"/>
    <n v="2"/>
    <n v="7142"/>
    <n v="3571"/>
    <n v="74995"/>
    <n v="3571"/>
    <n v="82137"/>
  </r>
  <r>
    <n v="2922"/>
    <x v="0"/>
    <s v="Male"/>
    <n v="45"/>
    <s v="Bangalore"/>
    <x v="1"/>
    <n v="87066"/>
    <d v="2024-09-09T00:00:00"/>
    <n v="16"/>
    <n v="4"/>
    <n v="8707"/>
    <n v="4353"/>
    <n v="91420"/>
    <n v="4353"/>
    <n v="100126"/>
  </r>
  <r>
    <n v="2923"/>
    <x v="8"/>
    <s v="Female"/>
    <n v="29"/>
    <s v="Chennai"/>
    <x v="0"/>
    <n v="93245"/>
    <d v="2022-12-14T00:00:00"/>
    <n v="12"/>
    <n v="5"/>
    <n v="9324"/>
    <n v="4662"/>
    <n v="97907"/>
    <n v="4662"/>
    <n v="107231"/>
  </r>
  <r>
    <n v="2924"/>
    <x v="6"/>
    <s v="Male"/>
    <n v="30"/>
    <s v="Chennai"/>
    <x v="0"/>
    <n v="38855"/>
    <d v="2022-11-22T00:00:00"/>
    <n v="3"/>
    <n v="2"/>
    <n v="3886"/>
    <n v="1943"/>
    <n v="40798"/>
    <n v="0"/>
    <n v="42741"/>
  </r>
  <r>
    <n v="2925"/>
    <x v="8"/>
    <s v="Female"/>
    <n v="51"/>
    <s v="Bangalore"/>
    <x v="3"/>
    <n v="61399"/>
    <d v="2022-09-09T00:00:00"/>
    <n v="5"/>
    <n v="1"/>
    <n v="6140"/>
    <n v="3070"/>
    <n v="64469"/>
    <n v="0"/>
    <n v="67539"/>
  </r>
  <r>
    <n v="2926"/>
    <x v="8"/>
    <s v="Female"/>
    <n v="42"/>
    <s v="Chennai"/>
    <x v="1"/>
    <n v="98515"/>
    <d v="2022-09-17T00:00:00"/>
    <n v="7"/>
    <n v="1"/>
    <n v="9852"/>
    <n v="4926"/>
    <n v="103441"/>
    <n v="4926"/>
    <n v="113293"/>
  </r>
  <r>
    <n v="2927"/>
    <x v="1"/>
    <s v="Female"/>
    <n v="41"/>
    <s v="Mumbai"/>
    <x v="2"/>
    <n v="94675"/>
    <d v="2023-07-03T00:00:00"/>
    <n v="2"/>
    <n v="4"/>
    <n v="9468"/>
    <n v="4734"/>
    <n v="99409"/>
    <n v="0"/>
    <n v="104143"/>
  </r>
  <r>
    <n v="2928"/>
    <x v="8"/>
    <s v="Female"/>
    <n v="54"/>
    <s v="Bangalore"/>
    <x v="3"/>
    <n v="32480"/>
    <d v="2022-06-26T00:00:00"/>
    <n v="12"/>
    <n v="3"/>
    <n v="3248"/>
    <n v="1624"/>
    <n v="34104"/>
    <n v="1624"/>
    <n v="37352"/>
  </r>
  <r>
    <n v="2929"/>
    <x v="1"/>
    <s v="Female"/>
    <n v="22"/>
    <s v="Chennai"/>
    <x v="1"/>
    <n v="50872"/>
    <d v="2023-03-31T00:00:00"/>
    <n v="18"/>
    <n v="5"/>
    <n v="5087"/>
    <n v="2544"/>
    <n v="53415"/>
    <n v="2544"/>
    <n v="58503"/>
  </r>
  <r>
    <n v="2930"/>
    <x v="2"/>
    <s v="Male"/>
    <n v="55"/>
    <s v="Chennai"/>
    <x v="3"/>
    <n v="21430"/>
    <d v="2022-11-24T00:00:00"/>
    <n v="6"/>
    <n v="5"/>
    <n v="2143"/>
    <n v="1072"/>
    <n v="22501"/>
    <n v="1072"/>
    <n v="24645"/>
  </r>
  <r>
    <n v="2931"/>
    <x v="7"/>
    <s v="Male"/>
    <n v="44"/>
    <s v="Delhi"/>
    <x v="1"/>
    <n v="42267"/>
    <d v="2023-02-01T00:00:00"/>
    <n v="18"/>
    <n v="1"/>
    <n v="4227"/>
    <n v="2113"/>
    <n v="44381"/>
    <n v="2113"/>
    <n v="48607"/>
  </r>
  <r>
    <n v="2932"/>
    <x v="6"/>
    <s v="Male"/>
    <n v="58"/>
    <s v="Delhi"/>
    <x v="4"/>
    <n v="98089"/>
    <d v="2022-11-09T00:00:00"/>
    <n v="14"/>
    <n v="5"/>
    <n v="9809"/>
    <n v="4904"/>
    <n v="102994"/>
    <n v="4904"/>
    <n v="112802"/>
  </r>
  <r>
    <n v="2933"/>
    <x v="0"/>
    <s v="Male"/>
    <n v="41"/>
    <s v="Chennai"/>
    <x v="0"/>
    <n v="68771"/>
    <d v="2023-09-04T00:00:00"/>
    <n v="13"/>
    <n v="2"/>
    <n v="6877"/>
    <n v="3439"/>
    <n v="72209"/>
    <n v="3439"/>
    <n v="79087"/>
  </r>
  <r>
    <n v="2934"/>
    <x v="3"/>
    <s v="Female"/>
    <n v="50"/>
    <s v="Hyderabad"/>
    <x v="2"/>
    <n v="21192"/>
    <d v="2022-01-15T00:00:00"/>
    <n v="8"/>
    <n v="5"/>
    <n v="2119"/>
    <n v="1060"/>
    <n v="22251"/>
    <n v="1060"/>
    <n v="24371"/>
  </r>
  <r>
    <n v="2935"/>
    <x v="6"/>
    <s v="Female"/>
    <n v="47"/>
    <s v="Delhi"/>
    <x v="4"/>
    <n v="66227"/>
    <d v="2023-08-24T00:00:00"/>
    <n v="1"/>
    <n v="1"/>
    <n v="6623"/>
    <n v="3311"/>
    <n v="69539"/>
    <n v="0"/>
    <n v="72850"/>
  </r>
  <r>
    <n v="2936"/>
    <x v="2"/>
    <s v="Female"/>
    <n v="22"/>
    <s v="Bangalore"/>
    <x v="4"/>
    <n v="35073"/>
    <d v="2023-08-07T00:00:00"/>
    <n v="8"/>
    <n v="3"/>
    <n v="3507"/>
    <n v="1754"/>
    <n v="36826"/>
    <n v="1754"/>
    <n v="40334"/>
  </r>
  <r>
    <n v="2937"/>
    <x v="6"/>
    <s v="Male"/>
    <n v="22"/>
    <s v="Bangalore"/>
    <x v="3"/>
    <n v="29144"/>
    <d v="2023-04-25T00:00:00"/>
    <n v="8"/>
    <n v="1"/>
    <n v="2914"/>
    <n v="1457"/>
    <n v="30601"/>
    <n v="1457"/>
    <n v="33515"/>
  </r>
  <r>
    <n v="2938"/>
    <x v="1"/>
    <s v="Female"/>
    <n v="43"/>
    <s v="Delhi"/>
    <x v="1"/>
    <n v="80671"/>
    <d v="2022-08-15T00:00:00"/>
    <n v="15"/>
    <n v="2"/>
    <n v="8067"/>
    <n v="4034"/>
    <n v="84704"/>
    <n v="4034"/>
    <n v="92772"/>
  </r>
  <r>
    <n v="2939"/>
    <x v="4"/>
    <s v="Male"/>
    <n v="40"/>
    <s v="Chennai"/>
    <x v="2"/>
    <n v="31754"/>
    <d v="2023-08-31T00:00:00"/>
    <n v="17"/>
    <n v="4"/>
    <n v="3175"/>
    <n v="1588"/>
    <n v="33341"/>
    <n v="1588"/>
    <n v="36517"/>
  </r>
  <r>
    <n v="2940"/>
    <x v="4"/>
    <s v="Male"/>
    <n v="56"/>
    <s v="Mumbai"/>
    <x v="0"/>
    <n v="62458"/>
    <d v="2024-08-22T00:00:00"/>
    <n v="3"/>
    <n v="4"/>
    <n v="6246"/>
    <n v="3123"/>
    <n v="65581"/>
    <n v="0"/>
    <n v="68704"/>
  </r>
  <r>
    <n v="2941"/>
    <x v="6"/>
    <s v="Male"/>
    <n v="24"/>
    <s v="Chennai"/>
    <x v="1"/>
    <n v="36535"/>
    <d v="2022-03-03T00:00:00"/>
    <n v="18"/>
    <n v="1"/>
    <n v="3654"/>
    <n v="1827"/>
    <n v="38362"/>
    <n v="1827"/>
    <n v="42016"/>
  </r>
  <r>
    <n v="2942"/>
    <x v="6"/>
    <s v="Female"/>
    <n v="52"/>
    <s v="Delhi"/>
    <x v="2"/>
    <n v="25416"/>
    <d v="2022-08-06T00:00:00"/>
    <n v="6"/>
    <n v="1"/>
    <n v="2542"/>
    <n v="1271"/>
    <n v="26687"/>
    <n v="1271"/>
    <n v="29229"/>
  </r>
  <r>
    <n v="2943"/>
    <x v="7"/>
    <s v="Male"/>
    <n v="48"/>
    <s v="Bangalore"/>
    <x v="0"/>
    <n v="63694"/>
    <d v="2023-05-16T00:00:00"/>
    <n v="15"/>
    <n v="3"/>
    <n v="6369"/>
    <n v="3185"/>
    <n v="66878"/>
    <n v="3185"/>
    <n v="73248"/>
  </r>
  <r>
    <n v="2944"/>
    <x v="4"/>
    <s v="Female"/>
    <n v="27"/>
    <s v="Delhi"/>
    <x v="1"/>
    <n v="52777"/>
    <d v="2023-10-01T00:00:00"/>
    <n v="1"/>
    <n v="2"/>
    <n v="5278"/>
    <n v="2639"/>
    <n v="55416"/>
    <n v="0"/>
    <n v="58055"/>
  </r>
  <r>
    <n v="2945"/>
    <x v="5"/>
    <s v="Male"/>
    <n v="58"/>
    <s v="Bangalore"/>
    <x v="0"/>
    <n v="63176"/>
    <d v="2022-10-08T00:00:00"/>
    <n v="15"/>
    <n v="2"/>
    <n v="6318"/>
    <n v="3159"/>
    <n v="66335"/>
    <n v="3159"/>
    <n v="72653"/>
  </r>
  <r>
    <n v="2946"/>
    <x v="6"/>
    <s v="Female"/>
    <n v="27"/>
    <s v="Delhi"/>
    <x v="4"/>
    <n v="52516"/>
    <d v="2022-08-26T00:00:00"/>
    <n v="6"/>
    <n v="1"/>
    <n v="5252"/>
    <n v="2626"/>
    <n v="55142"/>
    <n v="2626"/>
    <n v="60394"/>
  </r>
  <r>
    <n v="2947"/>
    <x v="9"/>
    <s v="Male"/>
    <n v="55"/>
    <s v="Delhi"/>
    <x v="3"/>
    <n v="69852"/>
    <d v="2023-06-07T00:00:00"/>
    <n v="5"/>
    <n v="4"/>
    <n v="6985"/>
    <n v="3493"/>
    <n v="73344"/>
    <n v="0"/>
    <n v="76837"/>
  </r>
  <r>
    <n v="2948"/>
    <x v="4"/>
    <s v="Female"/>
    <n v="43"/>
    <s v="Hyderabad"/>
    <x v="4"/>
    <n v="51746"/>
    <d v="2024-04-06T00:00:00"/>
    <n v="7"/>
    <n v="4"/>
    <n v="5175"/>
    <n v="2587"/>
    <n v="54334"/>
    <n v="2587"/>
    <n v="59508"/>
  </r>
  <r>
    <n v="2949"/>
    <x v="2"/>
    <s v="Male"/>
    <n v="43"/>
    <s v="Bangalore"/>
    <x v="4"/>
    <n v="72485"/>
    <d v="2022-06-14T00:00:00"/>
    <n v="3"/>
    <n v="3"/>
    <n v="7248"/>
    <n v="3624"/>
    <n v="76109"/>
    <n v="0"/>
    <n v="79733"/>
  </r>
  <r>
    <n v="2950"/>
    <x v="1"/>
    <s v="Male"/>
    <n v="29"/>
    <s v="Mumbai"/>
    <x v="4"/>
    <n v="80489"/>
    <d v="2024-02-23T00:00:00"/>
    <n v="14"/>
    <n v="2"/>
    <n v="8049"/>
    <n v="4024"/>
    <n v="84514"/>
    <n v="4024"/>
    <n v="92562"/>
  </r>
  <r>
    <n v="2951"/>
    <x v="2"/>
    <s v="Female"/>
    <n v="48"/>
    <s v="Delhi"/>
    <x v="0"/>
    <n v="87592"/>
    <d v="2023-12-26T00:00:00"/>
    <n v="10"/>
    <n v="5"/>
    <n v="8759"/>
    <n v="4380"/>
    <n v="91971"/>
    <n v="4380"/>
    <n v="100731"/>
  </r>
  <r>
    <n v="2952"/>
    <x v="5"/>
    <s v="Male"/>
    <n v="46"/>
    <s v="Chennai"/>
    <x v="2"/>
    <n v="62632"/>
    <d v="2023-11-13T00:00:00"/>
    <n v="19"/>
    <n v="2"/>
    <n v="6263"/>
    <n v="3132"/>
    <n v="65763"/>
    <n v="3132"/>
    <n v="72027"/>
  </r>
  <r>
    <n v="2953"/>
    <x v="4"/>
    <s v="Female"/>
    <n v="56"/>
    <s v="Bangalore"/>
    <x v="0"/>
    <n v="61943"/>
    <d v="2023-05-10T00:00:00"/>
    <n v="9"/>
    <n v="2"/>
    <n v="6194"/>
    <n v="3097"/>
    <n v="65040"/>
    <n v="3097"/>
    <n v="71234"/>
  </r>
  <r>
    <n v="2954"/>
    <x v="9"/>
    <s v="Female"/>
    <n v="29"/>
    <s v="Bangalore"/>
    <x v="1"/>
    <n v="74970"/>
    <d v="2022-06-16T00:00:00"/>
    <n v="12"/>
    <n v="2"/>
    <n v="7497"/>
    <n v="3748"/>
    <n v="78719"/>
    <n v="3748"/>
    <n v="86215"/>
  </r>
  <r>
    <n v="2955"/>
    <x v="1"/>
    <s v="Female"/>
    <n v="47"/>
    <s v="Hyderabad"/>
    <x v="4"/>
    <n v="49358"/>
    <d v="2024-01-10T00:00:00"/>
    <n v="12"/>
    <n v="1"/>
    <n v="4936"/>
    <n v="2468"/>
    <n v="51826"/>
    <n v="2468"/>
    <n v="56762"/>
  </r>
  <r>
    <n v="2956"/>
    <x v="8"/>
    <s v="Male"/>
    <n v="53"/>
    <s v="Chennai"/>
    <x v="0"/>
    <n v="71420"/>
    <d v="2024-03-11T00:00:00"/>
    <n v="8"/>
    <n v="5"/>
    <n v="7142"/>
    <n v="3571"/>
    <n v="74991"/>
    <n v="3571"/>
    <n v="82133"/>
  </r>
  <r>
    <n v="2957"/>
    <x v="5"/>
    <s v="Female"/>
    <n v="47"/>
    <s v="Bangalore"/>
    <x v="4"/>
    <n v="69433"/>
    <d v="2022-05-07T00:00:00"/>
    <n v="6"/>
    <n v="2"/>
    <n v="6943"/>
    <n v="3472"/>
    <n v="72904"/>
    <n v="3472"/>
    <n v="79848"/>
  </r>
  <r>
    <n v="2958"/>
    <x v="8"/>
    <s v="Male"/>
    <n v="60"/>
    <s v="Delhi"/>
    <x v="0"/>
    <n v="96436"/>
    <d v="2023-02-21T00:00:00"/>
    <n v="7"/>
    <n v="2"/>
    <n v="9644"/>
    <n v="4822"/>
    <n v="101258"/>
    <n v="4822"/>
    <n v="110902"/>
  </r>
  <r>
    <n v="2959"/>
    <x v="4"/>
    <s v="Male"/>
    <n v="60"/>
    <s v="Mumbai"/>
    <x v="4"/>
    <n v="56554"/>
    <d v="2023-06-08T00:00:00"/>
    <n v="17"/>
    <n v="3"/>
    <n v="5655"/>
    <n v="2828"/>
    <n v="59381"/>
    <n v="2828"/>
    <n v="65037"/>
  </r>
  <r>
    <n v="2960"/>
    <x v="4"/>
    <s v="Male"/>
    <n v="51"/>
    <s v="Hyderabad"/>
    <x v="1"/>
    <n v="74978"/>
    <d v="2024-08-07T00:00:00"/>
    <n v="14"/>
    <n v="3"/>
    <n v="7498"/>
    <n v="3749"/>
    <n v="78727"/>
    <n v="3749"/>
    <n v="86225"/>
  </r>
  <r>
    <n v="2961"/>
    <x v="9"/>
    <s v="Female"/>
    <n v="21"/>
    <s v="Chennai"/>
    <x v="4"/>
    <n v="47971"/>
    <d v="2023-06-01T00:00:00"/>
    <n v="18"/>
    <n v="1"/>
    <n v="4797"/>
    <n v="2399"/>
    <n v="50369"/>
    <n v="2399"/>
    <n v="55167"/>
  </r>
  <r>
    <n v="2962"/>
    <x v="5"/>
    <s v="Male"/>
    <n v="59"/>
    <s v="Hyderabad"/>
    <x v="3"/>
    <n v="55860"/>
    <d v="2024-02-18T00:00:00"/>
    <n v="4"/>
    <n v="3"/>
    <n v="5586"/>
    <n v="2793"/>
    <n v="58653"/>
    <n v="0"/>
    <n v="61446"/>
  </r>
  <r>
    <n v="2963"/>
    <x v="3"/>
    <s v="Female"/>
    <n v="38"/>
    <s v="Mumbai"/>
    <x v="0"/>
    <n v="72617"/>
    <d v="2022-07-01T00:00:00"/>
    <n v="17"/>
    <n v="5"/>
    <n v="7262"/>
    <n v="3631"/>
    <n v="76248"/>
    <n v="3631"/>
    <n v="83510"/>
  </r>
  <r>
    <n v="2964"/>
    <x v="9"/>
    <s v="Female"/>
    <n v="56"/>
    <s v="Delhi"/>
    <x v="3"/>
    <n v="94936"/>
    <d v="2022-06-07T00:00:00"/>
    <n v="13"/>
    <n v="5"/>
    <n v="9494"/>
    <n v="4747"/>
    <n v="99683"/>
    <n v="4747"/>
    <n v="109177"/>
  </r>
  <r>
    <n v="2965"/>
    <x v="3"/>
    <s v="Male"/>
    <n v="55"/>
    <s v="Chennai"/>
    <x v="4"/>
    <n v="25361"/>
    <d v="2024-04-13T00:00:00"/>
    <n v="2"/>
    <n v="4"/>
    <n v="2536"/>
    <n v="1268"/>
    <n v="26629"/>
    <n v="0"/>
    <n v="27897"/>
  </r>
  <r>
    <n v="2966"/>
    <x v="1"/>
    <s v="Male"/>
    <n v="43"/>
    <s v="Mumbai"/>
    <x v="0"/>
    <n v="81431"/>
    <d v="2024-04-03T00:00:00"/>
    <n v="12"/>
    <n v="2"/>
    <n v="8143"/>
    <n v="4072"/>
    <n v="85502"/>
    <n v="4072"/>
    <n v="93646"/>
  </r>
  <r>
    <n v="2967"/>
    <x v="4"/>
    <s v="Female"/>
    <n v="56"/>
    <s v="Bangalore"/>
    <x v="1"/>
    <n v="94270"/>
    <d v="2023-02-05T00:00:00"/>
    <n v="2"/>
    <n v="2"/>
    <n v="9427"/>
    <n v="4714"/>
    <n v="98983"/>
    <n v="0"/>
    <n v="103697"/>
  </r>
  <r>
    <n v="2968"/>
    <x v="6"/>
    <s v="Male"/>
    <n v="44"/>
    <s v="Hyderabad"/>
    <x v="2"/>
    <n v="35938"/>
    <d v="2023-07-30T00:00:00"/>
    <n v="18"/>
    <n v="5"/>
    <n v="3594"/>
    <n v="1797"/>
    <n v="37735"/>
    <n v="1797"/>
    <n v="41329"/>
  </r>
  <r>
    <n v="2969"/>
    <x v="1"/>
    <s v="Female"/>
    <n v="31"/>
    <s v="Mumbai"/>
    <x v="4"/>
    <n v="90142"/>
    <d v="2024-04-19T00:00:00"/>
    <n v="3"/>
    <n v="2"/>
    <n v="9014"/>
    <n v="4507"/>
    <n v="94649"/>
    <n v="0"/>
    <n v="99156"/>
  </r>
  <r>
    <n v="2970"/>
    <x v="9"/>
    <s v="Male"/>
    <n v="33"/>
    <s v="Mumbai"/>
    <x v="2"/>
    <n v="27509"/>
    <d v="2024-08-17T00:00:00"/>
    <n v="2"/>
    <n v="5"/>
    <n v="2751"/>
    <n v="1375"/>
    <n v="28885"/>
    <n v="0"/>
    <n v="30260"/>
  </r>
  <r>
    <n v="2971"/>
    <x v="0"/>
    <s v="Male"/>
    <n v="39"/>
    <s v="Mumbai"/>
    <x v="2"/>
    <n v="50504"/>
    <d v="2022-11-09T00:00:00"/>
    <n v="13"/>
    <n v="4"/>
    <n v="5050"/>
    <n v="2525"/>
    <n v="53029"/>
    <n v="2525"/>
    <n v="58079"/>
  </r>
  <r>
    <n v="2972"/>
    <x v="8"/>
    <s v="Male"/>
    <n v="22"/>
    <s v="Bangalore"/>
    <x v="0"/>
    <n v="37276"/>
    <d v="2023-10-29T00:00:00"/>
    <n v="14"/>
    <n v="2"/>
    <n v="3728"/>
    <n v="1864"/>
    <n v="39140"/>
    <n v="1864"/>
    <n v="42868"/>
  </r>
  <r>
    <n v="2973"/>
    <x v="1"/>
    <s v="Male"/>
    <n v="56"/>
    <s v="Chennai"/>
    <x v="4"/>
    <n v="20641"/>
    <d v="2022-04-30T00:00:00"/>
    <n v="6"/>
    <n v="2"/>
    <n v="2064"/>
    <n v="1032"/>
    <n v="21673"/>
    <n v="1032"/>
    <n v="23737"/>
  </r>
  <r>
    <n v="2974"/>
    <x v="9"/>
    <s v="Male"/>
    <n v="59"/>
    <s v="Delhi"/>
    <x v="1"/>
    <n v="73846"/>
    <d v="2023-02-08T00:00:00"/>
    <n v="6"/>
    <n v="3"/>
    <n v="7385"/>
    <n v="3692"/>
    <n v="77539"/>
    <n v="3692"/>
    <n v="84923"/>
  </r>
  <r>
    <n v="2975"/>
    <x v="4"/>
    <s v="Male"/>
    <n v="29"/>
    <s v="Delhi"/>
    <x v="3"/>
    <n v="42233"/>
    <d v="2022-07-26T00:00:00"/>
    <n v="18"/>
    <n v="2"/>
    <n v="4223"/>
    <n v="2112"/>
    <n v="44344"/>
    <n v="2112"/>
    <n v="48568"/>
  </r>
  <r>
    <n v="2976"/>
    <x v="6"/>
    <s v="Female"/>
    <n v="59"/>
    <s v="Bangalore"/>
    <x v="2"/>
    <n v="23214"/>
    <d v="2022-10-22T00:00:00"/>
    <n v="19"/>
    <n v="4"/>
    <n v="2321"/>
    <n v="1161"/>
    <n v="24374"/>
    <n v="1161"/>
    <n v="26696"/>
  </r>
  <r>
    <n v="2977"/>
    <x v="4"/>
    <s v="Male"/>
    <n v="24"/>
    <s v="Hyderabad"/>
    <x v="2"/>
    <n v="42139"/>
    <d v="2023-05-01T00:00:00"/>
    <n v="15"/>
    <n v="3"/>
    <n v="4214"/>
    <n v="2107"/>
    <n v="44246"/>
    <n v="2107"/>
    <n v="48460"/>
  </r>
  <r>
    <n v="2978"/>
    <x v="6"/>
    <s v="Female"/>
    <n v="25"/>
    <s v="Chennai"/>
    <x v="1"/>
    <n v="73838"/>
    <d v="2024-06-03T00:00:00"/>
    <n v="17"/>
    <n v="4"/>
    <n v="7384"/>
    <n v="3692"/>
    <n v="77530"/>
    <n v="3692"/>
    <n v="84914"/>
  </r>
  <r>
    <n v="2979"/>
    <x v="2"/>
    <s v="Female"/>
    <n v="56"/>
    <s v="Bangalore"/>
    <x v="0"/>
    <n v="51968"/>
    <d v="2022-08-17T00:00:00"/>
    <n v="6"/>
    <n v="2"/>
    <n v="5197"/>
    <n v="2598"/>
    <n v="54567"/>
    <n v="2598"/>
    <n v="59763"/>
  </r>
  <r>
    <n v="2980"/>
    <x v="8"/>
    <s v="Male"/>
    <n v="38"/>
    <s v="Mumbai"/>
    <x v="4"/>
    <n v="79368"/>
    <d v="2023-08-12T00:00:00"/>
    <n v="9"/>
    <n v="4"/>
    <n v="7937"/>
    <n v="3968"/>
    <n v="83337"/>
    <n v="3968"/>
    <n v="91273"/>
  </r>
  <r>
    <n v="2981"/>
    <x v="5"/>
    <s v="Male"/>
    <n v="50"/>
    <s v="Bangalore"/>
    <x v="1"/>
    <n v="56327"/>
    <d v="2023-06-04T00:00:00"/>
    <n v="10"/>
    <n v="3"/>
    <n v="5633"/>
    <n v="2816"/>
    <n v="59144"/>
    <n v="2816"/>
    <n v="64776"/>
  </r>
  <r>
    <n v="2982"/>
    <x v="9"/>
    <s v="Male"/>
    <n v="48"/>
    <s v="Chennai"/>
    <x v="0"/>
    <n v="22101"/>
    <d v="2023-07-06T00:00:00"/>
    <n v="10"/>
    <n v="2"/>
    <n v="2210"/>
    <n v="1105"/>
    <n v="23206"/>
    <n v="1105"/>
    <n v="25416"/>
  </r>
  <r>
    <n v="2983"/>
    <x v="8"/>
    <s v="Female"/>
    <n v="28"/>
    <s v="Hyderabad"/>
    <x v="0"/>
    <n v="48328"/>
    <d v="2023-06-12T00:00:00"/>
    <n v="19"/>
    <n v="5"/>
    <n v="4833"/>
    <n v="2416"/>
    <n v="50745"/>
    <n v="2416"/>
    <n v="55577"/>
  </r>
  <r>
    <n v="2984"/>
    <x v="4"/>
    <s v="Female"/>
    <n v="32"/>
    <s v="Delhi"/>
    <x v="4"/>
    <n v="67510"/>
    <d v="2022-12-19T00:00:00"/>
    <n v="20"/>
    <n v="1"/>
    <n v="6751"/>
    <n v="3376"/>
    <n v="70885"/>
    <n v="3376"/>
    <n v="77637"/>
  </r>
  <r>
    <n v="2985"/>
    <x v="5"/>
    <s v="Female"/>
    <n v="26"/>
    <s v="Bangalore"/>
    <x v="2"/>
    <n v="78229"/>
    <d v="2024-05-01T00:00:00"/>
    <n v="12"/>
    <n v="3"/>
    <n v="7823"/>
    <n v="3911"/>
    <n v="82141"/>
    <n v="3911"/>
    <n v="89963"/>
  </r>
  <r>
    <n v="2986"/>
    <x v="1"/>
    <s v="Male"/>
    <n v="50"/>
    <s v="Bangalore"/>
    <x v="2"/>
    <n v="22987"/>
    <d v="2023-05-09T00:00:00"/>
    <n v="5"/>
    <n v="4"/>
    <n v="2299"/>
    <n v="1149"/>
    <n v="24137"/>
    <n v="0"/>
    <n v="25286"/>
  </r>
  <r>
    <n v="2987"/>
    <x v="3"/>
    <s v="Female"/>
    <n v="44"/>
    <s v="Bangalore"/>
    <x v="1"/>
    <n v="74803"/>
    <d v="2023-09-09T00:00:00"/>
    <n v="16"/>
    <n v="4"/>
    <n v="7480"/>
    <n v="3740"/>
    <n v="78543"/>
    <n v="3740"/>
    <n v="86023"/>
  </r>
  <r>
    <n v="2988"/>
    <x v="4"/>
    <s v="Female"/>
    <n v="39"/>
    <s v="Mumbai"/>
    <x v="0"/>
    <n v="83768"/>
    <d v="2022-02-08T00:00:00"/>
    <n v="14"/>
    <n v="2"/>
    <n v="8377"/>
    <n v="4188"/>
    <n v="87957"/>
    <n v="4188"/>
    <n v="96333"/>
  </r>
  <r>
    <n v="2989"/>
    <x v="7"/>
    <s v="Male"/>
    <n v="60"/>
    <s v="Delhi"/>
    <x v="1"/>
    <n v="21405"/>
    <d v="2022-12-08T00:00:00"/>
    <n v="15"/>
    <n v="2"/>
    <n v="2140"/>
    <n v="1070"/>
    <n v="22475"/>
    <n v="1070"/>
    <n v="24615"/>
  </r>
  <r>
    <n v="2990"/>
    <x v="6"/>
    <s v="Male"/>
    <n v="25"/>
    <s v="Mumbai"/>
    <x v="3"/>
    <n v="32238"/>
    <d v="2022-04-13T00:00:00"/>
    <n v="4"/>
    <n v="2"/>
    <n v="3224"/>
    <n v="1612"/>
    <n v="33850"/>
    <n v="0"/>
    <n v="35462"/>
  </r>
  <r>
    <n v="2991"/>
    <x v="9"/>
    <s v="Male"/>
    <n v="24"/>
    <s v="Mumbai"/>
    <x v="3"/>
    <n v="98923"/>
    <d v="2023-06-03T00:00:00"/>
    <n v="5"/>
    <n v="1"/>
    <n v="9892"/>
    <n v="4946"/>
    <n v="103869"/>
    <n v="0"/>
    <n v="108815"/>
  </r>
  <r>
    <n v="2992"/>
    <x v="1"/>
    <s v="Male"/>
    <n v="56"/>
    <s v="Hyderabad"/>
    <x v="3"/>
    <n v="31100"/>
    <d v="2023-02-07T00:00:00"/>
    <n v="10"/>
    <n v="1"/>
    <n v="3110"/>
    <n v="1555"/>
    <n v="32655"/>
    <n v="1555"/>
    <n v="35765"/>
  </r>
  <r>
    <n v="2993"/>
    <x v="1"/>
    <s v="Female"/>
    <n v="44"/>
    <s v="Delhi"/>
    <x v="4"/>
    <n v="50591"/>
    <d v="2023-04-01T00:00:00"/>
    <n v="20"/>
    <n v="4"/>
    <n v="5059"/>
    <n v="2530"/>
    <n v="53120"/>
    <n v="2530"/>
    <n v="58180"/>
  </r>
  <r>
    <n v="2994"/>
    <x v="8"/>
    <s v="Male"/>
    <n v="43"/>
    <s v="Chennai"/>
    <x v="0"/>
    <n v="54123"/>
    <d v="2023-08-01T00:00:00"/>
    <n v="19"/>
    <n v="2"/>
    <n v="5412"/>
    <n v="2706"/>
    <n v="56829"/>
    <n v="2706"/>
    <n v="62241"/>
  </r>
  <r>
    <n v="2995"/>
    <x v="9"/>
    <s v="Male"/>
    <n v="34"/>
    <s v="Chennai"/>
    <x v="1"/>
    <n v="30597"/>
    <d v="2023-07-24T00:00:00"/>
    <n v="15"/>
    <n v="1"/>
    <n v="3060"/>
    <n v="1530"/>
    <n v="32127"/>
    <n v="1530"/>
    <n v="35187"/>
  </r>
  <r>
    <n v="2996"/>
    <x v="1"/>
    <s v="Male"/>
    <n v="24"/>
    <s v="Chennai"/>
    <x v="0"/>
    <n v="92864"/>
    <d v="2023-10-07T00:00:00"/>
    <n v="4"/>
    <n v="1"/>
    <n v="9286"/>
    <n v="4643"/>
    <n v="97507"/>
    <n v="0"/>
    <n v="102150"/>
  </r>
  <r>
    <n v="2997"/>
    <x v="4"/>
    <s v="Male"/>
    <n v="52"/>
    <s v="Chennai"/>
    <x v="4"/>
    <n v="45605"/>
    <d v="2022-01-05T00:00:00"/>
    <n v="2"/>
    <n v="2"/>
    <n v="4560"/>
    <n v="2280"/>
    <n v="47885"/>
    <n v="0"/>
    <n v="50165"/>
  </r>
  <r>
    <n v="2998"/>
    <x v="2"/>
    <s v="Female"/>
    <n v="41"/>
    <s v="Chennai"/>
    <x v="2"/>
    <n v="57121"/>
    <d v="2024-09-17T00:00:00"/>
    <n v="13"/>
    <n v="5"/>
    <n v="5712"/>
    <n v="2856"/>
    <n v="59977"/>
    <n v="2856"/>
    <n v="65689"/>
  </r>
  <r>
    <n v="2999"/>
    <x v="1"/>
    <s v="Male"/>
    <n v="40"/>
    <s v="Delhi"/>
    <x v="1"/>
    <n v="74430"/>
    <d v="2024-03-18T00:00:00"/>
    <n v="13"/>
    <n v="1"/>
    <n v="7443"/>
    <n v="3722"/>
    <n v="78151"/>
    <n v="3722"/>
    <n v="85595"/>
  </r>
  <r>
    <n v="3000"/>
    <x v="5"/>
    <s v="Female"/>
    <n v="26"/>
    <s v="Bangalore"/>
    <x v="0"/>
    <n v="95205"/>
    <d v="2022-02-16T00:00:00"/>
    <n v="12"/>
    <n v="2"/>
    <n v="9520"/>
    <n v="4760"/>
    <n v="99965"/>
    <n v="4760"/>
    <n v="109485"/>
  </r>
  <r>
    <n v="3001"/>
    <x v="9"/>
    <s v="Female"/>
    <n v="45"/>
    <s v="Bangalore"/>
    <x v="4"/>
    <n v="51202"/>
    <d v="2024-03-07T00:00:00"/>
    <n v="11"/>
    <n v="4"/>
    <n v="5120"/>
    <n v="2560"/>
    <n v="53762"/>
    <n v="2560"/>
    <n v="58882"/>
  </r>
  <r>
    <n v="3002"/>
    <x v="3"/>
    <s v="Male"/>
    <n v="27"/>
    <s v="Mumbai"/>
    <x v="0"/>
    <n v="23352"/>
    <d v="2022-11-14T00:00:00"/>
    <n v="19"/>
    <n v="3"/>
    <n v="2335"/>
    <n v="1168"/>
    <n v="24519"/>
    <n v="1168"/>
    <n v="26855"/>
  </r>
  <r>
    <n v="3003"/>
    <x v="2"/>
    <s v="Male"/>
    <n v="43"/>
    <s v="Hyderabad"/>
    <x v="3"/>
    <n v="79885"/>
    <d v="2022-07-04T00:00:00"/>
    <n v="2"/>
    <n v="3"/>
    <n v="7988"/>
    <n v="3994"/>
    <n v="83879"/>
    <n v="0"/>
    <n v="87873"/>
  </r>
  <r>
    <n v="3004"/>
    <x v="6"/>
    <s v="Female"/>
    <n v="25"/>
    <s v="Bangalore"/>
    <x v="0"/>
    <n v="43923"/>
    <d v="2022-08-18T00:00:00"/>
    <n v="5"/>
    <n v="5"/>
    <n v="4392"/>
    <n v="2196"/>
    <n v="46119"/>
    <n v="0"/>
    <n v="48315"/>
  </r>
  <r>
    <n v="3005"/>
    <x v="0"/>
    <s v="Female"/>
    <n v="34"/>
    <s v="Mumbai"/>
    <x v="3"/>
    <n v="35449"/>
    <d v="2023-08-25T00:00:00"/>
    <n v="10"/>
    <n v="1"/>
    <n v="3545"/>
    <n v="1772"/>
    <n v="37222"/>
    <n v="1772"/>
    <n v="40766"/>
  </r>
  <r>
    <n v="3006"/>
    <x v="7"/>
    <s v="Female"/>
    <n v="27"/>
    <s v="Hyderabad"/>
    <x v="1"/>
    <n v="43293"/>
    <d v="2023-01-07T00:00:00"/>
    <n v="5"/>
    <n v="4"/>
    <n v="4329"/>
    <n v="2165"/>
    <n v="45457"/>
    <n v="0"/>
    <n v="47622"/>
  </r>
  <r>
    <n v="3007"/>
    <x v="9"/>
    <s v="Female"/>
    <n v="37"/>
    <s v="Delhi"/>
    <x v="3"/>
    <n v="29515"/>
    <d v="2023-08-17T00:00:00"/>
    <n v="12"/>
    <n v="2"/>
    <n v="2952"/>
    <n v="1476"/>
    <n v="30991"/>
    <n v="1476"/>
    <n v="33943"/>
  </r>
  <r>
    <n v="3008"/>
    <x v="3"/>
    <s v="Female"/>
    <n v="36"/>
    <s v="Mumbai"/>
    <x v="0"/>
    <n v="72855"/>
    <d v="2023-04-04T00:00:00"/>
    <n v="6"/>
    <n v="4"/>
    <n v="7286"/>
    <n v="3643"/>
    <n v="76498"/>
    <n v="3643"/>
    <n v="83784"/>
  </r>
  <r>
    <n v="3009"/>
    <x v="1"/>
    <s v="Female"/>
    <n v="36"/>
    <s v="Delhi"/>
    <x v="4"/>
    <n v="73732"/>
    <d v="2023-11-17T00:00:00"/>
    <n v="8"/>
    <n v="4"/>
    <n v="7373"/>
    <n v="3687"/>
    <n v="77418"/>
    <n v="3687"/>
    <n v="84792"/>
  </r>
  <r>
    <n v="3010"/>
    <x v="4"/>
    <s v="Male"/>
    <n v="29"/>
    <s v="Mumbai"/>
    <x v="0"/>
    <n v="96006"/>
    <d v="2024-05-24T00:00:00"/>
    <n v="2"/>
    <n v="3"/>
    <n v="9601"/>
    <n v="4800"/>
    <n v="100807"/>
    <n v="0"/>
    <n v="105607"/>
  </r>
  <r>
    <n v="3011"/>
    <x v="3"/>
    <s v="Male"/>
    <n v="29"/>
    <s v="Hyderabad"/>
    <x v="3"/>
    <n v="76958"/>
    <d v="2022-08-03T00:00:00"/>
    <n v="8"/>
    <n v="2"/>
    <n v="7696"/>
    <n v="3848"/>
    <n v="80806"/>
    <n v="3848"/>
    <n v="88502"/>
  </r>
  <r>
    <n v="3012"/>
    <x v="4"/>
    <s v="Female"/>
    <n v="51"/>
    <s v="Hyderabad"/>
    <x v="2"/>
    <n v="62484"/>
    <d v="2023-07-24T00:00:00"/>
    <n v="3"/>
    <n v="4"/>
    <n v="6248"/>
    <n v="3124"/>
    <n v="65608"/>
    <n v="0"/>
    <n v="68732"/>
  </r>
  <r>
    <n v="3013"/>
    <x v="8"/>
    <s v="Male"/>
    <n v="34"/>
    <s v="Hyderabad"/>
    <x v="4"/>
    <n v="38580"/>
    <d v="2024-07-04T00:00:00"/>
    <n v="17"/>
    <n v="5"/>
    <n v="3858"/>
    <n v="1929"/>
    <n v="40509"/>
    <n v="1929"/>
    <n v="44367"/>
  </r>
  <r>
    <n v="3014"/>
    <x v="9"/>
    <s v="Female"/>
    <n v="25"/>
    <s v="Delhi"/>
    <x v="2"/>
    <n v="35960"/>
    <d v="2022-05-09T00:00:00"/>
    <n v="11"/>
    <n v="1"/>
    <n v="3596"/>
    <n v="1798"/>
    <n v="37758"/>
    <n v="1798"/>
    <n v="41354"/>
  </r>
  <r>
    <n v="3015"/>
    <x v="3"/>
    <s v="Male"/>
    <n v="26"/>
    <s v="Chennai"/>
    <x v="3"/>
    <n v="30041"/>
    <d v="2022-12-03T00:00:00"/>
    <n v="4"/>
    <n v="5"/>
    <n v="3004"/>
    <n v="1502"/>
    <n v="31543"/>
    <n v="0"/>
    <n v="33045"/>
  </r>
  <r>
    <n v="3016"/>
    <x v="7"/>
    <s v="Female"/>
    <n v="43"/>
    <s v="Bangalore"/>
    <x v="2"/>
    <n v="81182"/>
    <d v="2022-01-11T00:00:00"/>
    <n v="1"/>
    <n v="3"/>
    <n v="8118"/>
    <n v="4059"/>
    <n v="85241"/>
    <n v="0"/>
    <n v="89300"/>
  </r>
  <r>
    <n v="3017"/>
    <x v="4"/>
    <s v="Female"/>
    <n v="46"/>
    <s v="Hyderabad"/>
    <x v="2"/>
    <n v="66074"/>
    <d v="2024-07-18T00:00:00"/>
    <n v="11"/>
    <n v="2"/>
    <n v="6607"/>
    <n v="3304"/>
    <n v="69377"/>
    <n v="3304"/>
    <n v="75985"/>
  </r>
  <r>
    <n v="3018"/>
    <x v="2"/>
    <s v="Male"/>
    <n v="43"/>
    <s v="Chennai"/>
    <x v="1"/>
    <n v="73389"/>
    <d v="2023-03-03T00:00:00"/>
    <n v="16"/>
    <n v="5"/>
    <n v="7339"/>
    <n v="3669"/>
    <n v="77059"/>
    <n v="3669"/>
    <n v="84397"/>
  </r>
  <r>
    <n v="3019"/>
    <x v="4"/>
    <s v="Female"/>
    <n v="45"/>
    <s v="Bangalore"/>
    <x v="0"/>
    <n v="20151"/>
    <d v="2023-11-14T00:00:00"/>
    <n v="10"/>
    <n v="3"/>
    <n v="2015"/>
    <n v="1008"/>
    <n v="21158"/>
    <n v="1008"/>
    <n v="23174"/>
  </r>
  <r>
    <n v="3020"/>
    <x v="7"/>
    <s v="Female"/>
    <n v="59"/>
    <s v="Chennai"/>
    <x v="2"/>
    <n v="89522"/>
    <d v="2023-11-07T00:00:00"/>
    <n v="5"/>
    <n v="5"/>
    <n v="8952"/>
    <n v="4476"/>
    <n v="93998"/>
    <n v="0"/>
    <n v="98474"/>
  </r>
  <r>
    <n v="3021"/>
    <x v="4"/>
    <s v="Female"/>
    <n v="30"/>
    <s v="Bangalore"/>
    <x v="3"/>
    <n v="64028"/>
    <d v="2022-08-18T00:00:00"/>
    <n v="13"/>
    <n v="2"/>
    <n v="6403"/>
    <n v="3201"/>
    <n v="67230"/>
    <n v="3201"/>
    <n v="73632"/>
  </r>
  <r>
    <n v="3022"/>
    <x v="0"/>
    <s v="Male"/>
    <n v="32"/>
    <s v="Bangalore"/>
    <x v="2"/>
    <n v="31741"/>
    <d v="2022-07-03T00:00:00"/>
    <n v="12"/>
    <n v="2"/>
    <n v="3174"/>
    <n v="1587"/>
    <n v="33328"/>
    <n v="1587"/>
    <n v="36502"/>
  </r>
  <r>
    <n v="3023"/>
    <x v="3"/>
    <s v="Female"/>
    <n v="25"/>
    <s v="Bangalore"/>
    <x v="3"/>
    <n v="87340"/>
    <d v="2023-09-06T00:00:00"/>
    <n v="11"/>
    <n v="2"/>
    <n v="8734"/>
    <n v="4367"/>
    <n v="91707"/>
    <n v="4367"/>
    <n v="100441"/>
  </r>
  <r>
    <n v="3024"/>
    <x v="6"/>
    <s v="Female"/>
    <n v="32"/>
    <s v="Chennai"/>
    <x v="0"/>
    <n v="81376"/>
    <d v="2023-02-16T00:00:00"/>
    <n v="17"/>
    <n v="5"/>
    <n v="8138"/>
    <n v="4069"/>
    <n v="85445"/>
    <n v="4069"/>
    <n v="93583"/>
  </r>
  <r>
    <n v="3025"/>
    <x v="7"/>
    <s v="Female"/>
    <n v="24"/>
    <s v="Delhi"/>
    <x v="1"/>
    <n v="45678"/>
    <d v="2024-03-19T00:00:00"/>
    <n v="13"/>
    <n v="4"/>
    <n v="4568"/>
    <n v="2284"/>
    <n v="47962"/>
    <n v="2284"/>
    <n v="52530"/>
  </r>
  <r>
    <n v="3026"/>
    <x v="4"/>
    <s v="Male"/>
    <n v="54"/>
    <s v="Hyderabad"/>
    <x v="1"/>
    <n v="89015"/>
    <d v="2024-02-20T00:00:00"/>
    <n v="11"/>
    <n v="2"/>
    <n v="8902"/>
    <n v="4451"/>
    <n v="93466"/>
    <n v="4451"/>
    <n v="102368"/>
  </r>
  <r>
    <n v="3027"/>
    <x v="7"/>
    <s v="Male"/>
    <n v="24"/>
    <s v="Bangalore"/>
    <x v="2"/>
    <n v="91284"/>
    <d v="2023-06-30T00:00:00"/>
    <n v="13"/>
    <n v="1"/>
    <n v="9128"/>
    <n v="4564"/>
    <n v="95848"/>
    <n v="4564"/>
    <n v="104976"/>
  </r>
  <r>
    <n v="3028"/>
    <x v="5"/>
    <s v="Female"/>
    <n v="50"/>
    <s v="Mumbai"/>
    <x v="4"/>
    <n v="20322"/>
    <d v="2023-12-16T00:00:00"/>
    <n v="17"/>
    <n v="5"/>
    <n v="2032"/>
    <n v="1016"/>
    <n v="21338"/>
    <n v="1016"/>
    <n v="23370"/>
  </r>
  <r>
    <n v="3029"/>
    <x v="7"/>
    <s v="Female"/>
    <n v="50"/>
    <s v="Delhi"/>
    <x v="1"/>
    <n v="24710"/>
    <d v="2023-01-17T00:00:00"/>
    <n v="3"/>
    <n v="5"/>
    <n v="2471"/>
    <n v="1236"/>
    <n v="25945"/>
    <n v="0"/>
    <n v="27181"/>
  </r>
  <r>
    <n v="3030"/>
    <x v="7"/>
    <s v="Male"/>
    <n v="45"/>
    <s v="Mumbai"/>
    <x v="4"/>
    <n v="62188"/>
    <d v="2024-01-20T00:00:00"/>
    <n v="2"/>
    <n v="5"/>
    <n v="6219"/>
    <n v="3109"/>
    <n v="65298"/>
    <n v="0"/>
    <n v="68407"/>
  </r>
  <r>
    <n v="3031"/>
    <x v="2"/>
    <s v="Female"/>
    <n v="21"/>
    <s v="Chennai"/>
    <x v="4"/>
    <n v="80892"/>
    <d v="2022-04-27T00:00:00"/>
    <n v="18"/>
    <n v="1"/>
    <n v="8089"/>
    <n v="4045"/>
    <n v="84936"/>
    <n v="4045"/>
    <n v="93026"/>
  </r>
  <r>
    <n v="3032"/>
    <x v="6"/>
    <s v="Male"/>
    <n v="59"/>
    <s v="Hyderabad"/>
    <x v="2"/>
    <n v="45472"/>
    <d v="2022-01-17T00:00:00"/>
    <n v="2"/>
    <n v="1"/>
    <n v="4547"/>
    <n v="2274"/>
    <n v="47745"/>
    <n v="0"/>
    <n v="50019"/>
  </r>
  <r>
    <n v="3033"/>
    <x v="4"/>
    <s v="Female"/>
    <n v="37"/>
    <s v="Mumbai"/>
    <x v="1"/>
    <n v="75383"/>
    <d v="2023-06-11T00:00:00"/>
    <n v="6"/>
    <n v="5"/>
    <n v="7538"/>
    <n v="3769"/>
    <n v="79152"/>
    <n v="3769"/>
    <n v="86690"/>
  </r>
  <r>
    <n v="3034"/>
    <x v="4"/>
    <s v="Female"/>
    <n v="55"/>
    <s v="Bangalore"/>
    <x v="1"/>
    <n v="85067"/>
    <d v="2023-12-09T00:00:00"/>
    <n v="18"/>
    <n v="4"/>
    <n v="8507"/>
    <n v="4253"/>
    <n v="89321"/>
    <n v="4253"/>
    <n v="97827"/>
  </r>
  <r>
    <n v="3035"/>
    <x v="3"/>
    <s v="Male"/>
    <n v="51"/>
    <s v="Bangalore"/>
    <x v="4"/>
    <n v="84826"/>
    <d v="2022-03-05T00:00:00"/>
    <n v="20"/>
    <n v="5"/>
    <n v="8483"/>
    <n v="4241"/>
    <n v="89068"/>
    <n v="4241"/>
    <n v="97550"/>
  </r>
  <r>
    <n v="3036"/>
    <x v="7"/>
    <s v="Female"/>
    <n v="53"/>
    <s v="Chennai"/>
    <x v="2"/>
    <n v="66946"/>
    <d v="2024-01-21T00:00:00"/>
    <n v="19"/>
    <n v="2"/>
    <n v="6695"/>
    <n v="3347"/>
    <n v="70294"/>
    <n v="3347"/>
    <n v="76988"/>
  </r>
  <r>
    <n v="3037"/>
    <x v="3"/>
    <s v="Female"/>
    <n v="34"/>
    <s v="Hyderabad"/>
    <x v="4"/>
    <n v="26797"/>
    <d v="2022-08-19T00:00:00"/>
    <n v="17"/>
    <n v="2"/>
    <n v="2680"/>
    <n v="1340"/>
    <n v="28137"/>
    <n v="1340"/>
    <n v="30817"/>
  </r>
  <r>
    <n v="3038"/>
    <x v="5"/>
    <s v="Female"/>
    <n v="25"/>
    <s v="Chennai"/>
    <x v="2"/>
    <n v="53182"/>
    <d v="2023-06-06T00:00:00"/>
    <n v="9"/>
    <n v="5"/>
    <n v="5318"/>
    <n v="2659"/>
    <n v="55841"/>
    <n v="2659"/>
    <n v="61159"/>
  </r>
  <r>
    <n v="3039"/>
    <x v="2"/>
    <s v="Female"/>
    <n v="44"/>
    <s v="Delhi"/>
    <x v="3"/>
    <n v="98679"/>
    <d v="2022-03-06T00:00:00"/>
    <n v="20"/>
    <n v="1"/>
    <n v="9868"/>
    <n v="4934"/>
    <n v="103613"/>
    <n v="4934"/>
    <n v="113481"/>
  </r>
  <r>
    <n v="3040"/>
    <x v="6"/>
    <s v="Female"/>
    <n v="54"/>
    <s v="Chennai"/>
    <x v="1"/>
    <n v="94031"/>
    <d v="2023-04-18T00:00:00"/>
    <n v="7"/>
    <n v="2"/>
    <n v="9403"/>
    <n v="4702"/>
    <n v="98732"/>
    <n v="4702"/>
    <n v="108136"/>
  </r>
  <r>
    <n v="3041"/>
    <x v="5"/>
    <s v="Male"/>
    <n v="26"/>
    <s v="Hyderabad"/>
    <x v="4"/>
    <n v="95272"/>
    <d v="2024-04-12T00:00:00"/>
    <n v="14"/>
    <n v="3"/>
    <n v="9527"/>
    <n v="4764"/>
    <n v="100035"/>
    <n v="4764"/>
    <n v="109563"/>
  </r>
  <r>
    <n v="3042"/>
    <x v="9"/>
    <s v="Female"/>
    <n v="30"/>
    <s v="Hyderabad"/>
    <x v="2"/>
    <n v="47772"/>
    <d v="2023-02-18T00:00:00"/>
    <n v="13"/>
    <n v="2"/>
    <n v="4777"/>
    <n v="2389"/>
    <n v="50160"/>
    <n v="2389"/>
    <n v="54938"/>
  </r>
  <r>
    <n v="3043"/>
    <x v="0"/>
    <s v="Female"/>
    <n v="60"/>
    <s v="Delhi"/>
    <x v="2"/>
    <n v="72371"/>
    <d v="2024-08-06T00:00:00"/>
    <n v="3"/>
    <n v="1"/>
    <n v="7237"/>
    <n v="3619"/>
    <n v="75989"/>
    <n v="0"/>
    <n v="79608"/>
  </r>
  <r>
    <n v="3044"/>
    <x v="2"/>
    <s v="Female"/>
    <n v="54"/>
    <s v="Delhi"/>
    <x v="2"/>
    <n v="46505"/>
    <d v="2022-04-12T00:00:00"/>
    <n v="11"/>
    <n v="5"/>
    <n v="4650"/>
    <n v="2325"/>
    <n v="48830"/>
    <n v="2325"/>
    <n v="53480"/>
  </r>
  <r>
    <n v="3045"/>
    <x v="3"/>
    <s v="Female"/>
    <n v="52"/>
    <s v="Bangalore"/>
    <x v="0"/>
    <n v="91381"/>
    <d v="2023-02-12T00:00:00"/>
    <n v="16"/>
    <n v="4"/>
    <n v="9138"/>
    <n v="4569"/>
    <n v="95950"/>
    <n v="4569"/>
    <n v="105088"/>
  </r>
  <r>
    <n v="3046"/>
    <x v="4"/>
    <s v="Female"/>
    <n v="32"/>
    <s v="Bangalore"/>
    <x v="2"/>
    <n v="30885"/>
    <d v="2023-10-15T00:00:00"/>
    <n v="2"/>
    <n v="5"/>
    <n v="3088"/>
    <n v="1544"/>
    <n v="32429"/>
    <n v="0"/>
    <n v="33973"/>
  </r>
  <r>
    <n v="3047"/>
    <x v="3"/>
    <s v="Male"/>
    <n v="36"/>
    <s v="Chennai"/>
    <x v="2"/>
    <n v="95523"/>
    <d v="2023-11-27T00:00:00"/>
    <n v="4"/>
    <n v="4"/>
    <n v="9552"/>
    <n v="4776"/>
    <n v="100299"/>
    <n v="0"/>
    <n v="105075"/>
  </r>
  <r>
    <n v="3048"/>
    <x v="0"/>
    <s v="Male"/>
    <n v="48"/>
    <s v="Delhi"/>
    <x v="4"/>
    <n v="33461"/>
    <d v="2024-03-04T00:00:00"/>
    <n v="3"/>
    <n v="1"/>
    <n v="3346"/>
    <n v="1673"/>
    <n v="35134"/>
    <n v="0"/>
    <n v="36807"/>
  </r>
  <r>
    <n v="3049"/>
    <x v="8"/>
    <s v="Female"/>
    <n v="57"/>
    <s v="Chennai"/>
    <x v="3"/>
    <n v="85852"/>
    <d v="2023-08-09T00:00:00"/>
    <n v="16"/>
    <n v="2"/>
    <n v="8585"/>
    <n v="4293"/>
    <n v="90144"/>
    <n v="4293"/>
    <n v="98730"/>
  </r>
  <r>
    <n v="3050"/>
    <x v="4"/>
    <s v="Female"/>
    <n v="33"/>
    <s v="Hyderabad"/>
    <x v="1"/>
    <n v="57122"/>
    <d v="2024-05-10T00:00:00"/>
    <n v="13"/>
    <n v="2"/>
    <n v="5712"/>
    <n v="2856"/>
    <n v="59978"/>
    <n v="2856"/>
    <n v="65690"/>
  </r>
  <r>
    <n v="3051"/>
    <x v="6"/>
    <s v="Female"/>
    <n v="36"/>
    <s v="Delhi"/>
    <x v="1"/>
    <n v="98402"/>
    <d v="2023-11-08T00:00:00"/>
    <n v="2"/>
    <n v="4"/>
    <n v="9840"/>
    <n v="4920"/>
    <n v="103322"/>
    <n v="0"/>
    <n v="108242"/>
  </r>
  <r>
    <n v="3052"/>
    <x v="6"/>
    <s v="Male"/>
    <n v="60"/>
    <s v="Chennai"/>
    <x v="2"/>
    <n v="29944"/>
    <d v="2022-11-03T00:00:00"/>
    <n v="4"/>
    <n v="2"/>
    <n v="2994"/>
    <n v="1497"/>
    <n v="31441"/>
    <n v="0"/>
    <n v="32938"/>
  </r>
  <r>
    <n v="3053"/>
    <x v="7"/>
    <s v="Female"/>
    <n v="51"/>
    <s v="Bangalore"/>
    <x v="3"/>
    <n v="69127"/>
    <d v="2024-09-16T00:00:00"/>
    <n v="1"/>
    <n v="2"/>
    <n v="6913"/>
    <n v="3456"/>
    <n v="72584"/>
    <n v="0"/>
    <n v="76040"/>
  </r>
  <r>
    <n v="3054"/>
    <x v="5"/>
    <s v="Female"/>
    <n v="23"/>
    <s v="Mumbai"/>
    <x v="4"/>
    <n v="29267"/>
    <d v="2023-10-06T00:00:00"/>
    <n v="14"/>
    <n v="5"/>
    <n v="2927"/>
    <n v="1463"/>
    <n v="30731"/>
    <n v="1463"/>
    <n v="33657"/>
  </r>
  <r>
    <n v="3055"/>
    <x v="9"/>
    <s v="Female"/>
    <n v="37"/>
    <s v="Hyderabad"/>
    <x v="1"/>
    <n v="32096"/>
    <d v="2022-06-19T00:00:00"/>
    <n v="2"/>
    <n v="1"/>
    <n v="3210"/>
    <n v="1605"/>
    <n v="33701"/>
    <n v="0"/>
    <n v="35306"/>
  </r>
  <r>
    <n v="3056"/>
    <x v="7"/>
    <s v="Male"/>
    <n v="34"/>
    <s v="Chennai"/>
    <x v="4"/>
    <n v="63781"/>
    <d v="2022-02-12T00:00:00"/>
    <n v="8"/>
    <n v="1"/>
    <n v="6378"/>
    <n v="3189"/>
    <n v="66970"/>
    <n v="3189"/>
    <n v="73348"/>
  </r>
  <r>
    <n v="3057"/>
    <x v="2"/>
    <s v="Male"/>
    <n v="40"/>
    <s v="Delhi"/>
    <x v="1"/>
    <n v="27823"/>
    <d v="2022-07-12T00:00:00"/>
    <n v="1"/>
    <n v="4"/>
    <n v="2782"/>
    <n v="1391"/>
    <n v="29214"/>
    <n v="0"/>
    <n v="30605"/>
  </r>
  <r>
    <n v="3058"/>
    <x v="8"/>
    <s v="Male"/>
    <n v="51"/>
    <s v="Delhi"/>
    <x v="4"/>
    <n v="73649"/>
    <d v="2024-05-17T00:00:00"/>
    <n v="1"/>
    <n v="1"/>
    <n v="7365"/>
    <n v="3682"/>
    <n v="77332"/>
    <n v="0"/>
    <n v="81014"/>
  </r>
  <r>
    <n v="3059"/>
    <x v="8"/>
    <s v="Male"/>
    <n v="45"/>
    <s v="Bangalore"/>
    <x v="4"/>
    <n v="91765"/>
    <d v="2022-03-26T00:00:00"/>
    <n v="1"/>
    <n v="2"/>
    <n v="9176"/>
    <n v="4588"/>
    <n v="96353"/>
    <n v="0"/>
    <n v="100941"/>
  </r>
  <r>
    <n v="3060"/>
    <x v="6"/>
    <s v="Male"/>
    <n v="46"/>
    <s v="Hyderabad"/>
    <x v="3"/>
    <n v="47081"/>
    <d v="2022-11-09T00:00:00"/>
    <n v="3"/>
    <n v="5"/>
    <n v="4708"/>
    <n v="2354"/>
    <n v="49435"/>
    <n v="0"/>
    <n v="51789"/>
  </r>
  <r>
    <n v="3061"/>
    <x v="6"/>
    <s v="Male"/>
    <n v="53"/>
    <s v="Hyderabad"/>
    <x v="0"/>
    <n v="55253"/>
    <d v="2024-01-17T00:00:00"/>
    <n v="19"/>
    <n v="3"/>
    <n v="5525"/>
    <n v="2763"/>
    <n v="58015"/>
    <n v="2763"/>
    <n v="63541"/>
  </r>
  <r>
    <n v="3062"/>
    <x v="8"/>
    <s v="Male"/>
    <n v="23"/>
    <s v="Chennai"/>
    <x v="1"/>
    <n v="22656"/>
    <d v="2023-03-26T00:00:00"/>
    <n v="15"/>
    <n v="5"/>
    <n v="2266"/>
    <n v="1133"/>
    <n v="23789"/>
    <n v="1133"/>
    <n v="26055"/>
  </r>
  <r>
    <n v="3063"/>
    <x v="6"/>
    <s v="Female"/>
    <n v="33"/>
    <s v="Hyderabad"/>
    <x v="3"/>
    <n v="68199"/>
    <d v="2023-06-29T00:00:00"/>
    <n v="17"/>
    <n v="5"/>
    <n v="6820"/>
    <n v="3410"/>
    <n v="71609"/>
    <n v="3410"/>
    <n v="78429"/>
  </r>
  <r>
    <n v="3064"/>
    <x v="7"/>
    <s v="Male"/>
    <n v="53"/>
    <s v="Delhi"/>
    <x v="1"/>
    <n v="51991"/>
    <d v="2024-03-01T00:00:00"/>
    <n v="13"/>
    <n v="1"/>
    <n v="5199"/>
    <n v="2600"/>
    <n v="54590"/>
    <n v="2600"/>
    <n v="59790"/>
  </r>
  <r>
    <n v="3065"/>
    <x v="8"/>
    <s v="Male"/>
    <n v="27"/>
    <s v="Hyderabad"/>
    <x v="2"/>
    <n v="32418"/>
    <d v="2022-02-16T00:00:00"/>
    <n v="19"/>
    <n v="2"/>
    <n v="3242"/>
    <n v="1621"/>
    <n v="34039"/>
    <n v="1621"/>
    <n v="37281"/>
  </r>
  <r>
    <n v="3066"/>
    <x v="1"/>
    <s v="Male"/>
    <n v="32"/>
    <s v="Bangalore"/>
    <x v="4"/>
    <n v="97655"/>
    <d v="2023-05-23T00:00:00"/>
    <n v="7"/>
    <n v="1"/>
    <n v="9766"/>
    <n v="4883"/>
    <n v="102538"/>
    <n v="4883"/>
    <n v="112304"/>
  </r>
  <r>
    <n v="3067"/>
    <x v="2"/>
    <s v="Male"/>
    <n v="37"/>
    <s v="Hyderabad"/>
    <x v="0"/>
    <n v="99368"/>
    <d v="2022-09-04T00:00:00"/>
    <n v="13"/>
    <n v="5"/>
    <n v="9937"/>
    <n v="4968"/>
    <n v="104337"/>
    <n v="4968"/>
    <n v="114273"/>
  </r>
  <r>
    <n v="3068"/>
    <x v="8"/>
    <s v="Male"/>
    <n v="60"/>
    <s v="Chennai"/>
    <x v="0"/>
    <n v="28657"/>
    <d v="2023-08-04T00:00:00"/>
    <n v="11"/>
    <n v="3"/>
    <n v="2866"/>
    <n v="1433"/>
    <n v="30090"/>
    <n v="1433"/>
    <n v="32956"/>
  </r>
  <r>
    <n v="3069"/>
    <x v="5"/>
    <s v="Female"/>
    <n v="54"/>
    <s v="Delhi"/>
    <x v="2"/>
    <n v="58438"/>
    <d v="2024-04-10T00:00:00"/>
    <n v="6"/>
    <n v="5"/>
    <n v="5844"/>
    <n v="2922"/>
    <n v="61360"/>
    <n v="2922"/>
    <n v="67204"/>
  </r>
  <r>
    <n v="3070"/>
    <x v="9"/>
    <s v="Female"/>
    <n v="22"/>
    <s v="Hyderabad"/>
    <x v="1"/>
    <n v="81148"/>
    <d v="2023-07-13T00:00:00"/>
    <n v="2"/>
    <n v="1"/>
    <n v="8115"/>
    <n v="4057"/>
    <n v="85206"/>
    <n v="0"/>
    <n v="89263"/>
  </r>
  <r>
    <n v="3071"/>
    <x v="3"/>
    <s v="Female"/>
    <n v="41"/>
    <s v="Delhi"/>
    <x v="2"/>
    <n v="39536"/>
    <d v="2022-05-01T00:00:00"/>
    <n v="19"/>
    <n v="5"/>
    <n v="3954"/>
    <n v="1977"/>
    <n v="41513"/>
    <n v="1977"/>
    <n v="45467"/>
  </r>
  <r>
    <n v="3072"/>
    <x v="2"/>
    <s v="Male"/>
    <n v="39"/>
    <s v="Bangalore"/>
    <x v="4"/>
    <n v="21911"/>
    <d v="2024-05-21T00:00:00"/>
    <n v="15"/>
    <n v="4"/>
    <n v="2191"/>
    <n v="1096"/>
    <n v="23006"/>
    <n v="1096"/>
    <n v="25198"/>
  </r>
  <r>
    <n v="3073"/>
    <x v="0"/>
    <s v="Male"/>
    <n v="54"/>
    <s v="Bangalore"/>
    <x v="0"/>
    <n v="81676"/>
    <d v="2022-04-24T00:00:00"/>
    <n v="15"/>
    <n v="4"/>
    <n v="8168"/>
    <n v="4084"/>
    <n v="85760"/>
    <n v="4084"/>
    <n v="93928"/>
  </r>
  <r>
    <n v="3074"/>
    <x v="3"/>
    <s v="Male"/>
    <n v="59"/>
    <s v="Hyderabad"/>
    <x v="4"/>
    <n v="66076"/>
    <d v="2023-04-10T00:00:00"/>
    <n v="8"/>
    <n v="3"/>
    <n v="6608"/>
    <n v="3304"/>
    <n v="69380"/>
    <n v="3304"/>
    <n v="75988"/>
  </r>
  <r>
    <n v="3075"/>
    <x v="4"/>
    <s v="Male"/>
    <n v="42"/>
    <s v="Bangalore"/>
    <x v="2"/>
    <n v="38036"/>
    <d v="2023-11-30T00:00:00"/>
    <n v="15"/>
    <n v="5"/>
    <n v="3804"/>
    <n v="1902"/>
    <n v="39938"/>
    <n v="1902"/>
    <n v="43742"/>
  </r>
  <r>
    <n v="3076"/>
    <x v="3"/>
    <s v="Female"/>
    <n v="21"/>
    <s v="Hyderabad"/>
    <x v="1"/>
    <n v="57095"/>
    <d v="2023-04-15T00:00:00"/>
    <n v="12"/>
    <n v="1"/>
    <n v="5710"/>
    <n v="2855"/>
    <n v="59950"/>
    <n v="2855"/>
    <n v="65660"/>
  </r>
  <r>
    <n v="3077"/>
    <x v="9"/>
    <s v="Male"/>
    <n v="42"/>
    <s v="Bangalore"/>
    <x v="4"/>
    <n v="56837"/>
    <d v="2024-01-07T00:00:00"/>
    <n v="9"/>
    <n v="3"/>
    <n v="5684"/>
    <n v="2842"/>
    <n v="59679"/>
    <n v="2842"/>
    <n v="65363"/>
  </r>
  <r>
    <n v="3078"/>
    <x v="0"/>
    <s v="Male"/>
    <n v="40"/>
    <s v="Mumbai"/>
    <x v="1"/>
    <n v="48268"/>
    <d v="2024-09-04T00:00:00"/>
    <n v="11"/>
    <n v="2"/>
    <n v="4827"/>
    <n v="2413"/>
    <n v="50682"/>
    <n v="2413"/>
    <n v="55508"/>
  </r>
  <r>
    <n v="3079"/>
    <x v="3"/>
    <s v="Female"/>
    <n v="50"/>
    <s v="Chennai"/>
    <x v="0"/>
    <n v="44390"/>
    <d v="2024-02-15T00:00:00"/>
    <n v="6"/>
    <n v="5"/>
    <n v="4439"/>
    <n v="2220"/>
    <n v="46609"/>
    <n v="2220"/>
    <n v="51049"/>
  </r>
  <r>
    <n v="3080"/>
    <x v="4"/>
    <s v="Female"/>
    <n v="52"/>
    <s v="Delhi"/>
    <x v="2"/>
    <n v="35191"/>
    <d v="2023-10-09T00:00:00"/>
    <n v="7"/>
    <n v="5"/>
    <n v="3519"/>
    <n v="1760"/>
    <n v="36950"/>
    <n v="1760"/>
    <n v="40470"/>
  </r>
  <r>
    <n v="3081"/>
    <x v="9"/>
    <s v="Male"/>
    <n v="37"/>
    <s v="Hyderabad"/>
    <x v="1"/>
    <n v="59859"/>
    <d v="2022-08-17T00:00:00"/>
    <n v="19"/>
    <n v="5"/>
    <n v="5986"/>
    <n v="2993"/>
    <n v="62852"/>
    <n v="2993"/>
    <n v="68838"/>
  </r>
  <r>
    <n v="3082"/>
    <x v="4"/>
    <s v="Female"/>
    <n v="33"/>
    <s v="Chennai"/>
    <x v="0"/>
    <n v="67703"/>
    <d v="2023-07-12T00:00:00"/>
    <n v="17"/>
    <n v="1"/>
    <n v="6770"/>
    <n v="3385"/>
    <n v="71088"/>
    <n v="3385"/>
    <n v="77858"/>
  </r>
  <r>
    <n v="3083"/>
    <x v="3"/>
    <s v="Male"/>
    <n v="52"/>
    <s v="Hyderabad"/>
    <x v="3"/>
    <n v="72845"/>
    <d v="2023-06-22T00:00:00"/>
    <n v="16"/>
    <n v="3"/>
    <n v="7284"/>
    <n v="3642"/>
    <n v="76487"/>
    <n v="3642"/>
    <n v="83771"/>
  </r>
  <r>
    <n v="3084"/>
    <x v="3"/>
    <s v="Female"/>
    <n v="29"/>
    <s v="Delhi"/>
    <x v="4"/>
    <n v="61822"/>
    <d v="2022-06-18T00:00:00"/>
    <n v="13"/>
    <n v="2"/>
    <n v="6182"/>
    <n v="3091"/>
    <n v="64913"/>
    <n v="3091"/>
    <n v="71095"/>
  </r>
  <r>
    <n v="3085"/>
    <x v="0"/>
    <s v="Female"/>
    <n v="57"/>
    <s v="Hyderabad"/>
    <x v="2"/>
    <n v="42063"/>
    <d v="2024-08-30T00:00:00"/>
    <n v="2"/>
    <n v="1"/>
    <n v="4206"/>
    <n v="2103"/>
    <n v="44166"/>
    <n v="0"/>
    <n v="46269"/>
  </r>
  <r>
    <n v="3086"/>
    <x v="6"/>
    <s v="Female"/>
    <n v="39"/>
    <s v="Bangalore"/>
    <x v="2"/>
    <n v="53967"/>
    <d v="2022-11-12T00:00:00"/>
    <n v="14"/>
    <n v="1"/>
    <n v="5397"/>
    <n v="2698"/>
    <n v="56666"/>
    <n v="2698"/>
    <n v="62062"/>
  </r>
  <r>
    <n v="3087"/>
    <x v="3"/>
    <s v="Male"/>
    <n v="48"/>
    <s v="Hyderabad"/>
    <x v="2"/>
    <n v="57363"/>
    <d v="2024-09-15T00:00:00"/>
    <n v="12"/>
    <n v="5"/>
    <n v="5736"/>
    <n v="2868"/>
    <n v="60231"/>
    <n v="2868"/>
    <n v="65967"/>
  </r>
  <r>
    <n v="3088"/>
    <x v="8"/>
    <s v="Female"/>
    <n v="56"/>
    <s v="Bangalore"/>
    <x v="0"/>
    <n v="32528"/>
    <d v="2024-05-07T00:00:00"/>
    <n v="2"/>
    <n v="5"/>
    <n v="3253"/>
    <n v="1626"/>
    <n v="34155"/>
    <n v="0"/>
    <n v="35781"/>
  </r>
  <r>
    <n v="3089"/>
    <x v="2"/>
    <s v="Male"/>
    <n v="21"/>
    <s v="Chennai"/>
    <x v="1"/>
    <n v="74525"/>
    <d v="2022-09-17T00:00:00"/>
    <n v="4"/>
    <n v="1"/>
    <n v="7452"/>
    <n v="3726"/>
    <n v="78251"/>
    <n v="0"/>
    <n v="81977"/>
  </r>
  <r>
    <n v="3090"/>
    <x v="3"/>
    <s v="Male"/>
    <n v="60"/>
    <s v="Hyderabad"/>
    <x v="0"/>
    <n v="25591"/>
    <d v="2022-10-01T00:00:00"/>
    <n v="11"/>
    <n v="2"/>
    <n v="2559"/>
    <n v="1280"/>
    <n v="26870"/>
    <n v="1280"/>
    <n v="29430"/>
  </r>
  <r>
    <n v="3091"/>
    <x v="0"/>
    <s v="Female"/>
    <n v="32"/>
    <s v="Chennai"/>
    <x v="1"/>
    <n v="90557"/>
    <d v="2022-04-25T00:00:00"/>
    <n v="1"/>
    <n v="3"/>
    <n v="9056"/>
    <n v="4528"/>
    <n v="95085"/>
    <n v="0"/>
    <n v="99613"/>
  </r>
  <r>
    <n v="3092"/>
    <x v="5"/>
    <s v="Female"/>
    <n v="29"/>
    <s v="Bangalore"/>
    <x v="4"/>
    <n v="75892"/>
    <d v="2022-12-20T00:00:00"/>
    <n v="8"/>
    <n v="4"/>
    <n v="7589"/>
    <n v="3795"/>
    <n v="79686"/>
    <n v="3795"/>
    <n v="87276"/>
  </r>
  <r>
    <n v="3093"/>
    <x v="0"/>
    <s v="Male"/>
    <n v="54"/>
    <s v="Bangalore"/>
    <x v="3"/>
    <n v="29237"/>
    <d v="2022-11-05T00:00:00"/>
    <n v="2"/>
    <n v="4"/>
    <n v="2924"/>
    <n v="1462"/>
    <n v="30699"/>
    <n v="0"/>
    <n v="32161"/>
  </r>
  <r>
    <n v="3094"/>
    <x v="8"/>
    <s v="Male"/>
    <n v="23"/>
    <s v="Mumbai"/>
    <x v="0"/>
    <n v="73904"/>
    <d v="2022-08-09T00:00:00"/>
    <n v="14"/>
    <n v="3"/>
    <n v="7390"/>
    <n v="3695"/>
    <n v="77599"/>
    <n v="3695"/>
    <n v="84989"/>
  </r>
  <r>
    <n v="3095"/>
    <x v="7"/>
    <s v="Female"/>
    <n v="57"/>
    <s v="Hyderabad"/>
    <x v="2"/>
    <n v="62187"/>
    <d v="2024-08-29T00:00:00"/>
    <n v="12"/>
    <n v="1"/>
    <n v="6219"/>
    <n v="3109"/>
    <n v="65297"/>
    <n v="3109"/>
    <n v="71515"/>
  </r>
  <r>
    <n v="3096"/>
    <x v="8"/>
    <s v="Male"/>
    <n v="28"/>
    <s v="Bangalore"/>
    <x v="4"/>
    <n v="54100"/>
    <d v="2023-07-02T00:00:00"/>
    <n v="11"/>
    <n v="2"/>
    <n v="5410"/>
    <n v="2705"/>
    <n v="56805"/>
    <n v="2705"/>
    <n v="62215"/>
  </r>
  <r>
    <n v="3097"/>
    <x v="7"/>
    <s v="Male"/>
    <n v="27"/>
    <s v="Chennai"/>
    <x v="1"/>
    <n v="66225"/>
    <d v="2022-01-10T00:00:00"/>
    <n v="14"/>
    <n v="5"/>
    <n v="6622"/>
    <n v="3311"/>
    <n v="69536"/>
    <n v="3311"/>
    <n v="76158"/>
  </r>
  <r>
    <n v="3098"/>
    <x v="8"/>
    <s v="Male"/>
    <n v="58"/>
    <s v="Bangalore"/>
    <x v="1"/>
    <n v="49849"/>
    <d v="2024-07-25T00:00:00"/>
    <n v="7"/>
    <n v="4"/>
    <n v="4985"/>
    <n v="2492"/>
    <n v="52342"/>
    <n v="2492"/>
    <n v="57326"/>
  </r>
  <r>
    <n v="3099"/>
    <x v="0"/>
    <s v="Male"/>
    <n v="60"/>
    <s v="Hyderabad"/>
    <x v="3"/>
    <n v="33815"/>
    <d v="2023-11-30T00:00:00"/>
    <n v="12"/>
    <n v="2"/>
    <n v="3382"/>
    <n v="1691"/>
    <n v="35506"/>
    <n v="1691"/>
    <n v="38888"/>
  </r>
  <r>
    <n v="3100"/>
    <x v="2"/>
    <s v="Female"/>
    <n v="31"/>
    <s v="Mumbai"/>
    <x v="3"/>
    <n v="60721"/>
    <d v="2022-02-26T00:00:00"/>
    <n v="11"/>
    <n v="3"/>
    <n v="6072"/>
    <n v="3036"/>
    <n v="63757"/>
    <n v="3036"/>
    <n v="69829"/>
  </r>
  <r>
    <n v="3101"/>
    <x v="2"/>
    <s v="Male"/>
    <n v="38"/>
    <s v="Bangalore"/>
    <x v="3"/>
    <n v="96391"/>
    <d v="2022-07-07T00:00:00"/>
    <n v="17"/>
    <n v="3"/>
    <n v="9639"/>
    <n v="4820"/>
    <n v="101210"/>
    <n v="4820"/>
    <n v="110850"/>
  </r>
  <r>
    <n v="3102"/>
    <x v="9"/>
    <s v="Male"/>
    <n v="51"/>
    <s v="Delhi"/>
    <x v="4"/>
    <n v="31193"/>
    <d v="2023-02-02T00:00:00"/>
    <n v="14"/>
    <n v="4"/>
    <n v="3119"/>
    <n v="1560"/>
    <n v="32752"/>
    <n v="1560"/>
    <n v="35872"/>
  </r>
  <r>
    <n v="3103"/>
    <x v="9"/>
    <s v="Male"/>
    <n v="24"/>
    <s v="Mumbai"/>
    <x v="1"/>
    <n v="75770"/>
    <d v="2024-06-01T00:00:00"/>
    <n v="6"/>
    <n v="1"/>
    <n v="7577"/>
    <n v="3788"/>
    <n v="79559"/>
    <n v="3788"/>
    <n v="87135"/>
  </r>
  <r>
    <n v="3104"/>
    <x v="4"/>
    <s v="Male"/>
    <n v="56"/>
    <s v="Bangalore"/>
    <x v="1"/>
    <n v="49121"/>
    <d v="2023-06-11T00:00:00"/>
    <n v="1"/>
    <n v="4"/>
    <n v="4912"/>
    <n v="2456"/>
    <n v="51577"/>
    <n v="0"/>
    <n v="54033"/>
  </r>
  <r>
    <n v="3105"/>
    <x v="3"/>
    <s v="Male"/>
    <n v="36"/>
    <s v="Hyderabad"/>
    <x v="0"/>
    <n v="24526"/>
    <d v="2023-11-17T00:00:00"/>
    <n v="17"/>
    <n v="1"/>
    <n v="2453"/>
    <n v="1226"/>
    <n v="25753"/>
    <n v="1226"/>
    <n v="28205"/>
  </r>
  <r>
    <n v="3106"/>
    <x v="6"/>
    <s v="Male"/>
    <n v="32"/>
    <s v="Bangalore"/>
    <x v="1"/>
    <n v="35841"/>
    <d v="2023-11-01T00:00:00"/>
    <n v="17"/>
    <n v="3"/>
    <n v="3584"/>
    <n v="1792"/>
    <n v="37633"/>
    <n v="1792"/>
    <n v="41217"/>
  </r>
  <r>
    <n v="3107"/>
    <x v="6"/>
    <s v="Female"/>
    <n v="35"/>
    <s v="Mumbai"/>
    <x v="0"/>
    <n v="97049"/>
    <d v="2023-07-24T00:00:00"/>
    <n v="6"/>
    <n v="2"/>
    <n v="9705"/>
    <n v="4852"/>
    <n v="101902"/>
    <n v="4852"/>
    <n v="111606"/>
  </r>
  <r>
    <n v="3108"/>
    <x v="1"/>
    <s v="Male"/>
    <n v="39"/>
    <s v="Delhi"/>
    <x v="4"/>
    <n v="21280"/>
    <d v="2022-07-07T00:00:00"/>
    <n v="19"/>
    <n v="4"/>
    <n v="2128"/>
    <n v="1064"/>
    <n v="22344"/>
    <n v="1064"/>
    <n v="24472"/>
  </r>
  <r>
    <n v="3109"/>
    <x v="0"/>
    <s v="Male"/>
    <n v="38"/>
    <s v="Mumbai"/>
    <x v="0"/>
    <n v="26152"/>
    <d v="2022-05-28T00:00:00"/>
    <n v="19"/>
    <n v="1"/>
    <n v="2615"/>
    <n v="1308"/>
    <n v="27459"/>
    <n v="1308"/>
    <n v="30075"/>
  </r>
  <r>
    <n v="3110"/>
    <x v="2"/>
    <s v="Male"/>
    <n v="28"/>
    <s v="Hyderabad"/>
    <x v="1"/>
    <n v="38633"/>
    <d v="2023-02-05T00:00:00"/>
    <n v="2"/>
    <n v="2"/>
    <n v="3863"/>
    <n v="1932"/>
    <n v="40564"/>
    <n v="0"/>
    <n v="42496"/>
  </r>
  <r>
    <n v="3111"/>
    <x v="2"/>
    <s v="Female"/>
    <n v="45"/>
    <s v="Delhi"/>
    <x v="0"/>
    <n v="62114"/>
    <d v="2022-01-25T00:00:00"/>
    <n v="19"/>
    <n v="5"/>
    <n v="6211"/>
    <n v="3106"/>
    <n v="65219"/>
    <n v="3106"/>
    <n v="71431"/>
  </r>
  <r>
    <n v="3112"/>
    <x v="5"/>
    <s v="Female"/>
    <n v="52"/>
    <s v="Bangalore"/>
    <x v="1"/>
    <n v="35680"/>
    <d v="2024-02-16T00:00:00"/>
    <n v="6"/>
    <n v="5"/>
    <n v="3568"/>
    <n v="1784"/>
    <n v="37464"/>
    <n v="1784"/>
    <n v="41032"/>
  </r>
  <r>
    <n v="3113"/>
    <x v="6"/>
    <s v="Female"/>
    <n v="47"/>
    <s v="Hyderabad"/>
    <x v="0"/>
    <n v="88257"/>
    <d v="2024-09-02T00:00:00"/>
    <n v="6"/>
    <n v="2"/>
    <n v="8826"/>
    <n v="4413"/>
    <n v="92670"/>
    <n v="4413"/>
    <n v="101496"/>
  </r>
  <r>
    <n v="3114"/>
    <x v="0"/>
    <s v="Male"/>
    <n v="43"/>
    <s v="Bangalore"/>
    <x v="1"/>
    <n v="86118"/>
    <d v="2023-09-25T00:00:00"/>
    <n v="2"/>
    <n v="4"/>
    <n v="8612"/>
    <n v="4306"/>
    <n v="90424"/>
    <n v="0"/>
    <n v="94730"/>
  </r>
  <r>
    <n v="3115"/>
    <x v="7"/>
    <s v="Male"/>
    <n v="27"/>
    <s v="Bangalore"/>
    <x v="1"/>
    <n v="73857"/>
    <d v="2024-07-15T00:00:00"/>
    <n v="18"/>
    <n v="4"/>
    <n v="7386"/>
    <n v="3693"/>
    <n v="77550"/>
    <n v="3693"/>
    <n v="84936"/>
  </r>
  <r>
    <n v="3116"/>
    <x v="5"/>
    <s v="Male"/>
    <n v="32"/>
    <s v="Mumbai"/>
    <x v="3"/>
    <n v="71077"/>
    <d v="2022-04-24T00:00:00"/>
    <n v="9"/>
    <n v="3"/>
    <n v="7108"/>
    <n v="3554"/>
    <n v="74631"/>
    <n v="3554"/>
    <n v="81739"/>
  </r>
  <r>
    <n v="3117"/>
    <x v="3"/>
    <s v="Female"/>
    <n v="23"/>
    <s v="Bangalore"/>
    <x v="0"/>
    <n v="81895"/>
    <d v="2022-07-31T00:00:00"/>
    <n v="16"/>
    <n v="3"/>
    <n v="8190"/>
    <n v="4095"/>
    <n v="85990"/>
    <n v="4095"/>
    <n v="94180"/>
  </r>
  <r>
    <n v="3118"/>
    <x v="9"/>
    <s v="Female"/>
    <n v="30"/>
    <s v="Hyderabad"/>
    <x v="2"/>
    <n v="93823"/>
    <d v="2023-03-22T00:00:00"/>
    <n v="19"/>
    <n v="4"/>
    <n v="9382"/>
    <n v="4691"/>
    <n v="98514"/>
    <n v="4691"/>
    <n v="107896"/>
  </r>
  <r>
    <n v="3119"/>
    <x v="7"/>
    <s v="Female"/>
    <n v="43"/>
    <s v="Delhi"/>
    <x v="3"/>
    <n v="71831"/>
    <d v="2023-09-16T00:00:00"/>
    <n v="9"/>
    <n v="4"/>
    <n v="7183"/>
    <n v="3592"/>
    <n v="75422"/>
    <n v="3592"/>
    <n v="82606"/>
  </r>
  <r>
    <n v="3120"/>
    <x v="9"/>
    <s v="Female"/>
    <n v="22"/>
    <s v="Delhi"/>
    <x v="1"/>
    <n v="47011"/>
    <d v="2024-08-30T00:00:00"/>
    <n v="13"/>
    <n v="1"/>
    <n v="4701"/>
    <n v="2351"/>
    <n v="49361"/>
    <n v="2351"/>
    <n v="54063"/>
  </r>
  <r>
    <n v="3121"/>
    <x v="3"/>
    <s v="Male"/>
    <n v="39"/>
    <s v="Mumbai"/>
    <x v="4"/>
    <n v="22752"/>
    <d v="2024-08-08T00:00:00"/>
    <n v="6"/>
    <n v="4"/>
    <n v="2275"/>
    <n v="1138"/>
    <n v="23889"/>
    <n v="1138"/>
    <n v="26165"/>
  </r>
  <r>
    <n v="3122"/>
    <x v="0"/>
    <s v="Male"/>
    <n v="60"/>
    <s v="Bangalore"/>
    <x v="0"/>
    <n v="49162"/>
    <d v="2024-03-09T00:00:00"/>
    <n v="6"/>
    <n v="1"/>
    <n v="4916"/>
    <n v="2458"/>
    <n v="51620"/>
    <n v="2458"/>
    <n v="56536"/>
  </r>
  <r>
    <n v="3123"/>
    <x v="8"/>
    <s v="Male"/>
    <n v="52"/>
    <s v="Bangalore"/>
    <x v="3"/>
    <n v="50575"/>
    <d v="2023-02-16T00:00:00"/>
    <n v="12"/>
    <n v="1"/>
    <n v="5058"/>
    <n v="2529"/>
    <n v="53104"/>
    <n v="2529"/>
    <n v="58162"/>
  </r>
  <r>
    <n v="3124"/>
    <x v="6"/>
    <s v="Male"/>
    <n v="59"/>
    <s v="Delhi"/>
    <x v="1"/>
    <n v="97988"/>
    <d v="2023-06-20T00:00:00"/>
    <n v="16"/>
    <n v="2"/>
    <n v="9799"/>
    <n v="4899"/>
    <n v="102888"/>
    <n v="4899"/>
    <n v="112686"/>
  </r>
  <r>
    <n v="3125"/>
    <x v="2"/>
    <s v="Female"/>
    <n v="55"/>
    <s v="Hyderabad"/>
    <x v="0"/>
    <n v="51062"/>
    <d v="2022-04-23T00:00:00"/>
    <n v="5"/>
    <n v="2"/>
    <n v="5106"/>
    <n v="2553"/>
    <n v="53615"/>
    <n v="0"/>
    <n v="56168"/>
  </r>
  <r>
    <n v="3126"/>
    <x v="4"/>
    <s v="Male"/>
    <n v="57"/>
    <s v="Mumbai"/>
    <x v="3"/>
    <n v="91127"/>
    <d v="2022-07-28T00:00:00"/>
    <n v="10"/>
    <n v="5"/>
    <n v="9113"/>
    <n v="4556"/>
    <n v="95684"/>
    <n v="4556"/>
    <n v="104796"/>
  </r>
  <r>
    <n v="3127"/>
    <x v="8"/>
    <s v="Female"/>
    <n v="23"/>
    <s v="Chennai"/>
    <x v="0"/>
    <n v="44542"/>
    <d v="2024-06-03T00:00:00"/>
    <n v="6"/>
    <n v="3"/>
    <n v="4454"/>
    <n v="2227"/>
    <n v="46769"/>
    <n v="2227"/>
    <n v="51223"/>
  </r>
  <r>
    <n v="3128"/>
    <x v="1"/>
    <s v="Female"/>
    <n v="21"/>
    <s v="Hyderabad"/>
    <x v="4"/>
    <n v="63016"/>
    <d v="2023-03-23T00:00:00"/>
    <n v="19"/>
    <n v="3"/>
    <n v="6302"/>
    <n v="3151"/>
    <n v="66167"/>
    <n v="3151"/>
    <n v="72469"/>
  </r>
  <r>
    <n v="3129"/>
    <x v="0"/>
    <s v="Female"/>
    <n v="45"/>
    <s v="Delhi"/>
    <x v="3"/>
    <n v="71806"/>
    <d v="2023-06-09T00:00:00"/>
    <n v="13"/>
    <n v="3"/>
    <n v="7181"/>
    <n v="3590"/>
    <n v="75397"/>
    <n v="3590"/>
    <n v="82577"/>
  </r>
  <r>
    <n v="3130"/>
    <x v="0"/>
    <s v="Male"/>
    <n v="28"/>
    <s v="Mumbai"/>
    <x v="1"/>
    <n v="48911"/>
    <d v="2024-05-04T00:00:00"/>
    <n v="3"/>
    <n v="2"/>
    <n v="4891"/>
    <n v="2446"/>
    <n v="51356"/>
    <n v="0"/>
    <n v="53802"/>
  </r>
  <r>
    <n v="3131"/>
    <x v="5"/>
    <s v="Male"/>
    <n v="36"/>
    <s v="Hyderabad"/>
    <x v="0"/>
    <n v="54569"/>
    <d v="2024-05-24T00:00:00"/>
    <n v="15"/>
    <n v="5"/>
    <n v="5457"/>
    <n v="2728"/>
    <n v="57298"/>
    <n v="2728"/>
    <n v="62754"/>
  </r>
  <r>
    <n v="3132"/>
    <x v="7"/>
    <s v="Female"/>
    <n v="30"/>
    <s v="Delhi"/>
    <x v="3"/>
    <n v="37074"/>
    <d v="2023-08-26T00:00:00"/>
    <n v="10"/>
    <n v="2"/>
    <n v="3707"/>
    <n v="1854"/>
    <n v="38927"/>
    <n v="1854"/>
    <n v="42635"/>
  </r>
  <r>
    <n v="3133"/>
    <x v="5"/>
    <s v="Male"/>
    <n v="26"/>
    <s v="Hyderabad"/>
    <x v="4"/>
    <n v="92696"/>
    <d v="2022-09-24T00:00:00"/>
    <n v="17"/>
    <n v="1"/>
    <n v="9270"/>
    <n v="4635"/>
    <n v="97331"/>
    <n v="4635"/>
    <n v="106601"/>
  </r>
  <r>
    <n v="3134"/>
    <x v="0"/>
    <s v="Male"/>
    <n v="52"/>
    <s v="Bangalore"/>
    <x v="1"/>
    <n v="85325"/>
    <d v="2024-01-07T00:00:00"/>
    <n v="12"/>
    <n v="2"/>
    <n v="8532"/>
    <n v="4266"/>
    <n v="89591"/>
    <n v="4266"/>
    <n v="98123"/>
  </r>
  <r>
    <n v="3135"/>
    <x v="9"/>
    <s v="Female"/>
    <n v="56"/>
    <s v="Mumbai"/>
    <x v="4"/>
    <n v="53503"/>
    <d v="2022-12-07T00:00:00"/>
    <n v="12"/>
    <n v="2"/>
    <n v="5350"/>
    <n v="2675"/>
    <n v="56178"/>
    <n v="2675"/>
    <n v="61528"/>
  </r>
  <r>
    <n v="3136"/>
    <x v="3"/>
    <s v="Female"/>
    <n v="59"/>
    <s v="Bangalore"/>
    <x v="1"/>
    <n v="92464"/>
    <d v="2024-06-15T00:00:00"/>
    <n v="20"/>
    <n v="3"/>
    <n v="9246"/>
    <n v="4623"/>
    <n v="97087"/>
    <n v="4623"/>
    <n v="106333"/>
  </r>
  <r>
    <n v="3137"/>
    <x v="9"/>
    <s v="Male"/>
    <n v="57"/>
    <s v="Delhi"/>
    <x v="1"/>
    <n v="33398"/>
    <d v="2022-05-11T00:00:00"/>
    <n v="3"/>
    <n v="3"/>
    <n v="3340"/>
    <n v="1670"/>
    <n v="35068"/>
    <n v="0"/>
    <n v="36738"/>
  </r>
  <r>
    <n v="3138"/>
    <x v="7"/>
    <s v="Male"/>
    <n v="30"/>
    <s v="Bangalore"/>
    <x v="2"/>
    <n v="50062"/>
    <d v="2023-02-23T00:00:00"/>
    <n v="17"/>
    <n v="1"/>
    <n v="5006"/>
    <n v="2503"/>
    <n v="52565"/>
    <n v="2503"/>
    <n v="57571"/>
  </r>
  <r>
    <n v="3139"/>
    <x v="2"/>
    <s v="Female"/>
    <n v="43"/>
    <s v="Hyderabad"/>
    <x v="1"/>
    <n v="22423"/>
    <d v="2023-06-20T00:00:00"/>
    <n v="5"/>
    <n v="5"/>
    <n v="2242"/>
    <n v="1121"/>
    <n v="23544"/>
    <n v="0"/>
    <n v="24665"/>
  </r>
  <r>
    <n v="3140"/>
    <x v="8"/>
    <s v="Male"/>
    <n v="26"/>
    <s v="Delhi"/>
    <x v="0"/>
    <n v="48787"/>
    <d v="2024-04-11T00:00:00"/>
    <n v="17"/>
    <n v="5"/>
    <n v="4879"/>
    <n v="2439"/>
    <n v="51227"/>
    <n v="2439"/>
    <n v="56105"/>
  </r>
  <r>
    <n v="3141"/>
    <x v="8"/>
    <s v="Female"/>
    <n v="52"/>
    <s v="Chennai"/>
    <x v="0"/>
    <n v="85510"/>
    <d v="2023-07-26T00:00:00"/>
    <n v="11"/>
    <n v="5"/>
    <n v="8551"/>
    <n v="4276"/>
    <n v="89785"/>
    <n v="4276"/>
    <n v="98337"/>
  </r>
  <r>
    <n v="3142"/>
    <x v="0"/>
    <s v="Female"/>
    <n v="48"/>
    <s v="Mumbai"/>
    <x v="1"/>
    <n v="77547"/>
    <d v="2023-03-17T00:00:00"/>
    <n v="13"/>
    <n v="3"/>
    <n v="7755"/>
    <n v="3877"/>
    <n v="81425"/>
    <n v="3877"/>
    <n v="89179"/>
  </r>
  <r>
    <n v="3143"/>
    <x v="3"/>
    <s v="Male"/>
    <n v="42"/>
    <s v="Hyderabad"/>
    <x v="2"/>
    <n v="37542"/>
    <d v="2024-08-09T00:00:00"/>
    <n v="19"/>
    <n v="5"/>
    <n v="3754"/>
    <n v="1877"/>
    <n v="39419"/>
    <n v="1877"/>
    <n v="43173"/>
  </r>
  <r>
    <n v="3144"/>
    <x v="1"/>
    <s v="Female"/>
    <n v="32"/>
    <s v="Delhi"/>
    <x v="3"/>
    <n v="73779"/>
    <d v="2024-08-05T00:00:00"/>
    <n v="13"/>
    <n v="2"/>
    <n v="7378"/>
    <n v="3689"/>
    <n v="77468"/>
    <n v="3689"/>
    <n v="84846"/>
  </r>
  <r>
    <n v="3145"/>
    <x v="3"/>
    <s v="Female"/>
    <n v="39"/>
    <s v="Bangalore"/>
    <x v="1"/>
    <n v="44268"/>
    <d v="2022-05-03T00:00:00"/>
    <n v="13"/>
    <n v="3"/>
    <n v="4427"/>
    <n v="2213"/>
    <n v="46482"/>
    <n v="2213"/>
    <n v="50908"/>
  </r>
  <r>
    <n v="3146"/>
    <x v="0"/>
    <s v="Female"/>
    <n v="44"/>
    <s v="Chennai"/>
    <x v="3"/>
    <n v="54463"/>
    <d v="2022-06-20T00:00:00"/>
    <n v="15"/>
    <n v="4"/>
    <n v="5446"/>
    <n v="2723"/>
    <n v="57186"/>
    <n v="2723"/>
    <n v="62632"/>
  </r>
  <r>
    <n v="3147"/>
    <x v="6"/>
    <s v="Male"/>
    <n v="40"/>
    <s v="Hyderabad"/>
    <x v="1"/>
    <n v="97889"/>
    <d v="2024-07-04T00:00:00"/>
    <n v="4"/>
    <n v="3"/>
    <n v="9789"/>
    <n v="4894"/>
    <n v="102784"/>
    <n v="0"/>
    <n v="107678"/>
  </r>
  <r>
    <n v="3148"/>
    <x v="8"/>
    <s v="Female"/>
    <n v="31"/>
    <s v="Delhi"/>
    <x v="1"/>
    <n v="32756"/>
    <d v="2022-06-05T00:00:00"/>
    <n v="2"/>
    <n v="2"/>
    <n v="3276"/>
    <n v="1638"/>
    <n v="34394"/>
    <n v="0"/>
    <n v="36032"/>
  </r>
  <r>
    <n v="3149"/>
    <x v="5"/>
    <s v="Female"/>
    <n v="40"/>
    <s v="Delhi"/>
    <x v="4"/>
    <n v="91146"/>
    <d v="2023-04-02T00:00:00"/>
    <n v="12"/>
    <n v="5"/>
    <n v="9115"/>
    <n v="4557"/>
    <n v="95704"/>
    <n v="4557"/>
    <n v="104818"/>
  </r>
  <r>
    <n v="3150"/>
    <x v="6"/>
    <s v="Female"/>
    <n v="25"/>
    <s v="Chennai"/>
    <x v="1"/>
    <n v="40609"/>
    <d v="2024-01-24T00:00:00"/>
    <n v="8"/>
    <n v="4"/>
    <n v="4061"/>
    <n v="2030"/>
    <n v="42640"/>
    <n v="2030"/>
    <n v="46700"/>
  </r>
  <r>
    <n v="3151"/>
    <x v="7"/>
    <s v="Male"/>
    <n v="29"/>
    <s v="Hyderabad"/>
    <x v="4"/>
    <n v="83817"/>
    <d v="2022-05-30T00:00:00"/>
    <n v="19"/>
    <n v="1"/>
    <n v="8382"/>
    <n v="4191"/>
    <n v="88008"/>
    <n v="4191"/>
    <n v="96390"/>
  </r>
  <r>
    <n v="3152"/>
    <x v="2"/>
    <s v="Male"/>
    <n v="25"/>
    <s v="Mumbai"/>
    <x v="0"/>
    <n v="94921"/>
    <d v="2024-07-02T00:00:00"/>
    <n v="7"/>
    <n v="1"/>
    <n v="9492"/>
    <n v="4746"/>
    <n v="99667"/>
    <n v="4746"/>
    <n v="109159"/>
  </r>
  <r>
    <n v="3153"/>
    <x v="9"/>
    <s v="Male"/>
    <n v="44"/>
    <s v="Delhi"/>
    <x v="1"/>
    <n v="71459"/>
    <d v="2023-07-22T00:00:00"/>
    <n v="1"/>
    <n v="1"/>
    <n v="7146"/>
    <n v="3573"/>
    <n v="75032"/>
    <n v="0"/>
    <n v="78605"/>
  </r>
  <r>
    <n v="3154"/>
    <x v="8"/>
    <s v="Male"/>
    <n v="59"/>
    <s v="Delhi"/>
    <x v="3"/>
    <n v="94960"/>
    <d v="2024-07-16T00:00:00"/>
    <n v="3"/>
    <n v="1"/>
    <n v="9496"/>
    <n v="4748"/>
    <n v="99708"/>
    <n v="0"/>
    <n v="104456"/>
  </r>
  <r>
    <n v="3155"/>
    <x v="1"/>
    <s v="Female"/>
    <n v="49"/>
    <s v="Chennai"/>
    <x v="1"/>
    <n v="57365"/>
    <d v="2024-05-08T00:00:00"/>
    <n v="14"/>
    <n v="3"/>
    <n v="5736"/>
    <n v="2868"/>
    <n v="60233"/>
    <n v="2868"/>
    <n v="65969"/>
  </r>
  <r>
    <n v="3156"/>
    <x v="5"/>
    <s v="Male"/>
    <n v="27"/>
    <s v="Mumbai"/>
    <x v="3"/>
    <n v="21494"/>
    <d v="2022-10-10T00:00:00"/>
    <n v="13"/>
    <n v="5"/>
    <n v="2149"/>
    <n v="1075"/>
    <n v="22568"/>
    <n v="1075"/>
    <n v="24718"/>
  </r>
  <r>
    <n v="3157"/>
    <x v="1"/>
    <s v="Male"/>
    <n v="44"/>
    <s v="Delhi"/>
    <x v="2"/>
    <n v="52560"/>
    <d v="2024-08-23T00:00:00"/>
    <n v="4"/>
    <n v="5"/>
    <n v="5256"/>
    <n v="2628"/>
    <n v="55188"/>
    <n v="0"/>
    <n v="57816"/>
  </r>
  <r>
    <n v="3158"/>
    <x v="6"/>
    <s v="Male"/>
    <n v="40"/>
    <s v="Chennai"/>
    <x v="0"/>
    <n v="92419"/>
    <d v="2023-12-09T00:00:00"/>
    <n v="3"/>
    <n v="2"/>
    <n v="9242"/>
    <n v="4621"/>
    <n v="97040"/>
    <n v="0"/>
    <n v="101661"/>
  </r>
  <r>
    <n v="3159"/>
    <x v="3"/>
    <s v="Female"/>
    <n v="41"/>
    <s v="Bangalore"/>
    <x v="3"/>
    <n v="71137"/>
    <d v="2023-04-23T00:00:00"/>
    <n v="8"/>
    <n v="1"/>
    <n v="7114"/>
    <n v="3557"/>
    <n v="74694"/>
    <n v="3557"/>
    <n v="81808"/>
  </r>
  <r>
    <n v="3160"/>
    <x v="9"/>
    <s v="Female"/>
    <n v="49"/>
    <s v="Delhi"/>
    <x v="2"/>
    <n v="74920"/>
    <d v="2024-01-21T00:00:00"/>
    <n v="9"/>
    <n v="2"/>
    <n v="7492"/>
    <n v="3746"/>
    <n v="78666"/>
    <n v="3746"/>
    <n v="86158"/>
  </r>
  <r>
    <n v="3161"/>
    <x v="1"/>
    <s v="Female"/>
    <n v="40"/>
    <s v="Hyderabad"/>
    <x v="0"/>
    <n v="89171"/>
    <d v="2022-06-27T00:00:00"/>
    <n v="8"/>
    <n v="5"/>
    <n v="8917"/>
    <n v="4459"/>
    <n v="93629"/>
    <n v="4459"/>
    <n v="102547"/>
  </r>
  <r>
    <n v="3162"/>
    <x v="0"/>
    <s v="Male"/>
    <n v="29"/>
    <s v="Hyderabad"/>
    <x v="1"/>
    <n v="96462"/>
    <d v="2023-01-10T00:00:00"/>
    <n v="20"/>
    <n v="5"/>
    <n v="9646"/>
    <n v="4823"/>
    <n v="101285"/>
    <n v="4823"/>
    <n v="110931"/>
  </r>
  <r>
    <n v="3163"/>
    <x v="1"/>
    <s v="Male"/>
    <n v="48"/>
    <s v="Bangalore"/>
    <x v="4"/>
    <n v="38632"/>
    <d v="2024-06-10T00:00:00"/>
    <n v="4"/>
    <n v="3"/>
    <n v="3863"/>
    <n v="1932"/>
    <n v="40563"/>
    <n v="0"/>
    <n v="42495"/>
  </r>
  <r>
    <n v="3164"/>
    <x v="8"/>
    <s v="Male"/>
    <n v="40"/>
    <s v="Delhi"/>
    <x v="4"/>
    <n v="22221"/>
    <d v="2024-01-30T00:00:00"/>
    <n v="14"/>
    <n v="1"/>
    <n v="2222"/>
    <n v="1111"/>
    <n v="23332"/>
    <n v="1111"/>
    <n v="25554"/>
  </r>
  <r>
    <n v="3165"/>
    <x v="7"/>
    <s v="Female"/>
    <n v="51"/>
    <s v="Bangalore"/>
    <x v="0"/>
    <n v="66691"/>
    <d v="2022-09-18T00:00:00"/>
    <n v="17"/>
    <n v="4"/>
    <n v="6669"/>
    <n v="3335"/>
    <n v="70025"/>
    <n v="3335"/>
    <n v="76695"/>
  </r>
  <r>
    <n v="3166"/>
    <x v="9"/>
    <s v="Male"/>
    <n v="42"/>
    <s v="Chennai"/>
    <x v="3"/>
    <n v="93379"/>
    <d v="2023-02-19T00:00:00"/>
    <n v="18"/>
    <n v="1"/>
    <n v="9338"/>
    <n v="4669"/>
    <n v="98048"/>
    <n v="4669"/>
    <n v="107386"/>
  </r>
  <r>
    <n v="3167"/>
    <x v="8"/>
    <s v="Female"/>
    <n v="56"/>
    <s v="Bangalore"/>
    <x v="1"/>
    <n v="25511"/>
    <d v="2022-05-19T00:00:00"/>
    <n v="18"/>
    <n v="3"/>
    <n v="2551"/>
    <n v="1276"/>
    <n v="26786"/>
    <n v="1276"/>
    <n v="29338"/>
  </r>
  <r>
    <n v="3168"/>
    <x v="4"/>
    <s v="Female"/>
    <n v="57"/>
    <s v="Bangalore"/>
    <x v="1"/>
    <n v="20634"/>
    <d v="2022-01-11T00:00:00"/>
    <n v="1"/>
    <n v="2"/>
    <n v="2063"/>
    <n v="1032"/>
    <n v="21665"/>
    <n v="0"/>
    <n v="22697"/>
  </r>
  <r>
    <n v="3169"/>
    <x v="5"/>
    <s v="Female"/>
    <n v="21"/>
    <s v="Chennai"/>
    <x v="0"/>
    <n v="33781"/>
    <d v="2023-06-30T00:00:00"/>
    <n v="8"/>
    <n v="4"/>
    <n v="3378"/>
    <n v="1689"/>
    <n v="35470"/>
    <n v="1689"/>
    <n v="38848"/>
  </r>
  <r>
    <n v="3170"/>
    <x v="0"/>
    <s v="Male"/>
    <n v="40"/>
    <s v="Mumbai"/>
    <x v="3"/>
    <n v="77050"/>
    <d v="2023-01-15T00:00:00"/>
    <n v="15"/>
    <n v="2"/>
    <n v="7705"/>
    <n v="3852"/>
    <n v="80903"/>
    <n v="3852"/>
    <n v="88607"/>
  </r>
  <r>
    <n v="3171"/>
    <x v="0"/>
    <s v="Male"/>
    <n v="57"/>
    <s v="Delhi"/>
    <x v="0"/>
    <n v="84763"/>
    <d v="2022-05-27T00:00:00"/>
    <n v="3"/>
    <n v="3"/>
    <n v="8476"/>
    <n v="4238"/>
    <n v="89001"/>
    <n v="0"/>
    <n v="93239"/>
  </r>
  <r>
    <n v="3172"/>
    <x v="4"/>
    <s v="Female"/>
    <n v="40"/>
    <s v="Mumbai"/>
    <x v="0"/>
    <n v="82591"/>
    <d v="2022-08-29T00:00:00"/>
    <n v="5"/>
    <n v="2"/>
    <n v="8259"/>
    <n v="4130"/>
    <n v="86720"/>
    <n v="0"/>
    <n v="90850"/>
  </r>
  <r>
    <n v="3173"/>
    <x v="8"/>
    <s v="Female"/>
    <n v="34"/>
    <s v="Delhi"/>
    <x v="0"/>
    <n v="24764"/>
    <d v="2023-11-27T00:00:00"/>
    <n v="9"/>
    <n v="5"/>
    <n v="2476"/>
    <n v="1238"/>
    <n v="26002"/>
    <n v="1238"/>
    <n v="28478"/>
  </r>
  <r>
    <n v="3174"/>
    <x v="0"/>
    <s v="Male"/>
    <n v="42"/>
    <s v="Chennai"/>
    <x v="1"/>
    <n v="75578"/>
    <d v="2023-03-13T00:00:00"/>
    <n v="13"/>
    <n v="3"/>
    <n v="7558"/>
    <n v="3779"/>
    <n v="79357"/>
    <n v="3779"/>
    <n v="86915"/>
  </r>
  <r>
    <n v="3175"/>
    <x v="0"/>
    <s v="Female"/>
    <n v="45"/>
    <s v="Chennai"/>
    <x v="2"/>
    <n v="67991"/>
    <d v="2023-04-30T00:00:00"/>
    <n v="6"/>
    <n v="3"/>
    <n v="6799"/>
    <n v="3400"/>
    <n v="71390"/>
    <n v="3400"/>
    <n v="78190"/>
  </r>
  <r>
    <n v="3176"/>
    <x v="2"/>
    <s v="Female"/>
    <n v="21"/>
    <s v="Delhi"/>
    <x v="1"/>
    <n v="24587"/>
    <d v="2023-01-19T00:00:00"/>
    <n v="2"/>
    <n v="3"/>
    <n v="2459"/>
    <n v="1229"/>
    <n v="25817"/>
    <n v="0"/>
    <n v="27046"/>
  </r>
  <r>
    <n v="3177"/>
    <x v="3"/>
    <s v="Male"/>
    <n v="24"/>
    <s v="Delhi"/>
    <x v="4"/>
    <n v="45970"/>
    <d v="2022-08-12T00:00:00"/>
    <n v="5"/>
    <n v="1"/>
    <n v="4597"/>
    <n v="2298"/>
    <n v="48269"/>
    <n v="0"/>
    <n v="50567"/>
  </r>
  <r>
    <n v="3178"/>
    <x v="5"/>
    <s v="Male"/>
    <n v="35"/>
    <s v="Chennai"/>
    <x v="3"/>
    <n v="86661"/>
    <d v="2024-03-07T00:00:00"/>
    <n v="7"/>
    <n v="3"/>
    <n v="8666"/>
    <n v="4333"/>
    <n v="90994"/>
    <n v="4333"/>
    <n v="99660"/>
  </r>
  <r>
    <n v="3179"/>
    <x v="7"/>
    <s v="Female"/>
    <n v="28"/>
    <s v="Delhi"/>
    <x v="1"/>
    <n v="79056"/>
    <d v="2022-04-13T00:00:00"/>
    <n v="2"/>
    <n v="1"/>
    <n v="7906"/>
    <n v="3953"/>
    <n v="83009"/>
    <n v="0"/>
    <n v="86962"/>
  </r>
  <r>
    <n v="3180"/>
    <x v="3"/>
    <s v="Female"/>
    <n v="32"/>
    <s v="Delhi"/>
    <x v="3"/>
    <n v="88571"/>
    <d v="2022-06-24T00:00:00"/>
    <n v="14"/>
    <n v="1"/>
    <n v="8857"/>
    <n v="4429"/>
    <n v="92999"/>
    <n v="4429"/>
    <n v="101857"/>
  </r>
  <r>
    <n v="3181"/>
    <x v="1"/>
    <s v="Male"/>
    <n v="34"/>
    <s v="Delhi"/>
    <x v="2"/>
    <n v="69612"/>
    <d v="2024-06-11T00:00:00"/>
    <n v="13"/>
    <n v="2"/>
    <n v="6961"/>
    <n v="3481"/>
    <n v="73092"/>
    <n v="3481"/>
    <n v="80054"/>
  </r>
  <r>
    <n v="3182"/>
    <x v="6"/>
    <s v="Male"/>
    <n v="37"/>
    <s v="Delhi"/>
    <x v="4"/>
    <n v="41570"/>
    <d v="2023-12-04T00:00:00"/>
    <n v="12"/>
    <n v="4"/>
    <n v="4157"/>
    <n v="2078"/>
    <n v="43649"/>
    <n v="2078"/>
    <n v="47805"/>
  </r>
  <r>
    <n v="3183"/>
    <x v="3"/>
    <s v="Female"/>
    <n v="56"/>
    <s v="Bangalore"/>
    <x v="0"/>
    <n v="37621"/>
    <d v="2024-07-06T00:00:00"/>
    <n v="20"/>
    <n v="2"/>
    <n v="3762"/>
    <n v="1881"/>
    <n v="39502"/>
    <n v="1881"/>
    <n v="43264"/>
  </r>
  <r>
    <n v="3184"/>
    <x v="1"/>
    <s v="Male"/>
    <n v="60"/>
    <s v="Delhi"/>
    <x v="4"/>
    <n v="20888"/>
    <d v="2022-05-13T00:00:00"/>
    <n v="15"/>
    <n v="5"/>
    <n v="2089"/>
    <n v="1044"/>
    <n v="21933"/>
    <n v="1044"/>
    <n v="24021"/>
  </r>
  <r>
    <n v="3185"/>
    <x v="0"/>
    <s v="Male"/>
    <n v="34"/>
    <s v="Mumbai"/>
    <x v="3"/>
    <n v="42870"/>
    <d v="2024-05-21T00:00:00"/>
    <n v="8"/>
    <n v="2"/>
    <n v="4287"/>
    <n v="2144"/>
    <n v="45013"/>
    <n v="2144"/>
    <n v="49301"/>
  </r>
  <r>
    <n v="3186"/>
    <x v="9"/>
    <s v="Male"/>
    <n v="34"/>
    <s v="Hyderabad"/>
    <x v="4"/>
    <n v="84995"/>
    <d v="2022-03-07T00:00:00"/>
    <n v="7"/>
    <n v="2"/>
    <n v="8500"/>
    <n v="4250"/>
    <n v="89245"/>
    <n v="4250"/>
    <n v="97745"/>
  </r>
  <r>
    <n v="3187"/>
    <x v="2"/>
    <s v="Male"/>
    <n v="23"/>
    <s v="Hyderabad"/>
    <x v="2"/>
    <n v="64127"/>
    <d v="2024-06-08T00:00:00"/>
    <n v="15"/>
    <n v="4"/>
    <n v="6413"/>
    <n v="3206"/>
    <n v="67334"/>
    <n v="3206"/>
    <n v="73746"/>
  </r>
  <r>
    <n v="3188"/>
    <x v="9"/>
    <s v="Female"/>
    <n v="43"/>
    <s v="Delhi"/>
    <x v="0"/>
    <n v="75171"/>
    <d v="2022-01-14T00:00:00"/>
    <n v="19"/>
    <n v="1"/>
    <n v="7517"/>
    <n v="3759"/>
    <n v="78929"/>
    <n v="3759"/>
    <n v="86447"/>
  </r>
  <r>
    <n v="3189"/>
    <x v="4"/>
    <s v="Male"/>
    <n v="29"/>
    <s v="Hyderabad"/>
    <x v="3"/>
    <n v="77883"/>
    <d v="2023-08-20T00:00:00"/>
    <n v="6"/>
    <n v="2"/>
    <n v="7788"/>
    <n v="3894"/>
    <n v="81777"/>
    <n v="3894"/>
    <n v="89565"/>
  </r>
  <r>
    <n v="3190"/>
    <x v="5"/>
    <s v="Female"/>
    <n v="42"/>
    <s v="Bangalore"/>
    <x v="1"/>
    <n v="71265"/>
    <d v="2022-12-14T00:00:00"/>
    <n v="2"/>
    <n v="3"/>
    <n v="7126"/>
    <n v="3563"/>
    <n v="74828"/>
    <n v="0"/>
    <n v="78391"/>
  </r>
  <r>
    <n v="3191"/>
    <x v="7"/>
    <s v="Male"/>
    <n v="29"/>
    <s v="Chennai"/>
    <x v="1"/>
    <n v="72544"/>
    <d v="2023-05-02T00:00:00"/>
    <n v="9"/>
    <n v="1"/>
    <n v="7254"/>
    <n v="3627"/>
    <n v="76171"/>
    <n v="3627"/>
    <n v="83425"/>
  </r>
  <r>
    <n v="3192"/>
    <x v="8"/>
    <s v="Male"/>
    <n v="30"/>
    <s v="Bangalore"/>
    <x v="0"/>
    <n v="21640"/>
    <d v="2023-09-01T00:00:00"/>
    <n v="16"/>
    <n v="3"/>
    <n v="2164"/>
    <n v="1082"/>
    <n v="22722"/>
    <n v="1082"/>
    <n v="24886"/>
  </r>
  <r>
    <n v="3193"/>
    <x v="7"/>
    <s v="Female"/>
    <n v="59"/>
    <s v="Chennai"/>
    <x v="1"/>
    <n v="52447"/>
    <d v="2023-08-09T00:00:00"/>
    <n v="1"/>
    <n v="4"/>
    <n v="5245"/>
    <n v="2622"/>
    <n v="55070"/>
    <n v="0"/>
    <n v="57692"/>
  </r>
  <r>
    <n v="3194"/>
    <x v="9"/>
    <s v="Female"/>
    <n v="48"/>
    <s v="Mumbai"/>
    <x v="1"/>
    <n v="46647"/>
    <d v="2022-07-24T00:00:00"/>
    <n v="14"/>
    <n v="3"/>
    <n v="4665"/>
    <n v="2332"/>
    <n v="48980"/>
    <n v="2332"/>
    <n v="53644"/>
  </r>
  <r>
    <n v="3195"/>
    <x v="6"/>
    <s v="Female"/>
    <n v="42"/>
    <s v="Delhi"/>
    <x v="4"/>
    <n v="48304"/>
    <d v="2023-04-03T00:00:00"/>
    <n v="3"/>
    <n v="5"/>
    <n v="4830"/>
    <n v="2415"/>
    <n v="50719"/>
    <n v="0"/>
    <n v="53134"/>
  </r>
  <r>
    <n v="3196"/>
    <x v="8"/>
    <s v="Male"/>
    <n v="27"/>
    <s v="Delhi"/>
    <x v="0"/>
    <n v="58679"/>
    <d v="2024-05-19T00:00:00"/>
    <n v="19"/>
    <n v="5"/>
    <n v="5868"/>
    <n v="2934"/>
    <n v="61613"/>
    <n v="2934"/>
    <n v="67481"/>
  </r>
  <r>
    <n v="3197"/>
    <x v="7"/>
    <s v="Female"/>
    <n v="40"/>
    <s v="Delhi"/>
    <x v="3"/>
    <n v="50717"/>
    <d v="2023-03-19T00:00:00"/>
    <n v="1"/>
    <n v="3"/>
    <n v="5072"/>
    <n v="2536"/>
    <n v="53253"/>
    <n v="0"/>
    <n v="55789"/>
  </r>
  <r>
    <n v="3198"/>
    <x v="1"/>
    <s v="Female"/>
    <n v="41"/>
    <s v="Bangalore"/>
    <x v="3"/>
    <n v="60324"/>
    <d v="2024-08-18T00:00:00"/>
    <n v="13"/>
    <n v="1"/>
    <n v="6032"/>
    <n v="3016"/>
    <n v="63340"/>
    <n v="3016"/>
    <n v="69372"/>
  </r>
  <r>
    <n v="3199"/>
    <x v="6"/>
    <s v="Male"/>
    <n v="48"/>
    <s v="Delhi"/>
    <x v="2"/>
    <n v="28278"/>
    <d v="2023-08-22T00:00:00"/>
    <n v="13"/>
    <n v="1"/>
    <n v="2828"/>
    <n v="1414"/>
    <n v="29692"/>
    <n v="1414"/>
    <n v="32520"/>
  </r>
  <r>
    <n v="3200"/>
    <x v="1"/>
    <s v="Male"/>
    <n v="35"/>
    <s v="Hyderabad"/>
    <x v="2"/>
    <n v="89603"/>
    <d v="2023-12-31T00:00:00"/>
    <n v="9"/>
    <n v="3"/>
    <n v="8960"/>
    <n v="4480"/>
    <n v="94083"/>
    <n v="4480"/>
    <n v="103043"/>
  </r>
  <r>
    <n v="3201"/>
    <x v="4"/>
    <s v="Male"/>
    <n v="33"/>
    <s v="Chennai"/>
    <x v="3"/>
    <n v="92128"/>
    <d v="2024-03-04T00:00:00"/>
    <n v="18"/>
    <n v="1"/>
    <n v="9213"/>
    <n v="4606"/>
    <n v="96735"/>
    <n v="4606"/>
    <n v="105947"/>
  </r>
  <r>
    <n v="3202"/>
    <x v="4"/>
    <s v="Female"/>
    <n v="38"/>
    <s v="Delhi"/>
    <x v="2"/>
    <n v="57193"/>
    <d v="2024-06-23T00:00:00"/>
    <n v="6"/>
    <n v="2"/>
    <n v="5719"/>
    <n v="2860"/>
    <n v="60052"/>
    <n v="2860"/>
    <n v="65772"/>
  </r>
  <r>
    <n v="3203"/>
    <x v="6"/>
    <s v="Male"/>
    <n v="54"/>
    <s v="Chennai"/>
    <x v="2"/>
    <n v="59238"/>
    <d v="2023-05-10T00:00:00"/>
    <n v="11"/>
    <n v="4"/>
    <n v="5924"/>
    <n v="2962"/>
    <n v="62200"/>
    <n v="2962"/>
    <n v="68124"/>
  </r>
  <r>
    <n v="3204"/>
    <x v="2"/>
    <s v="Male"/>
    <n v="36"/>
    <s v="Mumbai"/>
    <x v="3"/>
    <n v="25331"/>
    <d v="2022-08-02T00:00:00"/>
    <n v="2"/>
    <n v="2"/>
    <n v="2533"/>
    <n v="1267"/>
    <n v="26597"/>
    <n v="0"/>
    <n v="27864"/>
  </r>
  <r>
    <n v="3205"/>
    <x v="9"/>
    <s v="Female"/>
    <n v="42"/>
    <s v="Hyderabad"/>
    <x v="2"/>
    <n v="64918"/>
    <d v="2024-03-29T00:00:00"/>
    <n v="4"/>
    <n v="1"/>
    <n v="6492"/>
    <n v="3246"/>
    <n v="68164"/>
    <n v="0"/>
    <n v="71410"/>
  </r>
  <r>
    <n v="3206"/>
    <x v="6"/>
    <s v="Male"/>
    <n v="48"/>
    <s v="Delhi"/>
    <x v="4"/>
    <n v="22949"/>
    <d v="2023-10-27T00:00:00"/>
    <n v="10"/>
    <n v="1"/>
    <n v="2295"/>
    <n v="1147"/>
    <n v="24097"/>
    <n v="1147"/>
    <n v="26391"/>
  </r>
  <r>
    <n v="3207"/>
    <x v="4"/>
    <s v="Female"/>
    <n v="36"/>
    <s v="Bangalore"/>
    <x v="1"/>
    <n v="81346"/>
    <d v="2024-07-31T00:00:00"/>
    <n v="19"/>
    <n v="5"/>
    <n v="8135"/>
    <n v="4067"/>
    <n v="85414"/>
    <n v="4067"/>
    <n v="93548"/>
  </r>
  <r>
    <n v="3208"/>
    <x v="6"/>
    <s v="Male"/>
    <n v="40"/>
    <s v="Hyderabad"/>
    <x v="0"/>
    <n v="67220"/>
    <d v="2023-01-17T00:00:00"/>
    <n v="13"/>
    <n v="1"/>
    <n v="6722"/>
    <n v="3361"/>
    <n v="70581"/>
    <n v="3361"/>
    <n v="77303"/>
  </r>
  <r>
    <n v="3209"/>
    <x v="0"/>
    <s v="Female"/>
    <n v="24"/>
    <s v="Chennai"/>
    <x v="4"/>
    <n v="92712"/>
    <d v="2023-02-01T00:00:00"/>
    <n v="14"/>
    <n v="2"/>
    <n v="9271"/>
    <n v="4636"/>
    <n v="97347"/>
    <n v="4636"/>
    <n v="106619"/>
  </r>
  <r>
    <n v="3210"/>
    <x v="5"/>
    <s v="Male"/>
    <n v="41"/>
    <s v="Delhi"/>
    <x v="4"/>
    <n v="68917"/>
    <d v="2024-01-20T00:00:00"/>
    <n v="13"/>
    <n v="3"/>
    <n v="6892"/>
    <n v="3446"/>
    <n v="72363"/>
    <n v="3446"/>
    <n v="79255"/>
  </r>
  <r>
    <n v="3211"/>
    <x v="2"/>
    <s v="Male"/>
    <n v="29"/>
    <s v="Delhi"/>
    <x v="3"/>
    <n v="52128"/>
    <d v="2022-04-25T00:00:00"/>
    <n v="6"/>
    <n v="5"/>
    <n v="5213"/>
    <n v="2606"/>
    <n v="54735"/>
    <n v="2606"/>
    <n v="59947"/>
  </r>
  <r>
    <n v="3212"/>
    <x v="4"/>
    <s v="Female"/>
    <n v="31"/>
    <s v="Hyderabad"/>
    <x v="1"/>
    <n v="51981"/>
    <d v="2023-12-22T00:00:00"/>
    <n v="1"/>
    <n v="4"/>
    <n v="5198"/>
    <n v="2599"/>
    <n v="54580"/>
    <n v="0"/>
    <n v="57179"/>
  </r>
  <r>
    <n v="3213"/>
    <x v="2"/>
    <s v="Male"/>
    <n v="31"/>
    <s v="Chennai"/>
    <x v="4"/>
    <n v="58092"/>
    <d v="2024-07-13T00:00:00"/>
    <n v="18"/>
    <n v="1"/>
    <n v="5809"/>
    <n v="2905"/>
    <n v="60996"/>
    <n v="2905"/>
    <n v="66806"/>
  </r>
  <r>
    <n v="3214"/>
    <x v="6"/>
    <s v="Female"/>
    <n v="56"/>
    <s v="Delhi"/>
    <x v="3"/>
    <n v="94983"/>
    <d v="2023-07-10T00:00:00"/>
    <n v="18"/>
    <n v="2"/>
    <n v="9498"/>
    <n v="4749"/>
    <n v="99732"/>
    <n v="4749"/>
    <n v="109230"/>
  </r>
  <r>
    <n v="3215"/>
    <x v="4"/>
    <s v="Male"/>
    <n v="26"/>
    <s v="Chennai"/>
    <x v="4"/>
    <n v="64025"/>
    <d v="2024-04-12T00:00:00"/>
    <n v="15"/>
    <n v="4"/>
    <n v="6402"/>
    <n v="3201"/>
    <n v="67226"/>
    <n v="3201"/>
    <n v="73628"/>
  </r>
  <r>
    <n v="3216"/>
    <x v="7"/>
    <s v="Female"/>
    <n v="36"/>
    <s v="Bangalore"/>
    <x v="4"/>
    <n v="77798"/>
    <d v="2023-10-07T00:00:00"/>
    <n v="19"/>
    <n v="5"/>
    <n v="7780"/>
    <n v="3890"/>
    <n v="81688"/>
    <n v="3890"/>
    <n v="89468"/>
  </r>
  <r>
    <n v="3217"/>
    <x v="3"/>
    <s v="Male"/>
    <n v="56"/>
    <s v="Hyderabad"/>
    <x v="1"/>
    <n v="93329"/>
    <d v="2024-01-27T00:00:00"/>
    <n v="20"/>
    <n v="4"/>
    <n v="9333"/>
    <n v="4666"/>
    <n v="97996"/>
    <n v="4666"/>
    <n v="107328"/>
  </r>
  <r>
    <n v="3218"/>
    <x v="1"/>
    <s v="Male"/>
    <n v="26"/>
    <s v="Mumbai"/>
    <x v="3"/>
    <n v="78143"/>
    <d v="2024-09-27T00:00:00"/>
    <n v="6"/>
    <n v="3"/>
    <n v="7814"/>
    <n v="3907"/>
    <n v="82050"/>
    <n v="3907"/>
    <n v="89864"/>
  </r>
  <r>
    <n v="3219"/>
    <x v="1"/>
    <s v="Male"/>
    <n v="35"/>
    <s v="Hyderabad"/>
    <x v="1"/>
    <n v="34784"/>
    <d v="2023-09-20T00:00:00"/>
    <n v="4"/>
    <n v="3"/>
    <n v="3478"/>
    <n v="1739"/>
    <n v="36523"/>
    <n v="0"/>
    <n v="38262"/>
  </r>
  <r>
    <n v="3220"/>
    <x v="4"/>
    <s v="Female"/>
    <n v="59"/>
    <s v="Bangalore"/>
    <x v="2"/>
    <n v="79398"/>
    <d v="2023-06-19T00:00:00"/>
    <n v="17"/>
    <n v="5"/>
    <n v="7940"/>
    <n v="3970"/>
    <n v="83368"/>
    <n v="3970"/>
    <n v="91308"/>
  </r>
  <r>
    <n v="3221"/>
    <x v="4"/>
    <s v="Female"/>
    <n v="23"/>
    <s v="Delhi"/>
    <x v="2"/>
    <n v="85509"/>
    <d v="2022-06-29T00:00:00"/>
    <n v="19"/>
    <n v="4"/>
    <n v="8551"/>
    <n v="4275"/>
    <n v="89785"/>
    <n v="4275"/>
    <n v="98335"/>
  </r>
  <r>
    <n v="3222"/>
    <x v="1"/>
    <s v="Male"/>
    <n v="31"/>
    <s v="Chennai"/>
    <x v="2"/>
    <n v="46590"/>
    <d v="2022-10-10T00:00:00"/>
    <n v="15"/>
    <n v="5"/>
    <n v="4659"/>
    <n v="2330"/>
    <n v="48919"/>
    <n v="2330"/>
    <n v="53579"/>
  </r>
  <r>
    <n v="3223"/>
    <x v="9"/>
    <s v="Male"/>
    <n v="55"/>
    <s v="Mumbai"/>
    <x v="2"/>
    <n v="92320"/>
    <d v="2022-09-16T00:00:00"/>
    <n v="6"/>
    <n v="3"/>
    <n v="9232"/>
    <n v="4616"/>
    <n v="96936"/>
    <n v="4616"/>
    <n v="106168"/>
  </r>
  <r>
    <n v="3224"/>
    <x v="8"/>
    <s v="Female"/>
    <n v="28"/>
    <s v="Mumbai"/>
    <x v="3"/>
    <n v="87718"/>
    <d v="2024-03-25T00:00:00"/>
    <n v="12"/>
    <n v="1"/>
    <n v="8772"/>
    <n v="4386"/>
    <n v="92104"/>
    <n v="4386"/>
    <n v="100876"/>
  </r>
  <r>
    <n v="3225"/>
    <x v="5"/>
    <s v="Male"/>
    <n v="54"/>
    <s v="Chennai"/>
    <x v="2"/>
    <n v="96453"/>
    <d v="2023-10-06T00:00:00"/>
    <n v="15"/>
    <n v="1"/>
    <n v="9645"/>
    <n v="4823"/>
    <n v="101275"/>
    <n v="4823"/>
    <n v="110921"/>
  </r>
  <r>
    <n v="3226"/>
    <x v="7"/>
    <s v="Female"/>
    <n v="38"/>
    <s v="Bangalore"/>
    <x v="4"/>
    <n v="22521"/>
    <d v="2022-09-07T00:00:00"/>
    <n v="14"/>
    <n v="4"/>
    <n v="2252"/>
    <n v="1126"/>
    <n v="23647"/>
    <n v="1126"/>
    <n v="25899"/>
  </r>
  <r>
    <n v="3227"/>
    <x v="5"/>
    <s v="Female"/>
    <n v="34"/>
    <s v="Mumbai"/>
    <x v="3"/>
    <n v="47781"/>
    <d v="2023-07-25T00:00:00"/>
    <n v="11"/>
    <n v="1"/>
    <n v="4778"/>
    <n v="2389"/>
    <n v="50170"/>
    <n v="2389"/>
    <n v="54948"/>
  </r>
  <r>
    <n v="3228"/>
    <x v="7"/>
    <s v="Male"/>
    <n v="34"/>
    <s v="Delhi"/>
    <x v="4"/>
    <n v="43848"/>
    <d v="2023-09-15T00:00:00"/>
    <n v="7"/>
    <n v="4"/>
    <n v="4385"/>
    <n v="2192"/>
    <n v="46041"/>
    <n v="2192"/>
    <n v="50425"/>
  </r>
  <r>
    <n v="3229"/>
    <x v="1"/>
    <s v="Female"/>
    <n v="57"/>
    <s v="Delhi"/>
    <x v="4"/>
    <n v="26931"/>
    <d v="2024-02-23T00:00:00"/>
    <n v="3"/>
    <n v="1"/>
    <n v="2693"/>
    <n v="1347"/>
    <n v="28277"/>
    <n v="0"/>
    <n v="29624"/>
  </r>
  <r>
    <n v="3230"/>
    <x v="4"/>
    <s v="Male"/>
    <n v="41"/>
    <s v="Chennai"/>
    <x v="3"/>
    <n v="82888"/>
    <d v="2022-10-18T00:00:00"/>
    <n v="18"/>
    <n v="1"/>
    <n v="8289"/>
    <n v="4144"/>
    <n v="87033"/>
    <n v="4144"/>
    <n v="95321"/>
  </r>
  <r>
    <n v="3231"/>
    <x v="9"/>
    <s v="Male"/>
    <n v="35"/>
    <s v="Hyderabad"/>
    <x v="3"/>
    <n v="34100"/>
    <d v="2022-07-03T00:00:00"/>
    <n v="8"/>
    <n v="3"/>
    <n v="3410"/>
    <n v="1705"/>
    <n v="35805"/>
    <n v="1705"/>
    <n v="39215"/>
  </r>
  <r>
    <n v="3232"/>
    <x v="0"/>
    <s v="Male"/>
    <n v="52"/>
    <s v="Chennai"/>
    <x v="4"/>
    <n v="28782"/>
    <d v="2022-10-23T00:00:00"/>
    <n v="3"/>
    <n v="3"/>
    <n v="2878"/>
    <n v="1439"/>
    <n v="30221"/>
    <n v="0"/>
    <n v="31660"/>
  </r>
  <r>
    <n v="3233"/>
    <x v="3"/>
    <s v="Male"/>
    <n v="35"/>
    <s v="Chennai"/>
    <x v="2"/>
    <n v="30241"/>
    <d v="2022-02-22T00:00:00"/>
    <n v="11"/>
    <n v="1"/>
    <n v="3024"/>
    <n v="1512"/>
    <n v="31753"/>
    <n v="1512"/>
    <n v="34777"/>
  </r>
  <r>
    <n v="3234"/>
    <x v="3"/>
    <s v="Female"/>
    <n v="54"/>
    <s v="Chennai"/>
    <x v="0"/>
    <n v="23494"/>
    <d v="2022-05-26T00:00:00"/>
    <n v="12"/>
    <n v="2"/>
    <n v="2349"/>
    <n v="1175"/>
    <n v="24668"/>
    <n v="1175"/>
    <n v="27018"/>
  </r>
  <r>
    <n v="3235"/>
    <x v="9"/>
    <s v="Male"/>
    <n v="32"/>
    <s v="Delhi"/>
    <x v="0"/>
    <n v="26830"/>
    <d v="2022-12-04T00:00:00"/>
    <n v="16"/>
    <n v="2"/>
    <n v="2683"/>
    <n v="1342"/>
    <n v="28171"/>
    <n v="1342"/>
    <n v="30855"/>
  </r>
  <r>
    <n v="3236"/>
    <x v="9"/>
    <s v="Female"/>
    <n v="36"/>
    <s v="Bangalore"/>
    <x v="1"/>
    <n v="67294"/>
    <d v="2022-01-20T00:00:00"/>
    <n v="10"/>
    <n v="2"/>
    <n v="6729"/>
    <n v="3365"/>
    <n v="70658"/>
    <n v="3365"/>
    <n v="77388"/>
  </r>
  <r>
    <n v="3237"/>
    <x v="5"/>
    <s v="Female"/>
    <n v="26"/>
    <s v="Hyderabad"/>
    <x v="4"/>
    <n v="96853"/>
    <d v="2024-08-06T00:00:00"/>
    <n v="1"/>
    <n v="1"/>
    <n v="9685"/>
    <n v="4843"/>
    <n v="101695"/>
    <n v="0"/>
    <n v="106538"/>
  </r>
  <r>
    <n v="3238"/>
    <x v="7"/>
    <s v="Female"/>
    <n v="57"/>
    <s v="Bangalore"/>
    <x v="2"/>
    <n v="48197"/>
    <d v="2024-04-16T00:00:00"/>
    <n v="20"/>
    <n v="2"/>
    <n v="4820"/>
    <n v="2410"/>
    <n v="50607"/>
    <n v="2410"/>
    <n v="55427"/>
  </r>
  <r>
    <n v="3239"/>
    <x v="3"/>
    <s v="Male"/>
    <n v="24"/>
    <s v="Delhi"/>
    <x v="3"/>
    <n v="88331"/>
    <d v="2024-01-11T00:00:00"/>
    <n v="17"/>
    <n v="2"/>
    <n v="8833"/>
    <n v="4417"/>
    <n v="92747"/>
    <n v="4417"/>
    <n v="101581"/>
  </r>
  <r>
    <n v="3240"/>
    <x v="9"/>
    <s v="Male"/>
    <n v="39"/>
    <s v="Bangalore"/>
    <x v="3"/>
    <n v="33111"/>
    <d v="2024-07-09T00:00:00"/>
    <n v="13"/>
    <n v="3"/>
    <n v="3311"/>
    <n v="1656"/>
    <n v="34766"/>
    <n v="1656"/>
    <n v="38078"/>
  </r>
  <r>
    <n v="3241"/>
    <x v="9"/>
    <s v="Male"/>
    <n v="25"/>
    <s v="Mumbai"/>
    <x v="4"/>
    <n v="88320"/>
    <d v="2023-10-21T00:00:00"/>
    <n v="19"/>
    <n v="2"/>
    <n v="8832"/>
    <n v="4416"/>
    <n v="92736"/>
    <n v="4416"/>
    <n v="101568"/>
  </r>
  <r>
    <n v="3242"/>
    <x v="7"/>
    <s v="Male"/>
    <n v="53"/>
    <s v="Bangalore"/>
    <x v="2"/>
    <n v="79273"/>
    <d v="2023-10-07T00:00:00"/>
    <n v="2"/>
    <n v="5"/>
    <n v="7927"/>
    <n v="3964"/>
    <n v="83236"/>
    <n v="0"/>
    <n v="87200"/>
  </r>
  <r>
    <n v="3243"/>
    <x v="4"/>
    <s v="Female"/>
    <n v="24"/>
    <s v="Delhi"/>
    <x v="0"/>
    <n v="43890"/>
    <d v="2023-05-23T00:00:00"/>
    <n v="1"/>
    <n v="2"/>
    <n v="4389"/>
    <n v="2194"/>
    <n v="46085"/>
    <n v="0"/>
    <n v="48279"/>
  </r>
  <r>
    <n v="3244"/>
    <x v="2"/>
    <s v="Male"/>
    <n v="41"/>
    <s v="Delhi"/>
    <x v="2"/>
    <n v="53369"/>
    <d v="2022-09-14T00:00:00"/>
    <n v="7"/>
    <n v="2"/>
    <n v="5337"/>
    <n v="2668"/>
    <n v="56038"/>
    <n v="2668"/>
    <n v="61374"/>
  </r>
  <r>
    <n v="3245"/>
    <x v="5"/>
    <s v="Male"/>
    <n v="30"/>
    <s v="Chennai"/>
    <x v="4"/>
    <n v="99665"/>
    <d v="2023-08-12T00:00:00"/>
    <n v="20"/>
    <n v="4"/>
    <n v="9966"/>
    <n v="4983"/>
    <n v="104648"/>
    <n v="4983"/>
    <n v="114614"/>
  </r>
  <r>
    <n v="3246"/>
    <x v="6"/>
    <s v="Male"/>
    <n v="56"/>
    <s v="Chennai"/>
    <x v="0"/>
    <n v="77663"/>
    <d v="2023-04-11T00:00:00"/>
    <n v="8"/>
    <n v="3"/>
    <n v="7766"/>
    <n v="3883"/>
    <n v="81546"/>
    <n v="3883"/>
    <n v="89312"/>
  </r>
  <r>
    <n v="3247"/>
    <x v="1"/>
    <s v="Male"/>
    <n v="25"/>
    <s v="Bangalore"/>
    <x v="0"/>
    <n v="72283"/>
    <d v="2023-06-24T00:00:00"/>
    <n v="18"/>
    <n v="3"/>
    <n v="7228"/>
    <n v="3614"/>
    <n v="75897"/>
    <n v="3614"/>
    <n v="83125"/>
  </r>
  <r>
    <n v="3248"/>
    <x v="7"/>
    <s v="Male"/>
    <n v="58"/>
    <s v="Bangalore"/>
    <x v="3"/>
    <n v="73468"/>
    <d v="2024-05-20T00:00:00"/>
    <n v="10"/>
    <n v="4"/>
    <n v="7347"/>
    <n v="3673"/>
    <n v="77142"/>
    <n v="3673"/>
    <n v="84488"/>
  </r>
  <r>
    <n v="3249"/>
    <x v="5"/>
    <s v="Female"/>
    <n v="43"/>
    <s v="Hyderabad"/>
    <x v="2"/>
    <n v="40633"/>
    <d v="2023-08-15T00:00:00"/>
    <n v="17"/>
    <n v="3"/>
    <n v="4063"/>
    <n v="2032"/>
    <n v="42664"/>
    <n v="2032"/>
    <n v="46728"/>
  </r>
  <r>
    <n v="3250"/>
    <x v="5"/>
    <s v="Male"/>
    <n v="43"/>
    <s v="Delhi"/>
    <x v="1"/>
    <n v="48926"/>
    <d v="2024-06-23T00:00:00"/>
    <n v="10"/>
    <n v="1"/>
    <n v="4893"/>
    <n v="2446"/>
    <n v="51373"/>
    <n v="2446"/>
    <n v="56265"/>
  </r>
  <r>
    <n v="3251"/>
    <x v="8"/>
    <s v="Male"/>
    <n v="37"/>
    <s v="Delhi"/>
    <x v="4"/>
    <n v="69205"/>
    <d v="2022-08-31T00:00:00"/>
    <n v="13"/>
    <n v="3"/>
    <n v="6920"/>
    <n v="3460"/>
    <n v="72665"/>
    <n v="3460"/>
    <n v="79585"/>
  </r>
  <r>
    <n v="3252"/>
    <x v="6"/>
    <s v="Female"/>
    <n v="32"/>
    <s v="Delhi"/>
    <x v="1"/>
    <n v="66272"/>
    <d v="2023-01-24T00:00:00"/>
    <n v="18"/>
    <n v="3"/>
    <n v="6627"/>
    <n v="3314"/>
    <n v="69585"/>
    <n v="3314"/>
    <n v="76213"/>
  </r>
  <r>
    <n v="3253"/>
    <x v="2"/>
    <s v="Male"/>
    <n v="21"/>
    <s v="Chennai"/>
    <x v="4"/>
    <n v="92564"/>
    <d v="2022-11-24T00:00:00"/>
    <n v="5"/>
    <n v="1"/>
    <n v="9256"/>
    <n v="4628"/>
    <n v="97192"/>
    <n v="0"/>
    <n v="101820"/>
  </r>
  <r>
    <n v="3254"/>
    <x v="4"/>
    <s v="Male"/>
    <n v="57"/>
    <s v="Hyderabad"/>
    <x v="3"/>
    <n v="41676"/>
    <d v="2023-06-19T00:00:00"/>
    <n v="20"/>
    <n v="1"/>
    <n v="4168"/>
    <n v="2084"/>
    <n v="43760"/>
    <n v="2084"/>
    <n v="47928"/>
  </r>
  <r>
    <n v="3255"/>
    <x v="6"/>
    <s v="Male"/>
    <n v="28"/>
    <s v="Chennai"/>
    <x v="2"/>
    <n v="95024"/>
    <d v="2024-02-02T00:00:00"/>
    <n v="7"/>
    <n v="5"/>
    <n v="9502"/>
    <n v="4751"/>
    <n v="99775"/>
    <n v="4751"/>
    <n v="109277"/>
  </r>
  <r>
    <n v="3256"/>
    <x v="3"/>
    <s v="Male"/>
    <n v="34"/>
    <s v="Chennai"/>
    <x v="2"/>
    <n v="80975"/>
    <d v="2024-03-02T00:00:00"/>
    <n v="19"/>
    <n v="4"/>
    <n v="8098"/>
    <n v="4049"/>
    <n v="85024"/>
    <n v="4049"/>
    <n v="93122"/>
  </r>
  <r>
    <n v="3257"/>
    <x v="4"/>
    <s v="Female"/>
    <n v="36"/>
    <s v="Chennai"/>
    <x v="4"/>
    <n v="43048"/>
    <d v="2023-03-06T00:00:00"/>
    <n v="8"/>
    <n v="1"/>
    <n v="4305"/>
    <n v="2152"/>
    <n v="45201"/>
    <n v="2152"/>
    <n v="49505"/>
  </r>
  <r>
    <n v="3258"/>
    <x v="6"/>
    <s v="Female"/>
    <n v="36"/>
    <s v="Hyderabad"/>
    <x v="0"/>
    <n v="39024"/>
    <d v="2024-08-07T00:00:00"/>
    <n v="1"/>
    <n v="5"/>
    <n v="3902"/>
    <n v="1951"/>
    <n v="40975"/>
    <n v="0"/>
    <n v="42926"/>
  </r>
  <r>
    <n v="3259"/>
    <x v="6"/>
    <s v="Female"/>
    <n v="24"/>
    <s v="Delhi"/>
    <x v="3"/>
    <n v="50046"/>
    <d v="2023-12-27T00:00:00"/>
    <n v="8"/>
    <n v="3"/>
    <n v="5005"/>
    <n v="2502"/>
    <n v="52549"/>
    <n v="2502"/>
    <n v="57553"/>
  </r>
  <r>
    <n v="3260"/>
    <x v="5"/>
    <s v="Male"/>
    <n v="51"/>
    <s v="Mumbai"/>
    <x v="4"/>
    <n v="70092"/>
    <d v="2022-04-15T00:00:00"/>
    <n v="15"/>
    <n v="4"/>
    <n v="7009"/>
    <n v="3505"/>
    <n v="73596"/>
    <n v="3505"/>
    <n v="80606"/>
  </r>
  <r>
    <n v="3261"/>
    <x v="2"/>
    <s v="Female"/>
    <n v="23"/>
    <s v="Mumbai"/>
    <x v="4"/>
    <n v="57050"/>
    <d v="2022-09-04T00:00:00"/>
    <n v="14"/>
    <n v="3"/>
    <n v="5705"/>
    <n v="2852"/>
    <n v="59903"/>
    <n v="2852"/>
    <n v="65607"/>
  </r>
  <r>
    <n v="3262"/>
    <x v="5"/>
    <s v="Male"/>
    <n v="29"/>
    <s v="Delhi"/>
    <x v="4"/>
    <n v="98075"/>
    <d v="2023-04-05T00:00:00"/>
    <n v="13"/>
    <n v="1"/>
    <n v="9808"/>
    <n v="4904"/>
    <n v="102979"/>
    <n v="4904"/>
    <n v="112787"/>
  </r>
  <r>
    <n v="3263"/>
    <x v="9"/>
    <s v="Female"/>
    <n v="50"/>
    <s v="Bangalore"/>
    <x v="1"/>
    <n v="24577"/>
    <d v="2024-01-02T00:00:00"/>
    <n v="11"/>
    <n v="1"/>
    <n v="2458"/>
    <n v="1229"/>
    <n v="25806"/>
    <n v="1229"/>
    <n v="28264"/>
  </r>
  <r>
    <n v="3264"/>
    <x v="9"/>
    <s v="Female"/>
    <n v="38"/>
    <s v="Chennai"/>
    <x v="4"/>
    <n v="31610"/>
    <d v="2022-12-29T00:00:00"/>
    <n v="20"/>
    <n v="5"/>
    <n v="3161"/>
    <n v="1580"/>
    <n v="33191"/>
    <n v="1580"/>
    <n v="36351"/>
  </r>
  <r>
    <n v="3265"/>
    <x v="2"/>
    <s v="Female"/>
    <n v="48"/>
    <s v="Chennai"/>
    <x v="4"/>
    <n v="47500"/>
    <d v="2024-03-17T00:00:00"/>
    <n v="12"/>
    <n v="5"/>
    <n v="4750"/>
    <n v="2375"/>
    <n v="49875"/>
    <n v="2375"/>
    <n v="54625"/>
  </r>
  <r>
    <n v="3266"/>
    <x v="1"/>
    <s v="Female"/>
    <n v="21"/>
    <s v="Bangalore"/>
    <x v="1"/>
    <n v="62935"/>
    <d v="2023-03-22T00:00:00"/>
    <n v="12"/>
    <n v="1"/>
    <n v="6294"/>
    <n v="3147"/>
    <n v="66082"/>
    <n v="3147"/>
    <n v="72376"/>
  </r>
  <r>
    <n v="3267"/>
    <x v="2"/>
    <s v="Male"/>
    <n v="35"/>
    <s v="Mumbai"/>
    <x v="2"/>
    <n v="53057"/>
    <d v="2023-10-13T00:00:00"/>
    <n v="3"/>
    <n v="1"/>
    <n v="5306"/>
    <n v="2653"/>
    <n v="55710"/>
    <n v="0"/>
    <n v="58363"/>
  </r>
  <r>
    <n v="3268"/>
    <x v="8"/>
    <s v="Male"/>
    <n v="44"/>
    <s v="Mumbai"/>
    <x v="3"/>
    <n v="52541"/>
    <d v="2024-02-29T00:00:00"/>
    <n v="14"/>
    <n v="4"/>
    <n v="5254"/>
    <n v="2627"/>
    <n v="55168"/>
    <n v="2627"/>
    <n v="60422"/>
  </r>
  <r>
    <n v="3269"/>
    <x v="2"/>
    <s v="Female"/>
    <n v="53"/>
    <s v="Hyderabad"/>
    <x v="0"/>
    <n v="28214"/>
    <d v="2022-12-28T00:00:00"/>
    <n v="2"/>
    <n v="2"/>
    <n v="2821"/>
    <n v="1411"/>
    <n v="29624"/>
    <n v="0"/>
    <n v="31035"/>
  </r>
  <r>
    <n v="3270"/>
    <x v="4"/>
    <s v="Female"/>
    <n v="33"/>
    <s v="Mumbai"/>
    <x v="2"/>
    <n v="62026"/>
    <d v="2023-08-22T00:00:00"/>
    <n v="2"/>
    <n v="3"/>
    <n v="6203"/>
    <n v="3101"/>
    <n v="65128"/>
    <n v="0"/>
    <n v="68229"/>
  </r>
  <r>
    <n v="3271"/>
    <x v="9"/>
    <s v="Female"/>
    <n v="26"/>
    <s v="Hyderabad"/>
    <x v="4"/>
    <n v="72186"/>
    <d v="2022-06-23T00:00:00"/>
    <n v="18"/>
    <n v="4"/>
    <n v="7219"/>
    <n v="3609"/>
    <n v="75796"/>
    <n v="3609"/>
    <n v="83014"/>
  </r>
  <r>
    <n v="3272"/>
    <x v="7"/>
    <s v="Female"/>
    <n v="32"/>
    <s v="Chennai"/>
    <x v="2"/>
    <n v="42863"/>
    <d v="2023-01-26T00:00:00"/>
    <n v="11"/>
    <n v="3"/>
    <n v="4286"/>
    <n v="2143"/>
    <n v="45006"/>
    <n v="2143"/>
    <n v="49292"/>
  </r>
  <r>
    <n v="3273"/>
    <x v="9"/>
    <s v="Female"/>
    <n v="58"/>
    <s v="Chennai"/>
    <x v="0"/>
    <n v="43085"/>
    <d v="2022-02-11T00:00:00"/>
    <n v="19"/>
    <n v="1"/>
    <n v="4308"/>
    <n v="2154"/>
    <n v="45239"/>
    <n v="2154"/>
    <n v="49547"/>
  </r>
  <r>
    <n v="3274"/>
    <x v="1"/>
    <s v="Female"/>
    <n v="28"/>
    <s v="Bangalore"/>
    <x v="3"/>
    <n v="78529"/>
    <d v="2023-10-27T00:00:00"/>
    <n v="18"/>
    <n v="1"/>
    <n v="7853"/>
    <n v="3926"/>
    <n v="82456"/>
    <n v="3926"/>
    <n v="90308"/>
  </r>
  <r>
    <n v="3275"/>
    <x v="6"/>
    <s v="Female"/>
    <n v="36"/>
    <s v="Hyderabad"/>
    <x v="1"/>
    <n v="58830"/>
    <d v="2022-01-05T00:00:00"/>
    <n v="4"/>
    <n v="1"/>
    <n v="5883"/>
    <n v="2942"/>
    <n v="61771"/>
    <n v="0"/>
    <n v="64713"/>
  </r>
  <r>
    <n v="3276"/>
    <x v="8"/>
    <s v="Female"/>
    <n v="32"/>
    <s v="Mumbai"/>
    <x v="0"/>
    <n v="73804"/>
    <d v="2022-06-28T00:00:00"/>
    <n v="8"/>
    <n v="4"/>
    <n v="7380"/>
    <n v="3690"/>
    <n v="77494"/>
    <n v="3690"/>
    <n v="84874"/>
  </r>
  <r>
    <n v="3277"/>
    <x v="4"/>
    <s v="Female"/>
    <n v="25"/>
    <s v="Bangalore"/>
    <x v="0"/>
    <n v="23834"/>
    <d v="2024-01-02T00:00:00"/>
    <n v="10"/>
    <n v="4"/>
    <n v="2383"/>
    <n v="1192"/>
    <n v="25025"/>
    <n v="1192"/>
    <n v="27409"/>
  </r>
  <r>
    <n v="3278"/>
    <x v="8"/>
    <s v="Female"/>
    <n v="45"/>
    <s v="Chennai"/>
    <x v="1"/>
    <n v="31466"/>
    <d v="2022-02-06T00:00:00"/>
    <n v="20"/>
    <n v="1"/>
    <n v="3147"/>
    <n v="1573"/>
    <n v="33040"/>
    <n v="1573"/>
    <n v="36186"/>
  </r>
  <r>
    <n v="3279"/>
    <x v="8"/>
    <s v="Male"/>
    <n v="42"/>
    <s v="Delhi"/>
    <x v="2"/>
    <n v="50104"/>
    <d v="2024-05-14T00:00:00"/>
    <n v="16"/>
    <n v="4"/>
    <n v="5010"/>
    <n v="2505"/>
    <n v="52609"/>
    <n v="2505"/>
    <n v="57619"/>
  </r>
  <r>
    <n v="3280"/>
    <x v="9"/>
    <s v="Male"/>
    <n v="34"/>
    <s v="Bangalore"/>
    <x v="2"/>
    <n v="90374"/>
    <d v="2024-01-07T00:00:00"/>
    <n v="17"/>
    <n v="3"/>
    <n v="9037"/>
    <n v="4519"/>
    <n v="94892"/>
    <n v="4519"/>
    <n v="103930"/>
  </r>
  <r>
    <n v="3281"/>
    <x v="7"/>
    <s v="Female"/>
    <n v="29"/>
    <s v="Delhi"/>
    <x v="3"/>
    <n v="37366"/>
    <d v="2023-02-27T00:00:00"/>
    <n v="4"/>
    <n v="4"/>
    <n v="3737"/>
    <n v="1868"/>
    <n v="39235"/>
    <n v="0"/>
    <n v="41103"/>
  </r>
  <r>
    <n v="3282"/>
    <x v="1"/>
    <s v="Male"/>
    <n v="52"/>
    <s v="Delhi"/>
    <x v="0"/>
    <n v="96591"/>
    <d v="2022-11-03T00:00:00"/>
    <n v="15"/>
    <n v="2"/>
    <n v="9659"/>
    <n v="4830"/>
    <n v="101420"/>
    <n v="4830"/>
    <n v="111080"/>
  </r>
  <r>
    <n v="3283"/>
    <x v="0"/>
    <s v="Female"/>
    <n v="51"/>
    <s v="Hyderabad"/>
    <x v="2"/>
    <n v="87324"/>
    <d v="2023-04-04T00:00:00"/>
    <n v="18"/>
    <n v="3"/>
    <n v="8732"/>
    <n v="4366"/>
    <n v="91690"/>
    <n v="4366"/>
    <n v="100422"/>
  </r>
  <r>
    <n v="3284"/>
    <x v="9"/>
    <s v="Female"/>
    <n v="53"/>
    <s v="Bangalore"/>
    <x v="4"/>
    <n v="94075"/>
    <d v="2024-04-04T00:00:00"/>
    <n v="10"/>
    <n v="1"/>
    <n v="9408"/>
    <n v="4704"/>
    <n v="98779"/>
    <n v="4704"/>
    <n v="108187"/>
  </r>
  <r>
    <n v="3285"/>
    <x v="3"/>
    <s v="Male"/>
    <n v="25"/>
    <s v="Delhi"/>
    <x v="1"/>
    <n v="46090"/>
    <d v="2024-09-27T00:00:00"/>
    <n v="7"/>
    <n v="3"/>
    <n v="4609"/>
    <n v="2304"/>
    <n v="48395"/>
    <n v="2304"/>
    <n v="53003"/>
  </r>
  <r>
    <n v="3286"/>
    <x v="5"/>
    <s v="Female"/>
    <n v="37"/>
    <s v="Delhi"/>
    <x v="0"/>
    <n v="29179"/>
    <d v="2022-01-08T00:00:00"/>
    <n v="15"/>
    <n v="1"/>
    <n v="2918"/>
    <n v="1459"/>
    <n v="30638"/>
    <n v="1459"/>
    <n v="33556"/>
  </r>
  <r>
    <n v="3287"/>
    <x v="5"/>
    <s v="Male"/>
    <n v="55"/>
    <s v="Hyderabad"/>
    <x v="1"/>
    <n v="34205"/>
    <d v="2022-10-19T00:00:00"/>
    <n v="2"/>
    <n v="3"/>
    <n v="3420"/>
    <n v="1710"/>
    <n v="35915"/>
    <n v="0"/>
    <n v="37625"/>
  </r>
  <r>
    <n v="3288"/>
    <x v="2"/>
    <s v="Female"/>
    <n v="59"/>
    <s v="Hyderabad"/>
    <x v="1"/>
    <n v="29222"/>
    <d v="2023-09-17T00:00:00"/>
    <n v="9"/>
    <n v="1"/>
    <n v="2922"/>
    <n v="1461"/>
    <n v="30683"/>
    <n v="1461"/>
    <n v="33605"/>
  </r>
  <r>
    <n v="3289"/>
    <x v="4"/>
    <s v="Female"/>
    <n v="40"/>
    <s v="Mumbai"/>
    <x v="0"/>
    <n v="31811"/>
    <d v="2022-11-13T00:00:00"/>
    <n v="14"/>
    <n v="3"/>
    <n v="3181"/>
    <n v="1591"/>
    <n v="33401"/>
    <n v="1591"/>
    <n v="36583"/>
  </r>
  <r>
    <n v="3290"/>
    <x v="3"/>
    <s v="Male"/>
    <n v="43"/>
    <s v="Chennai"/>
    <x v="2"/>
    <n v="73372"/>
    <d v="2024-01-09T00:00:00"/>
    <n v="5"/>
    <n v="3"/>
    <n v="7337"/>
    <n v="3669"/>
    <n v="77040"/>
    <n v="0"/>
    <n v="80709"/>
  </r>
  <r>
    <n v="3291"/>
    <x v="0"/>
    <s v="Male"/>
    <n v="26"/>
    <s v="Bangalore"/>
    <x v="0"/>
    <n v="82199"/>
    <d v="2022-02-08T00:00:00"/>
    <n v="1"/>
    <n v="4"/>
    <n v="8220"/>
    <n v="4110"/>
    <n v="86309"/>
    <n v="0"/>
    <n v="90419"/>
  </r>
  <r>
    <n v="3292"/>
    <x v="3"/>
    <s v="Male"/>
    <n v="57"/>
    <s v="Chennai"/>
    <x v="1"/>
    <n v="88033"/>
    <d v="2022-01-01T00:00:00"/>
    <n v="1"/>
    <n v="3"/>
    <n v="8803"/>
    <n v="4402"/>
    <n v="92434"/>
    <n v="0"/>
    <n v="96836"/>
  </r>
  <r>
    <n v="3293"/>
    <x v="6"/>
    <s v="Male"/>
    <n v="46"/>
    <s v="Hyderabad"/>
    <x v="2"/>
    <n v="59586"/>
    <d v="2022-10-27T00:00:00"/>
    <n v="18"/>
    <n v="3"/>
    <n v="5959"/>
    <n v="2979"/>
    <n v="62566"/>
    <n v="2979"/>
    <n v="68524"/>
  </r>
  <r>
    <n v="3294"/>
    <x v="3"/>
    <s v="Female"/>
    <n v="54"/>
    <s v="Hyderabad"/>
    <x v="1"/>
    <n v="88367"/>
    <d v="2024-06-27T00:00:00"/>
    <n v="10"/>
    <n v="4"/>
    <n v="8837"/>
    <n v="4418"/>
    <n v="92786"/>
    <n v="4418"/>
    <n v="101622"/>
  </r>
  <r>
    <n v="3295"/>
    <x v="0"/>
    <s v="Male"/>
    <n v="38"/>
    <s v="Delhi"/>
    <x v="0"/>
    <n v="26881"/>
    <d v="2024-02-18T00:00:00"/>
    <n v="18"/>
    <n v="3"/>
    <n v="2688"/>
    <n v="1344"/>
    <n v="28225"/>
    <n v="1344"/>
    <n v="30913"/>
  </r>
  <r>
    <n v="3296"/>
    <x v="7"/>
    <s v="Female"/>
    <n v="50"/>
    <s v="Mumbai"/>
    <x v="2"/>
    <n v="89801"/>
    <d v="2023-10-24T00:00:00"/>
    <n v="11"/>
    <n v="4"/>
    <n v="8980"/>
    <n v="4490"/>
    <n v="94291"/>
    <n v="4490"/>
    <n v="103271"/>
  </r>
  <r>
    <n v="3297"/>
    <x v="7"/>
    <s v="Female"/>
    <n v="54"/>
    <s v="Delhi"/>
    <x v="1"/>
    <n v="63806"/>
    <d v="2023-12-30T00:00:00"/>
    <n v="14"/>
    <n v="4"/>
    <n v="6381"/>
    <n v="3190"/>
    <n v="66997"/>
    <n v="3190"/>
    <n v="73377"/>
  </r>
  <r>
    <n v="3298"/>
    <x v="2"/>
    <s v="Male"/>
    <n v="52"/>
    <s v="Delhi"/>
    <x v="4"/>
    <n v="48098"/>
    <d v="2023-11-29T00:00:00"/>
    <n v="15"/>
    <n v="2"/>
    <n v="4810"/>
    <n v="2405"/>
    <n v="50503"/>
    <n v="2405"/>
    <n v="55313"/>
  </r>
  <r>
    <n v="3299"/>
    <x v="4"/>
    <s v="Male"/>
    <n v="52"/>
    <s v="Hyderabad"/>
    <x v="0"/>
    <n v="28976"/>
    <d v="2022-06-11T00:00:00"/>
    <n v="7"/>
    <n v="1"/>
    <n v="2898"/>
    <n v="1449"/>
    <n v="30425"/>
    <n v="1449"/>
    <n v="33323"/>
  </r>
  <r>
    <n v="3300"/>
    <x v="1"/>
    <s v="Female"/>
    <n v="41"/>
    <s v="Delhi"/>
    <x v="1"/>
    <n v="38903"/>
    <d v="2022-12-10T00:00:00"/>
    <n v="17"/>
    <n v="3"/>
    <n v="3890"/>
    <n v="1945"/>
    <n v="40848"/>
    <n v="1945"/>
    <n v="44738"/>
  </r>
  <r>
    <n v="3301"/>
    <x v="9"/>
    <s v="Female"/>
    <n v="40"/>
    <s v="Hyderabad"/>
    <x v="3"/>
    <n v="82391"/>
    <d v="2023-06-14T00:00:00"/>
    <n v="14"/>
    <n v="2"/>
    <n v="8239"/>
    <n v="4120"/>
    <n v="86510"/>
    <n v="4120"/>
    <n v="94750"/>
  </r>
  <r>
    <n v="3302"/>
    <x v="6"/>
    <s v="Male"/>
    <n v="28"/>
    <s v="Hyderabad"/>
    <x v="2"/>
    <n v="44577"/>
    <d v="2023-01-23T00:00:00"/>
    <n v="14"/>
    <n v="2"/>
    <n v="4458"/>
    <n v="2229"/>
    <n v="46806"/>
    <n v="2229"/>
    <n v="51264"/>
  </r>
  <r>
    <n v="3303"/>
    <x v="7"/>
    <s v="Male"/>
    <n v="37"/>
    <s v="Delhi"/>
    <x v="1"/>
    <n v="24507"/>
    <d v="2024-08-19T00:00:00"/>
    <n v="17"/>
    <n v="5"/>
    <n v="2451"/>
    <n v="1225"/>
    <n v="25733"/>
    <n v="1225"/>
    <n v="28183"/>
  </r>
  <r>
    <n v="3304"/>
    <x v="2"/>
    <s v="Male"/>
    <n v="21"/>
    <s v="Chennai"/>
    <x v="2"/>
    <n v="41860"/>
    <d v="2022-11-29T00:00:00"/>
    <n v="15"/>
    <n v="3"/>
    <n v="4186"/>
    <n v="2093"/>
    <n v="43953"/>
    <n v="2093"/>
    <n v="48139"/>
  </r>
  <r>
    <n v="3305"/>
    <x v="6"/>
    <s v="Male"/>
    <n v="36"/>
    <s v="Delhi"/>
    <x v="2"/>
    <n v="63872"/>
    <d v="2024-03-06T00:00:00"/>
    <n v="8"/>
    <n v="1"/>
    <n v="6387"/>
    <n v="3194"/>
    <n v="67065"/>
    <n v="3194"/>
    <n v="73453"/>
  </r>
  <r>
    <n v="3306"/>
    <x v="2"/>
    <s v="Female"/>
    <n v="29"/>
    <s v="Delhi"/>
    <x v="0"/>
    <n v="76576"/>
    <d v="2023-04-19T00:00:00"/>
    <n v="18"/>
    <n v="2"/>
    <n v="7658"/>
    <n v="3829"/>
    <n v="80405"/>
    <n v="3829"/>
    <n v="88063"/>
  </r>
  <r>
    <n v="3307"/>
    <x v="1"/>
    <s v="Female"/>
    <n v="56"/>
    <s v="Hyderabad"/>
    <x v="4"/>
    <n v="75143"/>
    <d v="2023-12-14T00:00:00"/>
    <n v="12"/>
    <n v="1"/>
    <n v="7514"/>
    <n v="3757"/>
    <n v="78900"/>
    <n v="3757"/>
    <n v="86414"/>
  </r>
  <r>
    <n v="3308"/>
    <x v="4"/>
    <s v="Female"/>
    <n v="39"/>
    <s v="Mumbai"/>
    <x v="3"/>
    <n v="86015"/>
    <d v="2023-10-28T00:00:00"/>
    <n v="14"/>
    <n v="5"/>
    <n v="8602"/>
    <n v="4301"/>
    <n v="90316"/>
    <n v="4301"/>
    <n v="98918"/>
  </r>
  <r>
    <n v="3309"/>
    <x v="9"/>
    <s v="Female"/>
    <n v="60"/>
    <s v="Chennai"/>
    <x v="1"/>
    <n v="93037"/>
    <d v="2024-08-08T00:00:00"/>
    <n v="15"/>
    <n v="1"/>
    <n v="9304"/>
    <n v="4652"/>
    <n v="97689"/>
    <n v="4652"/>
    <n v="106993"/>
  </r>
  <r>
    <n v="3310"/>
    <x v="5"/>
    <s v="Male"/>
    <n v="53"/>
    <s v="Delhi"/>
    <x v="2"/>
    <n v="77031"/>
    <d v="2024-06-01T00:00:00"/>
    <n v="8"/>
    <n v="3"/>
    <n v="7703"/>
    <n v="3852"/>
    <n v="80882"/>
    <n v="3852"/>
    <n v="88586"/>
  </r>
  <r>
    <n v="3311"/>
    <x v="1"/>
    <s v="Female"/>
    <n v="55"/>
    <s v="Delhi"/>
    <x v="1"/>
    <n v="89154"/>
    <d v="2022-02-24T00:00:00"/>
    <n v="12"/>
    <n v="5"/>
    <n v="8915"/>
    <n v="4458"/>
    <n v="93611"/>
    <n v="4458"/>
    <n v="102527"/>
  </r>
  <r>
    <n v="3312"/>
    <x v="7"/>
    <s v="Female"/>
    <n v="21"/>
    <s v="Hyderabad"/>
    <x v="4"/>
    <n v="45523"/>
    <d v="2023-09-23T00:00:00"/>
    <n v="17"/>
    <n v="5"/>
    <n v="4552"/>
    <n v="2276"/>
    <n v="47799"/>
    <n v="2276"/>
    <n v="52351"/>
  </r>
  <r>
    <n v="3313"/>
    <x v="2"/>
    <s v="Female"/>
    <n v="23"/>
    <s v="Delhi"/>
    <x v="1"/>
    <n v="23032"/>
    <d v="2024-09-01T00:00:00"/>
    <n v="17"/>
    <n v="1"/>
    <n v="2303"/>
    <n v="1152"/>
    <n v="24183"/>
    <n v="1152"/>
    <n v="26487"/>
  </r>
  <r>
    <n v="3314"/>
    <x v="0"/>
    <s v="Male"/>
    <n v="22"/>
    <s v="Chennai"/>
    <x v="1"/>
    <n v="77088"/>
    <d v="2024-07-12T00:00:00"/>
    <n v="18"/>
    <n v="4"/>
    <n v="7709"/>
    <n v="3854"/>
    <n v="80943"/>
    <n v="3854"/>
    <n v="88651"/>
  </r>
  <r>
    <n v="3315"/>
    <x v="8"/>
    <s v="Female"/>
    <n v="46"/>
    <s v="Chennai"/>
    <x v="0"/>
    <n v="63481"/>
    <d v="2023-11-17T00:00:00"/>
    <n v="15"/>
    <n v="2"/>
    <n v="6348"/>
    <n v="3174"/>
    <n v="66655"/>
    <n v="3174"/>
    <n v="73003"/>
  </r>
  <r>
    <n v="3316"/>
    <x v="5"/>
    <s v="Male"/>
    <n v="53"/>
    <s v="Hyderabad"/>
    <x v="2"/>
    <n v="97249"/>
    <d v="2022-09-08T00:00:00"/>
    <n v="3"/>
    <n v="1"/>
    <n v="9725"/>
    <n v="4862"/>
    <n v="102112"/>
    <n v="0"/>
    <n v="106974"/>
  </r>
  <r>
    <n v="3317"/>
    <x v="1"/>
    <s v="Female"/>
    <n v="59"/>
    <s v="Delhi"/>
    <x v="2"/>
    <n v="51474"/>
    <d v="2022-07-04T00:00:00"/>
    <n v="20"/>
    <n v="2"/>
    <n v="5147"/>
    <n v="2574"/>
    <n v="54047"/>
    <n v="2574"/>
    <n v="59195"/>
  </r>
  <r>
    <n v="3318"/>
    <x v="9"/>
    <s v="Female"/>
    <n v="51"/>
    <s v="Chennai"/>
    <x v="3"/>
    <n v="87031"/>
    <d v="2024-06-14T00:00:00"/>
    <n v="16"/>
    <n v="4"/>
    <n v="8703"/>
    <n v="4352"/>
    <n v="91382"/>
    <n v="4352"/>
    <n v="100086"/>
  </r>
  <r>
    <n v="3319"/>
    <x v="2"/>
    <s v="Male"/>
    <n v="44"/>
    <s v="Bangalore"/>
    <x v="3"/>
    <n v="94116"/>
    <d v="2023-01-07T00:00:00"/>
    <n v="6"/>
    <n v="3"/>
    <n v="9412"/>
    <n v="4706"/>
    <n v="98822"/>
    <n v="4706"/>
    <n v="108234"/>
  </r>
  <r>
    <n v="3320"/>
    <x v="9"/>
    <s v="Male"/>
    <n v="51"/>
    <s v="Chennai"/>
    <x v="4"/>
    <n v="39280"/>
    <d v="2022-06-11T00:00:00"/>
    <n v="12"/>
    <n v="2"/>
    <n v="3928"/>
    <n v="1964"/>
    <n v="41244"/>
    <n v="1964"/>
    <n v="45172"/>
  </r>
  <r>
    <n v="3321"/>
    <x v="6"/>
    <s v="Female"/>
    <n v="54"/>
    <s v="Mumbai"/>
    <x v="1"/>
    <n v="62493"/>
    <d v="2022-01-27T00:00:00"/>
    <n v="17"/>
    <n v="1"/>
    <n v="6249"/>
    <n v="3125"/>
    <n v="65617"/>
    <n v="3125"/>
    <n v="71867"/>
  </r>
  <r>
    <n v="3322"/>
    <x v="2"/>
    <s v="Female"/>
    <n v="59"/>
    <s v="Chennai"/>
    <x v="0"/>
    <n v="33876"/>
    <d v="2022-04-16T00:00:00"/>
    <n v="11"/>
    <n v="4"/>
    <n v="3388"/>
    <n v="1694"/>
    <n v="35570"/>
    <n v="1694"/>
    <n v="38958"/>
  </r>
  <r>
    <n v="3323"/>
    <x v="0"/>
    <s v="Female"/>
    <n v="46"/>
    <s v="Chennai"/>
    <x v="2"/>
    <n v="68601"/>
    <d v="2023-08-30T00:00:00"/>
    <n v="6"/>
    <n v="3"/>
    <n v="6860"/>
    <n v="3430"/>
    <n v="72031"/>
    <n v="3430"/>
    <n v="78891"/>
  </r>
  <r>
    <n v="3324"/>
    <x v="8"/>
    <s v="Female"/>
    <n v="47"/>
    <s v="Hyderabad"/>
    <x v="4"/>
    <n v="89509"/>
    <d v="2022-10-26T00:00:00"/>
    <n v="15"/>
    <n v="2"/>
    <n v="8951"/>
    <n v="4475"/>
    <n v="93985"/>
    <n v="4475"/>
    <n v="102935"/>
  </r>
  <r>
    <n v="3325"/>
    <x v="5"/>
    <s v="Male"/>
    <n v="23"/>
    <s v="Chennai"/>
    <x v="3"/>
    <n v="36998"/>
    <d v="2024-07-05T00:00:00"/>
    <n v="13"/>
    <n v="5"/>
    <n v="3700"/>
    <n v="1850"/>
    <n v="38848"/>
    <n v="1850"/>
    <n v="42548"/>
  </r>
  <r>
    <n v="3326"/>
    <x v="3"/>
    <s v="Female"/>
    <n v="54"/>
    <s v="Mumbai"/>
    <x v="0"/>
    <n v="75998"/>
    <d v="2023-01-07T00:00:00"/>
    <n v="9"/>
    <n v="2"/>
    <n v="7600"/>
    <n v="3800"/>
    <n v="79798"/>
    <n v="3800"/>
    <n v="87398"/>
  </r>
  <r>
    <n v="3327"/>
    <x v="3"/>
    <s v="Female"/>
    <n v="60"/>
    <s v="Delhi"/>
    <x v="4"/>
    <n v="49763"/>
    <d v="2023-03-06T00:00:00"/>
    <n v="15"/>
    <n v="2"/>
    <n v="4976"/>
    <n v="2488"/>
    <n v="52251"/>
    <n v="2488"/>
    <n v="57227"/>
  </r>
  <r>
    <n v="3328"/>
    <x v="6"/>
    <s v="Male"/>
    <n v="39"/>
    <s v="Bangalore"/>
    <x v="3"/>
    <n v="36402"/>
    <d v="2023-09-26T00:00:00"/>
    <n v="3"/>
    <n v="3"/>
    <n v="3640"/>
    <n v="1820"/>
    <n v="38222"/>
    <n v="0"/>
    <n v="40042"/>
  </r>
  <r>
    <n v="3329"/>
    <x v="9"/>
    <s v="Female"/>
    <n v="35"/>
    <s v="Delhi"/>
    <x v="3"/>
    <n v="35533"/>
    <d v="2024-04-17T00:00:00"/>
    <n v="19"/>
    <n v="1"/>
    <n v="3553"/>
    <n v="1777"/>
    <n v="37309"/>
    <n v="1777"/>
    <n v="40863"/>
  </r>
  <r>
    <n v="3330"/>
    <x v="8"/>
    <s v="Male"/>
    <n v="46"/>
    <s v="Hyderabad"/>
    <x v="2"/>
    <n v="62013"/>
    <d v="2022-04-21T00:00:00"/>
    <n v="16"/>
    <n v="5"/>
    <n v="6201"/>
    <n v="3101"/>
    <n v="65113"/>
    <n v="3101"/>
    <n v="71315"/>
  </r>
  <r>
    <n v="3331"/>
    <x v="5"/>
    <s v="Female"/>
    <n v="30"/>
    <s v="Delhi"/>
    <x v="3"/>
    <n v="75273"/>
    <d v="2023-08-17T00:00:00"/>
    <n v="19"/>
    <n v="1"/>
    <n v="7527"/>
    <n v="3764"/>
    <n v="79036"/>
    <n v="3764"/>
    <n v="86564"/>
  </r>
  <r>
    <n v="3332"/>
    <x v="7"/>
    <s v="Male"/>
    <n v="44"/>
    <s v="Bangalore"/>
    <x v="1"/>
    <n v="93053"/>
    <d v="2024-07-25T00:00:00"/>
    <n v="15"/>
    <n v="3"/>
    <n v="9305"/>
    <n v="4653"/>
    <n v="97705"/>
    <n v="4653"/>
    <n v="107011"/>
  </r>
  <r>
    <n v="3333"/>
    <x v="1"/>
    <s v="Male"/>
    <n v="56"/>
    <s v="Chennai"/>
    <x v="4"/>
    <n v="67849"/>
    <d v="2023-01-22T00:00:00"/>
    <n v="10"/>
    <n v="1"/>
    <n v="6785"/>
    <n v="3392"/>
    <n v="71242"/>
    <n v="3392"/>
    <n v="78026"/>
  </r>
  <r>
    <n v="3334"/>
    <x v="2"/>
    <s v="Female"/>
    <n v="39"/>
    <s v="Bangalore"/>
    <x v="3"/>
    <n v="47618"/>
    <d v="2024-05-17T00:00:00"/>
    <n v="7"/>
    <n v="3"/>
    <n v="4762"/>
    <n v="2381"/>
    <n v="49999"/>
    <n v="2381"/>
    <n v="54761"/>
  </r>
  <r>
    <n v="3335"/>
    <x v="6"/>
    <s v="Male"/>
    <n v="25"/>
    <s v="Chennai"/>
    <x v="4"/>
    <n v="91362"/>
    <d v="2023-12-15T00:00:00"/>
    <n v="14"/>
    <n v="2"/>
    <n v="9136"/>
    <n v="4568"/>
    <n v="95930"/>
    <n v="4568"/>
    <n v="105066"/>
  </r>
  <r>
    <n v="3336"/>
    <x v="3"/>
    <s v="Female"/>
    <n v="52"/>
    <s v="Mumbai"/>
    <x v="2"/>
    <n v="41778"/>
    <d v="2023-12-22T00:00:00"/>
    <n v="3"/>
    <n v="5"/>
    <n v="4178"/>
    <n v="2089"/>
    <n v="43867"/>
    <n v="0"/>
    <n v="45956"/>
  </r>
  <r>
    <n v="3337"/>
    <x v="2"/>
    <s v="Male"/>
    <n v="31"/>
    <s v="Delhi"/>
    <x v="4"/>
    <n v="59846"/>
    <d v="2023-01-03T00:00:00"/>
    <n v="18"/>
    <n v="3"/>
    <n v="5985"/>
    <n v="2992"/>
    <n v="62839"/>
    <n v="2992"/>
    <n v="68823"/>
  </r>
  <r>
    <n v="3338"/>
    <x v="4"/>
    <s v="Male"/>
    <n v="38"/>
    <s v="Delhi"/>
    <x v="2"/>
    <n v="67768"/>
    <d v="2023-06-03T00:00:00"/>
    <n v="1"/>
    <n v="1"/>
    <n v="6777"/>
    <n v="3388"/>
    <n v="71157"/>
    <n v="0"/>
    <n v="74545"/>
  </r>
  <r>
    <n v="3339"/>
    <x v="2"/>
    <s v="Male"/>
    <n v="52"/>
    <s v="Mumbai"/>
    <x v="0"/>
    <n v="91195"/>
    <d v="2022-02-11T00:00:00"/>
    <n v="4"/>
    <n v="3"/>
    <n v="9120"/>
    <n v="4560"/>
    <n v="95755"/>
    <n v="0"/>
    <n v="100315"/>
  </r>
  <r>
    <n v="3340"/>
    <x v="6"/>
    <s v="Male"/>
    <n v="26"/>
    <s v="Bangalore"/>
    <x v="3"/>
    <n v="98389"/>
    <d v="2023-09-04T00:00:00"/>
    <n v="7"/>
    <n v="2"/>
    <n v="9839"/>
    <n v="4919"/>
    <n v="103309"/>
    <n v="4919"/>
    <n v="113147"/>
  </r>
  <r>
    <n v="3341"/>
    <x v="1"/>
    <s v="Female"/>
    <n v="31"/>
    <s v="Chennai"/>
    <x v="0"/>
    <n v="62616"/>
    <d v="2024-05-09T00:00:00"/>
    <n v="16"/>
    <n v="2"/>
    <n v="6262"/>
    <n v="3131"/>
    <n v="65747"/>
    <n v="3131"/>
    <n v="72009"/>
  </r>
  <r>
    <n v="3342"/>
    <x v="0"/>
    <s v="Female"/>
    <n v="44"/>
    <s v="Chennai"/>
    <x v="0"/>
    <n v="99236"/>
    <d v="2023-06-12T00:00:00"/>
    <n v="7"/>
    <n v="3"/>
    <n v="9924"/>
    <n v="4962"/>
    <n v="104198"/>
    <n v="4962"/>
    <n v="114122"/>
  </r>
  <r>
    <n v="3343"/>
    <x v="7"/>
    <s v="Female"/>
    <n v="56"/>
    <s v="Hyderabad"/>
    <x v="4"/>
    <n v="57892"/>
    <d v="2022-11-26T00:00:00"/>
    <n v="13"/>
    <n v="1"/>
    <n v="5789"/>
    <n v="2895"/>
    <n v="60786"/>
    <n v="2895"/>
    <n v="66576"/>
  </r>
  <r>
    <n v="3344"/>
    <x v="8"/>
    <s v="Female"/>
    <n v="49"/>
    <s v="Bangalore"/>
    <x v="3"/>
    <n v="72598"/>
    <d v="2022-11-02T00:00:00"/>
    <n v="17"/>
    <n v="3"/>
    <n v="7260"/>
    <n v="3630"/>
    <n v="76228"/>
    <n v="3630"/>
    <n v="83488"/>
  </r>
  <r>
    <n v="3345"/>
    <x v="5"/>
    <s v="Female"/>
    <n v="41"/>
    <s v="Bangalore"/>
    <x v="0"/>
    <n v="85614"/>
    <d v="2023-10-03T00:00:00"/>
    <n v="17"/>
    <n v="3"/>
    <n v="8561"/>
    <n v="4281"/>
    <n v="89894"/>
    <n v="4281"/>
    <n v="98456"/>
  </r>
  <r>
    <n v="3346"/>
    <x v="9"/>
    <s v="Female"/>
    <n v="54"/>
    <s v="Bangalore"/>
    <x v="4"/>
    <n v="63721"/>
    <d v="2023-01-10T00:00:00"/>
    <n v="20"/>
    <n v="1"/>
    <n v="6372"/>
    <n v="3186"/>
    <n v="66907"/>
    <n v="3186"/>
    <n v="73279"/>
  </r>
  <r>
    <n v="3347"/>
    <x v="8"/>
    <s v="Male"/>
    <n v="29"/>
    <s v="Hyderabad"/>
    <x v="2"/>
    <n v="70517"/>
    <d v="2022-06-25T00:00:00"/>
    <n v="4"/>
    <n v="2"/>
    <n v="7052"/>
    <n v="3526"/>
    <n v="74043"/>
    <n v="0"/>
    <n v="77569"/>
  </r>
  <r>
    <n v="3348"/>
    <x v="5"/>
    <s v="Female"/>
    <n v="35"/>
    <s v="Mumbai"/>
    <x v="3"/>
    <n v="61027"/>
    <d v="2022-09-21T00:00:00"/>
    <n v="20"/>
    <n v="3"/>
    <n v="6103"/>
    <n v="3051"/>
    <n v="64079"/>
    <n v="3051"/>
    <n v="70181"/>
  </r>
  <r>
    <n v="3349"/>
    <x v="9"/>
    <s v="Female"/>
    <n v="25"/>
    <s v="Chennai"/>
    <x v="1"/>
    <n v="56821"/>
    <d v="2023-08-15T00:00:00"/>
    <n v="10"/>
    <n v="5"/>
    <n v="5682"/>
    <n v="2841"/>
    <n v="59662"/>
    <n v="2841"/>
    <n v="65344"/>
  </r>
  <r>
    <n v="3350"/>
    <x v="8"/>
    <s v="Female"/>
    <n v="45"/>
    <s v="Delhi"/>
    <x v="3"/>
    <n v="44657"/>
    <d v="2023-07-16T00:00:00"/>
    <n v="10"/>
    <n v="4"/>
    <n v="4466"/>
    <n v="2233"/>
    <n v="46890"/>
    <n v="2233"/>
    <n v="51356"/>
  </r>
  <r>
    <n v="3351"/>
    <x v="5"/>
    <s v="Male"/>
    <n v="60"/>
    <s v="Chennai"/>
    <x v="4"/>
    <n v="26379"/>
    <d v="2023-04-06T00:00:00"/>
    <n v="2"/>
    <n v="2"/>
    <n v="2638"/>
    <n v="1319"/>
    <n v="27698"/>
    <n v="0"/>
    <n v="29017"/>
  </r>
  <r>
    <n v="3352"/>
    <x v="9"/>
    <s v="Female"/>
    <n v="23"/>
    <s v="Mumbai"/>
    <x v="3"/>
    <n v="76458"/>
    <d v="2022-08-04T00:00:00"/>
    <n v="7"/>
    <n v="5"/>
    <n v="7646"/>
    <n v="3823"/>
    <n v="80281"/>
    <n v="3823"/>
    <n v="87927"/>
  </r>
  <r>
    <n v="3353"/>
    <x v="2"/>
    <s v="Male"/>
    <n v="26"/>
    <s v="Chennai"/>
    <x v="1"/>
    <n v="78336"/>
    <d v="2022-09-14T00:00:00"/>
    <n v="16"/>
    <n v="2"/>
    <n v="7834"/>
    <n v="3917"/>
    <n v="82253"/>
    <n v="3917"/>
    <n v="90087"/>
  </r>
  <r>
    <n v="3354"/>
    <x v="8"/>
    <s v="Female"/>
    <n v="38"/>
    <s v="Mumbai"/>
    <x v="4"/>
    <n v="89155"/>
    <d v="2023-10-18T00:00:00"/>
    <n v="2"/>
    <n v="2"/>
    <n v="8916"/>
    <n v="4458"/>
    <n v="93613"/>
    <n v="0"/>
    <n v="98071"/>
  </r>
  <r>
    <n v="3355"/>
    <x v="3"/>
    <s v="Male"/>
    <n v="44"/>
    <s v="Bangalore"/>
    <x v="3"/>
    <n v="81768"/>
    <d v="2024-02-03T00:00:00"/>
    <n v="18"/>
    <n v="3"/>
    <n v="8177"/>
    <n v="4088"/>
    <n v="85857"/>
    <n v="4088"/>
    <n v="94033"/>
  </r>
  <r>
    <n v="3356"/>
    <x v="1"/>
    <s v="Male"/>
    <n v="55"/>
    <s v="Mumbai"/>
    <x v="4"/>
    <n v="75978"/>
    <d v="2024-04-27T00:00:00"/>
    <n v="11"/>
    <n v="4"/>
    <n v="7598"/>
    <n v="3799"/>
    <n v="79777"/>
    <n v="3799"/>
    <n v="87375"/>
  </r>
  <r>
    <n v="3357"/>
    <x v="2"/>
    <s v="Male"/>
    <n v="60"/>
    <s v="Chennai"/>
    <x v="3"/>
    <n v="72306"/>
    <d v="2023-04-14T00:00:00"/>
    <n v="13"/>
    <n v="5"/>
    <n v="7231"/>
    <n v="3615"/>
    <n v="75922"/>
    <n v="3615"/>
    <n v="83152"/>
  </r>
  <r>
    <n v="3358"/>
    <x v="0"/>
    <s v="Male"/>
    <n v="41"/>
    <s v="Delhi"/>
    <x v="4"/>
    <n v="32282"/>
    <d v="2023-07-16T00:00:00"/>
    <n v="10"/>
    <n v="4"/>
    <n v="3228"/>
    <n v="1614"/>
    <n v="33896"/>
    <n v="1614"/>
    <n v="37124"/>
  </r>
  <r>
    <n v="3359"/>
    <x v="4"/>
    <s v="Male"/>
    <n v="50"/>
    <s v="Bangalore"/>
    <x v="2"/>
    <n v="31751"/>
    <d v="2024-03-07T00:00:00"/>
    <n v="17"/>
    <n v="4"/>
    <n v="3175"/>
    <n v="1588"/>
    <n v="33338"/>
    <n v="1588"/>
    <n v="36514"/>
  </r>
  <r>
    <n v="3360"/>
    <x v="8"/>
    <s v="Female"/>
    <n v="33"/>
    <s v="Chennai"/>
    <x v="4"/>
    <n v="72809"/>
    <d v="2024-05-28T00:00:00"/>
    <n v="5"/>
    <n v="5"/>
    <n v="7281"/>
    <n v="3640"/>
    <n v="76450"/>
    <n v="0"/>
    <n v="80090"/>
  </r>
  <r>
    <n v="3361"/>
    <x v="0"/>
    <s v="Female"/>
    <n v="51"/>
    <s v="Bangalore"/>
    <x v="0"/>
    <n v="73093"/>
    <d v="2023-04-07T00:00:00"/>
    <n v="16"/>
    <n v="3"/>
    <n v="7309"/>
    <n v="3655"/>
    <n v="76747"/>
    <n v="3655"/>
    <n v="84057"/>
  </r>
  <r>
    <n v="3362"/>
    <x v="7"/>
    <s v="Female"/>
    <n v="53"/>
    <s v="Mumbai"/>
    <x v="2"/>
    <n v="87652"/>
    <d v="2024-06-19T00:00:00"/>
    <n v="6"/>
    <n v="4"/>
    <n v="8765"/>
    <n v="4383"/>
    <n v="92034"/>
    <n v="4383"/>
    <n v="100800"/>
  </r>
  <r>
    <n v="3363"/>
    <x v="0"/>
    <s v="Male"/>
    <n v="42"/>
    <s v="Hyderabad"/>
    <x v="2"/>
    <n v="76751"/>
    <d v="2024-05-04T00:00:00"/>
    <n v="1"/>
    <n v="1"/>
    <n v="7675"/>
    <n v="3838"/>
    <n v="80588"/>
    <n v="0"/>
    <n v="84426"/>
  </r>
  <r>
    <n v="3364"/>
    <x v="4"/>
    <s v="Male"/>
    <n v="59"/>
    <s v="Delhi"/>
    <x v="4"/>
    <n v="79266"/>
    <d v="2024-08-29T00:00:00"/>
    <n v="6"/>
    <n v="3"/>
    <n v="7927"/>
    <n v="3963"/>
    <n v="83230"/>
    <n v="3963"/>
    <n v="91156"/>
  </r>
  <r>
    <n v="3365"/>
    <x v="0"/>
    <s v="Female"/>
    <n v="56"/>
    <s v="Bangalore"/>
    <x v="0"/>
    <n v="82086"/>
    <d v="2024-07-23T00:00:00"/>
    <n v="3"/>
    <n v="2"/>
    <n v="8209"/>
    <n v="4104"/>
    <n v="86191"/>
    <n v="0"/>
    <n v="90295"/>
  </r>
  <r>
    <n v="3366"/>
    <x v="2"/>
    <s v="Male"/>
    <n v="26"/>
    <s v="Bangalore"/>
    <x v="4"/>
    <n v="65156"/>
    <d v="2024-04-10T00:00:00"/>
    <n v="9"/>
    <n v="3"/>
    <n v="6516"/>
    <n v="3258"/>
    <n v="68414"/>
    <n v="3258"/>
    <n v="74930"/>
  </r>
  <r>
    <n v="3367"/>
    <x v="0"/>
    <s v="Male"/>
    <n v="25"/>
    <s v="Bangalore"/>
    <x v="0"/>
    <n v="72053"/>
    <d v="2023-06-09T00:00:00"/>
    <n v="16"/>
    <n v="2"/>
    <n v="7205"/>
    <n v="3603"/>
    <n v="75655"/>
    <n v="3603"/>
    <n v="82861"/>
  </r>
  <r>
    <n v="3368"/>
    <x v="0"/>
    <s v="Male"/>
    <n v="25"/>
    <s v="Bangalore"/>
    <x v="2"/>
    <n v="61441"/>
    <d v="2023-08-05T00:00:00"/>
    <n v="15"/>
    <n v="4"/>
    <n v="6144"/>
    <n v="3072"/>
    <n v="64513"/>
    <n v="3072"/>
    <n v="70657"/>
  </r>
  <r>
    <n v="3369"/>
    <x v="4"/>
    <s v="Female"/>
    <n v="56"/>
    <s v="Chennai"/>
    <x v="0"/>
    <n v="60952"/>
    <d v="2022-03-30T00:00:00"/>
    <n v="8"/>
    <n v="5"/>
    <n v="6095"/>
    <n v="3048"/>
    <n v="63999"/>
    <n v="3048"/>
    <n v="70095"/>
  </r>
  <r>
    <n v="3370"/>
    <x v="6"/>
    <s v="Male"/>
    <n v="60"/>
    <s v="Hyderabad"/>
    <x v="0"/>
    <n v="99356"/>
    <d v="2023-10-20T00:00:00"/>
    <n v="9"/>
    <n v="4"/>
    <n v="9936"/>
    <n v="4968"/>
    <n v="104324"/>
    <n v="4968"/>
    <n v="114260"/>
  </r>
  <r>
    <n v="3371"/>
    <x v="1"/>
    <s v="Male"/>
    <n v="48"/>
    <s v="Hyderabad"/>
    <x v="0"/>
    <n v="29626"/>
    <d v="2022-08-07T00:00:00"/>
    <n v="13"/>
    <n v="3"/>
    <n v="2963"/>
    <n v="1481"/>
    <n v="31108"/>
    <n v="1481"/>
    <n v="34070"/>
  </r>
  <r>
    <n v="3372"/>
    <x v="1"/>
    <s v="Female"/>
    <n v="57"/>
    <s v="Mumbai"/>
    <x v="0"/>
    <n v="28648"/>
    <d v="2022-07-05T00:00:00"/>
    <n v="3"/>
    <n v="4"/>
    <n v="2865"/>
    <n v="1432"/>
    <n v="30081"/>
    <n v="0"/>
    <n v="31513"/>
  </r>
  <r>
    <n v="3373"/>
    <x v="5"/>
    <s v="Male"/>
    <n v="52"/>
    <s v="Chennai"/>
    <x v="1"/>
    <n v="44415"/>
    <d v="2024-06-19T00:00:00"/>
    <n v="14"/>
    <n v="3"/>
    <n v="4442"/>
    <n v="2221"/>
    <n v="46636"/>
    <n v="2221"/>
    <n v="51078"/>
  </r>
  <r>
    <n v="3374"/>
    <x v="6"/>
    <s v="Male"/>
    <n v="24"/>
    <s v="Mumbai"/>
    <x v="1"/>
    <n v="51527"/>
    <d v="2022-04-08T00:00:00"/>
    <n v="5"/>
    <n v="5"/>
    <n v="5153"/>
    <n v="2576"/>
    <n v="54104"/>
    <n v="0"/>
    <n v="56680"/>
  </r>
  <r>
    <n v="3375"/>
    <x v="3"/>
    <s v="Male"/>
    <n v="32"/>
    <s v="Chennai"/>
    <x v="2"/>
    <n v="71111"/>
    <d v="2022-11-19T00:00:00"/>
    <n v="13"/>
    <n v="2"/>
    <n v="7111"/>
    <n v="3556"/>
    <n v="74666"/>
    <n v="3556"/>
    <n v="81778"/>
  </r>
  <r>
    <n v="3376"/>
    <x v="1"/>
    <s v="Female"/>
    <n v="39"/>
    <s v="Mumbai"/>
    <x v="1"/>
    <n v="30903"/>
    <d v="2023-01-15T00:00:00"/>
    <n v="3"/>
    <n v="5"/>
    <n v="3090"/>
    <n v="1545"/>
    <n v="32448"/>
    <n v="0"/>
    <n v="33993"/>
  </r>
  <r>
    <n v="3377"/>
    <x v="4"/>
    <s v="Male"/>
    <n v="39"/>
    <s v="Chennai"/>
    <x v="3"/>
    <n v="96789"/>
    <d v="2024-07-22T00:00:00"/>
    <n v="7"/>
    <n v="5"/>
    <n v="9679"/>
    <n v="4839"/>
    <n v="101629"/>
    <n v="4839"/>
    <n v="111307"/>
  </r>
  <r>
    <n v="3378"/>
    <x v="6"/>
    <s v="Female"/>
    <n v="32"/>
    <s v="Chennai"/>
    <x v="3"/>
    <n v="45099"/>
    <d v="2024-05-21T00:00:00"/>
    <n v="4"/>
    <n v="5"/>
    <n v="4510"/>
    <n v="2255"/>
    <n v="47354"/>
    <n v="0"/>
    <n v="49609"/>
  </r>
  <r>
    <n v="3379"/>
    <x v="2"/>
    <s v="Male"/>
    <n v="46"/>
    <s v="Mumbai"/>
    <x v="1"/>
    <n v="67895"/>
    <d v="2024-06-26T00:00:00"/>
    <n v="4"/>
    <n v="2"/>
    <n v="6790"/>
    <n v="3395"/>
    <n v="71290"/>
    <n v="0"/>
    <n v="74685"/>
  </r>
  <r>
    <n v="3380"/>
    <x v="4"/>
    <s v="Female"/>
    <n v="58"/>
    <s v="Delhi"/>
    <x v="2"/>
    <n v="59267"/>
    <d v="2022-06-20T00:00:00"/>
    <n v="6"/>
    <n v="1"/>
    <n v="5927"/>
    <n v="2963"/>
    <n v="62231"/>
    <n v="2963"/>
    <n v="68157"/>
  </r>
  <r>
    <n v="3381"/>
    <x v="3"/>
    <s v="Male"/>
    <n v="46"/>
    <s v="Chennai"/>
    <x v="4"/>
    <n v="22481"/>
    <d v="2022-02-22T00:00:00"/>
    <n v="6"/>
    <n v="2"/>
    <n v="2248"/>
    <n v="1124"/>
    <n v="23605"/>
    <n v="1124"/>
    <n v="25853"/>
  </r>
  <r>
    <n v="3382"/>
    <x v="6"/>
    <s v="Female"/>
    <n v="51"/>
    <s v="Bangalore"/>
    <x v="0"/>
    <n v="98669"/>
    <d v="2022-12-30T00:00:00"/>
    <n v="14"/>
    <n v="2"/>
    <n v="9867"/>
    <n v="4933"/>
    <n v="103603"/>
    <n v="4933"/>
    <n v="113469"/>
  </r>
  <r>
    <n v="3383"/>
    <x v="5"/>
    <s v="Female"/>
    <n v="41"/>
    <s v="Mumbai"/>
    <x v="0"/>
    <n v="48989"/>
    <d v="2023-08-22T00:00:00"/>
    <n v="6"/>
    <n v="1"/>
    <n v="4899"/>
    <n v="2449"/>
    <n v="51439"/>
    <n v="2449"/>
    <n v="56337"/>
  </r>
  <r>
    <n v="3384"/>
    <x v="6"/>
    <s v="Male"/>
    <n v="43"/>
    <s v="Hyderabad"/>
    <x v="3"/>
    <n v="46908"/>
    <d v="2024-08-02T00:00:00"/>
    <n v="20"/>
    <n v="2"/>
    <n v="4691"/>
    <n v="2345"/>
    <n v="49254"/>
    <n v="2345"/>
    <n v="53944"/>
  </r>
  <r>
    <n v="3385"/>
    <x v="1"/>
    <s v="Female"/>
    <n v="39"/>
    <s v="Delhi"/>
    <x v="1"/>
    <n v="87438"/>
    <d v="2023-09-08T00:00:00"/>
    <n v="9"/>
    <n v="5"/>
    <n v="8744"/>
    <n v="4372"/>
    <n v="91810"/>
    <n v="4372"/>
    <n v="100554"/>
  </r>
  <r>
    <n v="3386"/>
    <x v="2"/>
    <s v="Female"/>
    <n v="51"/>
    <s v="Hyderabad"/>
    <x v="0"/>
    <n v="20885"/>
    <d v="2024-07-05T00:00:00"/>
    <n v="5"/>
    <n v="2"/>
    <n v="2088"/>
    <n v="1044"/>
    <n v="21929"/>
    <n v="0"/>
    <n v="22973"/>
  </r>
  <r>
    <n v="3387"/>
    <x v="9"/>
    <s v="Female"/>
    <n v="26"/>
    <s v="Mumbai"/>
    <x v="1"/>
    <n v="53057"/>
    <d v="2024-08-06T00:00:00"/>
    <n v="15"/>
    <n v="1"/>
    <n v="5306"/>
    <n v="2653"/>
    <n v="55710"/>
    <n v="2653"/>
    <n v="61016"/>
  </r>
  <r>
    <n v="3388"/>
    <x v="9"/>
    <s v="Male"/>
    <n v="41"/>
    <s v="Bangalore"/>
    <x v="2"/>
    <n v="38964"/>
    <d v="2024-04-22T00:00:00"/>
    <n v="1"/>
    <n v="5"/>
    <n v="3896"/>
    <n v="1948"/>
    <n v="40912"/>
    <n v="0"/>
    <n v="42860"/>
  </r>
  <r>
    <n v="3389"/>
    <x v="1"/>
    <s v="Male"/>
    <n v="34"/>
    <s v="Delhi"/>
    <x v="1"/>
    <n v="33707"/>
    <d v="2024-08-03T00:00:00"/>
    <n v="11"/>
    <n v="5"/>
    <n v="3371"/>
    <n v="1685"/>
    <n v="35393"/>
    <n v="1685"/>
    <n v="38763"/>
  </r>
  <r>
    <n v="3390"/>
    <x v="1"/>
    <s v="Female"/>
    <n v="24"/>
    <s v="Bangalore"/>
    <x v="4"/>
    <n v="37019"/>
    <d v="2022-01-10T00:00:00"/>
    <n v="20"/>
    <n v="2"/>
    <n v="3702"/>
    <n v="1851"/>
    <n v="38870"/>
    <n v="1851"/>
    <n v="42572"/>
  </r>
  <r>
    <n v="3391"/>
    <x v="2"/>
    <s v="Female"/>
    <n v="54"/>
    <s v="Chennai"/>
    <x v="4"/>
    <n v="74568"/>
    <d v="2022-03-18T00:00:00"/>
    <n v="18"/>
    <n v="3"/>
    <n v="7457"/>
    <n v="3728"/>
    <n v="78297"/>
    <n v="3728"/>
    <n v="85753"/>
  </r>
  <r>
    <n v="3392"/>
    <x v="2"/>
    <s v="Female"/>
    <n v="33"/>
    <s v="Hyderabad"/>
    <x v="1"/>
    <n v="70273"/>
    <d v="2022-08-21T00:00:00"/>
    <n v="18"/>
    <n v="4"/>
    <n v="7027"/>
    <n v="3514"/>
    <n v="73786"/>
    <n v="3514"/>
    <n v="80814"/>
  </r>
  <r>
    <n v="3393"/>
    <x v="4"/>
    <s v="Female"/>
    <n v="28"/>
    <s v="Bangalore"/>
    <x v="4"/>
    <n v="33211"/>
    <d v="2024-03-18T00:00:00"/>
    <n v="13"/>
    <n v="1"/>
    <n v="3321"/>
    <n v="1661"/>
    <n v="34871"/>
    <n v="1661"/>
    <n v="38193"/>
  </r>
  <r>
    <n v="3394"/>
    <x v="1"/>
    <s v="Female"/>
    <n v="38"/>
    <s v="Chennai"/>
    <x v="2"/>
    <n v="98707"/>
    <d v="2022-03-20T00:00:00"/>
    <n v="16"/>
    <n v="3"/>
    <n v="9871"/>
    <n v="4935"/>
    <n v="103643"/>
    <n v="4935"/>
    <n v="113513"/>
  </r>
  <r>
    <n v="3395"/>
    <x v="5"/>
    <s v="Male"/>
    <n v="36"/>
    <s v="Mumbai"/>
    <x v="1"/>
    <n v="75355"/>
    <d v="2023-10-17T00:00:00"/>
    <n v="16"/>
    <n v="3"/>
    <n v="7536"/>
    <n v="3768"/>
    <n v="79123"/>
    <n v="3768"/>
    <n v="86659"/>
  </r>
  <r>
    <n v="3396"/>
    <x v="4"/>
    <s v="Female"/>
    <n v="48"/>
    <s v="Mumbai"/>
    <x v="2"/>
    <n v="80133"/>
    <d v="2023-07-13T00:00:00"/>
    <n v="17"/>
    <n v="3"/>
    <n v="8013"/>
    <n v="4007"/>
    <n v="84139"/>
    <n v="4007"/>
    <n v="92153"/>
  </r>
  <r>
    <n v="3397"/>
    <x v="7"/>
    <s v="Male"/>
    <n v="54"/>
    <s v="Chennai"/>
    <x v="1"/>
    <n v="96640"/>
    <d v="2024-08-26T00:00:00"/>
    <n v="2"/>
    <n v="1"/>
    <n v="9664"/>
    <n v="4832"/>
    <n v="101472"/>
    <n v="0"/>
    <n v="106304"/>
  </r>
  <r>
    <n v="3398"/>
    <x v="7"/>
    <s v="Male"/>
    <n v="44"/>
    <s v="Chennai"/>
    <x v="3"/>
    <n v="99202"/>
    <d v="2024-02-25T00:00:00"/>
    <n v="10"/>
    <n v="4"/>
    <n v="9920"/>
    <n v="4960"/>
    <n v="104162"/>
    <n v="4960"/>
    <n v="114082"/>
  </r>
  <r>
    <n v="3399"/>
    <x v="0"/>
    <s v="Female"/>
    <n v="46"/>
    <s v="Mumbai"/>
    <x v="4"/>
    <n v="95138"/>
    <d v="2024-02-23T00:00:00"/>
    <n v="2"/>
    <n v="4"/>
    <n v="9514"/>
    <n v="4757"/>
    <n v="99895"/>
    <n v="0"/>
    <n v="104652"/>
  </r>
  <r>
    <n v="3400"/>
    <x v="5"/>
    <s v="Male"/>
    <n v="35"/>
    <s v="Chennai"/>
    <x v="0"/>
    <n v="20315"/>
    <d v="2022-12-05T00:00:00"/>
    <n v="16"/>
    <n v="3"/>
    <n v="2032"/>
    <n v="1016"/>
    <n v="21331"/>
    <n v="1016"/>
    <n v="23363"/>
  </r>
  <r>
    <n v="3401"/>
    <x v="6"/>
    <s v="Female"/>
    <n v="43"/>
    <s v="Mumbai"/>
    <x v="1"/>
    <n v="56697"/>
    <d v="2024-03-20T00:00:00"/>
    <n v="18"/>
    <n v="5"/>
    <n v="5670"/>
    <n v="2835"/>
    <n v="59532"/>
    <n v="2835"/>
    <n v="65202"/>
  </r>
  <r>
    <n v="3402"/>
    <x v="6"/>
    <s v="Female"/>
    <n v="49"/>
    <s v="Mumbai"/>
    <x v="2"/>
    <n v="67789"/>
    <d v="2022-10-29T00:00:00"/>
    <n v="19"/>
    <n v="3"/>
    <n v="6779"/>
    <n v="3389"/>
    <n v="71179"/>
    <n v="3389"/>
    <n v="77957"/>
  </r>
  <r>
    <n v="3403"/>
    <x v="5"/>
    <s v="Male"/>
    <n v="55"/>
    <s v="Bangalore"/>
    <x v="1"/>
    <n v="69387"/>
    <d v="2022-10-17T00:00:00"/>
    <n v="10"/>
    <n v="4"/>
    <n v="6939"/>
    <n v="3469"/>
    <n v="72857"/>
    <n v="3469"/>
    <n v="79795"/>
  </r>
  <r>
    <n v="3404"/>
    <x v="8"/>
    <s v="Female"/>
    <n v="40"/>
    <s v="Mumbai"/>
    <x v="3"/>
    <n v="40188"/>
    <d v="2023-12-22T00:00:00"/>
    <n v="16"/>
    <n v="2"/>
    <n v="4019"/>
    <n v="2009"/>
    <n v="42198"/>
    <n v="2009"/>
    <n v="46216"/>
  </r>
  <r>
    <n v="3405"/>
    <x v="4"/>
    <s v="Male"/>
    <n v="52"/>
    <s v="Bangalore"/>
    <x v="1"/>
    <n v="20526"/>
    <d v="2024-07-01T00:00:00"/>
    <n v="11"/>
    <n v="2"/>
    <n v="2053"/>
    <n v="1026"/>
    <n v="21553"/>
    <n v="1026"/>
    <n v="23605"/>
  </r>
  <r>
    <n v="3406"/>
    <x v="1"/>
    <s v="Male"/>
    <n v="44"/>
    <s v="Delhi"/>
    <x v="3"/>
    <n v="96003"/>
    <d v="2024-09-25T00:00:00"/>
    <n v="10"/>
    <n v="2"/>
    <n v="9600"/>
    <n v="4800"/>
    <n v="100803"/>
    <n v="4800"/>
    <n v="110403"/>
  </r>
  <r>
    <n v="3407"/>
    <x v="9"/>
    <s v="Male"/>
    <n v="59"/>
    <s v="Mumbai"/>
    <x v="3"/>
    <n v="81912"/>
    <d v="2024-09-19T00:00:00"/>
    <n v="8"/>
    <n v="4"/>
    <n v="8191"/>
    <n v="4096"/>
    <n v="86007"/>
    <n v="4096"/>
    <n v="94199"/>
  </r>
  <r>
    <n v="3408"/>
    <x v="4"/>
    <s v="Female"/>
    <n v="55"/>
    <s v="Chennai"/>
    <x v="3"/>
    <n v="63681"/>
    <d v="2023-03-19T00:00:00"/>
    <n v="6"/>
    <n v="3"/>
    <n v="6368"/>
    <n v="3184"/>
    <n v="66865"/>
    <n v="3184"/>
    <n v="73233"/>
  </r>
  <r>
    <n v="3409"/>
    <x v="6"/>
    <s v="Female"/>
    <n v="45"/>
    <s v="Hyderabad"/>
    <x v="0"/>
    <n v="78786"/>
    <d v="2022-06-25T00:00:00"/>
    <n v="6"/>
    <n v="5"/>
    <n v="7879"/>
    <n v="3939"/>
    <n v="82726"/>
    <n v="3939"/>
    <n v="90604"/>
  </r>
  <r>
    <n v="3410"/>
    <x v="9"/>
    <s v="Male"/>
    <n v="39"/>
    <s v="Chennai"/>
    <x v="4"/>
    <n v="39174"/>
    <d v="2024-04-23T00:00:00"/>
    <n v="10"/>
    <n v="5"/>
    <n v="3917"/>
    <n v="1959"/>
    <n v="41132"/>
    <n v="1959"/>
    <n v="45050"/>
  </r>
  <r>
    <n v="3411"/>
    <x v="6"/>
    <s v="Male"/>
    <n v="54"/>
    <s v="Hyderabad"/>
    <x v="4"/>
    <n v="91249"/>
    <d v="2023-07-07T00:00:00"/>
    <n v="2"/>
    <n v="1"/>
    <n v="9125"/>
    <n v="4562"/>
    <n v="95812"/>
    <n v="0"/>
    <n v="100374"/>
  </r>
  <r>
    <n v="3412"/>
    <x v="4"/>
    <s v="Male"/>
    <n v="54"/>
    <s v="Chennai"/>
    <x v="2"/>
    <n v="86108"/>
    <d v="2023-02-02T00:00:00"/>
    <n v="1"/>
    <n v="4"/>
    <n v="8611"/>
    <n v="4305"/>
    <n v="90414"/>
    <n v="0"/>
    <n v="94719"/>
  </r>
  <r>
    <n v="3413"/>
    <x v="1"/>
    <s v="Female"/>
    <n v="56"/>
    <s v="Bangalore"/>
    <x v="2"/>
    <n v="67877"/>
    <d v="2022-07-20T00:00:00"/>
    <n v="10"/>
    <n v="1"/>
    <n v="6788"/>
    <n v="3394"/>
    <n v="71271"/>
    <n v="3394"/>
    <n v="78059"/>
  </r>
  <r>
    <n v="3414"/>
    <x v="0"/>
    <s v="Female"/>
    <n v="51"/>
    <s v="Chennai"/>
    <x v="0"/>
    <n v="61913"/>
    <d v="2023-11-01T00:00:00"/>
    <n v="15"/>
    <n v="3"/>
    <n v="6191"/>
    <n v="3096"/>
    <n v="65008"/>
    <n v="3096"/>
    <n v="71200"/>
  </r>
  <r>
    <n v="3415"/>
    <x v="8"/>
    <s v="Male"/>
    <n v="36"/>
    <s v="Delhi"/>
    <x v="4"/>
    <n v="60483"/>
    <d v="2023-05-03T00:00:00"/>
    <n v="5"/>
    <n v="3"/>
    <n v="6048"/>
    <n v="3024"/>
    <n v="63507"/>
    <n v="0"/>
    <n v="66531"/>
  </r>
  <r>
    <n v="3416"/>
    <x v="1"/>
    <s v="Male"/>
    <n v="37"/>
    <s v="Chennai"/>
    <x v="4"/>
    <n v="60987"/>
    <d v="2023-05-15T00:00:00"/>
    <n v="5"/>
    <n v="4"/>
    <n v="6099"/>
    <n v="3049"/>
    <n v="64037"/>
    <n v="0"/>
    <n v="67086"/>
  </r>
  <r>
    <n v="3417"/>
    <x v="7"/>
    <s v="Female"/>
    <n v="59"/>
    <s v="Mumbai"/>
    <x v="0"/>
    <n v="30189"/>
    <d v="2022-05-28T00:00:00"/>
    <n v="17"/>
    <n v="5"/>
    <n v="3019"/>
    <n v="1509"/>
    <n v="31699"/>
    <n v="1509"/>
    <n v="34717"/>
  </r>
  <r>
    <n v="3418"/>
    <x v="5"/>
    <s v="Male"/>
    <n v="51"/>
    <s v="Bangalore"/>
    <x v="3"/>
    <n v="21902"/>
    <d v="2023-12-01T00:00:00"/>
    <n v="9"/>
    <n v="2"/>
    <n v="2190"/>
    <n v="1095"/>
    <n v="22997"/>
    <n v="1095"/>
    <n v="25187"/>
  </r>
  <r>
    <n v="3419"/>
    <x v="6"/>
    <s v="Female"/>
    <n v="44"/>
    <s v="Delhi"/>
    <x v="4"/>
    <n v="74299"/>
    <d v="2024-04-10T00:00:00"/>
    <n v="18"/>
    <n v="3"/>
    <n v="7430"/>
    <n v="3715"/>
    <n v="78014"/>
    <n v="3715"/>
    <n v="85444"/>
  </r>
  <r>
    <n v="3420"/>
    <x v="3"/>
    <s v="Male"/>
    <n v="28"/>
    <s v="Chennai"/>
    <x v="1"/>
    <n v="32402"/>
    <d v="2023-10-09T00:00:00"/>
    <n v="16"/>
    <n v="4"/>
    <n v="3240"/>
    <n v="1620"/>
    <n v="34022"/>
    <n v="1620"/>
    <n v="37262"/>
  </r>
  <r>
    <n v="3421"/>
    <x v="5"/>
    <s v="Male"/>
    <n v="54"/>
    <s v="Hyderabad"/>
    <x v="2"/>
    <n v="34203"/>
    <d v="2023-07-15T00:00:00"/>
    <n v="16"/>
    <n v="4"/>
    <n v="3420"/>
    <n v="1710"/>
    <n v="35913"/>
    <n v="1710"/>
    <n v="39333"/>
  </r>
  <r>
    <n v="3422"/>
    <x v="1"/>
    <s v="Male"/>
    <n v="52"/>
    <s v="Hyderabad"/>
    <x v="1"/>
    <n v="20455"/>
    <d v="2024-05-20T00:00:00"/>
    <n v="4"/>
    <n v="2"/>
    <n v="2046"/>
    <n v="1023"/>
    <n v="21478"/>
    <n v="0"/>
    <n v="22501"/>
  </r>
  <r>
    <n v="3423"/>
    <x v="9"/>
    <s v="Female"/>
    <n v="41"/>
    <s v="Hyderabad"/>
    <x v="3"/>
    <n v="24051"/>
    <d v="2023-04-30T00:00:00"/>
    <n v="13"/>
    <n v="1"/>
    <n v="2405"/>
    <n v="1203"/>
    <n v="25253"/>
    <n v="1203"/>
    <n v="27659"/>
  </r>
  <r>
    <n v="3424"/>
    <x v="2"/>
    <s v="Male"/>
    <n v="29"/>
    <s v="Mumbai"/>
    <x v="1"/>
    <n v="89447"/>
    <d v="2022-08-13T00:00:00"/>
    <n v="5"/>
    <n v="2"/>
    <n v="8945"/>
    <n v="4472"/>
    <n v="93920"/>
    <n v="0"/>
    <n v="98392"/>
  </r>
  <r>
    <n v="3425"/>
    <x v="9"/>
    <s v="Female"/>
    <n v="28"/>
    <s v="Delhi"/>
    <x v="1"/>
    <n v="89655"/>
    <d v="2024-01-04T00:00:00"/>
    <n v="18"/>
    <n v="5"/>
    <n v="8966"/>
    <n v="4483"/>
    <n v="94138"/>
    <n v="4483"/>
    <n v="103104"/>
  </r>
  <r>
    <n v="3426"/>
    <x v="6"/>
    <s v="Female"/>
    <n v="35"/>
    <s v="Mumbai"/>
    <x v="2"/>
    <n v="73399"/>
    <d v="2023-04-04T00:00:00"/>
    <n v="6"/>
    <n v="3"/>
    <n v="7340"/>
    <n v="3670"/>
    <n v="77069"/>
    <n v="3670"/>
    <n v="84409"/>
  </r>
  <r>
    <n v="3427"/>
    <x v="6"/>
    <s v="Male"/>
    <n v="32"/>
    <s v="Hyderabad"/>
    <x v="4"/>
    <n v="22405"/>
    <d v="2023-09-14T00:00:00"/>
    <n v="13"/>
    <n v="2"/>
    <n v="2240"/>
    <n v="1120"/>
    <n v="23525"/>
    <n v="1120"/>
    <n v="25765"/>
  </r>
  <r>
    <n v="3428"/>
    <x v="9"/>
    <s v="Female"/>
    <n v="29"/>
    <s v="Chennai"/>
    <x v="2"/>
    <n v="29602"/>
    <d v="2023-11-04T00:00:00"/>
    <n v="15"/>
    <n v="2"/>
    <n v="2960"/>
    <n v="1480"/>
    <n v="31082"/>
    <n v="1480"/>
    <n v="34042"/>
  </r>
  <r>
    <n v="3429"/>
    <x v="8"/>
    <s v="Male"/>
    <n v="37"/>
    <s v="Mumbai"/>
    <x v="4"/>
    <n v="86321"/>
    <d v="2022-10-23T00:00:00"/>
    <n v="17"/>
    <n v="2"/>
    <n v="8632"/>
    <n v="4316"/>
    <n v="90637"/>
    <n v="4316"/>
    <n v="99269"/>
  </r>
  <r>
    <n v="3430"/>
    <x v="5"/>
    <s v="Female"/>
    <n v="54"/>
    <s v="Delhi"/>
    <x v="1"/>
    <n v="63341"/>
    <d v="2023-11-05T00:00:00"/>
    <n v="6"/>
    <n v="5"/>
    <n v="6334"/>
    <n v="3167"/>
    <n v="66508"/>
    <n v="3167"/>
    <n v="72842"/>
  </r>
  <r>
    <n v="3431"/>
    <x v="7"/>
    <s v="Male"/>
    <n v="44"/>
    <s v="Delhi"/>
    <x v="1"/>
    <n v="45350"/>
    <d v="2023-04-10T00:00:00"/>
    <n v="6"/>
    <n v="3"/>
    <n v="4535"/>
    <n v="2268"/>
    <n v="47617"/>
    <n v="2268"/>
    <n v="52153"/>
  </r>
  <r>
    <n v="3432"/>
    <x v="2"/>
    <s v="Male"/>
    <n v="45"/>
    <s v="Hyderabad"/>
    <x v="3"/>
    <n v="82232"/>
    <d v="2024-07-29T00:00:00"/>
    <n v="10"/>
    <n v="4"/>
    <n v="8223"/>
    <n v="4112"/>
    <n v="86343"/>
    <n v="4112"/>
    <n v="94567"/>
  </r>
  <r>
    <n v="3433"/>
    <x v="1"/>
    <s v="Female"/>
    <n v="39"/>
    <s v="Bangalore"/>
    <x v="1"/>
    <n v="56119"/>
    <d v="2024-08-09T00:00:00"/>
    <n v="16"/>
    <n v="3"/>
    <n v="5612"/>
    <n v="2806"/>
    <n v="58925"/>
    <n v="2806"/>
    <n v="64537"/>
  </r>
  <r>
    <n v="3434"/>
    <x v="4"/>
    <s v="Male"/>
    <n v="50"/>
    <s v="Hyderabad"/>
    <x v="1"/>
    <n v="39366"/>
    <d v="2024-01-07T00:00:00"/>
    <n v="5"/>
    <n v="5"/>
    <n v="3937"/>
    <n v="1968"/>
    <n v="41335"/>
    <n v="0"/>
    <n v="43303"/>
  </r>
  <r>
    <n v="3435"/>
    <x v="5"/>
    <s v="Male"/>
    <n v="29"/>
    <s v="Chennai"/>
    <x v="0"/>
    <n v="82069"/>
    <d v="2022-06-03T00:00:00"/>
    <n v="19"/>
    <n v="2"/>
    <n v="8207"/>
    <n v="4103"/>
    <n v="86173"/>
    <n v="4103"/>
    <n v="94379"/>
  </r>
  <r>
    <n v="3436"/>
    <x v="3"/>
    <s v="Female"/>
    <n v="29"/>
    <s v="Hyderabad"/>
    <x v="3"/>
    <n v="51790"/>
    <d v="2023-07-15T00:00:00"/>
    <n v="16"/>
    <n v="1"/>
    <n v="5179"/>
    <n v="2590"/>
    <n v="54379"/>
    <n v="2590"/>
    <n v="59559"/>
  </r>
  <r>
    <n v="3437"/>
    <x v="7"/>
    <s v="Female"/>
    <n v="34"/>
    <s v="Hyderabad"/>
    <x v="1"/>
    <n v="90409"/>
    <d v="2024-06-08T00:00:00"/>
    <n v="13"/>
    <n v="2"/>
    <n v="9041"/>
    <n v="4520"/>
    <n v="94930"/>
    <n v="4520"/>
    <n v="103970"/>
  </r>
  <r>
    <n v="3438"/>
    <x v="9"/>
    <s v="Male"/>
    <n v="21"/>
    <s v="Hyderabad"/>
    <x v="0"/>
    <n v="62918"/>
    <d v="2023-05-24T00:00:00"/>
    <n v="20"/>
    <n v="5"/>
    <n v="6292"/>
    <n v="3146"/>
    <n v="66064"/>
    <n v="3146"/>
    <n v="72356"/>
  </r>
  <r>
    <n v="3439"/>
    <x v="6"/>
    <s v="Female"/>
    <n v="46"/>
    <s v="Mumbai"/>
    <x v="3"/>
    <n v="79502"/>
    <d v="2022-04-29T00:00:00"/>
    <n v="20"/>
    <n v="5"/>
    <n v="7950"/>
    <n v="3975"/>
    <n v="83477"/>
    <n v="3975"/>
    <n v="91427"/>
  </r>
  <r>
    <n v="3440"/>
    <x v="6"/>
    <s v="Male"/>
    <n v="28"/>
    <s v="Mumbai"/>
    <x v="1"/>
    <n v="60929"/>
    <d v="2022-12-04T00:00:00"/>
    <n v="9"/>
    <n v="3"/>
    <n v="6093"/>
    <n v="3046"/>
    <n v="63976"/>
    <n v="3046"/>
    <n v="70068"/>
  </r>
  <r>
    <n v="3441"/>
    <x v="1"/>
    <s v="Female"/>
    <n v="39"/>
    <s v="Mumbai"/>
    <x v="4"/>
    <n v="74542"/>
    <d v="2022-01-12T00:00:00"/>
    <n v="8"/>
    <n v="1"/>
    <n v="7454"/>
    <n v="3727"/>
    <n v="78269"/>
    <n v="3727"/>
    <n v="85723"/>
  </r>
  <r>
    <n v="3442"/>
    <x v="4"/>
    <s v="Male"/>
    <n v="28"/>
    <s v="Delhi"/>
    <x v="3"/>
    <n v="61278"/>
    <d v="2022-12-17T00:00:00"/>
    <n v="19"/>
    <n v="1"/>
    <n v="6128"/>
    <n v="3064"/>
    <n v="64342"/>
    <n v="3064"/>
    <n v="70470"/>
  </r>
  <r>
    <n v="3443"/>
    <x v="3"/>
    <s v="Female"/>
    <n v="38"/>
    <s v="Bangalore"/>
    <x v="3"/>
    <n v="29605"/>
    <d v="2023-05-15T00:00:00"/>
    <n v="18"/>
    <n v="2"/>
    <n v="2960"/>
    <n v="1480"/>
    <n v="31085"/>
    <n v="1480"/>
    <n v="34045"/>
  </r>
  <r>
    <n v="3444"/>
    <x v="1"/>
    <s v="Female"/>
    <n v="42"/>
    <s v="Mumbai"/>
    <x v="3"/>
    <n v="72098"/>
    <d v="2022-05-07T00:00:00"/>
    <n v="9"/>
    <n v="3"/>
    <n v="7210"/>
    <n v="3605"/>
    <n v="75703"/>
    <n v="3605"/>
    <n v="82913"/>
  </r>
  <r>
    <n v="3445"/>
    <x v="2"/>
    <s v="Female"/>
    <n v="36"/>
    <s v="Chennai"/>
    <x v="2"/>
    <n v="80018"/>
    <d v="2024-07-02T00:00:00"/>
    <n v="15"/>
    <n v="5"/>
    <n v="8002"/>
    <n v="4001"/>
    <n v="84019"/>
    <n v="4001"/>
    <n v="92021"/>
  </r>
  <r>
    <n v="3446"/>
    <x v="9"/>
    <s v="Female"/>
    <n v="54"/>
    <s v="Bangalore"/>
    <x v="1"/>
    <n v="29500"/>
    <d v="2022-07-11T00:00:00"/>
    <n v="10"/>
    <n v="1"/>
    <n v="2950"/>
    <n v="1475"/>
    <n v="30975"/>
    <n v="1475"/>
    <n v="33925"/>
  </r>
  <r>
    <n v="3447"/>
    <x v="5"/>
    <s v="Male"/>
    <n v="42"/>
    <s v="Delhi"/>
    <x v="0"/>
    <n v="90902"/>
    <d v="2024-04-25T00:00:00"/>
    <n v="2"/>
    <n v="4"/>
    <n v="9090"/>
    <n v="4545"/>
    <n v="95447"/>
    <n v="0"/>
    <n v="99992"/>
  </r>
  <r>
    <n v="3448"/>
    <x v="5"/>
    <s v="Female"/>
    <n v="47"/>
    <s v="Bangalore"/>
    <x v="0"/>
    <n v="55953"/>
    <d v="2022-01-19T00:00:00"/>
    <n v="1"/>
    <n v="5"/>
    <n v="5595"/>
    <n v="2798"/>
    <n v="58750"/>
    <n v="0"/>
    <n v="61548"/>
  </r>
  <r>
    <n v="3449"/>
    <x v="7"/>
    <s v="Male"/>
    <n v="35"/>
    <s v="Delhi"/>
    <x v="3"/>
    <n v="47906"/>
    <d v="2022-04-19T00:00:00"/>
    <n v="2"/>
    <n v="3"/>
    <n v="4791"/>
    <n v="2395"/>
    <n v="50302"/>
    <n v="0"/>
    <n v="52697"/>
  </r>
  <r>
    <n v="3450"/>
    <x v="5"/>
    <s v="Female"/>
    <n v="58"/>
    <s v="Bangalore"/>
    <x v="2"/>
    <n v="99882"/>
    <d v="2024-07-20T00:00:00"/>
    <n v="11"/>
    <n v="4"/>
    <n v="9988"/>
    <n v="4994"/>
    <n v="104876"/>
    <n v="4994"/>
    <n v="114864"/>
  </r>
  <r>
    <n v="3451"/>
    <x v="1"/>
    <s v="Male"/>
    <n v="25"/>
    <s v="Mumbai"/>
    <x v="0"/>
    <n v="57659"/>
    <d v="2022-01-14T00:00:00"/>
    <n v="12"/>
    <n v="1"/>
    <n v="5766"/>
    <n v="2883"/>
    <n v="60542"/>
    <n v="2883"/>
    <n v="66308"/>
  </r>
  <r>
    <n v="3452"/>
    <x v="4"/>
    <s v="Male"/>
    <n v="26"/>
    <s v="Delhi"/>
    <x v="4"/>
    <n v="46325"/>
    <d v="2024-04-13T00:00:00"/>
    <n v="12"/>
    <n v="5"/>
    <n v="4632"/>
    <n v="2316"/>
    <n v="48641"/>
    <n v="2316"/>
    <n v="53273"/>
  </r>
  <r>
    <n v="3453"/>
    <x v="3"/>
    <s v="Male"/>
    <n v="53"/>
    <s v="Mumbai"/>
    <x v="0"/>
    <n v="71845"/>
    <d v="2022-04-08T00:00:00"/>
    <n v="16"/>
    <n v="1"/>
    <n v="7184"/>
    <n v="3592"/>
    <n v="75437"/>
    <n v="3592"/>
    <n v="82621"/>
  </r>
  <r>
    <n v="3454"/>
    <x v="7"/>
    <s v="Female"/>
    <n v="30"/>
    <s v="Hyderabad"/>
    <x v="2"/>
    <n v="72609"/>
    <d v="2024-09-06T00:00:00"/>
    <n v="7"/>
    <n v="1"/>
    <n v="7261"/>
    <n v="3630"/>
    <n v="76240"/>
    <n v="3630"/>
    <n v="83500"/>
  </r>
  <r>
    <n v="3455"/>
    <x v="1"/>
    <s v="Male"/>
    <n v="27"/>
    <s v="Bangalore"/>
    <x v="3"/>
    <n v="30860"/>
    <d v="2023-09-19T00:00:00"/>
    <n v="11"/>
    <n v="3"/>
    <n v="3086"/>
    <n v="1543"/>
    <n v="32403"/>
    <n v="1543"/>
    <n v="35489"/>
  </r>
  <r>
    <n v="3456"/>
    <x v="1"/>
    <s v="Male"/>
    <n v="47"/>
    <s v="Bangalore"/>
    <x v="1"/>
    <n v="48839"/>
    <d v="2022-04-28T00:00:00"/>
    <n v="4"/>
    <n v="3"/>
    <n v="4884"/>
    <n v="2442"/>
    <n v="51281"/>
    <n v="0"/>
    <n v="53723"/>
  </r>
  <r>
    <n v="3457"/>
    <x v="1"/>
    <s v="Male"/>
    <n v="46"/>
    <s v="Bangalore"/>
    <x v="2"/>
    <n v="21639"/>
    <d v="2023-01-19T00:00:00"/>
    <n v="13"/>
    <n v="4"/>
    <n v="2164"/>
    <n v="1082"/>
    <n v="22721"/>
    <n v="1082"/>
    <n v="24885"/>
  </r>
  <r>
    <n v="3458"/>
    <x v="8"/>
    <s v="Female"/>
    <n v="31"/>
    <s v="Hyderabad"/>
    <x v="3"/>
    <n v="78271"/>
    <d v="2024-06-24T00:00:00"/>
    <n v="9"/>
    <n v="2"/>
    <n v="7827"/>
    <n v="3914"/>
    <n v="82184"/>
    <n v="3914"/>
    <n v="90012"/>
  </r>
  <r>
    <n v="3459"/>
    <x v="9"/>
    <s v="Female"/>
    <n v="31"/>
    <s v="Delhi"/>
    <x v="2"/>
    <n v="85888"/>
    <d v="2023-12-27T00:00:00"/>
    <n v="11"/>
    <n v="4"/>
    <n v="8589"/>
    <n v="4294"/>
    <n v="90183"/>
    <n v="4294"/>
    <n v="98771"/>
  </r>
  <r>
    <n v="3460"/>
    <x v="6"/>
    <s v="Female"/>
    <n v="52"/>
    <s v="Chennai"/>
    <x v="0"/>
    <n v="70656"/>
    <d v="2024-09-06T00:00:00"/>
    <n v="10"/>
    <n v="5"/>
    <n v="7066"/>
    <n v="3533"/>
    <n v="74189"/>
    <n v="3533"/>
    <n v="81255"/>
  </r>
  <r>
    <n v="3461"/>
    <x v="0"/>
    <s v="Female"/>
    <n v="43"/>
    <s v="Mumbai"/>
    <x v="0"/>
    <n v="51456"/>
    <d v="2023-05-19T00:00:00"/>
    <n v="8"/>
    <n v="4"/>
    <n v="5146"/>
    <n v="2573"/>
    <n v="54029"/>
    <n v="2573"/>
    <n v="59175"/>
  </r>
  <r>
    <n v="3462"/>
    <x v="5"/>
    <s v="Male"/>
    <n v="42"/>
    <s v="Bangalore"/>
    <x v="1"/>
    <n v="75822"/>
    <d v="2024-01-23T00:00:00"/>
    <n v="18"/>
    <n v="2"/>
    <n v="7582"/>
    <n v="3791"/>
    <n v="79613"/>
    <n v="3791"/>
    <n v="87195"/>
  </r>
  <r>
    <n v="3463"/>
    <x v="5"/>
    <s v="Male"/>
    <n v="50"/>
    <s v="Bangalore"/>
    <x v="0"/>
    <n v="52392"/>
    <d v="2022-11-27T00:00:00"/>
    <n v="6"/>
    <n v="2"/>
    <n v="5239"/>
    <n v="2620"/>
    <n v="55011"/>
    <n v="2620"/>
    <n v="60251"/>
  </r>
  <r>
    <n v="3464"/>
    <x v="1"/>
    <s v="Female"/>
    <n v="25"/>
    <s v="Hyderabad"/>
    <x v="2"/>
    <n v="30362"/>
    <d v="2023-05-16T00:00:00"/>
    <n v="3"/>
    <n v="5"/>
    <n v="3036"/>
    <n v="1518"/>
    <n v="31880"/>
    <n v="0"/>
    <n v="33398"/>
  </r>
  <r>
    <n v="3465"/>
    <x v="5"/>
    <s v="Male"/>
    <n v="24"/>
    <s v="Chennai"/>
    <x v="3"/>
    <n v="54435"/>
    <d v="2022-11-08T00:00:00"/>
    <n v="15"/>
    <n v="4"/>
    <n v="5444"/>
    <n v="2722"/>
    <n v="57157"/>
    <n v="2722"/>
    <n v="62601"/>
  </r>
  <r>
    <n v="3466"/>
    <x v="4"/>
    <s v="Male"/>
    <n v="31"/>
    <s v="Chennai"/>
    <x v="2"/>
    <n v="68783"/>
    <d v="2022-10-28T00:00:00"/>
    <n v="4"/>
    <n v="4"/>
    <n v="6878"/>
    <n v="3439"/>
    <n v="72222"/>
    <n v="0"/>
    <n v="75661"/>
  </r>
  <r>
    <n v="3467"/>
    <x v="2"/>
    <s v="Female"/>
    <n v="26"/>
    <s v="Bangalore"/>
    <x v="0"/>
    <n v="75563"/>
    <d v="2023-06-18T00:00:00"/>
    <n v="9"/>
    <n v="2"/>
    <n v="7556"/>
    <n v="3778"/>
    <n v="79341"/>
    <n v="3778"/>
    <n v="86897"/>
  </r>
  <r>
    <n v="3468"/>
    <x v="0"/>
    <s v="Female"/>
    <n v="25"/>
    <s v="Hyderabad"/>
    <x v="1"/>
    <n v="41489"/>
    <d v="2023-12-25T00:00:00"/>
    <n v="5"/>
    <n v="1"/>
    <n v="4149"/>
    <n v="2074"/>
    <n v="43564"/>
    <n v="0"/>
    <n v="45638"/>
  </r>
  <r>
    <n v="3469"/>
    <x v="0"/>
    <s v="Male"/>
    <n v="37"/>
    <s v="Bangalore"/>
    <x v="1"/>
    <n v="24063"/>
    <d v="2023-09-04T00:00:00"/>
    <n v="4"/>
    <n v="3"/>
    <n v="2406"/>
    <n v="1203"/>
    <n v="25266"/>
    <n v="0"/>
    <n v="26469"/>
  </r>
  <r>
    <n v="3470"/>
    <x v="2"/>
    <s v="Male"/>
    <n v="50"/>
    <s v="Hyderabad"/>
    <x v="3"/>
    <n v="70427"/>
    <d v="2024-09-19T00:00:00"/>
    <n v="2"/>
    <n v="5"/>
    <n v="7043"/>
    <n v="3521"/>
    <n v="73949"/>
    <n v="0"/>
    <n v="77470"/>
  </r>
  <r>
    <n v="3471"/>
    <x v="0"/>
    <s v="Male"/>
    <n v="28"/>
    <s v="Mumbai"/>
    <x v="1"/>
    <n v="86510"/>
    <d v="2024-02-18T00:00:00"/>
    <n v="5"/>
    <n v="5"/>
    <n v="8651"/>
    <n v="4326"/>
    <n v="90835"/>
    <n v="0"/>
    <n v="95161"/>
  </r>
  <r>
    <n v="3472"/>
    <x v="4"/>
    <s v="Female"/>
    <n v="42"/>
    <s v="Bangalore"/>
    <x v="4"/>
    <n v="76237"/>
    <d v="2023-01-02T00:00:00"/>
    <n v="5"/>
    <n v="1"/>
    <n v="7624"/>
    <n v="3812"/>
    <n v="80049"/>
    <n v="0"/>
    <n v="83861"/>
  </r>
  <r>
    <n v="3473"/>
    <x v="2"/>
    <s v="Female"/>
    <n v="29"/>
    <s v="Chennai"/>
    <x v="2"/>
    <n v="37975"/>
    <d v="2023-11-25T00:00:00"/>
    <n v="17"/>
    <n v="2"/>
    <n v="3798"/>
    <n v="1899"/>
    <n v="39874"/>
    <n v="1899"/>
    <n v="43672"/>
  </r>
  <r>
    <n v="3474"/>
    <x v="1"/>
    <s v="Male"/>
    <n v="58"/>
    <s v="Mumbai"/>
    <x v="3"/>
    <n v="22786"/>
    <d v="2022-02-25T00:00:00"/>
    <n v="6"/>
    <n v="1"/>
    <n v="2279"/>
    <n v="1139"/>
    <n v="23926"/>
    <n v="1139"/>
    <n v="26204"/>
  </r>
  <r>
    <n v="3475"/>
    <x v="5"/>
    <s v="Female"/>
    <n v="57"/>
    <s v="Delhi"/>
    <x v="3"/>
    <n v="82725"/>
    <d v="2022-11-12T00:00:00"/>
    <n v="8"/>
    <n v="4"/>
    <n v="8272"/>
    <n v="4136"/>
    <n v="86861"/>
    <n v="4136"/>
    <n v="95133"/>
  </r>
  <r>
    <n v="3476"/>
    <x v="7"/>
    <s v="Female"/>
    <n v="21"/>
    <s v="Mumbai"/>
    <x v="4"/>
    <n v="71316"/>
    <d v="2023-07-17T00:00:00"/>
    <n v="7"/>
    <n v="5"/>
    <n v="7132"/>
    <n v="3566"/>
    <n v="74882"/>
    <n v="3566"/>
    <n v="82014"/>
  </r>
  <r>
    <n v="3477"/>
    <x v="0"/>
    <s v="Female"/>
    <n v="26"/>
    <s v="Hyderabad"/>
    <x v="1"/>
    <n v="45506"/>
    <d v="2023-07-09T00:00:00"/>
    <n v="17"/>
    <n v="2"/>
    <n v="4551"/>
    <n v="2275"/>
    <n v="47782"/>
    <n v="2275"/>
    <n v="52332"/>
  </r>
  <r>
    <n v="3478"/>
    <x v="3"/>
    <s v="Male"/>
    <n v="41"/>
    <s v="Bangalore"/>
    <x v="3"/>
    <n v="73966"/>
    <d v="2023-10-17T00:00:00"/>
    <n v="20"/>
    <n v="3"/>
    <n v="7397"/>
    <n v="3698"/>
    <n v="77665"/>
    <n v="3698"/>
    <n v="85061"/>
  </r>
  <r>
    <n v="3479"/>
    <x v="3"/>
    <s v="Female"/>
    <n v="35"/>
    <s v="Chennai"/>
    <x v="0"/>
    <n v="67962"/>
    <d v="2022-01-01T00:00:00"/>
    <n v="15"/>
    <n v="4"/>
    <n v="6796"/>
    <n v="3398"/>
    <n v="71360"/>
    <n v="3398"/>
    <n v="78156"/>
  </r>
  <r>
    <n v="3480"/>
    <x v="7"/>
    <s v="Male"/>
    <n v="49"/>
    <s v="Chennai"/>
    <x v="1"/>
    <n v="41785"/>
    <d v="2022-08-11T00:00:00"/>
    <n v="15"/>
    <n v="1"/>
    <n v="4178"/>
    <n v="2089"/>
    <n v="43874"/>
    <n v="2089"/>
    <n v="48052"/>
  </r>
  <r>
    <n v="3481"/>
    <x v="9"/>
    <s v="Male"/>
    <n v="59"/>
    <s v="Delhi"/>
    <x v="0"/>
    <n v="93215"/>
    <d v="2022-08-10T00:00:00"/>
    <n v="12"/>
    <n v="1"/>
    <n v="9322"/>
    <n v="4661"/>
    <n v="97876"/>
    <n v="4661"/>
    <n v="107198"/>
  </r>
  <r>
    <n v="3482"/>
    <x v="6"/>
    <s v="Male"/>
    <n v="48"/>
    <s v="Hyderabad"/>
    <x v="2"/>
    <n v="97509"/>
    <d v="2022-05-30T00:00:00"/>
    <n v="17"/>
    <n v="2"/>
    <n v="9751"/>
    <n v="4875"/>
    <n v="102385"/>
    <n v="4875"/>
    <n v="112135"/>
  </r>
  <r>
    <n v="3483"/>
    <x v="1"/>
    <s v="Female"/>
    <n v="54"/>
    <s v="Chennai"/>
    <x v="3"/>
    <n v="82525"/>
    <d v="2023-10-28T00:00:00"/>
    <n v="8"/>
    <n v="1"/>
    <n v="8252"/>
    <n v="4126"/>
    <n v="86651"/>
    <n v="4126"/>
    <n v="94903"/>
  </r>
  <r>
    <n v="3484"/>
    <x v="7"/>
    <s v="Female"/>
    <n v="51"/>
    <s v="Bangalore"/>
    <x v="4"/>
    <n v="34086"/>
    <d v="2022-03-26T00:00:00"/>
    <n v="7"/>
    <n v="3"/>
    <n v="3409"/>
    <n v="1704"/>
    <n v="35791"/>
    <n v="1704"/>
    <n v="39199"/>
  </r>
  <r>
    <n v="3485"/>
    <x v="4"/>
    <s v="Male"/>
    <n v="32"/>
    <s v="Bangalore"/>
    <x v="2"/>
    <n v="86750"/>
    <d v="2023-04-13T00:00:00"/>
    <n v="4"/>
    <n v="5"/>
    <n v="8675"/>
    <n v="4338"/>
    <n v="91087"/>
    <n v="0"/>
    <n v="95425"/>
  </r>
  <r>
    <n v="3486"/>
    <x v="9"/>
    <s v="Female"/>
    <n v="49"/>
    <s v="Delhi"/>
    <x v="0"/>
    <n v="34236"/>
    <d v="2024-08-11T00:00:00"/>
    <n v="5"/>
    <n v="4"/>
    <n v="3424"/>
    <n v="1712"/>
    <n v="35948"/>
    <n v="0"/>
    <n v="37660"/>
  </r>
  <r>
    <n v="3487"/>
    <x v="8"/>
    <s v="Male"/>
    <n v="28"/>
    <s v="Mumbai"/>
    <x v="2"/>
    <n v="27600"/>
    <d v="2024-03-10T00:00:00"/>
    <n v="19"/>
    <n v="4"/>
    <n v="2760"/>
    <n v="1380"/>
    <n v="28980"/>
    <n v="1380"/>
    <n v="31740"/>
  </r>
  <r>
    <n v="3488"/>
    <x v="6"/>
    <s v="Male"/>
    <n v="38"/>
    <s v="Chennai"/>
    <x v="1"/>
    <n v="20216"/>
    <d v="2024-02-09T00:00:00"/>
    <n v="6"/>
    <n v="5"/>
    <n v="2022"/>
    <n v="1011"/>
    <n v="21227"/>
    <n v="1011"/>
    <n v="23249"/>
  </r>
  <r>
    <n v="3489"/>
    <x v="5"/>
    <s v="Male"/>
    <n v="45"/>
    <s v="Hyderabad"/>
    <x v="1"/>
    <n v="24160"/>
    <d v="2022-12-08T00:00:00"/>
    <n v="4"/>
    <n v="2"/>
    <n v="2416"/>
    <n v="1208"/>
    <n v="25368"/>
    <n v="0"/>
    <n v="26576"/>
  </r>
  <r>
    <n v="3490"/>
    <x v="1"/>
    <s v="Female"/>
    <n v="47"/>
    <s v="Chennai"/>
    <x v="4"/>
    <n v="40154"/>
    <d v="2022-05-20T00:00:00"/>
    <n v="2"/>
    <n v="2"/>
    <n v="4015"/>
    <n v="2008"/>
    <n v="42161"/>
    <n v="0"/>
    <n v="44169"/>
  </r>
  <r>
    <n v="3491"/>
    <x v="7"/>
    <s v="Male"/>
    <n v="38"/>
    <s v="Bangalore"/>
    <x v="3"/>
    <n v="83238"/>
    <d v="2023-08-31T00:00:00"/>
    <n v="16"/>
    <n v="4"/>
    <n v="8324"/>
    <n v="4162"/>
    <n v="87400"/>
    <n v="4162"/>
    <n v="95724"/>
  </r>
  <r>
    <n v="3492"/>
    <x v="7"/>
    <s v="Male"/>
    <n v="30"/>
    <s v="Hyderabad"/>
    <x v="2"/>
    <n v="34919"/>
    <d v="2024-09-10T00:00:00"/>
    <n v="1"/>
    <n v="4"/>
    <n v="3492"/>
    <n v="1746"/>
    <n v="36665"/>
    <n v="0"/>
    <n v="38411"/>
  </r>
  <r>
    <n v="3493"/>
    <x v="1"/>
    <s v="Female"/>
    <n v="37"/>
    <s v="Bangalore"/>
    <x v="3"/>
    <n v="66411"/>
    <d v="2024-05-16T00:00:00"/>
    <n v="17"/>
    <n v="2"/>
    <n v="6641"/>
    <n v="3321"/>
    <n v="69731"/>
    <n v="3321"/>
    <n v="76373"/>
  </r>
  <r>
    <n v="3494"/>
    <x v="4"/>
    <s v="Female"/>
    <n v="25"/>
    <s v="Chennai"/>
    <x v="3"/>
    <n v="25160"/>
    <d v="2024-07-31T00:00:00"/>
    <n v="15"/>
    <n v="1"/>
    <n v="2516"/>
    <n v="1258"/>
    <n v="26418"/>
    <n v="1258"/>
    <n v="28934"/>
  </r>
  <r>
    <n v="3495"/>
    <x v="5"/>
    <s v="Male"/>
    <n v="41"/>
    <s v="Bangalore"/>
    <x v="0"/>
    <n v="41750"/>
    <d v="2023-05-20T00:00:00"/>
    <n v="16"/>
    <n v="5"/>
    <n v="4175"/>
    <n v="2088"/>
    <n v="43837"/>
    <n v="2088"/>
    <n v="48013"/>
  </r>
  <r>
    <n v="3496"/>
    <x v="1"/>
    <s v="Male"/>
    <n v="33"/>
    <s v="Hyderabad"/>
    <x v="2"/>
    <n v="74935"/>
    <d v="2022-07-14T00:00:00"/>
    <n v="13"/>
    <n v="5"/>
    <n v="7494"/>
    <n v="3747"/>
    <n v="78682"/>
    <n v="3747"/>
    <n v="86176"/>
  </r>
  <r>
    <n v="3497"/>
    <x v="6"/>
    <s v="Female"/>
    <n v="48"/>
    <s v="Delhi"/>
    <x v="4"/>
    <n v="98986"/>
    <d v="2023-05-14T00:00:00"/>
    <n v="6"/>
    <n v="1"/>
    <n v="9899"/>
    <n v="4949"/>
    <n v="103936"/>
    <n v="4949"/>
    <n v="113834"/>
  </r>
  <r>
    <n v="3498"/>
    <x v="7"/>
    <s v="Female"/>
    <n v="46"/>
    <s v="Bangalore"/>
    <x v="1"/>
    <n v="28933"/>
    <d v="2022-06-12T00:00:00"/>
    <n v="14"/>
    <n v="5"/>
    <n v="2893"/>
    <n v="1447"/>
    <n v="30379"/>
    <n v="1447"/>
    <n v="33273"/>
  </r>
  <r>
    <n v="3499"/>
    <x v="5"/>
    <s v="Female"/>
    <n v="52"/>
    <s v="Hyderabad"/>
    <x v="2"/>
    <n v="67276"/>
    <d v="2022-01-08T00:00:00"/>
    <n v="6"/>
    <n v="3"/>
    <n v="6728"/>
    <n v="3364"/>
    <n v="70640"/>
    <n v="3364"/>
    <n v="77368"/>
  </r>
  <r>
    <n v="3500"/>
    <x v="1"/>
    <s v="Male"/>
    <n v="51"/>
    <s v="Delhi"/>
    <x v="2"/>
    <n v="30451"/>
    <d v="2022-07-19T00:00:00"/>
    <n v="9"/>
    <n v="2"/>
    <n v="3045"/>
    <n v="1523"/>
    <n v="31973"/>
    <n v="1523"/>
    <n v="35019"/>
  </r>
  <r>
    <n v="3501"/>
    <x v="6"/>
    <s v="Female"/>
    <n v="54"/>
    <s v="Hyderabad"/>
    <x v="2"/>
    <n v="60583"/>
    <d v="2022-05-25T00:00:00"/>
    <n v="9"/>
    <n v="5"/>
    <n v="6058"/>
    <n v="3029"/>
    <n v="63612"/>
    <n v="3029"/>
    <n v="69670"/>
  </r>
  <r>
    <n v="3502"/>
    <x v="3"/>
    <s v="Female"/>
    <n v="34"/>
    <s v="Chennai"/>
    <x v="1"/>
    <n v="55102"/>
    <d v="2023-02-08T00:00:00"/>
    <n v="6"/>
    <n v="4"/>
    <n v="5510"/>
    <n v="2755"/>
    <n v="57857"/>
    <n v="2755"/>
    <n v="63367"/>
  </r>
  <r>
    <n v="3503"/>
    <x v="2"/>
    <s v="Male"/>
    <n v="28"/>
    <s v="Mumbai"/>
    <x v="0"/>
    <n v="74096"/>
    <d v="2024-05-03T00:00:00"/>
    <n v="6"/>
    <n v="5"/>
    <n v="7410"/>
    <n v="3705"/>
    <n v="77801"/>
    <n v="3705"/>
    <n v="85211"/>
  </r>
  <r>
    <n v="3504"/>
    <x v="4"/>
    <s v="Male"/>
    <n v="57"/>
    <s v="Hyderabad"/>
    <x v="3"/>
    <n v="38997"/>
    <d v="2022-12-21T00:00:00"/>
    <n v="12"/>
    <n v="4"/>
    <n v="3900"/>
    <n v="1950"/>
    <n v="40947"/>
    <n v="1950"/>
    <n v="44847"/>
  </r>
  <r>
    <n v="3505"/>
    <x v="2"/>
    <s v="Male"/>
    <n v="38"/>
    <s v="Bangalore"/>
    <x v="3"/>
    <n v="52979"/>
    <d v="2022-03-12T00:00:00"/>
    <n v="2"/>
    <n v="3"/>
    <n v="5298"/>
    <n v="2649"/>
    <n v="55628"/>
    <n v="0"/>
    <n v="58277"/>
  </r>
  <r>
    <n v="3506"/>
    <x v="2"/>
    <s v="Male"/>
    <n v="33"/>
    <s v="Bangalore"/>
    <x v="4"/>
    <n v="50888"/>
    <d v="2022-03-26T00:00:00"/>
    <n v="10"/>
    <n v="4"/>
    <n v="5089"/>
    <n v="2544"/>
    <n v="53433"/>
    <n v="2544"/>
    <n v="58521"/>
  </r>
  <r>
    <n v="3507"/>
    <x v="1"/>
    <s v="Female"/>
    <n v="39"/>
    <s v="Chennai"/>
    <x v="4"/>
    <n v="66255"/>
    <d v="2024-09-09T00:00:00"/>
    <n v="2"/>
    <n v="5"/>
    <n v="6626"/>
    <n v="3313"/>
    <n v="69568"/>
    <n v="0"/>
    <n v="72881"/>
  </r>
  <r>
    <n v="3508"/>
    <x v="7"/>
    <s v="Male"/>
    <n v="25"/>
    <s v="Mumbai"/>
    <x v="2"/>
    <n v="64125"/>
    <d v="2024-06-16T00:00:00"/>
    <n v="3"/>
    <n v="2"/>
    <n v="6412"/>
    <n v="3206"/>
    <n v="67331"/>
    <n v="0"/>
    <n v="70537"/>
  </r>
  <r>
    <n v="3509"/>
    <x v="3"/>
    <s v="Female"/>
    <n v="38"/>
    <s v="Mumbai"/>
    <x v="0"/>
    <n v="74437"/>
    <d v="2023-09-19T00:00:00"/>
    <n v="9"/>
    <n v="1"/>
    <n v="7444"/>
    <n v="3722"/>
    <n v="78159"/>
    <n v="3722"/>
    <n v="85603"/>
  </r>
  <r>
    <n v="3510"/>
    <x v="4"/>
    <s v="Female"/>
    <n v="31"/>
    <s v="Mumbai"/>
    <x v="0"/>
    <n v="50631"/>
    <d v="2023-08-27T00:00:00"/>
    <n v="15"/>
    <n v="3"/>
    <n v="5063"/>
    <n v="2532"/>
    <n v="53162"/>
    <n v="2532"/>
    <n v="58226"/>
  </r>
  <r>
    <n v="3511"/>
    <x v="9"/>
    <s v="Male"/>
    <n v="56"/>
    <s v="Mumbai"/>
    <x v="2"/>
    <n v="96352"/>
    <d v="2022-05-21T00:00:00"/>
    <n v="8"/>
    <n v="1"/>
    <n v="9635"/>
    <n v="4818"/>
    <n v="101169"/>
    <n v="4818"/>
    <n v="110805"/>
  </r>
  <r>
    <n v="3512"/>
    <x v="3"/>
    <s v="Female"/>
    <n v="44"/>
    <s v="Hyderabad"/>
    <x v="2"/>
    <n v="76162"/>
    <d v="2022-03-11T00:00:00"/>
    <n v="11"/>
    <n v="5"/>
    <n v="7616"/>
    <n v="3808"/>
    <n v="79970"/>
    <n v="3808"/>
    <n v="87586"/>
  </r>
  <r>
    <n v="3513"/>
    <x v="4"/>
    <s v="Male"/>
    <n v="27"/>
    <s v="Delhi"/>
    <x v="2"/>
    <n v="21477"/>
    <d v="2024-07-01T00:00:00"/>
    <n v="9"/>
    <n v="5"/>
    <n v="2148"/>
    <n v="1074"/>
    <n v="22551"/>
    <n v="1074"/>
    <n v="24699"/>
  </r>
  <r>
    <n v="3514"/>
    <x v="5"/>
    <s v="Male"/>
    <n v="42"/>
    <s v="Mumbai"/>
    <x v="4"/>
    <n v="82739"/>
    <d v="2024-08-14T00:00:00"/>
    <n v="10"/>
    <n v="1"/>
    <n v="8274"/>
    <n v="4137"/>
    <n v="86876"/>
    <n v="4137"/>
    <n v="95150"/>
  </r>
  <r>
    <n v="3515"/>
    <x v="2"/>
    <s v="Male"/>
    <n v="48"/>
    <s v="Hyderabad"/>
    <x v="0"/>
    <n v="93214"/>
    <d v="2022-01-25T00:00:00"/>
    <n v="5"/>
    <n v="5"/>
    <n v="9321"/>
    <n v="4661"/>
    <n v="97874"/>
    <n v="0"/>
    <n v="102535"/>
  </r>
  <r>
    <n v="3516"/>
    <x v="1"/>
    <s v="Male"/>
    <n v="59"/>
    <s v="Delhi"/>
    <x v="1"/>
    <n v="57652"/>
    <d v="2023-08-12T00:00:00"/>
    <n v="11"/>
    <n v="3"/>
    <n v="5765"/>
    <n v="2883"/>
    <n v="60534"/>
    <n v="2883"/>
    <n v="66300"/>
  </r>
  <r>
    <n v="3517"/>
    <x v="7"/>
    <s v="Male"/>
    <n v="40"/>
    <s v="Delhi"/>
    <x v="4"/>
    <n v="34502"/>
    <d v="2023-05-06T00:00:00"/>
    <n v="4"/>
    <n v="1"/>
    <n v="3450"/>
    <n v="1725"/>
    <n v="36227"/>
    <n v="0"/>
    <n v="37952"/>
  </r>
  <r>
    <n v="3518"/>
    <x v="1"/>
    <s v="Male"/>
    <n v="27"/>
    <s v="Hyderabad"/>
    <x v="1"/>
    <n v="22057"/>
    <d v="2023-07-13T00:00:00"/>
    <n v="15"/>
    <n v="3"/>
    <n v="2206"/>
    <n v="1103"/>
    <n v="23160"/>
    <n v="1103"/>
    <n v="25366"/>
  </r>
  <r>
    <n v="3519"/>
    <x v="9"/>
    <s v="Female"/>
    <n v="33"/>
    <s v="Bangalore"/>
    <x v="4"/>
    <n v="24663"/>
    <d v="2022-10-31T00:00:00"/>
    <n v="10"/>
    <n v="4"/>
    <n v="2466"/>
    <n v="1233"/>
    <n v="25896"/>
    <n v="1233"/>
    <n v="28362"/>
  </r>
  <r>
    <n v="3520"/>
    <x v="7"/>
    <s v="Male"/>
    <n v="55"/>
    <s v="Mumbai"/>
    <x v="2"/>
    <n v="78694"/>
    <d v="2023-09-05T00:00:00"/>
    <n v="18"/>
    <n v="3"/>
    <n v="7869"/>
    <n v="3935"/>
    <n v="82628"/>
    <n v="3935"/>
    <n v="90498"/>
  </r>
  <r>
    <n v="3521"/>
    <x v="9"/>
    <s v="Male"/>
    <n v="26"/>
    <s v="Mumbai"/>
    <x v="3"/>
    <n v="43908"/>
    <d v="2023-07-18T00:00:00"/>
    <n v="2"/>
    <n v="5"/>
    <n v="4391"/>
    <n v="2195"/>
    <n v="46104"/>
    <n v="0"/>
    <n v="48299"/>
  </r>
  <r>
    <n v="3522"/>
    <x v="6"/>
    <s v="Female"/>
    <n v="42"/>
    <s v="Mumbai"/>
    <x v="3"/>
    <n v="69157"/>
    <d v="2022-03-15T00:00:00"/>
    <n v="14"/>
    <n v="2"/>
    <n v="6916"/>
    <n v="3458"/>
    <n v="72615"/>
    <n v="3458"/>
    <n v="79531"/>
  </r>
  <r>
    <n v="3523"/>
    <x v="8"/>
    <s v="Male"/>
    <n v="55"/>
    <s v="Chennai"/>
    <x v="2"/>
    <n v="88364"/>
    <d v="2024-04-04T00:00:00"/>
    <n v="11"/>
    <n v="1"/>
    <n v="8836"/>
    <n v="4418"/>
    <n v="92782"/>
    <n v="4418"/>
    <n v="101618"/>
  </r>
  <r>
    <n v="3524"/>
    <x v="0"/>
    <s v="Male"/>
    <n v="53"/>
    <s v="Delhi"/>
    <x v="2"/>
    <n v="92433"/>
    <d v="2023-12-13T00:00:00"/>
    <n v="11"/>
    <n v="3"/>
    <n v="9243"/>
    <n v="4622"/>
    <n v="97054"/>
    <n v="4622"/>
    <n v="106298"/>
  </r>
  <r>
    <n v="3525"/>
    <x v="8"/>
    <s v="Female"/>
    <n v="21"/>
    <s v="Bangalore"/>
    <x v="0"/>
    <n v="26237"/>
    <d v="2022-02-21T00:00:00"/>
    <n v="6"/>
    <n v="2"/>
    <n v="2624"/>
    <n v="1312"/>
    <n v="27549"/>
    <n v="1312"/>
    <n v="30173"/>
  </r>
  <r>
    <n v="3526"/>
    <x v="6"/>
    <s v="Male"/>
    <n v="39"/>
    <s v="Hyderabad"/>
    <x v="1"/>
    <n v="99000"/>
    <d v="2023-07-20T00:00:00"/>
    <n v="1"/>
    <n v="3"/>
    <n v="9900"/>
    <n v="4950"/>
    <n v="103950"/>
    <n v="0"/>
    <n v="108900"/>
  </r>
  <r>
    <n v="3527"/>
    <x v="7"/>
    <s v="Male"/>
    <n v="21"/>
    <s v="Delhi"/>
    <x v="2"/>
    <n v="97556"/>
    <d v="2024-03-20T00:00:00"/>
    <n v="14"/>
    <n v="1"/>
    <n v="9756"/>
    <n v="4878"/>
    <n v="102434"/>
    <n v="4878"/>
    <n v="112190"/>
  </r>
  <r>
    <n v="3528"/>
    <x v="6"/>
    <s v="Male"/>
    <n v="29"/>
    <s v="Bangalore"/>
    <x v="0"/>
    <n v="35363"/>
    <d v="2024-06-20T00:00:00"/>
    <n v="3"/>
    <n v="1"/>
    <n v="3536"/>
    <n v="1768"/>
    <n v="37131"/>
    <n v="0"/>
    <n v="38899"/>
  </r>
  <r>
    <n v="3529"/>
    <x v="3"/>
    <s v="Male"/>
    <n v="24"/>
    <s v="Bangalore"/>
    <x v="3"/>
    <n v="47506"/>
    <d v="2023-12-02T00:00:00"/>
    <n v="9"/>
    <n v="5"/>
    <n v="4751"/>
    <n v="2375"/>
    <n v="49882"/>
    <n v="2375"/>
    <n v="54632"/>
  </r>
  <r>
    <n v="3530"/>
    <x v="3"/>
    <s v="Male"/>
    <n v="35"/>
    <s v="Bangalore"/>
    <x v="0"/>
    <n v="32409"/>
    <d v="2022-02-08T00:00:00"/>
    <n v="1"/>
    <n v="2"/>
    <n v="3241"/>
    <n v="1620"/>
    <n v="34030"/>
    <n v="0"/>
    <n v="35650"/>
  </r>
  <r>
    <n v="3531"/>
    <x v="7"/>
    <s v="Male"/>
    <n v="39"/>
    <s v="Mumbai"/>
    <x v="3"/>
    <n v="24731"/>
    <d v="2022-08-16T00:00:00"/>
    <n v="15"/>
    <n v="5"/>
    <n v="2473"/>
    <n v="1237"/>
    <n v="25967"/>
    <n v="1237"/>
    <n v="28441"/>
  </r>
  <r>
    <n v="3532"/>
    <x v="4"/>
    <s v="Female"/>
    <n v="29"/>
    <s v="Chennai"/>
    <x v="4"/>
    <n v="54041"/>
    <d v="2023-05-05T00:00:00"/>
    <n v="10"/>
    <n v="3"/>
    <n v="5404"/>
    <n v="2702"/>
    <n v="56743"/>
    <n v="2702"/>
    <n v="62147"/>
  </r>
  <r>
    <n v="3533"/>
    <x v="9"/>
    <s v="Male"/>
    <n v="45"/>
    <s v="Mumbai"/>
    <x v="4"/>
    <n v="95435"/>
    <d v="2022-07-08T00:00:00"/>
    <n v="4"/>
    <n v="3"/>
    <n v="9544"/>
    <n v="4772"/>
    <n v="100207"/>
    <n v="0"/>
    <n v="104979"/>
  </r>
  <r>
    <n v="3534"/>
    <x v="4"/>
    <s v="Female"/>
    <n v="51"/>
    <s v="Delhi"/>
    <x v="0"/>
    <n v="26658"/>
    <d v="2022-12-31T00:00:00"/>
    <n v="1"/>
    <n v="1"/>
    <n v="2666"/>
    <n v="1333"/>
    <n v="27991"/>
    <n v="0"/>
    <n v="29324"/>
  </r>
  <r>
    <n v="3535"/>
    <x v="7"/>
    <s v="Female"/>
    <n v="28"/>
    <s v="Delhi"/>
    <x v="3"/>
    <n v="38770"/>
    <d v="2023-06-06T00:00:00"/>
    <n v="15"/>
    <n v="2"/>
    <n v="3877"/>
    <n v="1938"/>
    <n v="40709"/>
    <n v="1938"/>
    <n v="44585"/>
  </r>
  <r>
    <n v="3536"/>
    <x v="2"/>
    <s v="Male"/>
    <n v="38"/>
    <s v="Hyderabad"/>
    <x v="3"/>
    <n v="82579"/>
    <d v="2023-10-22T00:00:00"/>
    <n v="8"/>
    <n v="2"/>
    <n v="8258"/>
    <n v="4129"/>
    <n v="86708"/>
    <n v="4129"/>
    <n v="94966"/>
  </r>
  <r>
    <n v="3537"/>
    <x v="1"/>
    <s v="Female"/>
    <n v="44"/>
    <s v="Delhi"/>
    <x v="3"/>
    <n v="75547"/>
    <d v="2023-02-12T00:00:00"/>
    <n v="14"/>
    <n v="5"/>
    <n v="7555"/>
    <n v="3777"/>
    <n v="79325"/>
    <n v="3777"/>
    <n v="86879"/>
  </r>
  <r>
    <n v="3538"/>
    <x v="5"/>
    <s v="Female"/>
    <n v="51"/>
    <s v="Mumbai"/>
    <x v="4"/>
    <n v="56928"/>
    <d v="2023-03-19T00:00:00"/>
    <n v="3"/>
    <n v="5"/>
    <n v="5693"/>
    <n v="2846"/>
    <n v="59775"/>
    <n v="0"/>
    <n v="62621"/>
  </r>
  <r>
    <n v="3539"/>
    <x v="7"/>
    <s v="Female"/>
    <n v="56"/>
    <s v="Hyderabad"/>
    <x v="2"/>
    <n v="57937"/>
    <d v="2022-06-01T00:00:00"/>
    <n v="11"/>
    <n v="4"/>
    <n v="5794"/>
    <n v="2897"/>
    <n v="60834"/>
    <n v="2897"/>
    <n v="66628"/>
  </r>
  <r>
    <n v="3540"/>
    <x v="1"/>
    <s v="Male"/>
    <n v="21"/>
    <s v="Delhi"/>
    <x v="1"/>
    <n v="55702"/>
    <d v="2023-06-19T00:00:00"/>
    <n v="7"/>
    <n v="5"/>
    <n v="5570"/>
    <n v="2785"/>
    <n v="58487"/>
    <n v="2785"/>
    <n v="64057"/>
  </r>
  <r>
    <n v="3541"/>
    <x v="4"/>
    <s v="Male"/>
    <n v="25"/>
    <s v="Mumbai"/>
    <x v="1"/>
    <n v="84201"/>
    <d v="2022-10-23T00:00:00"/>
    <n v="15"/>
    <n v="5"/>
    <n v="8420"/>
    <n v="4210"/>
    <n v="88411"/>
    <n v="4210"/>
    <n v="96831"/>
  </r>
  <r>
    <n v="3542"/>
    <x v="4"/>
    <s v="Female"/>
    <n v="49"/>
    <s v="Hyderabad"/>
    <x v="3"/>
    <n v="72058"/>
    <d v="2024-08-24T00:00:00"/>
    <n v="10"/>
    <n v="3"/>
    <n v="7206"/>
    <n v="3603"/>
    <n v="75661"/>
    <n v="3603"/>
    <n v="82867"/>
  </r>
  <r>
    <n v="3543"/>
    <x v="4"/>
    <s v="Male"/>
    <n v="45"/>
    <s v="Chennai"/>
    <x v="2"/>
    <n v="43391"/>
    <d v="2023-02-13T00:00:00"/>
    <n v="19"/>
    <n v="4"/>
    <n v="4339"/>
    <n v="2170"/>
    <n v="45560"/>
    <n v="2170"/>
    <n v="49900"/>
  </r>
  <r>
    <n v="3544"/>
    <x v="9"/>
    <s v="Male"/>
    <n v="43"/>
    <s v="Mumbai"/>
    <x v="4"/>
    <n v="34041"/>
    <d v="2023-02-24T00:00:00"/>
    <n v="18"/>
    <n v="4"/>
    <n v="3404"/>
    <n v="1702"/>
    <n v="35743"/>
    <n v="1702"/>
    <n v="39147"/>
  </r>
  <r>
    <n v="3545"/>
    <x v="8"/>
    <s v="Female"/>
    <n v="51"/>
    <s v="Chennai"/>
    <x v="3"/>
    <n v="44331"/>
    <d v="2024-09-06T00:00:00"/>
    <n v="9"/>
    <n v="5"/>
    <n v="4433"/>
    <n v="2217"/>
    <n v="46547"/>
    <n v="2217"/>
    <n v="50981"/>
  </r>
  <r>
    <n v="3546"/>
    <x v="8"/>
    <s v="Female"/>
    <n v="56"/>
    <s v="Mumbai"/>
    <x v="4"/>
    <n v="96542"/>
    <d v="2022-06-24T00:00:00"/>
    <n v="12"/>
    <n v="3"/>
    <n v="9654"/>
    <n v="4827"/>
    <n v="101369"/>
    <n v="4827"/>
    <n v="111023"/>
  </r>
  <r>
    <n v="3547"/>
    <x v="9"/>
    <s v="Male"/>
    <n v="42"/>
    <s v="Mumbai"/>
    <x v="2"/>
    <n v="28639"/>
    <d v="2024-05-03T00:00:00"/>
    <n v="7"/>
    <n v="2"/>
    <n v="2864"/>
    <n v="1432"/>
    <n v="30071"/>
    <n v="1432"/>
    <n v="32935"/>
  </r>
  <r>
    <n v="3548"/>
    <x v="3"/>
    <s v="Male"/>
    <n v="42"/>
    <s v="Delhi"/>
    <x v="2"/>
    <n v="26049"/>
    <d v="2023-12-29T00:00:00"/>
    <n v="19"/>
    <n v="1"/>
    <n v="2605"/>
    <n v="1302"/>
    <n v="27352"/>
    <n v="1302"/>
    <n v="29956"/>
  </r>
  <r>
    <n v="3549"/>
    <x v="1"/>
    <s v="Female"/>
    <n v="41"/>
    <s v="Hyderabad"/>
    <x v="3"/>
    <n v="91868"/>
    <d v="2022-09-13T00:00:00"/>
    <n v="12"/>
    <n v="4"/>
    <n v="9187"/>
    <n v="4593"/>
    <n v="96462"/>
    <n v="4593"/>
    <n v="105648"/>
  </r>
  <r>
    <n v="3550"/>
    <x v="8"/>
    <s v="Female"/>
    <n v="39"/>
    <s v="Hyderabad"/>
    <x v="3"/>
    <n v="36638"/>
    <d v="2022-03-23T00:00:00"/>
    <n v="18"/>
    <n v="1"/>
    <n v="3664"/>
    <n v="1832"/>
    <n v="38470"/>
    <n v="1832"/>
    <n v="42134"/>
  </r>
  <r>
    <n v="3551"/>
    <x v="3"/>
    <s v="Male"/>
    <n v="25"/>
    <s v="Mumbai"/>
    <x v="3"/>
    <n v="54980"/>
    <d v="2022-07-11T00:00:00"/>
    <n v="13"/>
    <n v="3"/>
    <n v="5498"/>
    <n v="2749"/>
    <n v="57729"/>
    <n v="2749"/>
    <n v="63227"/>
  </r>
  <r>
    <n v="3552"/>
    <x v="7"/>
    <s v="Male"/>
    <n v="34"/>
    <s v="Chennai"/>
    <x v="3"/>
    <n v="60118"/>
    <d v="2022-10-11T00:00:00"/>
    <n v="8"/>
    <n v="4"/>
    <n v="6012"/>
    <n v="3006"/>
    <n v="63124"/>
    <n v="3006"/>
    <n v="69136"/>
  </r>
  <r>
    <n v="3553"/>
    <x v="9"/>
    <s v="Male"/>
    <n v="28"/>
    <s v="Delhi"/>
    <x v="2"/>
    <n v="93674"/>
    <d v="2024-02-02T00:00:00"/>
    <n v="9"/>
    <n v="2"/>
    <n v="9367"/>
    <n v="4684"/>
    <n v="98357"/>
    <n v="4684"/>
    <n v="107725"/>
  </r>
  <r>
    <n v="3554"/>
    <x v="5"/>
    <s v="Male"/>
    <n v="34"/>
    <s v="Chennai"/>
    <x v="1"/>
    <n v="75661"/>
    <d v="2023-10-17T00:00:00"/>
    <n v="17"/>
    <n v="1"/>
    <n v="7566"/>
    <n v="3783"/>
    <n v="79444"/>
    <n v="3783"/>
    <n v="87010"/>
  </r>
  <r>
    <n v="3555"/>
    <x v="5"/>
    <s v="Male"/>
    <n v="58"/>
    <s v="Chennai"/>
    <x v="1"/>
    <n v="31160"/>
    <d v="2023-03-27T00:00:00"/>
    <n v="18"/>
    <n v="5"/>
    <n v="3116"/>
    <n v="1558"/>
    <n v="32718"/>
    <n v="1558"/>
    <n v="35834"/>
  </r>
  <r>
    <n v="3556"/>
    <x v="2"/>
    <s v="Female"/>
    <n v="31"/>
    <s v="Bangalore"/>
    <x v="0"/>
    <n v="42517"/>
    <d v="2023-06-13T00:00:00"/>
    <n v="2"/>
    <n v="1"/>
    <n v="4252"/>
    <n v="2126"/>
    <n v="44643"/>
    <n v="0"/>
    <n v="46769"/>
  </r>
  <r>
    <n v="3557"/>
    <x v="0"/>
    <s v="Male"/>
    <n v="49"/>
    <s v="Chennai"/>
    <x v="4"/>
    <n v="28027"/>
    <d v="2022-10-10T00:00:00"/>
    <n v="19"/>
    <n v="5"/>
    <n v="2803"/>
    <n v="1401"/>
    <n v="29429"/>
    <n v="1401"/>
    <n v="32231"/>
  </r>
  <r>
    <n v="3558"/>
    <x v="8"/>
    <s v="Female"/>
    <n v="30"/>
    <s v="Bangalore"/>
    <x v="2"/>
    <n v="90501"/>
    <d v="2023-08-23T00:00:00"/>
    <n v="6"/>
    <n v="5"/>
    <n v="9050"/>
    <n v="4525"/>
    <n v="95026"/>
    <n v="4525"/>
    <n v="104076"/>
  </r>
  <r>
    <n v="3559"/>
    <x v="3"/>
    <s v="Male"/>
    <n v="59"/>
    <s v="Mumbai"/>
    <x v="3"/>
    <n v="32009"/>
    <d v="2022-06-08T00:00:00"/>
    <n v="9"/>
    <n v="4"/>
    <n v="3201"/>
    <n v="1600"/>
    <n v="33610"/>
    <n v="1600"/>
    <n v="36810"/>
  </r>
  <r>
    <n v="3560"/>
    <x v="6"/>
    <s v="Male"/>
    <n v="40"/>
    <s v="Mumbai"/>
    <x v="1"/>
    <n v="45356"/>
    <d v="2023-09-16T00:00:00"/>
    <n v="15"/>
    <n v="4"/>
    <n v="4536"/>
    <n v="2268"/>
    <n v="47624"/>
    <n v="2268"/>
    <n v="52160"/>
  </r>
  <r>
    <n v="3561"/>
    <x v="4"/>
    <s v="Female"/>
    <n v="46"/>
    <s v="Chennai"/>
    <x v="3"/>
    <n v="66791"/>
    <d v="2022-05-04T00:00:00"/>
    <n v="16"/>
    <n v="3"/>
    <n v="6679"/>
    <n v="3340"/>
    <n v="70130"/>
    <n v="3340"/>
    <n v="76810"/>
  </r>
  <r>
    <n v="3562"/>
    <x v="7"/>
    <s v="Female"/>
    <n v="34"/>
    <s v="Hyderabad"/>
    <x v="2"/>
    <n v="88349"/>
    <d v="2023-04-09T00:00:00"/>
    <n v="19"/>
    <n v="4"/>
    <n v="8835"/>
    <n v="4417"/>
    <n v="92767"/>
    <n v="4417"/>
    <n v="101601"/>
  </r>
  <r>
    <n v="3563"/>
    <x v="6"/>
    <s v="Male"/>
    <n v="29"/>
    <s v="Delhi"/>
    <x v="0"/>
    <n v="62961"/>
    <d v="2024-09-05T00:00:00"/>
    <n v="15"/>
    <n v="4"/>
    <n v="6296"/>
    <n v="3148"/>
    <n v="66109"/>
    <n v="3148"/>
    <n v="72405"/>
  </r>
  <r>
    <n v="3564"/>
    <x v="0"/>
    <s v="Male"/>
    <n v="42"/>
    <s v="Chennai"/>
    <x v="3"/>
    <n v="42677"/>
    <d v="2022-03-09T00:00:00"/>
    <n v="3"/>
    <n v="5"/>
    <n v="4268"/>
    <n v="2134"/>
    <n v="44811"/>
    <n v="0"/>
    <n v="46945"/>
  </r>
  <r>
    <n v="3565"/>
    <x v="1"/>
    <s v="Male"/>
    <n v="48"/>
    <s v="Bangalore"/>
    <x v="2"/>
    <n v="76774"/>
    <d v="2022-11-21T00:00:00"/>
    <n v="16"/>
    <n v="5"/>
    <n v="7677"/>
    <n v="3839"/>
    <n v="80612"/>
    <n v="3839"/>
    <n v="88290"/>
  </r>
  <r>
    <n v="3566"/>
    <x v="3"/>
    <s v="Male"/>
    <n v="59"/>
    <s v="Hyderabad"/>
    <x v="4"/>
    <n v="95542"/>
    <d v="2023-01-31T00:00:00"/>
    <n v="3"/>
    <n v="3"/>
    <n v="9554"/>
    <n v="4777"/>
    <n v="100319"/>
    <n v="0"/>
    <n v="105096"/>
  </r>
  <r>
    <n v="3567"/>
    <x v="8"/>
    <s v="Male"/>
    <n v="25"/>
    <s v="Delhi"/>
    <x v="2"/>
    <n v="69203"/>
    <d v="2022-03-20T00:00:00"/>
    <n v="2"/>
    <n v="5"/>
    <n v="6920"/>
    <n v="3460"/>
    <n v="72663"/>
    <n v="0"/>
    <n v="76123"/>
  </r>
  <r>
    <n v="3568"/>
    <x v="9"/>
    <s v="Male"/>
    <n v="31"/>
    <s v="Chennai"/>
    <x v="1"/>
    <n v="92102"/>
    <d v="2023-01-05T00:00:00"/>
    <n v="14"/>
    <n v="3"/>
    <n v="9210"/>
    <n v="4605"/>
    <n v="96707"/>
    <n v="4605"/>
    <n v="105917"/>
  </r>
  <r>
    <n v="3569"/>
    <x v="5"/>
    <s v="Female"/>
    <n v="29"/>
    <s v="Delhi"/>
    <x v="1"/>
    <n v="97696"/>
    <d v="2024-08-30T00:00:00"/>
    <n v="10"/>
    <n v="3"/>
    <n v="9770"/>
    <n v="4885"/>
    <n v="102581"/>
    <n v="4885"/>
    <n v="112351"/>
  </r>
  <r>
    <n v="3570"/>
    <x v="3"/>
    <s v="Male"/>
    <n v="31"/>
    <s v="Chennai"/>
    <x v="2"/>
    <n v="26596"/>
    <d v="2022-08-13T00:00:00"/>
    <n v="10"/>
    <n v="1"/>
    <n v="2660"/>
    <n v="1330"/>
    <n v="27926"/>
    <n v="1330"/>
    <n v="30586"/>
  </r>
  <r>
    <n v="3571"/>
    <x v="4"/>
    <s v="Male"/>
    <n v="25"/>
    <s v="Chennai"/>
    <x v="4"/>
    <n v="68551"/>
    <d v="2023-01-09T00:00:00"/>
    <n v="3"/>
    <n v="3"/>
    <n v="6855"/>
    <n v="3428"/>
    <n v="71978"/>
    <n v="0"/>
    <n v="75406"/>
  </r>
  <r>
    <n v="3572"/>
    <x v="4"/>
    <s v="Male"/>
    <n v="53"/>
    <s v="Hyderabad"/>
    <x v="0"/>
    <n v="51551"/>
    <d v="2022-09-03T00:00:00"/>
    <n v="18"/>
    <n v="2"/>
    <n v="5155"/>
    <n v="2578"/>
    <n v="54128"/>
    <n v="2578"/>
    <n v="59284"/>
  </r>
  <r>
    <n v="3573"/>
    <x v="1"/>
    <s v="Female"/>
    <n v="55"/>
    <s v="Bangalore"/>
    <x v="1"/>
    <n v="78141"/>
    <d v="2022-10-23T00:00:00"/>
    <n v="9"/>
    <n v="2"/>
    <n v="7814"/>
    <n v="3907"/>
    <n v="82048"/>
    <n v="3907"/>
    <n v="89862"/>
  </r>
  <r>
    <n v="3574"/>
    <x v="5"/>
    <s v="Male"/>
    <n v="47"/>
    <s v="Chennai"/>
    <x v="3"/>
    <n v="95240"/>
    <d v="2022-05-21T00:00:00"/>
    <n v="5"/>
    <n v="3"/>
    <n v="9524"/>
    <n v="4762"/>
    <n v="100002"/>
    <n v="0"/>
    <n v="104764"/>
  </r>
  <r>
    <n v="3575"/>
    <x v="2"/>
    <s v="Male"/>
    <n v="46"/>
    <s v="Delhi"/>
    <x v="4"/>
    <n v="85719"/>
    <d v="2022-05-13T00:00:00"/>
    <n v="9"/>
    <n v="1"/>
    <n v="8572"/>
    <n v="4286"/>
    <n v="90005"/>
    <n v="4286"/>
    <n v="98577"/>
  </r>
  <r>
    <n v="3576"/>
    <x v="3"/>
    <s v="Male"/>
    <n v="40"/>
    <s v="Hyderabad"/>
    <x v="2"/>
    <n v="71544"/>
    <d v="2023-09-01T00:00:00"/>
    <n v="19"/>
    <n v="1"/>
    <n v="7154"/>
    <n v="3577"/>
    <n v="75121"/>
    <n v="3577"/>
    <n v="82275"/>
  </r>
  <r>
    <n v="3577"/>
    <x v="1"/>
    <s v="Female"/>
    <n v="32"/>
    <s v="Chennai"/>
    <x v="4"/>
    <n v="63518"/>
    <d v="2023-01-10T00:00:00"/>
    <n v="17"/>
    <n v="1"/>
    <n v="6352"/>
    <n v="3176"/>
    <n v="66694"/>
    <n v="3176"/>
    <n v="73046"/>
  </r>
  <r>
    <n v="3578"/>
    <x v="1"/>
    <s v="Female"/>
    <n v="47"/>
    <s v="Bangalore"/>
    <x v="0"/>
    <n v="53695"/>
    <d v="2023-08-03T00:00:00"/>
    <n v="2"/>
    <n v="5"/>
    <n v="5370"/>
    <n v="2685"/>
    <n v="56380"/>
    <n v="0"/>
    <n v="59065"/>
  </r>
  <r>
    <n v="3579"/>
    <x v="0"/>
    <s v="Female"/>
    <n v="31"/>
    <s v="Hyderabad"/>
    <x v="2"/>
    <n v="91964"/>
    <d v="2023-08-28T00:00:00"/>
    <n v="9"/>
    <n v="4"/>
    <n v="9196"/>
    <n v="4598"/>
    <n v="96562"/>
    <n v="4598"/>
    <n v="105758"/>
  </r>
  <r>
    <n v="3580"/>
    <x v="3"/>
    <s v="Male"/>
    <n v="28"/>
    <s v="Mumbai"/>
    <x v="4"/>
    <n v="95468"/>
    <d v="2023-04-02T00:00:00"/>
    <n v="3"/>
    <n v="4"/>
    <n v="9547"/>
    <n v="4773"/>
    <n v="100242"/>
    <n v="0"/>
    <n v="105015"/>
  </r>
  <r>
    <n v="3581"/>
    <x v="2"/>
    <s v="Female"/>
    <n v="54"/>
    <s v="Delhi"/>
    <x v="3"/>
    <n v="50780"/>
    <d v="2022-11-28T00:00:00"/>
    <n v="17"/>
    <n v="2"/>
    <n v="5078"/>
    <n v="2539"/>
    <n v="53319"/>
    <n v="2539"/>
    <n v="58397"/>
  </r>
  <r>
    <n v="3582"/>
    <x v="7"/>
    <s v="Female"/>
    <n v="22"/>
    <s v="Bangalore"/>
    <x v="1"/>
    <n v="94929"/>
    <d v="2023-02-07T00:00:00"/>
    <n v="13"/>
    <n v="4"/>
    <n v="9493"/>
    <n v="4746"/>
    <n v="99676"/>
    <n v="4746"/>
    <n v="109168"/>
  </r>
  <r>
    <n v="3583"/>
    <x v="3"/>
    <s v="Female"/>
    <n v="51"/>
    <s v="Mumbai"/>
    <x v="3"/>
    <n v="79472"/>
    <d v="2022-11-30T00:00:00"/>
    <n v="3"/>
    <n v="3"/>
    <n v="7947"/>
    <n v="3974"/>
    <n v="83445"/>
    <n v="0"/>
    <n v="87419"/>
  </r>
  <r>
    <n v="3584"/>
    <x v="7"/>
    <s v="Female"/>
    <n v="26"/>
    <s v="Bangalore"/>
    <x v="1"/>
    <n v="58445"/>
    <d v="2023-11-11T00:00:00"/>
    <n v="2"/>
    <n v="1"/>
    <n v="5844"/>
    <n v="2922"/>
    <n v="61367"/>
    <n v="0"/>
    <n v="64289"/>
  </r>
  <r>
    <n v="3585"/>
    <x v="6"/>
    <s v="Male"/>
    <n v="49"/>
    <s v="Hyderabad"/>
    <x v="3"/>
    <n v="25946"/>
    <d v="2024-05-19T00:00:00"/>
    <n v="19"/>
    <n v="1"/>
    <n v="2595"/>
    <n v="1297"/>
    <n v="27244"/>
    <n v="1297"/>
    <n v="29838"/>
  </r>
  <r>
    <n v="3586"/>
    <x v="0"/>
    <s v="Female"/>
    <n v="23"/>
    <s v="Chennai"/>
    <x v="2"/>
    <n v="38033"/>
    <d v="2023-08-06T00:00:00"/>
    <n v="8"/>
    <n v="4"/>
    <n v="3803"/>
    <n v="1902"/>
    <n v="39934"/>
    <n v="1902"/>
    <n v="43738"/>
  </r>
  <r>
    <n v="3587"/>
    <x v="2"/>
    <s v="Female"/>
    <n v="47"/>
    <s v="Delhi"/>
    <x v="4"/>
    <n v="20368"/>
    <d v="2022-06-22T00:00:00"/>
    <n v="2"/>
    <n v="4"/>
    <n v="2037"/>
    <n v="1018"/>
    <n v="21387"/>
    <n v="0"/>
    <n v="22405"/>
  </r>
  <r>
    <n v="3588"/>
    <x v="6"/>
    <s v="Female"/>
    <n v="46"/>
    <s v="Hyderabad"/>
    <x v="2"/>
    <n v="31577"/>
    <d v="2022-12-23T00:00:00"/>
    <n v="6"/>
    <n v="1"/>
    <n v="3158"/>
    <n v="1579"/>
    <n v="33156"/>
    <n v="1579"/>
    <n v="36314"/>
  </r>
  <r>
    <n v="3589"/>
    <x v="1"/>
    <s v="Female"/>
    <n v="54"/>
    <s v="Delhi"/>
    <x v="1"/>
    <n v="61081"/>
    <d v="2024-08-24T00:00:00"/>
    <n v="1"/>
    <n v="3"/>
    <n v="6108"/>
    <n v="3054"/>
    <n v="64135"/>
    <n v="0"/>
    <n v="67189"/>
  </r>
  <r>
    <n v="3590"/>
    <x v="0"/>
    <s v="Male"/>
    <n v="60"/>
    <s v="Bangalore"/>
    <x v="4"/>
    <n v="28765"/>
    <d v="2022-08-05T00:00:00"/>
    <n v="18"/>
    <n v="3"/>
    <n v="2876"/>
    <n v="1438"/>
    <n v="30203"/>
    <n v="1438"/>
    <n v="33079"/>
  </r>
  <r>
    <n v="3591"/>
    <x v="4"/>
    <s v="Male"/>
    <n v="41"/>
    <s v="Bangalore"/>
    <x v="0"/>
    <n v="81888"/>
    <d v="2023-08-17T00:00:00"/>
    <n v="9"/>
    <n v="4"/>
    <n v="8189"/>
    <n v="4094"/>
    <n v="85983"/>
    <n v="4094"/>
    <n v="94171"/>
  </r>
  <r>
    <n v="3592"/>
    <x v="9"/>
    <s v="Female"/>
    <n v="33"/>
    <s v="Delhi"/>
    <x v="2"/>
    <n v="27535"/>
    <d v="2024-06-14T00:00:00"/>
    <n v="20"/>
    <n v="5"/>
    <n v="2754"/>
    <n v="1377"/>
    <n v="28912"/>
    <n v="1377"/>
    <n v="31666"/>
  </r>
  <r>
    <n v="3593"/>
    <x v="1"/>
    <s v="Female"/>
    <n v="29"/>
    <s v="Delhi"/>
    <x v="3"/>
    <n v="31463"/>
    <d v="2022-03-19T00:00:00"/>
    <n v="5"/>
    <n v="1"/>
    <n v="3146"/>
    <n v="1573"/>
    <n v="33036"/>
    <n v="0"/>
    <n v="34609"/>
  </r>
  <r>
    <n v="3594"/>
    <x v="4"/>
    <s v="Female"/>
    <n v="31"/>
    <s v="Hyderabad"/>
    <x v="3"/>
    <n v="43964"/>
    <d v="2024-06-13T00:00:00"/>
    <n v="5"/>
    <n v="5"/>
    <n v="4396"/>
    <n v="2198"/>
    <n v="46162"/>
    <n v="0"/>
    <n v="48360"/>
  </r>
  <r>
    <n v="3595"/>
    <x v="3"/>
    <s v="Female"/>
    <n v="43"/>
    <s v="Chennai"/>
    <x v="2"/>
    <n v="54534"/>
    <d v="2024-05-17T00:00:00"/>
    <n v="4"/>
    <n v="4"/>
    <n v="5453"/>
    <n v="2727"/>
    <n v="57260"/>
    <n v="0"/>
    <n v="59987"/>
  </r>
  <r>
    <n v="3596"/>
    <x v="4"/>
    <s v="Male"/>
    <n v="38"/>
    <s v="Delhi"/>
    <x v="2"/>
    <n v="65980"/>
    <d v="2022-09-12T00:00:00"/>
    <n v="10"/>
    <n v="4"/>
    <n v="6598"/>
    <n v="3299"/>
    <n v="69279"/>
    <n v="3299"/>
    <n v="75877"/>
  </r>
  <r>
    <n v="3597"/>
    <x v="2"/>
    <s v="Male"/>
    <n v="60"/>
    <s v="Hyderabad"/>
    <x v="3"/>
    <n v="43210"/>
    <d v="2024-02-12T00:00:00"/>
    <n v="4"/>
    <n v="5"/>
    <n v="4321"/>
    <n v="2160"/>
    <n v="45371"/>
    <n v="0"/>
    <n v="47531"/>
  </r>
  <r>
    <n v="3598"/>
    <x v="4"/>
    <s v="Male"/>
    <n v="51"/>
    <s v="Chennai"/>
    <x v="2"/>
    <n v="86042"/>
    <d v="2022-11-20T00:00:00"/>
    <n v="12"/>
    <n v="1"/>
    <n v="8604"/>
    <n v="4302"/>
    <n v="90344"/>
    <n v="4302"/>
    <n v="98948"/>
  </r>
  <r>
    <n v="3599"/>
    <x v="5"/>
    <s v="Female"/>
    <n v="33"/>
    <s v="Delhi"/>
    <x v="0"/>
    <n v="83446"/>
    <d v="2024-08-03T00:00:00"/>
    <n v="6"/>
    <n v="5"/>
    <n v="8345"/>
    <n v="4172"/>
    <n v="87619"/>
    <n v="4172"/>
    <n v="95963"/>
  </r>
  <r>
    <n v="3600"/>
    <x v="4"/>
    <s v="Female"/>
    <n v="25"/>
    <s v="Bangalore"/>
    <x v="2"/>
    <n v="26301"/>
    <d v="2022-09-05T00:00:00"/>
    <n v="14"/>
    <n v="3"/>
    <n v="2630"/>
    <n v="1315"/>
    <n v="27616"/>
    <n v="1315"/>
    <n v="30246"/>
  </r>
  <r>
    <n v="3601"/>
    <x v="8"/>
    <s v="Female"/>
    <n v="49"/>
    <s v="Chennai"/>
    <x v="3"/>
    <n v="79763"/>
    <d v="2024-01-05T00:00:00"/>
    <n v="1"/>
    <n v="1"/>
    <n v="7976"/>
    <n v="3988"/>
    <n v="83751"/>
    <n v="0"/>
    <n v="87739"/>
  </r>
  <r>
    <n v="3602"/>
    <x v="7"/>
    <s v="Female"/>
    <n v="30"/>
    <s v="Mumbai"/>
    <x v="3"/>
    <n v="85421"/>
    <d v="2022-05-28T00:00:00"/>
    <n v="19"/>
    <n v="3"/>
    <n v="8542"/>
    <n v="4271"/>
    <n v="89692"/>
    <n v="4271"/>
    <n v="98234"/>
  </r>
  <r>
    <n v="3603"/>
    <x v="6"/>
    <s v="Female"/>
    <n v="42"/>
    <s v="Bangalore"/>
    <x v="1"/>
    <n v="72481"/>
    <d v="2023-02-18T00:00:00"/>
    <n v="3"/>
    <n v="1"/>
    <n v="7248"/>
    <n v="3624"/>
    <n v="76105"/>
    <n v="0"/>
    <n v="79729"/>
  </r>
  <r>
    <n v="3604"/>
    <x v="3"/>
    <s v="Male"/>
    <n v="36"/>
    <s v="Hyderabad"/>
    <x v="4"/>
    <n v="37985"/>
    <d v="2023-11-24T00:00:00"/>
    <n v="14"/>
    <n v="5"/>
    <n v="3798"/>
    <n v="1899"/>
    <n v="39884"/>
    <n v="1899"/>
    <n v="43682"/>
  </r>
  <r>
    <n v="3605"/>
    <x v="3"/>
    <s v="Female"/>
    <n v="27"/>
    <s v="Bangalore"/>
    <x v="0"/>
    <n v="61666"/>
    <d v="2022-10-27T00:00:00"/>
    <n v="18"/>
    <n v="5"/>
    <n v="6167"/>
    <n v="3083"/>
    <n v="64750"/>
    <n v="3083"/>
    <n v="70916"/>
  </r>
  <r>
    <n v="3606"/>
    <x v="1"/>
    <s v="Female"/>
    <n v="24"/>
    <s v="Hyderabad"/>
    <x v="2"/>
    <n v="22188"/>
    <d v="2022-08-28T00:00:00"/>
    <n v="9"/>
    <n v="1"/>
    <n v="2219"/>
    <n v="1109"/>
    <n v="23298"/>
    <n v="1109"/>
    <n v="25516"/>
  </r>
  <r>
    <n v="3607"/>
    <x v="1"/>
    <s v="Female"/>
    <n v="24"/>
    <s v="Bangalore"/>
    <x v="1"/>
    <n v="73170"/>
    <d v="2022-06-23T00:00:00"/>
    <n v="16"/>
    <n v="3"/>
    <n v="7317"/>
    <n v="3658"/>
    <n v="76829"/>
    <n v="3658"/>
    <n v="84145"/>
  </r>
  <r>
    <n v="3608"/>
    <x v="9"/>
    <s v="Male"/>
    <n v="49"/>
    <s v="Mumbai"/>
    <x v="3"/>
    <n v="83458"/>
    <d v="2022-10-19T00:00:00"/>
    <n v="13"/>
    <n v="2"/>
    <n v="8346"/>
    <n v="4173"/>
    <n v="87631"/>
    <n v="4173"/>
    <n v="95977"/>
  </r>
  <r>
    <n v="3609"/>
    <x v="6"/>
    <s v="Female"/>
    <n v="24"/>
    <s v="Bangalore"/>
    <x v="3"/>
    <n v="38450"/>
    <d v="2023-10-15T00:00:00"/>
    <n v="11"/>
    <n v="5"/>
    <n v="3845"/>
    <n v="1922"/>
    <n v="40373"/>
    <n v="1922"/>
    <n v="44217"/>
  </r>
  <r>
    <n v="3610"/>
    <x v="6"/>
    <s v="Female"/>
    <n v="22"/>
    <s v="Chennai"/>
    <x v="1"/>
    <n v="81972"/>
    <d v="2023-01-10T00:00:00"/>
    <n v="16"/>
    <n v="5"/>
    <n v="8197"/>
    <n v="4099"/>
    <n v="86070"/>
    <n v="4099"/>
    <n v="94268"/>
  </r>
  <r>
    <n v="3611"/>
    <x v="0"/>
    <s v="Male"/>
    <n v="45"/>
    <s v="Mumbai"/>
    <x v="4"/>
    <n v="33020"/>
    <d v="2024-06-07T00:00:00"/>
    <n v="3"/>
    <n v="1"/>
    <n v="3302"/>
    <n v="1651"/>
    <n v="34671"/>
    <n v="0"/>
    <n v="36322"/>
  </r>
  <r>
    <n v="3612"/>
    <x v="3"/>
    <s v="Female"/>
    <n v="53"/>
    <s v="Chennai"/>
    <x v="3"/>
    <n v="21132"/>
    <d v="2023-10-02T00:00:00"/>
    <n v="10"/>
    <n v="3"/>
    <n v="2113"/>
    <n v="1057"/>
    <n v="22188"/>
    <n v="1057"/>
    <n v="24302"/>
  </r>
  <r>
    <n v="3613"/>
    <x v="5"/>
    <s v="Female"/>
    <n v="60"/>
    <s v="Bangalore"/>
    <x v="1"/>
    <n v="31792"/>
    <d v="2023-01-24T00:00:00"/>
    <n v="20"/>
    <n v="5"/>
    <n v="3179"/>
    <n v="1590"/>
    <n v="33381"/>
    <n v="1590"/>
    <n v="36561"/>
  </r>
  <r>
    <n v="3614"/>
    <x v="5"/>
    <s v="Female"/>
    <n v="39"/>
    <s v="Mumbai"/>
    <x v="3"/>
    <n v="52811"/>
    <d v="2022-05-05T00:00:00"/>
    <n v="1"/>
    <n v="2"/>
    <n v="5281"/>
    <n v="2641"/>
    <n v="55451"/>
    <n v="0"/>
    <n v="58092"/>
  </r>
  <r>
    <n v="3615"/>
    <x v="4"/>
    <s v="Female"/>
    <n v="32"/>
    <s v="Bangalore"/>
    <x v="2"/>
    <n v="35889"/>
    <d v="2023-08-23T00:00:00"/>
    <n v="6"/>
    <n v="4"/>
    <n v="3589"/>
    <n v="1794"/>
    <n v="37684"/>
    <n v="1794"/>
    <n v="41272"/>
  </r>
  <r>
    <n v="3616"/>
    <x v="5"/>
    <s v="Male"/>
    <n v="31"/>
    <s v="Hyderabad"/>
    <x v="3"/>
    <n v="36126"/>
    <d v="2023-09-21T00:00:00"/>
    <n v="2"/>
    <n v="4"/>
    <n v="3613"/>
    <n v="1806"/>
    <n v="37933"/>
    <n v="0"/>
    <n v="39739"/>
  </r>
  <r>
    <n v="3617"/>
    <x v="7"/>
    <s v="Male"/>
    <n v="39"/>
    <s v="Bangalore"/>
    <x v="1"/>
    <n v="51450"/>
    <d v="2024-02-05T00:00:00"/>
    <n v="12"/>
    <n v="1"/>
    <n v="5145"/>
    <n v="2572"/>
    <n v="54023"/>
    <n v="2572"/>
    <n v="59167"/>
  </r>
  <r>
    <n v="3618"/>
    <x v="6"/>
    <s v="Female"/>
    <n v="50"/>
    <s v="Bangalore"/>
    <x v="3"/>
    <n v="79695"/>
    <d v="2024-02-05T00:00:00"/>
    <n v="12"/>
    <n v="5"/>
    <n v="7970"/>
    <n v="3985"/>
    <n v="83680"/>
    <n v="3985"/>
    <n v="91650"/>
  </r>
  <r>
    <n v="3619"/>
    <x v="6"/>
    <s v="Male"/>
    <n v="56"/>
    <s v="Mumbai"/>
    <x v="1"/>
    <n v="82740"/>
    <d v="2023-10-09T00:00:00"/>
    <n v="6"/>
    <n v="4"/>
    <n v="8274"/>
    <n v="4137"/>
    <n v="86877"/>
    <n v="4137"/>
    <n v="95151"/>
  </r>
  <r>
    <n v="3620"/>
    <x v="6"/>
    <s v="Male"/>
    <n v="39"/>
    <s v="Chennai"/>
    <x v="0"/>
    <n v="84539"/>
    <d v="2024-01-28T00:00:00"/>
    <n v="16"/>
    <n v="3"/>
    <n v="8454"/>
    <n v="4227"/>
    <n v="88766"/>
    <n v="4227"/>
    <n v="97220"/>
  </r>
  <r>
    <n v="3621"/>
    <x v="9"/>
    <s v="Male"/>
    <n v="30"/>
    <s v="Hyderabad"/>
    <x v="4"/>
    <n v="47555"/>
    <d v="2023-11-22T00:00:00"/>
    <n v="1"/>
    <n v="2"/>
    <n v="4756"/>
    <n v="2378"/>
    <n v="49933"/>
    <n v="0"/>
    <n v="52311"/>
  </r>
  <r>
    <n v="3622"/>
    <x v="1"/>
    <s v="Male"/>
    <n v="22"/>
    <s v="Mumbai"/>
    <x v="1"/>
    <n v="27591"/>
    <d v="2023-04-04T00:00:00"/>
    <n v="11"/>
    <n v="4"/>
    <n v="2759"/>
    <n v="1380"/>
    <n v="28970"/>
    <n v="1380"/>
    <n v="31730"/>
  </r>
  <r>
    <n v="3623"/>
    <x v="2"/>
    <s v="Male"/>
    <n v="33"/>
    <s v="Mumbai"/>
    <x v="3"/>
    <n v="38883"/>
    <d v="2023-02-02T00:00:00"/>
    <n v="4"/>
    <n v="2"/>
    <n v="3888"/>
    <n v="1944"/>
    <n v="40827"/>
    <n v="0"/>
    <n v="42771"/>
  </r>
  <r>
    <n v="3624"/>
    <x v="2"/>
    <s v="Male"/>
    <n v="56"/>
    <s v="Bangalore"/>
    <x v="4"/>
    <n v="28799"/>
    <d v="2024-03-13T00:00:00"/>
    <n v="20"/>
    <n v="2"/>
    <n v="2880"/>
    <n v="1440"/>
    <n v="30239"/>
    <n v="1440"/>
    <n v="33119"/>
  </r>
  <r>
    <n v="3625"/>
    <x v="5"/>
    <s v="Female"/>
    <n v="59"/>
    <s v="Hyderabad"/>
    <x v="3"/>
    <n v="88052"/>
    <d v="2022-10-18T00:00:00"/>
    <n v="17"/>
    <n v="1"/>
    <n v="8805"/>
    <n v="4403"/>
    <n v="92454"/>
    <n v="4403"/>
    <n v="101260"/>
  </r>
  <r>
    <n v="3626"/>
    <x v="4"/>
    <s v="Female"/>
    <n v="24"/>
    <s v="Mumbai"/>
    <x v="3"/>
    <n v="23357"/>
    <d v="2023-01-23T00:00:00"/>
    <n v="8"/>
    <n v="1"/>
    <n v="2336"/>
    <n v="1168"/>
    <n v="24525"/>
    <n v="1168"/>
    <n v="26861"/>
  </r>
  <r>
    <n v="3627"/>
    <x v="3"/>
    <s v="Male"/>
    <n v="60"/>
    <s v="Chennai"/>
    <x v="3"/>
    <n v="97437"/>
    <d v="2022-04-15T00:00:00"/>
    <n v="1"/>
    <n v="4"/>
    <n v="9744"/>
    <n v="4872"/>
    <n v="102309"/>
    <n v="0"/>
    <n v="107181"/>
  </r>
  <r>
    <n v="3628"/>
    <x v="4"/>
    <s v="Female"/>
    <n v="45"/>
    <s v="Hyderabad"/>
    <x v="1"/>
    <n v="85850"/>
    <d v="2024-03-18T00:00:00"/>
    <n v="3"/>
    <n v="1"/>
    <n v="8585"/>
    <n v="4292"/>
    <n v="90143"/>
    <n v="0"/>
    <n v="94435"/>
  </r>
  <r>
    <n v="3629"/>
    <x v="0"/>
    <s v="Male"/>
    <n v="45"/>
    <s v="Chennai"/>
    <x v="3"/>
    <n v="46964"/>
    <d v="2024-09-12T00:00:00"/>
    <n v="12"/>
    <n v="1"/>
    <n v="4696"/>
    <n v="2348"/>
    <n v="49312"/>
    <n v="2348"/>
    <n v="54008"/>
  </r>
  <r>
    <n v="3630"/>
    <x v="5"/>
    <s v="Female"/>
    <n v="54"/>
    <s v="Mumbai"/>
    <x v="4"/>
    <n v="53717"/>
    <d v="2023-11-15T00:00:00"/>
    <n v="13"/>
    <n v="4"/>
    <n v="5372"/>
    <n v="2686"/>
    <n v="56403"/>
    <n v="2686"/>
    <n v="61775"/>
  </r>
  <r>
    <n v="3631"/>
    <x v="9"/>
    <s v="Female"/>
    <n v="54"/>
    <s v="Mumbai"/>
    <x v="2"/>
    <n v="45757"/>
    <d v="2024-08-30T00:00:00"/>
    <n v="5"/>
    <n v="4"/>
    <n v="4576"/>
    <n v="2288"/>
    <n v="48045"/>
    <n v="0"/>
    <n v="50333"/>
  </r>
  <r>
    <n v="3632"/>
    <x v="3"/>
    <s v="Female"/>
    <n v="44"/>
    <s v="Chennai"/>
    <x v="3"/>
    <n v="75604"/>
    <d v="2022-11-17T00:00:00"/>
    <n v="3"/>
    <n v="4"/>
    <n v="7560"/>
    <n v="3780"/>
    <n v="79384"/>
    <n v="0"/>
    <n v="83164"/>
  </r>
  <r>
    <n v="3633"/>
    <x v="1"/>
    <s v="Female"/>
    <n v="37"/>
    <s v="Delhi"/>
    <x v="1"/>
    <n v="24666"/>
    <d v="2022-02-21T00:00:00"/>
    <n v="5"/>
    <n v="1"/>
    <n v="2467"/>
    <n v="1233"/>
    <n v="25900"/>
    <n v="0"/>
    <n v="27133"/>
  </r>
  <r>
    <n v="3634"/>
    <x v="7"/>
    <s v="Male"/>
    <n v="45"/>
    <s v="Chennai"/>
    <x v="3"/>
    <n v="40316"/>
    <d v="2023-12-13T00:00:00"/>
    <n v="17"/>
    <n v="2"/>
    <n v="4032"/>
    <n v="2016"/>
    <n v="42332"/>
    <n v="2016"/>
    <n v="46364"/>
  </r>
  <r>
    <n v="3635"/>
    <x v="2"/>
    <s v="Male"/>
    <n v="57"/>
    <s v="Bangalore"/>
    <x v="1"/>
    <n v="63516"/>
    <d v="2024-01-25T00:00:00"/>
    <n v="18"/>
    <n v="3"/>
    <n v="6352"/>
    <n v="3176"/>
    <n v="66692"/>
    <n v="3176"/>
    <n v="73044"/>
  </r>
  <r>
    <n v="3636"/>
    <x v="5"/>
    <s v="Female"/>
    <n v="44"/>
    <s v="Mumbai"/>
    <x v="1"/>
    <n v="92088"/>
    <d v="2024-09-04T00:00:00"/>
    <n v="14"/>
    <n v="5"/>
    <n v="9209"/>
    <n v="4604"/>
    <n v="96693"/>
    <n v="4604"/>
    <n v="105901"/>
  </r>
  <r>
    <n v="3637"/>
    <x v="9"/>
    <s v="Male"/>
    <n v="22"/>
    <s v="Chennai"/>
    <x v="0"/>
    <n v="23089"/>
    <d v="2024-04-08T00:00:00"/>
    <n v="8"/>
    <n v="1"/>
    <n v="2309"/>
    <n v="1154"/>
    <n v="24244"/>
    <n v="1154"/>
    <n v="26552"/>
  </r>
  <r>
    <n v="3638"/>
    <x v="3"/>
    <s v="Male"/>
    <n v="36"/>
    <s v="Mumbai"/>
    <x v="1"/>
    <n v="89081"/>
    <d v="2023-11-25T00:00:00"/>
    <n v="11"/>
    <n v="1"/>
    <n v="8908"/>
    <n v="4454"/>
    <n v="93535"/>
    <n v="4454"/>
    <n v="102443"/>
  </r>
  <r>
    <n v="3639"/>
    <x v="0"/>
    <s v="Female"/>
    <n v="35"/>
    <s v="Mumbai"/>
    <x v="3"/>
    <n v="33307"/>
    <d v="2023-09-22T00:00:00"/>
    <n v="10"/>
    <n v="3"/>
    <n v="3331"/>
    <n v="1665"/>
    <n v="34973"/>
    <n v="1665"/>
    <n v="38303"/>
  </r>
  <r>
    <n v="3640"/>
    <x v="8"/>
    <s v="Female"/>
    <n v="39"/>
    <s v="Bangalore"/>
    <x v="1"/>
    <n v="66823"/>
    <d v="2023-03-13T00:00:00"/>
    <n v="19"/>
    <n v="5"/>
    <n v="6682"/>
    <n v="3341"/>
    <n v="70164"/>
    <n v="3341"/>
    <n v="76846"/>
  </r>
  <r>
    <n v="3641"/>
    <x v="9"/>
    <s v="Male"/>
    <n v="55"/>
    <s v="Delhi"/>
    <x v="0"/>
    <n v="40578"/>
    <d v="2022-09-27T00:00:00"/>
    <n v="6"/>
    <n v="1"/>
    <n v="4058"/>
    <n v="2029"/>
    <n v="42607"/>
    <n v="2029"/>
    <n v="46665"/>
  </r>
  <r>
    <n v="3642"/>
    <x v="4"/>
    <s v="Male"/>
    <n v="48"/>
    <s v="Hyderabad"/>
    <x v="0"/>
    <n v="23362"/>
    <d v="2023-07-27T00:00:00"/>
    <n v="16"/>
    <n v="4"/>
    <n v="2336"/>
    <n v="1168"/>
    <n v="24530"/>
    <n v="1168"/>
    <n v="26866"/>
  </r>
  <r>
    <n v="3643"/>
    <x v="2"/>
    <s v="Male"/>
    <n v="23"/>
    <s v="Chennai"/>
    <x v="1"/>
    <n v="75373"/>
    <d v="2023-09-10T00:00:00"/>
    <n v="14"/>
    <n v="2"/>
    <n v="7537"/>
    <n v="3769"/>
    <n v="79141"/>
    <n v="3769"/>
    <n v="86679"/>
  </r>
  <r>
    <n v="3644"/>
    <x v="7"/>
    <s v="Female"/>
    <n v="60"/>
    <s v="Bangalore"/>
    <x v="3"/>
    <n v="45922"/>
    <d v="2022-09-26T00:00:00"/>
    <n v="16"/>
    <n v="1"/>
    <n v="4592"/>
    <n v="2296"/>
    <n v="48218"/>
    <n v="2296"/>
    <n v="52810"/>
  </r>
  <r>
    <n v="3645"/>
    <x v="1"/>
    <s v="Male"/>
    <n v="48"/>
    <s v="Hyderabad"/>
    <x v="0"/>
    <n v="58620"/>
    <d v="2023-05-28T00:00:00"/>
    <n v="3"/>
    <n v="4"/>
    <n v="5862"/>
    <n v="2931"/>
    <n v="61551"/>
    <n v="0"/>
    <n v="64482"/>
  </r>
  <r>
    <n v="3646"/>
    <x v="6"/>
    <s v="Male"/>
    <n v="52"/>
    <s v="Hyderabad"/>
    <x v="1"/>
    <n v="72526"/>
    <d v="2023-05-15T00:00:00"/>
    <n v="9"/>
    <n v="1"/>
    <n v="7253"/>
    <n v="3626"/>
    <n v="76153"/>
    <n v="3626"/>
    <n v="83405"/>
  </r>
  <r>
    <n v="3647"/>
    <x v="9"/>
    <s v="Female"/>
    <n v="26"/>
    <s v="Mumbai"/>
    <x v="1"/>
    <n v="38323"/>
    <d v="2023-01-27T00:00:00"/>
    <n v="2"/>
    <n v="5"/>
    <n v="3832"/>
    <n v="1916"/>
    <n v="40239"/>
    <n v="0"/>
    <n v="42155"/>
  </r>
  <r>
    <n v="3648"/>
    <x v="2"/>
    <s v="Male"/>
    <n v="24"/>
    <s v="Mumbai"/>
    <x v="2"/>
    <n v="71137"/>
    <d v="2023-12-23T00:00:00"/>
    <n v="19"/>
    <n v="4"/>
    <n v="7114"/>
    <n v="3557"/>
    <n v="74694"/>
    <n v="3557"/>
    <n v="81808"/>
  </r>
  <r>
    <n v="3649"/>
    <x v="9"/>
    <s v="Male"/>
    <n v="51"/>
    <s v="Delhi"/>
    <x v="3"/>
    <n v="91041"/>
    <d v="2023-10-01T00:00:00"/>
    <n v="20"/>
    <n v="4"/>
    <n v="9104"/>
    <n v="4552"/>
    <n v="95593"/>
    <n v="4552"/>
    <n v="104697"/>
  </r>
  <r>
    <n v="3650"/>
    <x v="7"/>
    <s v="Female"/>
    <n v="35"/>
    <s v="Chennai"/>
    <x v="2"/>
    <n v="33456"/>
    <d v="2023-09-05T00:00:00"/>
    <n v="2"/>
    <n v="1"/>
    <n v="3346"/>
    <n v="1673"/>
    <n v="35129"/>
    <n v="0"/>
    <n v="36802"/>
  </r>
  <r>
    <n v="3651"/>
    <x v="2"/>
    <s v="Female"/>
    <n v="34"/>
    <s v="Delhi"/>
    <x v="3"/>
    <n v="49240"/>
    <d v="2024-02-04T00:00:00"/>
    <n v="18"/>
    <n v="5"/>
    <n v="4924"/>
    <n v="2462"/>
    <n v="51702"/>
    <n v="2462"/>
    <n v="56626"/>
  </r>
  <r>
    <n v="3652"/>
    <x v="1"/>
    <s v="Female"/>
    <n v="59"/>
    <s v="Delhi"/>
    <x v="4"/>
    <n v="20301"/>
    <d v="2022-02-15T00:00:00"/>
    <n v="18"/>
    <n v="1"/>
    <n v="2030"/>
    <n v="1015"/>
    <n v="21316"/>
    <n v="1015"/>
    <n v="23346"/>
  </r>
  <r>
    <n v="3653"/>
    <x v="6"/>
    <s v="Female"/>
    <n v="23"/>
    <s v="Chennai"/>
    <x v="4"/>
    <n v="52423"/>
    <d v="2023-05-23T00:00:00"/>
    <n v="14"/>
    <n v="2"/>
    <n v="5242"/>
    <n v="2621"/>
    <n v="55044"/>
    <n v="2621"/>
    <n v="60286"/>
  </r>
  <r>
    <n v="3654"/>
    <x v="9"/>
    <s v="Male"/>
    <n v="57"/>
    <s v="Mumbai"/>
    <x v="0"/>
    <n v="82175"/>
    <d v="2022-10-18T00:00:00"/>
    <n v="12"/>
    <n v="1"/>
    <n v="8218"/>
    <n v="4109"/>
    <n v="86284"/>
    <n v="4109"/>
    <n v="94502"/>
  </r>
  <r>
    <n v="3655"/>
    <x v="8"/>
    <s v="Female"/>
    <n v="54"/>
    <s v="Delhi"/>
    <x v="3"/>
    <n v="39229"/>
    <d v="2022-01-28T00:00:00"/>
    <n v="12"/>
    <n v="4"/>
    <n v="3923"/>
    <n v="1961"/>
    <n v="41191"/>
    <n v="1961"/>
    <n v="45113"/>
  </r>
  <r>
    <n v="3656"/>
    <x v="9"/>
    <s v="Male"/>
    <n v="51"/>
    <s v="Mumbai"/>
    <x v="1"/>
    <n v="25829"/>
    <d v="2022-10-19T00:00:00"/>
    <n v="10"/>
    <n v="1"/>
    <n v="2583"/>
    <n v="1291"/>
    <n v="27121"/>
    <n v="1291"/>
    <n v="29703"/>
  </r>
  <r>
    <n v="3657"/>
    <x v="5"/>
    <s v="Female"/>
    <n v="47"/>
    <s v="Chennai"/>
    <x v="2"/>
    <n v="68637"/>
    <d v="2022-04-17T00:00:00"/>
    <n v="18"/>
    <n v="4"/>
    <n v="6864"/>
    <n v="3432"/>
    <n v="72069"/>
    <n v="3432"/>
    <n v="78933"/>
  </r>
  <r>
    <n v="3658"/>
    <x v="9"/>
    <s v="Female"/>
    <n v="33"/>
    <s v="Bangalore"/>
    <x v="4"/>
    <n v="80887"/>
    <d v="2024-05-20T00:00:00"/>
    <n v="11"/>
    <n v="5"/>
    <n v="8089"/>
    <n v="4044"/>
    <n v="84932"/>
    <n v="4044"/>
    <n v="93020"/>
  </r>
  <r>
    <n v="3659"/>
    <x v="0"/>
    <s v="Male"/>
    <n v="26"/>
    <s v="Mumbai"/>
    <x v="1"/>
    <n v="44930"/>
    <d v="2023-01-07T00:00:00"/>
    <n v="11"/>
    <n v="1"/>
    <n v="4493"/>
    <n v="2246"/>
    <n v="47177"/>
    <n v="2246"/>
    <n v="51669"/>
  </r>
  <r>
    <n v="3660"/>
    <x v="8"/>
    <s v="Male"/>
    <n v="40"/>
    <s v="Hyderabad"/>
    <x v="1"/>
    <n v="68168"/>
    <d v="2024-08-03T00:00:00"/>
    <n v="20"/>
    <n v="5"/>
    <n v="6817"/>
    <n v="3408"/>
    <n v="71577"/>
    <n v="3408"/>
    <n v="78393"/>
  </r>
  <r>
    <n v="3661"/>
    <x v="7"/>
    <s v="Male"/>
    <n v="55"/>
    <s v="Delhi"/>
    <x v="0"/>
    <n v="37060"/>
    <d v="2023-04-15T00:00:00"/>
    <n v="13"/>
    <n v="4"/>
    <n v="3706"/>
    <n v="1853"/>
    <n v="38913"/>
    <n v="1853"/>
    <n v="42619"/>
  </r>
  <r>
    <n v="3662"/>
    <x v="2"/>
    <s v="Female"/>
    <n v="60"/>
    <s v="Hyderabad"/>
    <x v="3"/>
    <n v="43117"/>
    <d v="2023-03-25T00:00:00"/>
    <n v="20"/>
    <n v="3"/>
    <n v="4312"/>
    <n v="2156"/>
    <n v="45273"/>
    <n v="2156"/>
    <n v="49585"/>
  </r>
  <r>
    <n v="3663"/>
    <x v="3"/>
    <s v="Female"/>
    <n v="45"/>
    <s v="Bangalore"/>
    <x v="1"/>
    <n v="22559"/>
    <d v="2023-09-23T00:00:00"/>
    <n v="3"/>
    <n v="2"/>
    <n v="2256"/>
    <n v="1128"/>
    <n v="23687"/>
    <n v="0"/>
    <n v="24815"/>
  </r>
  <r>
    <n v="3664"/>
    <x v="5"/>
    <s v="Male"/>
    <n v="30"/>
    <s v="Hyderabad"/>
    <x v="1"/>
    <n v="38979"/>
    <d v="2022-05-06T00:00:00"/>
    <n v="10"/>
    <n v="2"/>
    <n v="3898"/>
    <n v="1949"/>
    <n v="40928"/>
    <n v="1949"/>
    <n v="44826"/>
  </r>
  <r>
    <n v="3665"/>
    <x v="9"/>
    <s v="Male"/>
    <n v="32"/>
    <s v="Chennai"/>
    <x v="2"/>
    <n v="51327"/>
    <d v="2023-03-22T00:00:00"/>
    <n v="5"/>
    <n v="3"/>
    <n v="5133"/>
    <n v="2566"/>
    <n v="53894"/>
    <n v="0"/>
    <n v="56460"/>
  </r>
  <r>
    <n v="3666"/>
    <x v="3"/>
    <s v="Female"/>
    <n v="35"/>
    <s v="Delhi"/>
    <x v="4"/>
    <n v="43913"/>
    <d v="2022-08-25T00:00:00"/>
    <n v="3"/>
    <n v="3"/>
    <n v="4391"/>
    <n v="2196"/>
    <n v="46108"/>
    <n v="0"/>
    <n v="48304"/>
  </r>
  <r>
    <n v="3667"/>
    <x v="5"/>
    <s v="Male"/>
    <n v="45"/>
    <s v="Chennai"/>
    <x v="0"/>
    <n v="74671"/>
    <d v="2023-08-06T00:00:00"/>
    <n v="16"/>
    <n v="2"/>
    <n v="7467"/>
    <n v="3734"/>
    <n v="78404"/>
    <n v="3734"/>
    <n v="85872"/>
  </r>
  <r>
    <n v="3668"/>
    <x v="9"/>
    <s v="Male"/>
    <n v="37"/>
    <s v="Mumbai"/>
    <x v="1"/>
    <n v="60857"/>
    <d v="2024-09-15T00:00:00"/>
    <n v="11"/>
    <n v="5"/>
    <n v="6086"/>
    <n v="3043"/>
    <n v="63900"/>
    <n v="3043"/>
    <n v="69986"/>
  </r>
  <r>
    <n v="3669"/>
    <x v="6"/>
    <s v="Female"/>
    <n v="37"/>
    <s v="Hyderabad"/>
    <x v="4"/>
    <n v="81246"/>
    <d v="2024-01-18T00:00:00"/>
    <n v="10"/>
    <n v="3"/>
    <n v="8125"/>
    <n v="4062"/>
    <n v="85309"/>
    <n v="4062"/>
    <n v="93433"/>
  </r>
  <r>
    <n v="3670"/>
    <x v="6"/>
    <s v="Female"/>
    <n v="23"/>
    <s v="Mumbai"/>
    <x v="2"/>
    <n v="91544"/>
    <d v="2024-05-02T00:00:00"/>
    <n v="12"/>
    <n v="1"/>
    <n v="9154"/>
    <n v="4577"/>
    <n v="96121"/>
    <n v="4577"/>
    <n v="105275"/>
  </r>
  <r>
    <n v="3671"/>
    <x v="7"/>
    <s v="Female"/>
    <n v="25"/>
    <s v="Bangalore"/>
    <x v="3"/>
    <n v="43901"/>
    <d v="2022-11-25T00:00:00"/>
    <n v="1"/>
    <n v="5"/>
    <n v="4390"/>
    <n v="2195"/>
    <n v="46096"/>
    <n v="0"/>
    <n v="48291"/>
  </r>
  <r>
    <n v="3672"/>
    <x v="8"/>
    <s v="Male"/>
    <n v="58"/>
    <s v="Mumbai"/>
    <x v="0"/>
    <n v="39345"/>
    <d v="2022-02-26T00:00:00"/>
    <n v="10"/>
    <n v="5"/>
    <n v="3934"/>
    <n v="1967"/>
    <n v="41312"/>
    <n v="1967"/>
    <n v="45246"/>
  </r>
  <r>
    <n v="3673"/>
    <x v="4"/>
    <s v="Female"/>
    <n v="29"/>
    <s v="Mumbai"/>
    <x v="4"/>
    <n v="27696"/>
    <d v="2023-05-19T00:00:00"/>
    <n v="14"/>
    <n v="2"/>
    <n v="2770"/>
    <n v="1385"/>
    <n v="29081"/>
    <n v="1385"/>
    <n v="31851"/>
  </r>
  <r>
    <n v="3674"/>
    <x v="5"/>
    <s v="Female"/>
    <n v="58"/>
    <s v="Delhi"/>
    <x v="0"/>
    <n v="93166"/>
    <d v="2024-02-10T00:00:00"/>
    <n v="17"/>
    <n v="4"/>
    <n v="9317"/>
    <n v="4658"/>
    <n v="97825"/>
    <n v="4658"/>
    <n v="107141"/>
  </r>
  <r>
    <n v="3675"/>
    <x v="2"/>
    <s v="Female"/>
    <n v="32"/>
    <s v="Hyderabad"/>
    <x v="3"/>
    <n v="51332"/>
    <d v="2023-02-02T00:00:00"/>
    <n v="3"/>
    <n v="4"/>
    <n v="5133"/>
    <n v="2567"/>
    <n v="53898"/>
    <n v="0"/>
    <n v="56465"/>
  </r>
  <r>
    <n v="3676"/>
    <x v="5"/>
    <s v="Male"/>
    <n v="50"/>
    <s v="Chennai"/>
    <x v="2"/>
    <n v="48739"/>
    <d v="2024-02-24T00:00:00"/>
    <n v="10"/>
    <n v="4"/>
    <n v="4874"/>
    <n v="2437"/>
    <n v="51176"/>
    <n v="2437"/>
    <n v="56050"/>
  </r>
  <r>
    <n v="3677"/>
    <x v="3"/>
    <s v="Male"/>
    <n v="22"/>
    <s v="Bangalore"/>
    <x v="0"/>
    <n v="56577"/>
    <d v="2022-12-18T00:00:00"/>
    <n v="19"/>
    <n v="1"/>
    <n v="5658"/>
    <n v="2829"/>
    <n v="59406"/>
    <n v="2829"/>
    <n v="65064"/>
  </r>
  <r>
    <n v="3678"/>
    <x v="2"/>
    <s v="Male"/>
    <n v="47"/>
    <s v="Mumbai"/>
    <x v="3"/>
    <n v="22124"/>
    <d v="2023-03-28T00:00:00"/>
    <n v="16"/>
    <n v="2"/>
    <n v="2212"/>
    <n v="1106"/>
    <n v="23230"/>
    <n v="1106"/>
    <n v="25442"/>
  </r>
  <r>
    <n v="3679"/>
    <x v="2"/>
    <s v="Male"/>
    <n v="32"/>
    <s v="Delhi"/>
    <x v="4"/>
    <n v="47813"/>
    <d v="2023-07-12T00:00:00"/>
    <n v="20"/>
    <n v="1"/>
    <n v="4781"/>
    <n v="2391"/>
    <n v="50203"/>
    <n v="2391"/>
    <n v="54985"/>
  </r>
  <r>
    <n v="3680"/>
    <x v="8"/>
    <s v="Female"/>
    <n v="34"/>
    <s v="Bangalore"/>
    <x v="3"/>
    <n v="49317"/>
    <d v="2023-10-04T00:00:00"/>
    <n v="20"/>
    <n v="1"/>
    <n v="4932"/>
    <n v="2466"/>
    <n v="51783"/>
    <n v="2466"/>
    <n v="56715"/>
  </r>
  <r>
    <n v="3681"/>
    <x v="9"/>
    <s v="Female"/>
    <n v="46"/>
    <s v="Chennai"/>
    <x v="2"/>
    <n v="28800"/>
    <d v="2023-03-24T00:00:00"/>
    <n v="1"/>
    <n v="1"/>
    <n v="2880"/>
    <n v="1440"/>
    <n v="30240"/>
    <n v="0"/>
    <n v="31680"/>
  </r>
  <r>
    <n v="3682"/>
    <x v="5"/>
    <s v="Female"/>
    <n v="32"/>
    <s v="Mumbai"/>
    <x v="3"/>
    <n v="57582"/>
    <d v="2024-06-22T00:00:00"/>
    <n v="9"/>
    <n v="5"/>
    <n v="5758"/>
    <n v="2879"/>
    <n v="60461"/>
    <n v="2879"/>
    <n v="66219"/>
  </r>
  <r>
    <n v="3683"/>
    <x v="2"/>
    <s v="Male"/>
    <n v="44"/>
    <s v="Chennai"/>
    <x v="2"/>
    <n v="73702"/>
    <d v="2024-04-12T00:00:00"/>
    <n v="18"/>
    <n v="5"/>
    <n v="7370"/>
    <n v="3685"/>
    <n v="77387"/>
    <n v="3685"/>
    <n v="84757"/>
  </r>
  <r>
    <n v="3684"/>
    <x v="6"/>
    <s v="Male"/>
    <n v="60"/>
    <s v="Bangalore"/>
    <x v="1"/>
    <n v="54763"/>
    <d v="2023-08-14T00:00:00"/>
    <n v="8"/>
    <n v="2"/>
    <n v="5476"/>
    <n v="2738"/>
    <n v="57501"/>
    <n v="2738"/>
    <n v="62977"/>
  </r>
  <r>
    <n v="3685"/>
    <x v="2"/>
    <s v="Female"/>
    <n v="57"/>
    <s v="Delhi"/>
    <x v="3"/>
    <n v="89022"/>
    <d v="2022-12-26T00:00:00"/>
    <n v="6"/>
    <n v="4"/>
    <n v="8902"/>
    <n v="4451"/>
    <n v="93473"/>
    <n v="4451"/>
    <n v="102375"/>
  </r>
  <r>
    <n v="3686"/>
    <x v="5"/>
    <s v="Male"/>
    <n v="28"/>
    <s v="Chennai"/>
    <x v="0"/>
    <n v="39313"/>
    <d v="2023-10-29T00:00:00"/>
    <n v="5"/>
    <n v="3"/>
    <n v="3931"/>
    <n v="1966"/>
    <n v="41278"/>
    <n v="0"/>
    <n v="43244"/>
  </r>
  <r>
    <n v="3687"/>
    <x v="7"/>
    <s v="Female"/>
    <n v="27"/>
    <s v="Chennai"/>
    <x v="0"/>
    <n v="40231"/>
    <d v="2024-09-06T00:00:00"/>
    <n v="18"/>
    <n v="3"/>
    <n v="4023"/>
    <n v="2012"/>
    <n v="42242"/>
    <n v="2012"/>
    <n v="46266"/>
  </r>
  <r>
    <n v="3688"/>
    <x v="2"/>
    <s v="Male"/>
    <n v="25"/>
    <s v="Mumbai"/>
    <x v="1"/>
    <n v="39584"/>
    <d v="2024-04-29T00:00:00"/>
    <n v="6"/>
    <n v="5"/>
    <n v="3958"/>
    <n v="1979"/>
    <n v="41563"/>
    <n v="1979"/>
    <n v="45521"/>
  </r>
  <r>
    <n v="3689"/>
    <x v="2"/>
    <s v="Female"/>
    <n v="39"/>
    <s v="Mumbai"/>
    <x v="1"/>
    <n v="95713"/>
    <d v="2023-12-25T00:00:00"/>
    <n v="7"/>
    <n v="5"/>
    <n v="9571"/>
    <n v="4786"/>
    <n v="100498"/>
    <n v="4786"/>
    <n v="110070"/>
  </r>
  <r>
    <n v="3690"/>
    <x v="3"/>
    <s v="Male"/>
    <n v="59"/>
    <s v="Mumbai"/>
    <x v="1"/>
    <n v="57711"/>
    <d v="2023-02-22T00:00:00"/>
    <n v="19"/>
    <n v="4"/>
    <n v="5771"/>
    <n v="2886"/>
    <n v="60596"/>
    <n v="2886"/>
    <n v="66368"/>
  </r>
  <r>
    <n v="3691"/>
    <x v="3"/>
    <s v="Male"/>
    <n v="59"/>
    <s v="Mumbai"/>
    <x v="1"/>
    <n v="73779"/>
    <d v="2022-07-24T00:00:00"/>
    <n v="6"/>
    <n v="4"/>
    <n v="7378"/>
    <n v="3689"/>
    <n v="77468"/>
    <n v="3689"/>
    <n v="84846"/>
  </r>
  <r>
    <n v="3692"/>
    <x v="0"/>
    <s v="Male"/>
    <n v="46"/>
    <s v="Hyderabad"/>
    <x v="2"/>
    <n v="31518"/>
    <d v="2024-06-21T00:00:00"/>
    <n v="7"/>
    <n v="2"/>
    <n v="3152"/>
    <n v="1576"/>
    <n v="33094"/>
    <n v="1576"/>
    <n v="36246"/>
  </r>
  <r>
    <n v="3693"/>
    <x v="6"/>
    <s v="Male"/>
    <n v="57"/>
    <s v="Bangalore"/>
    <x v="0"/>
    <n v="63805"/>
    <d v="2024-08-29T00:00:00"/>
    <n v="12"/>
    <n v="1"/>
    <n v="6380"/>
    <n v="3190"/>
    <n v="66995"/>
    <n v="3190"/>
    <n v="73375"/>
  </r>
  <r>
    <n v="3694"/>
    <x v="7"/>
    <s v="Female"/>
    <n v="32"/>
    <s v="Chennai"/>
    <x v="3"/>
    <n v="77493"/>
    <d v="2023-07-22T00:00:00"/>
    <n v="1"/>
    <n v="2"/>
    <n v="7749"/>
    <n v="3875"/>
    <n v="81367"/>
    <n v="0"/>
    <n v="85242"/>
  </r>
  <r>
    <n v="3695"/>
    <x v="5"/>
    <s v="Female"/>
    <n v="31"/>
    <s v="Mumbai"/>
    <x v="2"/>
    <n v="35307"/>
    <d v="2023-09-14T00:00:00"/>
    <n v="5"/>
    <n v="3"/>
    <n v="3531"/>
    <n v="1765"/>
    <n v="37073"/>
    <n v="0"/>
    <n v="38838"/>
  </r>
  <r>
    <n v="3696"/>
    <x v="9"/>
    <s v="Female"/>
    <n v="60"/>
    <s v="Hyderabad"/>
    <x v="4"/>
    <n v="26823"/>
    <d v="2022-08-28T00:00:00"/>
    <n v="11"/>
    <n v="5"/>
    <n v="2682"/>
    <n v="1341"/>
    <n v="28164"/>
    <n v="1341"/>
    <n v="30846"/>
  </r>
  <r>
    <n v="3697"/>
    <x v="3"/>
    <s v="Female"/>
    <n v="23"/>
    <s v="Delhi"/>
    <x v="2"/>
    <n v="74393"/>
    <d v="2024-04-22T00:00:00"/>
    <n v="10"/>
    <n v="3"/>
    <n v="7439"/>
    <n v="3720"/>
    <n v="78112"/>
    <n v="3720"/>
    <n v="85552"/>
  </r>
  <r>
    <n v="3698"/>
    <x v="2"/>
    <s v="Male"/>
    <n v="31"/>
    <s v="Mumbai"/>
    <x v="1"/>
    <n v="25570"/>
    <d v="2024-06-10T00:00:00"/>
    <n v="1"/>
    <n v="4"/>
    <n v="2557"/>
    <n v="1278"/>
    <n v="26849"/>
    <n v="0"/>
    <n v="28127"/>
  </r>
  <r>
    <n v="3699"/>
    <x v="4"/>
    <s v="Female"/>
    <n v="44"/>
    <s v="Delhi"/>
    <x v="3"/>
    <n v="20708"/>
    <d v="2023-02-09T00:00:00"/>
    <n v="6"/>
    <n v="5"/>
    <n v="2071"/>
    <n v="1035"/>
    <n v="21744"/>
    <n v="1035"/>
    <n v="23814"/>
  </r>
  <r>
    <n v="3700"/>
    <x v="7"/>
    <s v="Male"/>
    <n v="36"/>
    <s v="Bangalore"/>
    <x v="3"/>
    <n v="60667"/>
    <d v="2024-09-05T00:00:00"/>
    <n v="18"/>
    <n v="2"/>
    <n v="6067"/>
    <n v="3033"/>
    <n v="63701"/>
    <n v="3033"/>
    <n v="69767"/>
  </r>
  <r>
    <n v="3701"/>
    <x v="3"/>
    <s v="Female"/>
    <n v="47"/>
    <s v="Mumbai"/>
    <x v="0"/>
    <n v="39733"/>
    <d v="2023-02-07T00:00:00"/>
    <n v="18"/>
    <n v="1"/>
    <n v="3973"/>
    <n v="1987"/>
    <n v="41719"/>
    <n v="1987"/>
    <n v="45693"/>
  </r>
  <r>
    <n v="3702"/>
    <x v="4"/>
    <s v="Male"/>
    <n v="48"/>
    <s v="Delhi"/>
    <x v="2"/>
    <n v="79936"/>
    <d v="2024-07-27T00:00:00"/>
    <n v="16"/>
    <n v="4"/>
    <n v="7994"/>
    <n v="3997"/>
    <n v="83933"/>
    <n v="3997"/>
    <n v="91927"/>
  </r>
  <r>
    <n v="3703"/>
    <x v="4"/>
    <s v="Female"/>
    <n v="33"/>
    <s v="Delhi"/>
    <x v="4"/>
    <n v="59913"/>
    <d v="2023-12-30T00:00:00"/>
    <n v="10"/>
    <n v="4"/>
    <n v="5991"/>
    <n v="2996"/>
    <n v="62908"/>
    <n v="2996"/>
    <n v="68900"/>
  </r>
  <r>
    <n v="3704"/>
    <x v="4"/>
    <s v="Female"/>
    <n v="56"/>
    <s v="Chennai"/>
    <x v="3"/>
    <n v="72929"/>
    <d v="2022-03-30T00:00:00"/>
    <n v="8"/>
    <n v="5"/>
    <n v="7293"/>
    <n v="3646"/>
    <n v="76576"/>
    <n v="3646"/>
    <n v="83868"/>
  </r>
  <r>
    <n v="3705"/>
    <x v="2"/>
    <s v="Female"/>
    <n v="54"/>
    <s v="Bangalore"/>
    <x v="4"/>
    <n v="37852"/>
    <d v="2022-01-14T00:00:00"/>
    <n v="17"/>
    <n v="5"/>
    <n v="3785"/>
    <n v="1893"/>
    <n v="39744"/>
    <n v="1893"/>
    <n v="43530"/>
  </r>
  <r>
    <n v="3706"/>
    <x v="4"/>
    <s v="Male"/>
    <n v="24"/>
    <s v="Delhi"/>
    <x v="4"/>
    <n v="45954"/>
    <d v="2023-09-06T00:00:00"/>
    <n v="8"/>
    <n v="2"/>
    <n v="4595"/>
    <n v="2298"/>
    <n v="48251"/>
    <n v="2298"/>
    <n v="52847"/>
  </r>
  <r>
    <n v="3707"/>
    <x v="6"/>
    <s v="Female"/>
    <n v="60"/>
    <s v="Bangalore"/>
    <x v="3"/>
    <n v="97277"/>
    <d v="2024-09-27T00:00:00"/>
    <n v="13"/>
    <n v="2"/>
    <n v="9728"/>
    <n v="4864"/>
    <n v="102141"/>
    <n v="4864"/>
    <n v="111869"/>
  </r>
  <r>
    <n v="3708"/>
    <x v="7"/>
    <s v="Female"/>
    <n v="55"/>
    <s v="Bangalore"/>
    <x v="4"/>
    <n v="46776"/>
    <d v="2023-03-06T00:00:00"/>
    <n v="14"/>
    <n v="5"/>
    <n v="4678"/>
    <n v="2339"/>
    <n v="49115"/>
    <n v="2339"/>
    <n v="53793"/>
  </r>
  <r>
    <n v="3709"/>
    <x v="0"/>
    <s v="Female"/>
    <n v="55"/>
    <s v="Bangalore"/>
    <x v="0"/>
    <n v="29967"/>
    <d v="2024-09-15T00:00:00"/>
    <n v="10"/>
    <n v="2"/>
    <n v="2997"/>
    <n v="1498"/>
    <n v="31466"/>
    <n v="1498"/>
    <n v="34462"/>
  </r>
  <r>
    <n v="3710"/>
    <x v="7"/>
    <s v="Female"/>
    <n v="57"/>
    <s v="Bangalore"/>
    <x v="0"/>
    <n v="43178"/>
    <d v="2023-03-12T00:00:00"/>
    <n v="16"/>
    <n v="2"/>
    <n v="4318"/>
    <n v="2159"/>
    <n v="45337"/>
    <n v="2159"/>
    <n v="49655"/>
  </r>
  <r>
    <n v="3711"/>
    <x v="8"/>
    <s v="Female"/>
    <n v="42"/>
    <s v="Delhi"/>
    <x v="2"/>
    <n v="45705"/>
    <d v="2022-04-05T00:00:00"/>
    <n v="18"/>
    <n v="1"/>
    <n v="4570"/>
    <n v="2285"/>
    <n v="47990"/>
    <n v="2285"/>
    <n v="52560"/>
  </r>
  <r>
    <n v="3712"/>
    <x v="9"/>
    <s v="Male"/>
    <n v="28"/>
    <s v="Bangalore"/>
    <x v="3"/>
    <n v="27676"/>
    <d v="2024-06-25T00:00:00"/>
    <n v="13"/>
    <n v="2"/>
    <n v="2768"/>
    <n v="1384"/>
    <n v="29060"/>
    <n v="1384"/>
    <n v="31828"/>
  </r>
  <r>
    <n v="3713"/>
    <x v="0"/>
    <s v="Female"/>
    <n v="36"/>
    <s v="Bangalore"/>
    <x v="0"/>
    <n v="53446"/>
    <d v="2024-08-03T00:00:00"/>
    <n v="9"/>
    <n v="1"/>
    <n v="5345"/>
    <n v="2672"/>
    <n v="56119"/>
    <n v="2672"/>
    <n v="61463"/>
  </r>
  <r>
    <n v="3714"/>
    <x v="6"/>
    <s v="Female"/>
    <n v="23"/>
    <s v="Delhi"/>
    <x v="3"/>
    <n v="29640"/>
    <d v="2024-03-14T00:00:00"/>
    <n v="9"/>
    <n v="5"/>
    <n v="2964"/>
    <n v="1482"/>
    <n v="31122"/>
    <n v="1482"/>
    <n v="34086"/>
  </r>
  <r>
    <n v="3715"/>
    <x v="1"/>
    <s v="Female"/>
    <n v="25"/>
    <s v="Bangalore"/>
    <x v="4"/>
    <n v="80435"/>
    <d v="2023-02-21T00:00:00"/>
    <n v="10"/>
    <n v="4"/>
    <n v="8044"/>
    <n v="4022"/>
    <n v="84457"/>
    <n v="4022"/>
    <n v="92501"/>
  </r>
  <r>
    <n v="3716"/>
    <x v="3"/>
    <s v="Male"/>
    <n v="39"/>
    <s v="Mumbai"/>
    <x v="1"/>
    <n v="65437"/>
    <d v="2024-08-19T00:00:00"/>
    <n v="13"/>
    <n v="5"/>
    <n v="6544"/>
    <n v="3272"/>
    <n v="68709"/>
    <n v="3272"/>
    <n v="75253"/>
  </r>
  <r>
    <n v="3717"/>
    <x v="8"/>
    <s v="Female"/>
    <n v="47"/>
    <s v="Mumbai"/>
    <x v="2"/>
    <n v="73258"/>
    <d v="2024-02-20T00:00:00"/>
    <n v="6"/>
    <n v="3"/>
    <n v="7326"/>
    <n v="3663"/>
    <n v="76921"/>
    <n v="3663"/>
    <n v="84247"/>
  </r>
  <r>
    <n v="3718"/>
    <x v="0"/>
    <s v="Male"/>
    <n v="55"/>
    <s v="Mumbai"/>
    <x v="2"/>
    <n v="24580"/>
    <d v="2022-08-22T00:00:00"/>
    <n v="10"/>
    <n v="2"/>
    <n v="2458"/>
    <n v="1229"/>
    <n v="25809"/>
    <n v="1229"/>
    <n v="28267"/>
  </r>
  <r>
    <n v="3719"/>
    <x v="5"/>
    <s v="Female"/>
    <n v="43"/>
    <s v="Delhi"/>
    <x v="3"/>
    <n v="82300"/>
    <d v="2022-10-23T00:00:00"/>
    <n v="20"/>
    <n v="4"/>
    <n v="8230"/>
    <n v="4115"/>
    <n v="86415"/>
    <n v="4115"/>
    <n v="94645"/>
  </r>
  <r>
    <n v="3720"/>
    <x v="6"/>
    <s v="Female"/>
    <n v="59"/>
    <s v="Bangalore"/>
    <x v="4"/>
    <n v="24336"/>
    <d v="2023-10-01T00:00:00"/>
    <n v="16"/>
    <n v="2"/>
    <n v="2434"/>
    <n v="1217"/>
    <n v="25553"/>
    <n v="1217"/>
    <n v="27987"/>
  </r>
  <r>
    <n v="3721"/>
    <x v="1"/>
    <s v="Male"/>
    <n v="57"/>
    <s v="Chennai"/>
    <x v="4"/>
    <n v="54141"/>
    <d v="2023-07-27T00:00:00"/>
    <n v="14"/>
    <n v="4"/>
    <n v="5414"/>
    <n v="2707"/>
    <n v="56848"/>
    <n v="2707"/>
    <n v="62262"/>
  </r>
  <r>
    <n v="3722"/>
    <x v="8"/>
    <s v="Male"/>
    <n v="31"/>
    <s v="Chennai"/>
    <x v="4"/>
    <n v="50790"/>
    <d v="2022-07-27T00:00:00"/>
    <n v="4"/>
    <n v="1"/>
    <n v="5079"/>
    <n v="2540"/>
    <n v="53329"/>
    <n v="0"/>
    <n v="55869"/>
  </r>
  <r>
    <n v="3723"/>
    <x v="7"/>
    <s v="Female"/>
    <n v="60"/>
    <s v="Delhi"/>
    <x v="4"/>
    <n v="81213"/>
    <d v="2024-08-08T00:00:00"/>
    <n v="17"/>
    <n v="2"/>
    <n v="8121"/>
    <n v="4061"/>
    <n v="85273"/>
    <n v="4061"/>
    <n v="93395"/>
  </r>
  <r>
    <n v="3724"/>
    <x v="8"/>
    <s v="Female"/>
    <n v="59"/>
    <s v="Chennai"/>
    <x v="1"/>
    <n v="41306"/>
    <d v="2023-11-24T00:00:00"/>
    <n v="4"/>
    <n v="5"/>
    <n v="4131"/>
    <n v="2065"/>
    <n v="43372"/>
    <n v="0"/>
    <n v="45437"/>
  </r>
  <r>
    <n v="3725"/>
    <x v="3"/>
    <s v="Male"/>
    <n v="39"/>
    <s v="Chennai"/>
    <x v="0"/>
    <n v="88681"/>
    <d v="2023-11-15T00:00:00"/>
    <n v="14"/>
    <n v="3"/>
    <n v="8868"/>
    <n v="4434"/>
    <n v="93115"/>
    <n v="4434"/>
    <n v="101983"/>
  </r>
  <r>
    <n v="3726"/>
    <x v="7"/>
    <s v="Male"/>
    <n v="24"/>
    <s v="Mumbai"/>
    <x v="1"/>
    <n v="49701"/>
    <d v="2024-08-12T00:00:00"/>
    <n v="16"/>
    <n v="3"/>
    <n v="4970"/>
    <n v="2485"/>
    <n v="52186"/>
    <n v="2485"/>
    <n v="57156"/>
  </r>
  <r>
    <n v="3727"/>
    <x v="4"/>
    <s v="Female"/>
    <n v="53"/>
    <s v="Chennai"/>
    <x v="0"/>
    <n v="67250"/>
    <d v="2023-03-03T00:00:00"/>
    <n v="12"/>
    <n v="4"/>
    <n v="6725"/>
    <n v="3362"/>
    <n v="70613"/>
    <n v="3362"/>
    <n v="77337"/>
  </r>
  <r>
    <n v="3728"/>
    <x v="2"/>
    <s v="Male"/>
    <n v="45"/>
    <s v="Delhi"/>
    <x v="1"/>
    <n v="81233"/>
    <d v="2023-05-28T00:00:00"/>
    <n v="15"/>
    <n v="3"/>
    <n v="8123"/>
    <n v="4062"/>
    <n v="85294"/>
    <n v="4062"/>
    <n v="93418"/>
  </r>
  <r>
    <n v="3729"/>
    <x v="3"/>
    <s v="Female"/>
    <n v="51"/>
    <s v="Mumbai"/>
    <x v="0"/>
    <n v="96802"/>
    <d v="2022-03-21T00:00:00"/>
    <n v="12"/>
    <n v="5"/>
    <n v="9680"/>
    <n v="4840"/>
    <n v="101642"/>
    <n v="4840"/>
    <n v="111322"/>
  </r>
  <r>
    <n v="3730"/>
    <x v="8"/>
    <s v="Female"/>
    <n v="57"/>
    <s v="Delhi"/>
    <x v="2"/>
    <n v="31639"/>
    <d v="2022-12-22T00:00:00"/>
    <n v="15"/>
    <n v="2"/>
    <n v="3164"/>
    <n v="1582"/>
    <n v="33221"/>
    <n v="1582"/>
    <n v="36385"/>
  </r>
  <r>
    <n v="3731"/>
    <x v="4"/>
    <s v="Male"/>
    <n v="38"/>
    <s v="Bangalore"/>
    <x v="2"/>
    <n v="91328"/>
    <d v="2024-05-02T00:00:00"/>
    <n v="3"/>
    <n v="2"/>
    <n v="9133"/>
    <n v="4566"/>
    <n v="95895"/>
    <n v="0"/>
    <n v="100461"/>
  </r>
  <r>
    <n v="3732"/>
    <x v="3"/>
    <s v="Male"/>
    <n v="39"/>
    <s v="Chennai"/>
    <x v="1"/>
    <n v="93110"/>
    <d v="2022-03-17T00:00:00"/>
    <n v="8"/>
    <n v="1"/>
    <n v="9311"/>
    <n v="4656"/>
    <n v="97765"/>
    <n v="4656"/>
    <n v="107077"/>
  </r>
  <r>
    <n v="3733"/>
    <x v="7"/>
    <s v="Male"/>
    <n v="23"/>
    <s v="Delhi"/>
    <x v="0"/>
    <n v="66790"/>
    <d v="2022-11-24T00:00:00"/>
    <n v="16"/>
    <n v="4"/>
    <n v="6679"/>
    <n v="3340"/>
    <n v="70129"/>
    <n v="3340"/>
    <n v="76809"/>
  </r>
  <r>
    <n v="3734"/>
    <x v="2"/>
    <s v="Female"/>
    <n v="50"/>
    <s v="Mumbai"/>
    <x v="0"/>
    <n v="77192"/>
    <d v="2024-07-23T00:00:00"/>
    <n v="17"/>
    <n v="1"/>
    <n v="7719"/>
    <n v="3860"/>
    <n v="81051"/>
    <n v="3860"/>
    <n v="88771"/>
  </r>
  <r>
    <n v="3735"/>
    <x v="5"/>
    <s v="Male"/>
    <n v="60"/>
    <s v="Mumbai"/>
    <x v="2"/>
    <n v="33344"/>
    <d v="2023-01-21T00:00:00"/>
    <n v="2"/>
    <n v="5"/>
    <n v="3334"/>
    <n v="1667"/>
    <n v="35011"/>
    <n v="0"/>
    <n v="36678"/>
  </r>
  <r>
    <n v="3736"/>
    <x v="8"/>
    <s v="Female"/>
    <n v="44"/>
    <s v="Hyderabad"/>
    <x v="2"/>
    <n v="26920"/>
    <d v="2024-09-04T00:00:00"/>
    <n v="11"/>
    <n v="3"/>
    <n v="2692"/>
    <n v="1346"/>
    <n v="28266"/>
    <n v="1346"/>
    <n v="30958"/>
  </r>
  <r>
    <n v="3737"/>
    <x v="6"/>
    <s v="Female"/>
    <n v="25"/>
    <s v="Chennai"/>
    <x v="1"/>
    <n v="68281"/>
    <d v="2023-05-31T00:00:00"/>
    <n v="11"/>
    <n v="5"/>
    <n v="6828"/>
    <n v="3414"/>
    <n v="71695"/>
    <n v="3414"/>
    <n v="78523"/>
  </r>
  <r>
    <n v="3738"/>
    <x v="6"/>
    <s v="Female"/>
    <n v="28"/>
    <s v="Mumbai"/>
    <x v="0"/>
    <n v="37667"/>
    <d v="2023-04-15T00:00:00"/>
    <n v="11"/>
    <n v="3"/>
    <n v="3767"/>
    <n v="1883"/>
    <n v="39551"/>
    <n v="1883"/>
    <n v="43317"/>
  </r>
  <r>
    <n v="3739"/>
    <x v="1"/>
    <s v="Female"/>
    <n v="57"/>
    <s v="Bangalore"/>
    <x v="1"/>
    <n v="62127"/>
    <d v="2022-09-26T00:00:00"/>
    <n v="10"/>
    <n v="1"/>
    <n v="6213"/>
    <n v="3106"/>
    <n v="65234"/>
    <n v="3106"/>
    <n v="71446"/>
  </r>
  <r>
    <n v="3740"/>
    <x v="5"/>
    <s v="Female"/>
    <n v="40"/>
    <s v="Hyderabad"/>
    <x v="4"/>
    <n v="69428"/>
    <d v="2022-05-13T00:00:00"/>
    <n v="18"/>
    <n v="3"/>
    <n v="6943"/>
    <n v="3471"/>
    <n v="72900"/>
    <n v="3471"/>
    <n v="79842"/>
  </r>
  <r>
    <n v="3741"/>
    <x v="2"/>
    <s v="Female"/>
    <n v="57"/>
    <s v="Mumbai"/>
    <x v="4"/>
    <n v="39180"/>
    <d v="2022-02-05T00:00:00"/>
    <n v="11"/>
    <n v="1"/>
    <n v="3918"/>
    <n v="1959"/>
    <n v="41139"/>
    <n v="1959"/>
    <n v="45057"/>
  </r>
  <r>
    <n v="3742"/>
    <x v="0"/>
    <s v="Male"/>
    <n v="59"/>
    <s v="Hyderabad"/>
    <x v="1"/>
    <n v="53394"/>
    <d v="2022-06-19T00:00:00"/>
    <n v="11"/>
    <n v="1"/>
    <n v="5339"/>
    <n v="2670"/>
    <n v="56063"/>
    <n v="2670"/>
    <n v="61403"/>
  </r>
  <r>
    <n v="3743"/>
    <x v="7"/>
    <s v="Female"/>
    <n v="49"/>
    <s v="Chennai"/>
    <x v="4"/>
    <n v="93839"/>
    <d v="2024-09-09T00:00:00"/>
    <n v="5"/>
    <n v="1"/>
    <n v="9384"/>
    <n v="4692"/>
    <n v="98531"/>
    <n v="0"/>
    <n v="103223"/>
  </r>
  <r>
    <n v="3744"/>
    <x v="9"/>
    <s v="Female"/>
    <n v="33"/>
    <s v="Bangalore"/>
    <x v="2"/>
    <n v="95698"/>
    <d v="2023-10-14T00:00:00"/>
    <n v="16"/>
    <n v="2"/>
    <n v="9570"/>
    <n v="4785"/>
    <n v="100483"/>
    <n v="4785"/>
    <n v="110053"/>
  </r>
  <r>
    <n v="3745"/>
    <x v="5"/>
    <s v="Female"/>
    <n v="36"/>
    <s v="Mumbai"/>
    <x v="3"/>
    <n v="83378"/>
    <d v="2022-06-07T00:00:00"/>
    <n v="11"/>
    <n v="5"/>
    <n v="8338"/>
    <n v="4169"/>
    <n v="87547"/>
    <n v="4169"/>
    <n v="95885"/>
  </r>
  <r>
    <n v="3746"/>
    <x v="4"/>
    <s v="Male"/>
    <n v="51"/>
    <s v="Delhi"/>
    <x v="4"/>
    <n v="57079"/>
    <d v="2024-08-01T00:00:00"/>
    <n v="14"/>
    <n v="5"/>
    <n v="5708"/>
    <n v="2854"/>
    <n v="59933"/>
    <n v="2854"/>
    <n v="65641"/>
  </r>
  <r>
    <n v="3747"/>
    <x v="3"/>
    <s v="Male"/>
    <n v="22"/>
    <s v="Mumbai"/>
    <x v="4"/>
    <n v="37713"/>
    <d v="2023-04-15T00:00:00"/>
    <n v="16"/>
    <n v="2"/>
    <n v="3771"/>
    <n v="1886"/>
    <n v="39598"/>
    <n v="1886"/>
    <n v="43370"/>
  </r>
  <r>
    <n v="3748"/>
    <x v="6"/>
    <s v="Male"/>
    <n v="48"/>
    <s v="Hyderabad"/>
    <x v="0"/>
    <n v="74074"/>
    <d v="2024-03-16T00:00:00"/>
    <n v="6"/>
    <n v="1"/>
    <n v="7407"/>
    <n v="3704"/>
    <n v="77777"/>
    <n v="3704"/>
    <n v="85185"/>
  </r>
  <r>
    <n v="3749"/>
    <x v="3"/>
    <s v="Female"/>
    <n v="40"/>
    <s v="Mumbai"/>
    <x v="2"/>
    <n v="65952"/>
    <d v="2023-11-27T00:00:00"/>
    <n v="9"/>
    <n v="1"/>
    <n v="6595"/>
    <n v="3298"/>
    <n v="69249"/>
    <n v="3298"/>
    <n v="75845"/>
  </r>
  <r>
    <n v="3750"/>
    <x v="5"/>
    <s v="Female"/>
    <n v="29"/>
    <s v="Mumbai"/>
    <x v="2"/>
    <n v="64687"/>
    <d v="2023-02-15T00:00:00"/>
    <n v="19"/>
    <n v="2"/>
    <n v="6469"/>
    <n v="3234"/>
    <n v="67922"/>
    <n v="3234"/>
    <n v="74390"/>
  </r>
  <r>
    <n v="3751"/>
    <x v="2"/>
    <s v="Female"/>
    <n v="36"/>
    <s v="Bangalore"/>
    <x v="1"/>
    <n v="36610"/>
    <d v="2022-10-17T00:00:00"/>
    <n v="15"/>
    <n v="3"/>
    <n v="3661"/>
    <n v="1830"/>
    <n v="38441"/>
    <n v="1830"/>
    <n v="42101"/>
  </r>
  <r>
    <n v="3752"/>
    <x v="9"/>
    <s v="Female"/>
    <n v="35"/>
    <s v="Delhi"/>
    <x v="0"/>
    <n v="91655"/>
    <d v="2024-05-30T00:00:00"/>
    <n v="11"/>
    <n v="5"/>
    <n v="9166"/>
    <n v="4583"/>
    <n v="96238"/>
    <n v="4583"/>
    <n v="105404"/>
  </r>
  <r>
    <n v="3753"/>
    <x v="2"/>
    <s v="Male"/>
    <n v="36"/>
    <s v="Bangalore"/>
    <x v="3"/>
    <n v="51338"/>
    <d v="2023-09-29T00:00:00"/>
    <n v="17"/>
    <n v="3"/>
    <n v="5134"/>
    <n v="2567"/>
    <n v="53905"/>
    <n v="2567"/>
    <n v="59039"/>
  </r>
  <r>
    <n v="3754"/>
    <x v="7"/>
    <s v="Female"/>
    <n v="48"/>
    <s v="Bangalore"/>
    <x v="2"/>
    <n v="68726"/>
    <d v="2023-10-10T00:00:00"/>
    <n v="16"/>
    <n v="4"/>
    <n v="6873"/>
    <n v="3436"/>
    <n v="72163"/>
    <n v="3436"/>
    <n v="79035"/>
  </r>
  <r>
    <n v="3755"/>
    <x v="3"/>
    <s v="Male"/>
    <n v="54"/>
    <s v="Delhi"/>
    <x v="0"/>
    <n v="57541"/>
    <d v="2024-03-27T00:00:00"/>
    <n v="19"/>
    <n v="2"/>
    <n v="5754"/>
    <n v="2877"/>
    <n v="60418"/>
    <n v="2877"/>
    <n v="66172"/>
  </r>
  <r>
    <n v="3756"/>
    <x v="3"/>
    <s v="Male"/>
    <n v="36"/>
    <s v="Delhi"/>
    <x v="1"/>
    <n v="31482"/>
    <d v="2023-07-05T00:00:00"/>
    <n v="20"/>
    <n v="1"/>
    <n v="3148"/>
    <n v="1574"/>
    <n v="33056"/>
    <n v="1574"/>
    <n v="36204"/>
  </r>
  <r>
    <n v="3757"/>
    <x v="5"/>
    <s v="Female"/>
    <n v="44"/>
    <s v="Hyderabad"/>
    <x v="1"/>
    <n v="47936"/>
    <d v="2024-08-21T00:00:00"/>
    <n v="14"/>
    <n v="5"/>
    <n v="4794"/>
    <n v="2397"/>
    <n v="50333"/>
    <n v="2397"/>
    <n v="55127"/>
  </r>
  <r>
    <n v="3758"/>
    <x v="7"/>
    <s v="Male"/>
    <n v="31"/>
    <s v="Hyderabad"/>
    <x v="3"/>
    <n v="58406"/>
    <d v="2022-07-23T00:00:00"/>
    <n v="1"/>
    <n v="4"/>
    <n v="5841"/>
    <n v="2920"/>
    <n v="61327"/>
    <n v="0"/>
    <n v="64247"/>
  </r>
  <r>
    <n v="3759"/>
    <x v="9"/>
    <s v="Female"/>
    <n v="46"/>
    <s v="Hyderabad"/>
    <x v="3"/>
    <n v="83921"/>
    <d v="2023-12-28T00:00:00"/>
    <n v="18"/>
    <n v="5"/>
    <n v="8392"/>
    <n v="4196"/>
    <n v="88117"/>
    <n v="4196"/>
    <n v="96509"/>
  </r>
  <r>
    <n v="3760"/>
    <x v="1"/>
    <s v="Male"/>
    <n v="29"/>
    <s v="Mumbai"/>
    <x v="2"/>
    <n v="70824"/>
    <d v="2023-08-17T00:00:00"/>
    <n v="10"/>
    <n v="3"/>
    <n v="7082"/>
    <n v="3541"/>
    <n v="74365"/>
    <n v="3541"/>
    <n v="81447"/>
  </r>
  <r>
    <n v="3761"/>
    <x v="1"/>
    <s v="Female"/>
    <n v="23"/>
    <s v="Delhi"/>
    <x v="3"/>
    <n v="53451"/>
    <d v="2024-08-22T00:00:00"/>
    <n v="9"/>
    <n v="2"/>
    <n v="5345"/>
    <n v="2673"/>
    <n v="56123"/>
    <n v="2673"/>
    <n v="61469"/>
  </r>
  <r>
    <n v="3762"/>
    <x v="4"/>
    <s v="Male"/>
    <n v="39"/>
    <s v="Hyderabad"/>
    <x v="4"/>
    <n v="73062"/>
    <d v="2024-04-26T00:00:00"/>
    <n v="16"/>
    <n v="5"/>
    <n v="7306"/>
    <n v="3653"/>
    <n v="76715"/>
    <n v="3653"/>
    <n v="84021"/>
  </r>
  <r>
    <n v="3763"/>
    <x v="5"/>
    <s v="Female"/>
    <n v="60"/>
    <s v="Delhi"/>
    <x v="1"/>
    <n v="38912"/>
    <d v="2023-09-30T00:00:00"/>
    <n v="18"/>
    <n v="2"/>
    <n v="3891"/>
    <n v="1946"/>
    <n v="40857"/>
    <n v="1946"/>
    <n v="44749"/>
  </r>
  <r>
    <n v="3764"/>
    <x v="6"/>
    <s v="Female"/>
    <n v="27"/>
    <s v="Hyderabad"/>
    <x v="0"/>
    <n v="65715"/>
    <d v="2023-09-03T00:00:00"/>
    <n v="14"/>
    <n v="2"/>
    <n v="6572"/>
    <n v="3286"/>
    <n v="69001"/>
    <n v="3286"/>
    <n v="75573"/>
  </r>
  <r>
    <n v="3765"/>
    <x v="4"/>
    <s v="Female"/>
    <n v="29"/>
    <s v="Chennai"/>
    <x v="4"/>
    <n v="74069"/>
    <d v="2024-05-26T00:00:00"/>
    <n v="2"/>
    <n v="5"/>
    <n v="7407"/>
    <n v="3703"/>
    <n v="77773"/>
    <n v="0"/>
    <n v="81476"/>
  </r>
  <r>
    <n v="3766"/>
    <x v="7"/>
    <s v="Female"/>
    <n v="24"/>
    <s v="Mumbai"/>
    <x v="2"/>
    <n v="75863"/>
    <d v="2022-06-13T00:00:00"/>
    <n v="7"/>
    <n v="5"/>
    <n v="7586"/>
    <n v="3793"/>
    <n v="79656"/>
    <n v="3793"/>
    <n v="87242"/>
  </r>
  <r>
    <n v="3767"/>
    <x v="2"/>
    <s v="Male"/>
    <n v="38"/>
    <s v="Chennai"/>
    <x v="0"/>
    <n v="78819"/>
    <d v="2022-01-20T00:00:00"/>
    <n v="18"/>
    <n v="2"/>
    <n v="7882"/>
    <n v="3941"/>
    <n v="82760"/>
    <n v="3941"/>
    <n v="90642"/>
  </r>
  <r>
    <n v="3768"/>
    <x v="7"/>
    <s v="Female"/>
    <n v="43"/>
    <s v="Hyderabad"/>
    <x v="4"/>
    <n v="56568"/>
    <d v="2023-04-25T00:00:00"/>
    <n v="5"/>
    <n v="2"/>
    <n v="5657"/>
    <n v="2828"/>
    <n v="59397"/>
    <n v="0"/>
    <n v="62225"/>
  </r>
  <r>
    <n v="3769"/>
    <x v="4"/>
    <s v="Female"/>
    <n v="36"/>
    <s v="Mumbai"/>
    <x v="2"/>
    <n v="53753"/>
    <d v="2022-01-23T00:00:00"/>
    <n v="12"/>
    <n v="3"/>
    <n v="5375"/>
    <n v="2688"/>
    <n v="56440"/>
    <n v="2688"/>
    <n v="61816"/>
  </r>
  <r>
    <n v="3770"/>
    <x v="2"/>
    <s v="Male"/>
    <n v="45"/>
    <s v="Bangalore"/>
    <x v="2"/>
    <n v="87867"/>
    <d v="2023-01-02T00:00:00"/>
    <n v="11"/>
    <n v="4"/>
    <n v="8787"/>
    <n v="4393"/>
    <n v="92261"/>
    <n v="4393"/>
    <n v="101047"/>
  </r>
  <r>
    <n v="3771"/>
    <x v="4"/>
    <s v="Male"/>
    <n v="40"/>
    <s v="Bangalore"/>
    <x v="3"/>
    <n v="62001"/>
    <d v="2022-03-23T00:00:00"/>
    <n v="14"/>
    <n v="4"/>
    <n v="6200"/>
    <n v="3100"/>
    <n v="65101"/>
    <n v="3100"/>
    <n v="71301"/>
  </r>
  <r>
    <n v="3772"/>
    <x v="6"/>
    <s v="Female"/>
    <n v="22"/>
    <s v="Hyderabad"/>
    <x v="0"/>
    <n v="83016"/>
    <d v="2022-05-13T00:00:00"/>
    <n v="7"/>
    <n v="3"/>
    <n v="8302"/>
    <n v="4151"/>
    <n v="87167"/>
    <n v="4151"/>
    <n v="95469"/>
  </r>
  <r>
    <n v="3773"/>
    <x v="2"/>
    <s v="Male"/>
    <n v="40"/>
    <s v="Mumbai"/>
    <x v="0"/>
    <n v="42097"/>
    <d v="2022-12-23T00:00:00"/>
    <n v="7"/>
    <n v="1"/>
    <n v="4210"/>
    <n v="2105"/>
    <n v="44202"/>
    <n v="2105"/>
    <n v="48412"/>
  </r>
  <r>
    <n v="3774"/>
    <x v="7"/>
    <s v="Female"/>
    <n v="36"/>
    <s v="Bangalore"/>
    <x v="4"/>
    <n v="69006"/>
    <d v="2022-09-24T00:00:00"/>
    <n v="2"/>
    <n v="5"/>
    <n v="6901"/>
    <n v="3450"/>
    <n v="72457"/>
    <n v="0"/>
    <n v="75907"/>
  </r>
  <r>
    <n v="3775"/>
    <x v="2"/>
    <s v="Female"/>
    <n v="34"/>
    <s v="Chennai"/>
    <x v="0"/>
    <n v="98983"/>
    <d v="2023-03-22T00:00:00"/>
    <n v="11"/>
    <n v="5"/>
    <n v="9898"/>
    <n v="4949"/>
    <n v="103932"/>
    <n v="4949"/>
    <n v="113830"/>
  </r>
  <r>
    <n v="3776"/>
    <x v="8"/>
    <s v="Female"/>
    <n v="43"/>
    <s v="Mumbai"/>
    <x v="4"/>
    <n v="23411"/>
    <d v="2023-04-29T00:00:00"/>
    <n v="5"/>
    <n v="4"/>
    <n v="2341"/>
    <n v="1171"/>
    <n v="24581"/>
    <n v="0"/>
    <n v="25752"/>
  </r>
  <r>
    <n v="3777"/>
    <x v="9"/>
    <s v="Female"/>
    <n v="48"/>
    <s v="Chennai"/>
    <x v="1"/>
    <n v="28163"/>
    <d v="2023-07-12T00:00:00"/>
    <n v="6"/>
    <n v="1"/>
    <n v="2816"/>
    <n v="1408"/>
    <n v="29571"/>
    <n v="1408"/>
    <n v="32387"/>
  </r>
  <r>
    <n v="3778"/>
    <x v="7"/>
    <s v="Male"/>
    <n v="56"/>
    <s v="Chennai"/>
    <x v="3"/>
    <n v="80706"/>
    <d v="2022-09-27T00:00:00"/>
    <n v="7"/>
    <n v="5"/>
    <n v="8071"/>
    <n v="4035"/>
    <n v="84742"/>
    <n v="4035"/>
    <n v="92812"/>
  </r>
  <r>
    <n v="3779"/>
    <x v="9"/>
    <s v="Male"/>
    <n v="29"/>
    <s v="Mumbai"/>
    <x v="4"/>
    <n v="27795"/>
    <d v="2022-06-04T00:00:00"/>
    <n v="7"/>
    <n v="5"/>
    <n v="2780"/>
    <n v="1390"/>
    <n v="29185"/>
    <n v="1390"/>
    <n v="31965"/>
  </r>
  <r>
    <n v="3780"/>
    <x v="3"/>
    <s v="Female"/>
    <n v="29"/>
    <s v="Bangalore"/>
    <x v="2"/>
    <n v="70550"/>
    <d v="2024-05-31T00:00:00"/>
    <n v="10"/>
    <n v="5"/>
    <n v="7055"/>
    <n v="3528"/>
    <n v="74077"/>
    <n v="3528"/>
    <n v="81133"/>
  </r>
  <r>
    <n v="3781"/>
    <x v="0"/>
    <s v="Male"/>
    <n v="40"/>
    <s v="Chennai"/>
    <x v="1"/>
    <n v="70169"/>
    <d v="2024-08-09T00:00:00"/>
    <n v="20"/>
    <n v="5"/>
    <n v="7017"/>
    <n v="3508"/>
    <n v="73678"/>
    <n v="3508"/>
    <n v="80694"/>
  </r>
  <r>
    <n v="3782"/>
    <x v="9"/>
    <s v="Male"/>
    <n v="45"/>
    <s v="Chennai"/>
    <x v="4"/>
    <n v="59470"/>
    <d v="2022-03-21T00:00:00"/>
    <n v="5"/>
    <n v="1"/>
    <n v="5947"/>
    <n v="2974"/>
    <n v="62443"/>
    <n v="0"/>
    <n v="65417"/>
  </r>
  <r>
    <n v="3783"/>
    <x v="7"/>
    <s v="Female"/>
    <n v="38"/>
    <s v="Delhi"/>
    <x v="0"/>
    <n v="63095"/>
    <d v="2024-09-14T00:00:00"/>
    <n v="18"/>
    <n v="5"/>
    <n v="6310"/>
    <n v="3155"/>
    <n v="66250"/>
    <n v="3155"/>
    <n v="72560"/>
  </r>
  <r>
    <n v="3784"/>
    <x v="8"/>
    <s v="Male"/>
    <n v="42"/>
    <s v="Chennai"/>
    <x v="3"/>
    <n v="76611"/>
    <d v="2023-10-17T00:00:00"/>
    <n v="10"/>
    <n v="2"/>
    <n v="7661"/>
    <n v="3831"/>
    <n v="80441"/>
    <n v="3831"/>
    <n v="88103"/>
  </r>
  <r>
    <n v="3785"/>
    <x v="9"/>
    <s v="Male"/>
    <n v="57"/>
    <s v="Chennai"/>
    <x v="3"/>
    <n v="34663"/>
    <d v="2024-05-31T00:00:00"/>
    <n v="18"/>
    <n v="2"/>
    <n v="3466"/>
    <n v="1733"/>
    <n v="36396"/>
    <n v="1733"/>
    <n v="39862"/>
  </r>
  <r>
    <n v="3786"/>
    <x v="3"/>
    <s v="Female"/>
    <n v="46"/>
    <s v="Hyderabad"/>
    <x v="2"/>
    <n v="55469"/>
    <d v="2023-07-19T00:00:00"/>
    <n v="16"/>
    <n v="2"/>
    <n v="5547"/>
    <n v="2773"/>
    <n v="58243"/>
    <n v="2773"/>
    <n v="63789"/>
  </r>
  <r>
    <n v="3787"/>
    <x v="7"/>
    <s v="Female"/>
    <n v="45"/>
    <s v="Mumbai"/>
    <x v="2"/>
    <n v="79071"/>
    <d v="2024-07-01T00:00:00"/>
    <n v="13"/>
    <n v="1"/>
    <n v="7907"/>
    <n v="3954"/>
    <n v="83024"/>
    <n v="3954"/>
    <n v="90932"/>
  </r>
  <r>
    <n v="3788"/>
    <x v="3"/>
    <s v="Male"/>
    <n v="30"/>
    <s v="Hyderabad"/>
    <x v="0"/>
    <n v="71797"/>
    <d v="2022-09-06T00:00:00"/>
    <n v="14"/>
    <n v="4"/>
    <n v="7180"/>
    <n v="3590"/>
    <n v="75387"/>
    <n v="3590"/>
    <n v="82567"/>
  </r>
  <r>
    <n v="3789"/>
    <x v="6"/>
    <s v="Female"/>
    <n v="59"/>
    <s v="Chennai"/>
    <x v="0"/>
    <n v="94614"/>
    <d v="2022-11-24T00:00:00"/>
    <n v="17"/>
    <n v="1"/>
    <n v="9461"/>
    <n v="4731"/>
    <n v="99344"/>
    <n v="4731"/>
    <n v="108806"/>
  </r>
  <r>
    <n v="3790"/>
    <x v="3"/>
    <s v="Male"/>
    <n v="54"/>
    <s v="Delhi"/>
    <x v="4"/>
    <n v="65687"/>
    <d v="2022-02-25T00:00:00"/>
    <n v="18"/>
    <n v="3"/>
    <n v="6569"/>
    <n v="3284"/>
    <n v="68972"/>
    <n v="3284"/>
    <n v="75540"/>
  </r>
  <r>
    <n v="3791"/>
    <x v="1"/>
    <s v="Female"/>
    <n v="38"/>
    <s v="Hyderabad"/>
    <x v="0"/>
    <n v="96006"/>
    <d v="2024-04-17T00:00:00"/>
    <n v="17"/>
    <n v="1"/>
    <n v="9601"/>
    <n v="4800"/>
    <n v="100807"/>
    <n v="4800"/>
    <n v="110407"/>
  </r>
  <r>
    <n v="3792"/>
    <x v="3"/>
    <s v="Female"/>
    <n v="29"/>
    <s v="Chennai"/>
    <x v="1"/>
    <n v="85168"/>
    <d v="2024-02-25T00:00:00"/>
    <n v="1"/>
    <n v="2"/>
    <n v="8517"/>
    <n v="4258"/>
    <n v="89427"/>
    <n v="0"/>
    <n v="93685"/>
  </r>
  <r>
    <n v="3793"/>
    <x v="1"/>
    <s v="Female"/>
    <n v="54"/>
    <s v="Hyderabad"/>
    <x v="2"/>
    <n v="48020"/>
    <d v="2022-07-17T00:00:00"/>
    <n v="13"/>
    <n v="1"/>
    <n v="4802"/>
    <n v="2401"/>
    <n v="50421"/>
    <n v="2401"/>
    <n v="55223"/>
  </r>
  <r>
    <n v="3794"/>
    <x v="9"/>
    <s v="Male"/>
    <n v="50"/>
    <s v="Bangalore"/>
    <x v="3"/>
    <n v="30251"/>
    <d v="2023-10-15T00:00:00"/>
    <n v="11"/>
    <n v="1"/>
    <n v="3025"/>
    <n v="1513"/>
    <n v="31763"/>
    <n v="1513"/>
    <n v="34789"/>
  </r>
  <r>
    <n v="3795"/>
    <x v="1"/>
    <s v="Male"/>
    <n v="43"/>
    <s v="Bangalore"/>
    <x v="4"/>
    <n v="89609"/>
    <d v="2022-08-17T00:00:00"/>
    <n v="1"/>
    <n v="5"/>
    <n v="8961"/>
    <n v="4480"/>
    <n v="94090"/>
    <n v="0"/>
    <n v="98570"/>
  </r>
  <r>
    <n v="3796"/>
    <x v="8"/>
    <s v="Female"/>
    <n v="50"/>
    <s v="Bangalore"/>
    <x v="3"/>
    <n v="40461"/>
    <d v="2023-05-07T00:00:00"/>
    <n v="6"/>
    <n v="3"/>
    <n v="4046"/>
    <n v="2023"/>
    <n v="42484"/>
    <n v="2023"/>
    <n v="46530"/>
  </r>
  <r>
    <n v="3797"/>
    <x v="7"/>
    <s v="Female"/>
    <n v="24"/>
    <s v="Hyderabad"/>
    <x v="3"/>
    <n v="56115"/>
    <d v="2024-01-11T00:00:00"/>
    <n v="13"/>
    <n v="5"/>
    <n v="5612"/>
    <n v="2806"/>
    <n v="58921"/>
    <n v="2806"/>
    <n v="64533"/>
  </r>
  <r>
    <n v="3798"/>
    <x v="1"/>
    <s v="Male"/>
    <n v="54"/>
    <s v="Delhi"/>
    <x v="2"/>
    <n v="35976"/>
    <d v="2024-05-27T00:00:00"/>
    <n v="6"/>
    <n v="2"/>
    <n v="3598"/>
    <n v="1799"/>
    <n v="37775"/>
    <n v="1799"/>
    <n v="41373"/>
  </r>
  <r>
    <n v="3799"/>
    <x v="7"/>
    <s v="Male"/>
    <n v="37"/>
    <s v="Bangalore"/>
    <x v="4"/>
    <n v="88133"/>
    <d v="2022-11-30T00:00:00"/>
    <n v="7"/>
    <n v="2"/>
    <n v="8813"/>
    <n v="4407"/>
    <n v="92539"/>
    <n v="4407"/>
    <n v="101353"/>
  </r>
  <r>
    <n v="3800"/>
    <x v="7"/>
    <s v="Female"/>
    <n v="44"/>
    <s v="Bangalore"/>
    <x v="1"/>
    <n v="53751"/>
    <d v="2024-04-30T00:00:00"/>
    <n v="7"/>
    <n v="4"/>
    <n v="5375"/>
    <n v="2688"/>
    <n v="56438"/>
    <n v="2688"/>
    <n v="61814"/>
  </r>
  <r>
    <n v="3801"/>
    <x v="8"/>
    <s v="Female"/>
    <n v="36"/>
    <s v="Chennai"/>
    <x v="1"/>
    <n v="26413"/>
    <d v="2022-04-25T00:00:00"/>
    <n v="19"/>
    <n v="4"/>
    <n v="2641"/>
    <n v="1321"/>
    <n v="27733"/>
    <n v="1321"/>
    <n v="30375"/>
  </r>
  <r>
    <n v="3802"/>
    <x v="7"/>
    <s v="Female"/>
    <n v="31"/>
    <s v="Hyderabad"/>
    <x v="3"/>
    <n v="24499"/>
    <d v="2024-06-12T00:00:00"/>
    <n v="15"/>
    <n v="3"/>
    <n v="2450"/>
    <n v="1225"/>
    <n v="25724"/>
    <n v="1225"/>
    <n v="28174"/>
  </r>
  <r>
    <n v="3803"/>
    <x v="3"/>
    <s v="Male"/>
    <n v="55"/>
    <s v="Hyderabad"/>
    <x v="1"/>
    <n v="31853"/>
    <d v="2022-11-22T00:00:00"/>
    <n v="5"/>
    <n v="2"/>
    <n v="3185"/>
    <n v="1593"/>
    <n v="33445"/>
    <n v="0"/>
    <n v="35038"/>
  </r>
  <r>
    <n v="3804"/>
    <x v="4"/>
    <s v="Female"/>
    <n v="34"/>
    <s v="Chennai"/>
    <x v="2"/>
    <n v="87241"/>
    <d v="2023-02-14T00:00:00"/>
    <n v="2"/>
    <n v="4"/>
    <n v="8724"/>
    <n v="4362"/>
    <n v="91603"/>
    <n v="0"/>
    <n v="95965"/>
  </r>
  <r>
    <n v="3805"/>
    <x v="6"/>
    <s v="Male"/>
    <n v="52"/>
    <s v="Hyderabad"/>
    <x v="2"/>
    <n v="20758"/>
    <d v="2022-02-22T00:00:00"/>
    <n v="5"/>
    <n v="1"/>
    <n v="2076"/>
    <n v="1038"/>
    <n v="21796"/>
    <n v="0"/>
    <n v="22834"/>
  </r>
  <r>
    <n v="3806"/>
    <x v="9"/>
    <s v="Male"/>
    <n v="42"/>
    <s v="Chennai"/>
    <x v="2"/>
    <n v="93151"/>
    <d v="2023-12-25T00:00:00"/>
    <n v="13"/>
    <n v="2"/>
    <n v="9315"/>
    <n v="4658"/>
    <n v="97808"/>
    <n v="4658"/>
    <n v="107124"/>
  </r>
  <r>
    <n v="3807"/>
    <x v="3"/>
    <s v="Male"/>
    <n v="22"/>
    <s v="Mumbai"/>
    <x v="2"/>
    <n v="55930"/>
    <d v="2023-06-24T00:00:00"/>
    <n v="2"/>
    <n v="4"/>
    <n v="5593"/>
    <n v="2796"/>
    <n v="58727"/>
    <n v="0"/>
    <n v="61523"/>
  </r>
  <r>
    <n v="3808"/>
    <x v="1"/>
    <s v="Male"/>
    <n v="28"/>
    <s v="Hyderabad"/>
    <x v="4"/>
    <n v="58539"/>
    <d v="2022-04-27T00:00:00"/>
    <n v="19"/>
    <n v="2"/>
    <n v="5854"/>
    <n v="2927"/>
    <n v="61466"/>
    <n v="2927"/>
    <n v="67320"/>
  </r>
  <r>
    <n v="3809"/>
    <x v="3"/>
    <s v="Male"/>
    <n v="25"/>
    <s v="Delhi"/>
    <x v="3"/>
    <n v="72187"/>
    <d v="2023-08-29T00:00:00"/>
    <n v="5"/>
    <n v="1"/>
    <n v="7219"/>
    <n v="3609"/>
    <n v="75797"/>
    <n v="0"/>
    <n v="79406"/>
  </r>
  <r>
    <n v="3810"/>
    <x v="6"/>
    <s v="Male"/>
    <n v="53"/>
    <s v="Mumbai"/>
    <x v="2"/>
    <n v="30623"/>
    <d v="2023-07-21T00:00:00"/>
    <n v="18"/>
    <n v="2"/>
    <n v="3062"/>
    <n v="1531"/>
    <n v="32154"/>
    <n v="1531"/>
    <n v="35216"/>
  </r>
  <r>
    <n v="3811"/>
    <x v="6"/>
    <s v="Female"/>
    <n v="52"/>
    <s v="Delhi"/>
    <x v="2"/>
    <n v="46706"/>
    <d v="2024-09-12T00:00:00"/>
    <n v="15"/>
    <n v="5"/>
    <n v="4671"/>
    <n v="2335"/>
    <n v="49042"/>
    <n v="2335"/>
    <n v="53712"/>
  </r>
  <r>
    <n v="3812"/>
    <x v="5"/>
    <s v="Female"/>
    <n v="46"/>
    <s v="Hyderabad"/>
    <x v="2"/>
    <n v="66186"/>
    <d v="2022-08-17T00:00:00"/>
    <n v="12"/>
    <n v="3"/>
    <n v="6619"/>
    <n v="3309"/>
    <n v="69496"/>
    <n v="3309"/>
    <n v="76114"/>
  </r>
  <r>
    <n v="3813"/>
    <x v="5"/>
    <s v="Male"/>
    <n v="51"/>
    <s v="Hyderabad"/>
    <x v="2"/>
    <n v="53203"/>
    <d v="2023-01-07T00:00:00"/>
    <n v="9"/>
    <n v="1"/>
    <n v="5320"/>
    <n v="2660"/>
    <n v="55863"/>
    <n v="2660"/>
    <n v="61183"/>
  </r>
  <r>
    <n v="3814"/>
    <x v="1"/>
    <s v="Female"/>
    <n v="45"/>
    <s v="Delhi"/>
    <x v="4"/>
    <n v="25098"/>
    <d v="2022-05-16T00:00:00"/>
    <n v="14"/>
    <n v="5"/>
    <n v="2510"/>
    <n v="1255"/>
    <n v="26353"/>
    <n v="1255"/>
    <n v="28863"/>
  </r>
  <r>
    <n v="3815"/>
    <x v="7"/>
    <s v="Male"/>
    <n v="31"/>
    <s v="Hyderabad"/>
    <x v="4"/>
    <n v="39991"/>
    <d v="2022-05-11T00:00:00"/>
    <n v="3"/>
    <n v="4"/>
    <n v="3999"/>
    <n v="2000"/>
    <n v="41990"/>
    <n v="0"/>
    <n v="43990"/>
  </r>
  <r>
    <n v="3816"/>
    <x v="6"/>
    <s v="Female"/>
    <n v="54"/>
    <s v="Chennai"/>
    <x v="2"/>
    <n v="66936"/>
    <d v="2022-09-11T00:00:00"/>
    <n v="2"/>
    <n v="5"/>
    <n v="6694"/>
    <n v="3347"/>
    <n v="70283"/>
    <n v="0"/>
    <n v="73630"/>
  </r>
  <r>
    <n v="3817"/>
    <x v="1"/>
    <s v="Male"/>
    <n v="36"/>
    <s v="Hyderabad"/>
    <x v="0"/>
    <n v="52885"/>
    <d v="2022-07-09T00:00:00"/>
    <n v="11"/>
    <n v="3"/>
    <n v="5288"/>
    <n v="2644"/>
    <n v="55529"/>
    <n v="2644"/>
    <n v="60817"/>
  </r>
  <r>
    <n v="3818"/>
    <x v="0"/>
    <s v="Male"/>
    <n v="59"/>
    <s v="Mumbai"/>
    <x v="0"/>
    <n v="35044"/>
    <d v="2023-03-20T00:00:00"/>
    <n v="5"/>
    <n v="5"/>
    <n v="3504"/>
    <n v="1752"/>
    <n v="36796"/>
    <n v="0"/>
    <n v="38548"/>
  </r>
  <r>
    <n v="3819"/>
    <x v="0"/>
    <s v="Male"/>
    <n v="50"/>
    <s v="Mumbai"/>
    <x v="1"/>
    <n v="77288"/>
    <d v="2024-05-07T00:00:00"/>
    <n v="6"/>
    <n v="4"/>
    <n v="7729"/>
    <n v="3864"/>
    <n v="81153"/>
    <n v="3864"/>
    <n v="88881"/>
  </r>
  <r>
    <n v="3820"/>
    <x v="1"/>
    <s v="Male"/>
    <n v="35"/>
    <s v="Hyderabad"/>
    <x v="0"/>
    <n v="54006"/>
    <d v="2022-12-18T00:00:00"/>
    <n v="13"/>
    <n v="4"/>
    <n v="5401"/>
    <n v="2700"/>
    <n v="56707"/>
    <n v="2700"/>
    <n v="62107"/>
  </r>
  <r>
    <n v="3821"/>
    <x v="0"/>
    <s v="Female"/>
    <n v="51"/>
    <s v="Mumbai"/>
    <x v="1"/>
    <n v="26942"/>
    <d v="2023-08-07T00:00:00"/>
    <n v="4"/>
    <n v="2"/>
    <n v="2694"/>
    <n v="1347"/>
    <n v="28289"/>
    <n v="0"/>
    <n v="29636"/>
  </r>
  <r>
    <n v="3822"/>
    <x v="5"/>
    <s v="Female"/>
    <n v="23"/>
    <s v="Bangalore"/>
    <x v="1"/>
    <n v="63585"/>
    <d v="2023-11-01T00:00:00"/>
    <n v="5"/>
    <n v="2"/>
    <n v="6358"/>
    <n v="3179"/>
    <n v="66764"/>
    <n v="0"/>
    <n v="69943"/>
  </r>
  <r>
    <n v="3823"/>
    <x v="4"/>
    <s v="Female"/>
    <n v="46"/>
    <s v="Delhi"/>
    <x v="1"/>
    <n v="45521"/>
    <d v="2022-11-04T00:00:00"/>
    <n v="6"/>
    <n v="4"/>
    <n v="4552"/>
    <n v="2276"/>
    <n v="47797"/>
    <n v="2276"/>
    <n v="52349"/>
  </r>
  <r>
    <n v="3824"/>
    <x v="5"/>
    <s v="Male"/>
    <n v="40"/>
    <s v="Chennai"/>
    <x v="0"/>
    <n v="76663"/>
    <d v="2024-01-10T00:00:00"/>
    <n v="12"/>
    <n v="1"/>
    <n v="7666"/>
    <n v="3833"/>
    <n v="80496"/>
    <n v="3833"/>
    <n v="88162"/>
  </r>
  <r>
    <n v="3825"/>
    <x v="6"/>
    <s v="Female"/>
    <n v="46"/>
    <s v="Chennai"/>
    <x v="3"/>
    <n v="83775"/>
    <d v="2022-12-24T00:00:00"/>
    <n v="15"/>
    <n v="3"/>
    <n v="8378"/>
    <n v="4189"/>
    <n v="87964"/>
    <n v="4189"/>
    <n v="96342"/>
  </r>
  <r>
    <n v="3826"/>
    <x v="9"/>
    <s v="Female"/>
    <n v="46"/>
    <s v="Delhi"/>
    <x v="2"/>
    <n v="55276"/>
    <d v="2022-09-14T00:00:00"/>
    <n v="18"/>
    <n v="2"/>
    <n v="5528"/>
    <n v="2764"/>
    <n v="58040"/>
    <n v="2764"/>
    <n v="63568"/>
  </r>
  <r>
    <n v="3827"/>
    <x v="2"/>
    <s v="Female"/>
    <n v="29"/>
    <s v="Delhi"/>
    <x v="0"/>
    <n v="61595"/>
    <d v="2023-09-30T00:00:00"/>
    <n v="4"/>
    <n v="4"/>
    <n v="6160"/>
    <n v="3080"/>
    <n v="64675"/>
    <n v="0"/>
    <n v="67755"/>
  </r>
  <r>
    <n v="3828"/>
    <x v="0"/>
    <s v="Male"/>
    <n v="38"/>
    <s v="Chennai"/>
    <x v="4"/>
    <n v="45030"/>
    <d v="2024-04-25T00:00:00"/>
    <n v="1"/>
    <n v="1"/>
    <n v="4503"/>
    <n v="2252"/>
    <n v="47281"/>
    <n v="0"/>
    <n v="49533"/>
  </r>
  <r>
    <n v="3829"/>
    <x v="3"/>
    <s v="Female"/>
    <n v="53"/>
    <s v="Hyderabad"/>
    <x v="0"/>
    <n v="87694"/>
    <d v="2023-09-14T00:00:00"/>
    <n v="17"/>
    <n v="4"/>
    <n v="8769"/>
    <n v="4385"/>
    <n v="92078"/>
    <n v="4385"/>
    <n v="100848"/>
  </r>
  <r>
    <n v="3830"/>
    <x v="5"/>
    <s v="Female"/>
    <n v="39"/>
    <s v="Delhi"/>
    <x v="4"/>
    <n v="46581"/>
    <d v="2022-08-20T00:00:00"/>
    <n v="3"/>
    <n v="2"/>
    <n v="4658"/>
    <n v="2329"/>
    <n v="48910"/>
    <n v="0"/>
    <n v="51239"/>
  </r>
  <r>
    <n v="3831"/>
    <x v="3"/>
    <s v="Male"/>
    <n v="45"/>
    <s v="Delhi"/>
    <x v="2"/>
    <n v="77113"/>
    <d v="2024-09-04T00:00:00"/>
    <n v="13"/>
    <n v="5"/>
    <n v="7711"/>
    <n v="3856"/>
    <n v="80968"/>
    <n v="3856"/>
    <n v="88680"/>
  </r>
  <r>
    <n v="3832"/>
    <x v="6"/>
    <s v="Female"/>
    <n v="58"/>
    <s v="Delhi"/>
    <x v="4"/>
    <n v="69925"/>
    <d v="2024-08-11T00:00:00"/>
    <n v="6"/>
    <n v="1"/>
    <n v="6992"/>
    <n v="3496"/>
    <n v="73421"/>
    <n v="3496"/>
    <n v="80413"/>
  </r>
  <r>
    <n v="3833"/>
    <x v="3"/>
    <s v="Male"/>
    <n v="30"/>
    <s v="Chennai"/>
    <x v="0"/>
    <n v="73753"/>
    <d v="2023-07-29T00:00:00"/>
    <n v="10"/>
    <n v="1"/>
    <n v="7375"/>
    <n v="3688"/>
    <n v="77440"/>
    <n v="3688"/>
    <n v="84816"/>
  </r>
  <r>
    <n v="3834"/>
    <x v="7"/>
    <s v="Male"/>
    <n v="43"/>
    <s v="Hyderabad"/>
    <x v="1"/>
    <n v="25228"/>
    <d v="2022-11-06T00:00:00"/>
    <n v="9"/>
    <n v="3"/>
    <n v="2523"/>
    <n v="1261"/>
    <n v="26490"/>
    <n v="1261"/>
    <n v="29012"/>
  </r>
  <r>
    <n v="3835"/>
    <x v="8"/>
    <s v="Female"/>
    <n v="25"/>
    <s v="Chennai"/>
    <x v="3"/>
    <n v="91240"/>
    <d v="2024-06-17T00:00:00"/>
    <n v="15"/>
    <n v="5"/>
    <n v="9124"/>
    <n v="4562"/>
    <n v="95802"/>
    <n v="4562"/>
    <n v="104926"/>
  </r>
  <r>
    <n v="3836"/>
    <x v="7"/>
    <s v="Male"/>
    <n v="38"/>
    <s v="Mumbai"/>
    <x v="4"/>
    <n v="84889"/>
    <d v="2022-03-23T00:00:00"/>
    <n v="19"/>
    <n v="4"/>
    <n v="8489"/>
    <n v="4244"/>
    <n v="89134"/>
    <n v="4244"/>
    <n v="97622"/>
  </r>
  <r>
    <n v="3837"/>
    <x v="5"/>
    <s v="Female"/>
    <n v="43"/>
    <s v="Hyderabad"/>
    <x v="2"/>
    <n v="45595"/>
    <d v="2023-05-25T00:00:00"/>
    <n v="3"/>
    <n v="5"/>
    <n v="4560"/>
    <n v="2280"/>
    <n v="47875"/>
    <n v="0"/>
    <n v="50155"/>
  </r>
  <r>
    <n v="3838"/>
    <x v="6"/>
    <s v="Male"/>
    <n v="31"/>
    <s v="Delhi"/>
    <x v="1"/>
    <n v="78704"/>
    <d v="2022-12-23T00:00:00"/>
    <n v="4"/>
    <n v="4"/>
    <n v="7870"/>
    <n v="3935"/>
    <n v="82639"/>
    <n v="0"/>
    <n v="86574"/>
  </r>
  <r>
    <n v="3839"/>
    <x v="4"/>
    <s v="Female"/>
    <n v="51"/>
    <s v="Chennai"/>
    <x v="3"/>
    <n v="35276"/>
    <d v="2022-12-07T00:00:00"/>
    <n v="1"/>
    <n v="5"/>
    <n v="3528"/>
    <n v="1764"/>
    <n v="37040"/>
    <n v="0"/>
    <n v="38804"/>
  </r>
  <r>
    <n v="3840"/>
    <x v="0"/>
    <s v="Male"/>
    <n v="24"/>
    <s v="Chennai"/>
    <x v="0"/>
    <n v="35747"/>
    <d v="2022-09-09T00:00:00"/>
    <n v="10"/>
    <n v="4"/>
    <n v="3575"/>
    <n v="1787"/>
    <n v="37535"/>
    <n v="1787"/>
    <n v="41109"/>
  </r>
  <r>
    <n v="3841"/>
    <x v="5"/>
    <s v="Male"/>
    <n v="36"/>
    <s v="Chennai"/>
    <x v="3"/>
    <n v="23799"/>
    <d v="2024-08-22T00:00:00"/>
    <n v="9"/>
    <n v="4"/>
    <n v="2380"/>
    <n v="1190"/>
    <n v="24989"/>
    <n v="1190"/>
    <n v="27369"/>
  </r>
  <r>
    <n v="3842"/>
    <x v="4"/>
    <s v="Female"/>
    <n v="31"/>
    <s v="Hyderabad"/>
    <x v="3"/>
    <n v="70116"/>
    <d v="2023-03-12T00:00:00"/>
    <n v="10"/>
    <n v="3"/>
    <n v="7012"/>
    <n v="3506"/>
    <n v="73622"/>
    <n v="3506"/>
    <n v="80634"/>
  </r>
  <r>
    <n v="3843"/>
    <x v="2"/>
    <s v="Female"/>
    <n v="23"/>
    <s v="Hyderabad"/>
    <x v="0"/>
    <n v="59939"/>
    <d v="2023-07-27T00:00:00"/>
    <n v="15"/>
    <n v="2"/>
    <n v="5994"/>
    <n v="2997"/>
    <n v="62936"/>
    <n v="2997"/>
    <n v="68930"/>
  </r>
  <r>
    <n v="3844"/>
    <x v="1"/>
    <s v="Male"/>
    <n v="50"/>
    <s v="Delhi"/>
    <x v="0"/>
    <n v="24172"/>
    <d v="2023-07-21T00:00:00"/>
    <n v="20"/>
    <n v="1"/>
    <n v="2417"/>
    <n v="1209"/>
    <n v="25380"/>
    <n v="1209"/>
    <n v="27798"/>
  </r>
  <r>
    <n v="3845"/>
    <x v="6"/>
    <s v="Male"/>
    <n v="56"/>
    <s v="Delhi"/>
    <x v="1"/>
    <n v="28164"/>
    <d v="2023-08-28T00:00:00"/>
    <n v="9"/>
    <n v="1"/>
    <n v="2816"/>
    <n v="1408"/>
    <n v="29572"/>
    <n v="1408"/>
    <n v="32388"/>
  </r>
  <r>
    <n v="3846"/>
    <x v="0"/>
    <s v="Male"/>
    <n v="26"/>
    <s v="Mumbai"/>
    <x v="0"/>
    <n v="36042"/>
    <d v="2023-10-11T00:00:00"/>
    <n v="1"/>
    <n v="2"/>
    <n v="3604"/>
    <n v="1802"/>
    <n v="37844"/>
    <n v="0"/>
    <n v="39646"/>
  </r>
  <r>
    <n v="3847"/>
    <x v="3"/>
    <s v="Male"/>
    <n v="53"/>
    <s v="Delhi"/>
    <x v="4"/>
    <n v="46721"/>
    <d v="2024-09-27T00:00:00"/>
    <n v="5"/>
    <n v="4"/>
    <n v="4672"/>
    <n v="2336"/>
    <n v="49057"/>
    <n v="0"/>
    <n v="51393"/>
  </r>
  <r>
    <n v="3848"/>
    <x v="0"/>
    <s v="Male"/>
    <n v="59"/>
    <s v="Chennai"/>
    <x v="0"/>
    <n v="27761"/>
    <d v="2023-11-11T00:00:00"/>
    <n v="15"/>
    <n v="1"/>
    <n v="2776"/>
    <n v="1388"/>
    <n v="29149"/>
    <n v="1388"/>
    <n v="31925"/>
  </r>
  <r>
    <n v="3849"/>
    <x v="2"/>
    <s v="Male"/>
    <n v="44"/>
    <s v="Mumbai"/>
    <x v="2"/>
    <n v="51647"/>
    <d v="2023-02-10T00:00:00"/>
    <n v="19"/>
    <n v="1"/>
    <n v="5165"/>
    <n v="2582"/>
    <n v="54230"/>
    <n v="2582"/>
    <n v="59394"/>
  </r>
  <r>
    <n v="3850"/>
    <x v="9"/>
    <s v="Female"/>
    <n v="57"/>
    <s v="Hyderabad"/>
    <x v="3"/>
    <n v="81080"/>
    <d v="2022-09-01T00:00:00"/>
    <n v="18"/>
    <n v="2"/>
    <n v="8108"/>
    <n v="4054"/>
    <n v="85134"/>
    <n v="4054"/>
    <n v="93242"/>
  </r>
  <r>
    <n v="3851"/>
    <x v="2"/>
    <s v="Male"/>
    <n v="34"/>
    <s v="Chennai"/>
    <x v="3"/>
    <n v="45285"/>
    <d v="2023-10-14T00:00:00"/>
    <n v="13"/>
    <n v="1"/>
    <n v="4528"/>
    <n v="2264"/>
    <n v="47549"/>
    <n v="2264"/>
    <n v="52077"/>
  </r>
  <r>
    <n v="3852"/>
    <x v="0"/>
    <s v="Female"/>
    <n v="39"/>
    <s v="Bangalore"/>
    <x v="3"/>
    <n v="66070"/>
    <d v="2022-09-29T00:00:00"/>
    <n v="8"/>
    <n v="1"/>
    <n v="6607"/>
    <n v="3304"/>
    <n v="69373"/>
    <n v="3304"/>
    <n v="75981"/>
  </r>
  <r>
    <n v="3853"/>
    <x v="3"/>
    <s v="Female"/>
    <n v="60"/>
    <s v="Hyderabad"/>
    <x v="1"/>
    <n v="49837"/>
    <d v="2023-11-23T00:00:00"/>
    <n v="17"/>
    <n v="4"/>
    <n v="4984"/>
    <n v="2492"/>
    <n v="52329"/>
    <n v="2492"/>
    <n v="57313"/>
  </r>
  <r>
    <n v="3854"/>
    <x v="0"/>
    <s v="Female"/>
    <n v="25"/>
    <s v="Hyderabad"/>
    <x v="4"/>
    <n v="63127"/>
    <d v="2023-08-04T00:00:00"/>
    <n v="3"/>
    <n v="3"/>
    <n v="6313"/>
    <n v="3156"/>
    <n v="66284"/>
    <n v="0"/>
    <n v="69440"/>
  </r>
  <r>
    <n v="3855"/>
    <x v="5"/>
    <s v="Male"/>
    <n v="25"/>
    <s v="Bangalore"/>
    <x v="1"/>
    <n v="60312"/>
    <d v="2022-05-01T00:00:00"/>
    <n v="15"/>
    <n v="4"/>
    <n v="6031"/>
    <n v="3016"/>
    <n v="63327"/>
    <n v="3016"/>
    <n v="69359"/>
  </r>
  <r>
    <n v="3856"/>
    <x v="7"/>
    <s v="Female"/>
    <n v="41"/>
    <s v="Mumbai"/>
    <x v="1"/>
    <n v="80419"/>
    <d v="2022-05-07T00:00:00"/>
    <n v="15"/>
    <n v="5"/>
    <n v="8042"/>
    <n v="4021"/>
    <n v="84440"/>
    <n v="4021"/>
    <n v="92482"/>
  </r>
  <r>
    <n v="3857"/>
    <x v="2"/>
    <s v="Male"/>
    <n v="49"/>
    <s v="Delhi"/>
    <x v="1"/>
    <n v="50697"/>
    <d v="2023-08-16T00:00:00"/>
    <n v="4"/>
    <n v="5"/>
    <n v="5070"/>
    <n v="2535"/>
    <n v="53232"/>
    <n v="0"/>
    <n v="55767"/>
  </r>
  <r>
    <n v="3858"/>
    <x v="6"/>
    <s v="Male"/>
    <n v="28"/>
    <s v="Chennai"/>
    <x v="4"/>
    <n v="78607"/>
    <d v="2023-07-08T00:00:00"/>
    <n v="8"/>
    <n v="5"/>
    <n v="7861"/>
    <n v="3930"/>
    <n v="82538"/>
    <n v="3930"/>
    <n v="90398"/>
  </r>
  <r>
    <n v="3859"/>
    <x v="3"/>
    <s v="Male"/>
    <n v="31"/>
    <s v="Chennai"/>
    <x v="2"/>
    <n v="46474"/>
    <d v="2023-06-25T00:00:00"/>
    <n v="4"/>
    <n v="3"/>
    <n v="4647"/>
    <n v="2324"/>
    <n v="48797"/>
    <n v="0"/>
    <n v="51121"/>
  </r>
  <r>
    <n v="3860"/>
    <x v="1"/>
    <s v="Male"/>
    <n v="51"/>
    <s v="Delhi"/>
    <x v="2"/>
    <n v="84173"/>
    <d v="2023-02-12T00:00:00"/>
    <n v="16"/>
    <n v="2"/>
    <n v="8417"/>
    <n v="4209"/>
    <n v="88381"/>
    <n v="4209"/>
    <n v="96799"/>
  </r>
  <r>
    <n v="3861"/>
    <x v="8"/>
    <s v="Male"/>
    <n v="53"/>
    <s v="Bangalore"/>
    <x v="3"/>
    <n v="98151"/>
    <d v="2022-03-20T00:00:00"/>
    <n v="15"/>
    <n v="4"/>
    <n v="9815"/>
    <n v="4908"/>
    <n v="103058"/>
    <n v="4908"/>
    <n v="112874"/>
  </r>
  <r>
    <n v="3862"/>
    <x v="9"/>
    <s v="Male"/>
    <n v="26"/>
    <s v="Hyderabad"/>
    <x v="1"/>
    <n v="67434"/>
    <d v="2023-06-20T00:00:00"/>
    <n v="13"/>
    <n v="2"/>
    <n v="6743"/>
    <n v="3372"/>
    <n v="70805"/>
    <n v="3372"/>
    <n v="77549"/>
  </r>
  <r>
    <n v="3863"/>
    <x v="9"/>
    <s v="Male"/>
    <n v="49"/>
    <s v="Delhi"/>
    <x v="1"/>
    <n v="45749"/>
    <d v="2023-05-09T00:00:00"/>
    <n v="16"/>
    <n v="3"/>
    <n v="4575"/>
    <n v="2287"/>
    <n v="48037"/>
    <n v="2287"/>
    <n v="52611"/>
  </r>
  <r>
    <n v="3864"/>
    <x v="7"/>
    <s v="Female"/>
    <n v="44"/>
    <s v="Bangalore"/>
    <x v="4"/>
    <n v="31570"/>
    <d v="2023-04-27T00:00:00"/>
    <n v="13"/>
    <n v="4"/>
    <n v="3157"/>
    <n v="1578"/>
    <n v="33149"/>
    <n v="1578"/>
    <n v="36305"/>
  </r>
  <r>
    <n v="3865"/>
    <x v="9"/>
    <s v="Male"/>
    <n v="21"/>
    <s v="Mumbai"/>
    <x v="3"/>
    <n v="86053"/>
    <d v="2023-07-08T00:00:00"/>
    <n v="6"/>
    <n v="3"/>
    <n v="8605"/>
    <n v="4303"/>
    <n v="90355"/>
    <n v="4303"/>
    <n v="98961"/>
  </r>
  <r>
    <n v="3866"/>
    <x v="7"/>
    <s v="Female"/>
    <n v="42"/>
    <s v="Mumbai"/>
    <x v="0"/>
    <n v="48648"/>
    <d v="2024-04-27T00:00:00"/>
    <n v="12"/>
    <n v="5"/>
    <n v="4865"/>
    <n v="2432"/>
    <n v="51081"/>
    <n v="2432"/>
    <n v="55945"/>
  </r>
  <r>
    <n v="3867"/>
    <x v="6"/>
    <s v="Male"/>
    <n v="35"/>
    <s v="Mumbai"/>
    <x v="1"/>
    <n v="66450"/>
    <d v="2022-09-02T00:00:00"/>
    <n v="8"/>
    <n v="3"/>
    <n v="6645"/>
    <n v="3322"/>
    <n v="69773"/>
    <n v="3322"/>
    <n v="76417"/>
  </r>
  <r>
    <n v="3868"/>
    <x v="7"/>
    <s v="Male"/>
    <n v="47"/>
    <s v="Bangalore"/>
    <x v="3"/>
    <n v="71255"/>
    <d v="2022-01-29T00:00:00"/>
    <n v="7"/>
    <n v="3"/>
    <n v="7126"/>
    <n v="3563"/>
    <n v="74818"/>
    <n v="3563"/>
    <n v="81944"/>
  </r>
  <r>
    <n v="3869"/>
    <x v="5"/>
    <s v="Male"/>
    <n v="50"/>
    <s v="Bangalore"/>
    <x v="0"/>
    <n v="85867"/>
    <d v="2023-08-22T00:00:00"/>
    <n v="8"/>
    <n v="5"/>
    <n v="8587"/>
    <n v="4293"/>
    <n v="90161"/>
    <n v="4293"/>
    <n v="98747"/>
  </r>
  <r>
    <n v="3870"/>
    <x v="1"/>
    <s v="Male"/>
    <n v="44"/>
    <s v="Chennai"/>
    <x v="0"/>
    <n v="82453"/>
    <d v="2024-09-20T00:00:00"/>
    <n v="6"/>
    <n v="4"/>
    <n v="8245"/>
    <n v="4123"/>
    <n v="86575"/>
    <n v="4123"/>
    <n v="94821"/>
  </r>
  <r>
    <n v="3871"/>
    <x v="7"/>
    <s v="Male"/>
    <n v="21"/>
    <s v="Mumbai"/>
    <x v="2"/>
    <n v="32036"/>
    <d v="2024-08-28T00:00:00"/>
    <n v="12"/>
    <n v="2"/>
    <n v="3204"/>
    <n v="1602"/>
    <n v="33638"/>
    <n v="1602"/>
    <n v="36842"/>
  </r>
  <r>
    <n v="3872"/>
    <x v="4"/>
    <s v="Male"/>
    <n v="45"/>
    <s v="Bangalore"/>
    <x v="0"/>
    <n v="97028"/>
    <d v="2023-06-25T00:00:00"/>
    <n v="9"/>
    <n v="4"/>
    <n v="9703"/>
    <n v="4851"/>
    <n v="101880"/>
    <n v="4851"/>
    <n v="111582"/>
  </r>
  <r>
    <n v="3873"/>
    <x v="6"/>
    <s v="Male"/>
    <n v="25"/>
    <s v="Mumbai"/>
    <x v="3"/>
    <n v="38658"/>
    <d v="2024-05-05T00:00:00"/>
    <n v="14"/>
    <n v="4"/>
    <n v="3866"/>
    <n v="1933"/>
    <n v="40591"/>
    <n v="1933"/>
    <n v="44457"/>
  </r>
  <r>
    <n v="3874"/>
    <x v="8"/>
    <s v="Male"/>
    <n v="22"/>
    <s v="Delhi"/>
    <x v="1"/>
    <n v="75055"/>
    <d v="2022-08-07T00:00:00"/>
    <n v="1"/>
    <n v="1"/>
    <n v="7506"/>
    <n v="3753"/>
    <n v="78808"/>
    <n v="0"/>
    <n v="82561"/>
  </r>
  <r>
    <n v="3875"/>
    <x v="6"/>
    <s v="Female"/>
    <n v="46"/>
    <s v="Delhi"/>
    <x v="2"/>
    <n v="69422"/>
    <d v="2023-09-29T00:00:00"/>
    <n v="20"/>
    <n v="4"/>
    <n v="6942"/>
    <n v="3471"/>
    <n v="72893"/>
    <n v="3471"/>
    <n v="79835"/>
  </r>
  <r>
    <n v="3876"/>
    <x v="2"/>
    <s v="Male"/>
    <n v="30"/>
    <s v="Delhi"/>
    <x v="4"/>
    <n v="52861"/>
    <d v="2024-07-07T00:00:00"/>
    <n v="10"/>
    <n v="2"/>
    <n v="5286"/>
    <n v="2643"/>
    <n v="55504"/>
    <n v="2643"/>
    <n v="60790"/>
  </r>
  <r>
    <n v="3877"/>
    <x v="2"/>
    <s v="Male"/>
    <n v="54"/>
    <s v="Chennai"/>
    <x v="3"/>
    <n v="70561"/>
    <d v="2022-11-23T00:00:00"/>
    <n v="2"/>
    <n v="5"/>
    <n v="7056"/>
    <n v="3528"/>
    <n v="74089"/>
    <n v="0"/>
    <n v="77617"/>
  </r>
  <r>
    <n v="3878"/>
    <x v="9"/>
    <s v="Female"/>
    <n v="40"/>
    <s v="Mumbai"/>
    <x v="3"/>
    <n v="74944"/>
    <d v="2022-01-16T00:00:00"/>
    <n v="18"/>
    <n v="4"/>
    <n v="7494"/>
    <n v="3747"/>
    <n v="78691"/>
    <n v="3747"/>
    <n v="86185"/>
  </r>
  <r>
    <n v="3879"/>
    <x v="8"/>
    <s v="Male"/>
    <n v="25"/>
    <s v="Delhi"/>
    <x v="1"/>
    <n v="99201"/>
    <d v="2023-01-29T00:00:00"/>
    <n v="9"/>
    <n v="1"/>
    <n v="9920"/>
    <n v="4960"/>
    <n v="104161"/>
    <n v="4960"/>
    <n v="114081"/>
  </r>
  <r>
    <n v="3880"/>
    <x v="2"/>
    <s v="Female"/>
    <n v="60"/>
    <s v="Delhi"/>
    <x v="3"/>
    <n v="70664"/>
    <d v="2023-07-25T00:00:00"/>
    <n v="10"/>
    <n v="2"/>
    <n v="7066"/>
    <n v="3533"/>
    <n v="74197"/>
    <n v="3533"/>
    <n v="81263"/>
  </r>
  <r>
    <n v="3881"/>
    <x v="3"/>
    <s v="Male"/>
    <n v="51"/>
    <s v="Bangalore"/>
    <x v="2"/>
    <n v="52718"/>
    <d v="2022-02-23T00:00:00"/>
    <n v="1"/>
    <n v="1"/>
    <n v="5272"/>
    <n v="2636"/>
    <n v="55354"/>
    <n v="0"/>
    <n v="57990"/>
  </r>
  <r>
    <n v="3882"/>
    <x v="5"/>
    <s v="Female"/>
    <n v="25"/>
    <s v="Mumbai"/>
    <x v="0"/>
    <n v="62898"/>
    <d v="2022-10-16T00:00:00"/>
    <n v="10"/>
    <n v="3"/>
    <n v="6290"/>
    <n v="3145"/>
    <n v="66043"/>
    <n v="3145"/>
    <n v="72333"/>
  </r>
  <r>
    <n v="3883"/>
    <x v="2"/>
    <s v="Female"/>
    <n v="46"/>
    <s v="Delhi"/>
    <x v="3"/>
    <n v="89835"/>
    <d v="2022-04-14T00:00:00"/>
    <n v="12"/>
    <n v="3"/>
    <n v="8984"/>
    <n v="4492"/>
    <n v="94327"/>
    <n v="4492"/>
    <n v="103311"/>
  </r>
  <r>
    <n v="3884"/>
    <x v="4"/>
    <s v="Female"/>
    <n v="46"/>
    <s v="Bangalore"/>
    <x v="4"/>
    <n v="51724"/>
    <d v="2022-11-14T00:00:00"/>
    <n v="14"/>
    <n v="4"/>
    <n v="5172"/>
    <n v="2586"/>
    <n v="54310"/>
    <n v="2586"/>
    <n v="59482"/>
  </r>
  <r>
    <n v="3885"/>
    <x v="9"/>
    <s v="Female"/>
    <n v="52"/>
    <s v="Bangalore"/>
    <x v="0"/>
    <n v="32858"/>
    <d v="2022-06-03T00:00:00"/>
    <n v="15"/>
    <n v="1"/>
    <n v="3286"/>
    <n v="1643"/>
    <n v="34501"/>
    <n v="1643"/>
    <n v="37787"/>
  </r>
  <r>
    <n v="3886"/>
    <x v="9"/>
    <s v="Male"/>
    <n v="49"/>
    <s v="Bangalore"/>
    <x v="1"/>
    <n v="37032"/>
    <d v="2023-09-01T00:00:00"/>
    <n v="17"/>
    <n v="2"/>
    <n v="3703"/>
    <n v="1852"/>
    <n v="38883"/>
    <n v="1852"/>
    <n v="42587"/>
  </r>
  <r>
    <n v="3887"/>
    <x v="1"/>
    <s v="Female"/>
    <n v="29"/>
    <s v="Mumbai"/>
    <x v="3"/>
    <n v="60567"/>
    <d v="2022-08-25T00:00:00"/>
    <n v="12"/>
    <n v="3"/>
    <n v="6057"/>
    <n v="3028"/>
    <n v="63596"/>
    <n v="3028"/>
    <n v="69652"/>
  </r>
  <r>
    <n v="3888"/>
    <x v="6"/>
    <s v="Female"/>
    <n v="37"/>
    <s v="Delhi"/>
    <x v="0"/>
    <n v="23388"/>
    <d v="2023-08-30T00:00:00"/>
    <n v="8"/>
    <n v="2"/>
    <n v="2339"/>
    <n v="1169"/>
    <n v="24558"/>
    <n v="1169"/>
    <n v="26896"/>
  </r>
  <r>
    <n v="3889"/>
    <x v="4"/>
    <s v="Male"/>
    <n v="46"/>
    <s v="Hyderabad"/>
    <x v="3"/>
    <n v="79038"/>
    <d v="2022-02-18T00:00:00"/>
    <n v="10"/>
    <n v="4"/>
    <n v="7904"/>
    <n v="3952"/>
    <n v="82990"/>
    <n v="3952"/>
    <n v="90894"/>
  </r>
  <r>
    <n v="3890"/>
    <x v="0"/>
    <s v="Female"/>
    <n v="55"/>
    <s v="Mumbai"/>
    <x v="1"/>
    <n v="58879"/>
    <d v="2023-09-10T00:00:00"/>
    <n v="11"/>
    <n v="2"/>
    <n v="5888"/>
    <n v="2944"/>
    <n v="61823"/>
    <n v="2944"/>
    <n v="67711"/>
  </r>
  <r>
    <n v="3891"/>
    <x v="6"/>
    <s v="Female"/>
    <n v="41"/>
    <s v="Hyderabad"/>
    <x v="0"/>
    <n v="63665"/>
    <d v="2024-04-22T00:00:00"/>
    <n v="16"/>
    <n v="5"/>
    <n v="6366"/>
    <n v="3183"/>
    <n v="66848"/>
    <n v="3183"/>
    <n v="73214"/>
  </r>
  <r>
    <n v="3892"/>
    <x v="2"/>
    <s v="Female"/>
    <n v="22"/>
    <s v="Delhi"/>
    <x v="4"/>
    <n v="21467"/>
    <d v="2023-07-04T00:00:00"/>
    <n v="12"/>
    <n v="4"/>
    <n v="2147"/>
    <n v="1073"/>
    <n v="22541"/>
    <n v="1073"/>
    <n v="24687"/>
  </r>
  <r>
    <n v="3893"/>
    <x v="1"/>
    <s v="Male"/>
    <n v="38"/>
    <s v="Hyderabad"/>
    <x v="4"/>
    <n v="88488"/>
    <d v="2022-02-16T00:00:00"/>
    <n v="20"/>
    <n v="3"/>
    <n v="8849"/>
    <n v="4424"/>
    <n v="92913"/>
    <n v="4424"/>
    <n v="101761"/>
  </r>
  <r>
    <n v="3894"/>
    <x v="9"/>
    <s v="Female"/>
    <n v="47"/>
    <s v="Chennai"/>
    <x v="3"/>
    <n v="91526"/>
    <d v="2023-07-08T00:00:00"/>
    <n v="1"/>
    <n v="1"/>
    <n v="9153"/>
    <n v="4576"/>
    <n v="96103"/>
    <n v="0"/>
    <n v="100679"/>
  </r>
  <r>
    <n v="3895"/>
    <x v="9"/>
    <s v="Female"/>
    <n v="50"/>
    <s v="Chennai"/>
    <x v="2"/>
    <n v="35857"/>
    <d v="2023-09-06T00:00:00"/>
    <n v="17"/>
    <n v="3"/>
    <n v="3586"/>
    <n v="1793"/>
    <n v="37650"/>
    <n v="1793"/>
    <n v="41236"/>
  </r>
  <r>
    <n v="3896"/>
    <x v="0"/>
    <s v="Female"/>
    <n v="29"/>
    <s v="Chennai"/>
    <x v="2"/>
    <n v="31667"/>
    <d v="2024-03-23T00:00:00"/>
    <n v="3"/>
    <n v="3"/>
    <n v="3167"/>
    <n v="1583"/>
    <n v="33251"/>
    <n v="0"/>
    <n v="34834"/>
  </r>
  <r>
    <n v="3897"/>
    <x v="5"/>
    <s v="Male"/>
    <n v="25"/>
    <s v="Hyderabad"/>
    <x v="0"/>
    <n v="99316"/>
    <d v="2024-08-04T00:00:00"/>
    <n v="8"/>
    <n v="1"/>
    <n v="9932"/>
    <n v="4966"/>
    <n v="104282"/>
    <n v="4966"/>
    <n v="114214"/>
  </r>
  <r>
    <n v="3898"/>
    <x v="1"/>
    <s v="Female"/>
    <n v="23"/>
    <s v="Hyderabad"/>
    <x v="0"/>
    <n v="74463"/>
    <d v="2024-03-30T00:00:00"/>
    <n v="1"/>
    <n v="4"/>
    <n v="7446"/>
    <n v="3723"/>
    <n v="78186"/>
    <n v="0"/>
    <n v="81909"/>
  </r>
  <r>
    <n v="3899"/>
    <x v="8"/>
    <s v="Female"/>
    <n v="51"/>
    <s v="Delhi"/>
    <x v="3"/>
    <n v="34502"/>
    <d v="2023-10-10T00:00:00"/>
    <n v="17"/>
    <n v="1"/>
    <n v="3450"/>
    <n v="1725"/>
    <n v="36227"/>
    <n v="1725"/>
    <n v="39677"/>
  </r>
  <r>
    <n v="3900"/>
    <x v="5"/>
    <s v="Male"/>
    <n v="59"/>
    <s v="Bangalore"/>
    <x v="4"/>
    <n v="37251"/>
    <d v="2022-01-12T00:00:00"/>
    <n v="4"/>
    <n v="4"/>
    <n v="3725"/>
    <n v="1863"/>
    <n v="39113"/>
    <n v="0"/>
    <n v="40976"/>
  </r>
  <r>
    <n v="3901"/>
    <x v="3"/>
    <s v="Male"/>
    <n v="34"/>
    <s v="Hyderabad"/>
    <x v="2"/>
    <n v="55269"/>
    <d v="2022-01-18T00:00:00"/>
    <n v="4"/>
    <n v="4"/>
    <n v="5527"/>
    <n v="2763"/>
    <n v="58033"/>
    <n v="0"/>
    <n v="60796"/>
  </r>
  <r>
    <n v="3902"/>
    <x v="8"/>
    <s v="Female"/>
    <n v="36"/>
    <s v="Mumbai"/>
    <x v="1"/>
    <n v="54223"/>
    <d v="2023-05-27T00:00:00"/>
    <n v="8"/>
    <n v="3"/>
    <n v="5422"/>
    <n v="2711"/>
    <n v="56934"/>
    <n v="2711"/>
    <n v="62356"/>
  </r>
  <r>
    <n v="3903"/>
    <x v="8"/>
    <s v="Female"/>
    <n v="59"/>
    <s v="Chennai"/>
    <x v="2"/>
    <n v="93380"/>
    <d v="2023-06-14T00:00:00"/>
    <n v="6"/>
    <n v="4"/>
    <n v="9338"/>
    <n v="4669"/>
    <n v="98049"/>
    <n v="4669"/>
    <n v="107387"/>
  </r>
  <r>
    <n v="3904"/>
    <x v="7"/>
    <s v="Female"/>
    <n v="41"/>
    <s v="Mumbai"/>
    <x v="2"/>
    <n v="82931"/>
    <d v="2023-10-31T00:00:00"/>
    <n v="6"/>
    <n v="5"/>
    <n v="8293"/>
    <n v="4147"/>
    <n v="87077"/>
    <n v="4147"/>
    <n v="95371"/>
  </r>
  <r>
    <n v="3905"/>
    <x v="9"/>
    <s v="Male"/>
    <n v="38"/>
    <s v="Mumbai"/>
    <x v="4"/>
    <n v="65423"/>
    <d v="2023-05-09T00:00:00"/>
    <n v="16"/>
    <n v="4"/>
    <n v="6542"/>
    <n v="3271"/>
    <n v="68694"/>
    <n v="3271"/>
    <n v="75236"/>
  </r>
  <r>
    <n v="3906"/>
    <x v="9"/>
    <s v="Male"/>
    <n v="25"/>
    <s v="Chennai"/>
    <x v="2"/>
    <n v="66877"/>
    <d v="2023-04-17T00:00:00"/>
    <n v="19"/>
    <n v="2"/>
    <n v="6688"/>
    <n v="3344"/>
    <n v="70221"/>
    <n v="3344"/>
    <n v="76909"/>
  </r>
  <r>
    <n v="3907"/>
    <x v="0"/>
    <s v="Female"/>
    <n v="42"/>
    <s v="Hyderabad"/>
    <x v="4"/>
    <n v="95962"/>
    <d v="2022-05-09T00:00:00"/>
    <n v="3"/>
    <n v="4"/>
    <n v="9596"/>
    <n v="4798"/>
    <n v="100760"/>
    <n v="0"/>
    <n v="105558"/>
  </r>
  <r>
    <n v="3908"/>
    <x v="1"/>
    <s v="Female"/>
    <n v="31"/>
    <s v="Hyderabad"/>
    <x v="3"/>
    <n v="82476"/>
    <d v="2023-05-11T00:00:00"/>
    <n v="19"/>
    <n v="2"/>
    <n v="8248"/>
    <n v="4124"/>
    <n v="86600"/>
    <n v="4124"/>
    <n v="94848"/>
  </r>
  <r>
    <n v="3909"/>
    <x v="4"/>
    <s v="Male"/>
    <n v="34"/>
    <s v="Mumbai"/>
    <x v="4"/>
    <n v="73417"/>
    <d v="2023-01-22T00:00:00"/>
    <n v="9"/>
    <n v="3"/>
    <n v="7342"/>
    <n v="3671"/>
    <n v="77088"/>
    <n v="3671"/>
    <n v="84430"/>
  </r>
  <r>
    <n v="3910"/>
    <x v="8"/>
    <s v="Male"/>
    <n v="26"/>
    <s v="Chennai"/>
    <x v="0"/>
    <n v="60236"/>
    <d v="2023-04-23T00:00:00"/>
    <n v="18"/>
    <n v="4"/>
    <n v="6024"/>
    <n v="3012"/>
    <n v="63248"/>
    <n v="3012"/>
    <n v="69272"/>
  </r>
  <r>
    <n v="3911"/>
    <x v="0"/>
    <s v="Male"/>
    <n v="56"/>
    <s v="Bangalore"/>
    <x v="3"/>
    <n v="54189"/>
    <d v="2022-11-14T00:00:00"/>
    <n v="15"/>
    <n v="3"/>
    <n v="5419"/>
    <n v="2709"/>
    <n v="56899"/>
    <n v="2709"/>
    <n v="62317"/>
  </r>
  <r>
    <n v="3912"/>
    <x v="5"/>
    <s v="Male"/>
    <n v="49"/>
    <s v="Delhi"/>
    <x v="4"/>
    <n v="34324"/>
    <d v="2024-04-10T00:00:00"/>
    <n v="8"/>
    <n v="4"/>
    <n v="3432"/>
    <n v="1716"/>
    <n v="36040"/>
    <n v="1716"/>
    <n v="39472"/>
  </r>
  <r>
    <n v="3913"/>
    <x v="4"/>
    <s v="Female"/>
    <n v="47"/>
    <s v="Hyderabad"/>
    <x v="1"/>
    <n v="84956"/>
    <d v="2024-06-17T00:00:00"/>
    <n v="15"/>
    <n v="5"/>
    <n v="8496"/>
    <n v="4248"/>
    <n v="89204"/>
    <n v="4248"/>
    <n v="97700"/>
  </r>
  <r>
    <n v="3914"/>
    <x v="2"/>
    <s v="Male"/>
    <n v="53"/>
    <s v="Chennai"/>
    <x v="1"/>
    <n v="20916"/>
    <d v="2024-01-16T00:00:00"/>
    <n v="17"/>
    <n v="4"/>
    <n v="2092"/>
    <n v="1046"/>
    <n v="21962"/>
    <n v="1046"/>
    <n v="24054"/>
  </r>
  <r>
    <n v="3915"/>
    <x v="9"/>
    <s v="Female"/>
    <n v="28"/>
    <s v="Chennai"/>
    <x v="1"/>
    <n v="90697"/>
    <d v="2023-10-06T00:00:00"/>
    <n v="10"/>
    <n v="4"/>
    <n v="9070"/>
    <n v="4535"/>
    <n v="95232"/>
    <n v="4535"/>
    <n v="104302"/>
  </r>
  <r>
    <n v="3916"/>
    <x v="4"/>
    <s v="Female"/>
    <n v="21"/>
    <s v="Chennai"/>
    <x v="3"/>
    <n v="97792"/>
    <d v="2022-01-19T00:00:00"/>
    <n v="19"/>
    <n v="2"/>
    <n v="9779"/>
    <n v="4890"/>
    <n v="102681"/>
    <n v="4890"/>
    <n v="112461"/>
  </r>
  <r>
    <n v="3917"/>
    <x v="3"/>
    <s v="Male"/>
    <n v="44"/>
    <s v="Delhi"/>
    <x v="3"/>
    <n v="64064"/>
    <d v="2024-01-20T00:00:00"/>
    <n v="1"/>
    <n v="2"/>
    <n v="6406"/>
    <n v="3203"/>
    <n v="67267"/>
    <n v="0"/>
    <n v="70470"/>
  </r>
  <r>
    <n v="3918"/>
    <x v="2"/>
    <s v="Male"/>
    <n v="53"/>
    <s v="Mumbai"/>
    <x v="4"/>
    <n v="86608"/>
    <d v="2023-10-01T00:00:00"/>
    <n v="10"/>
    <n v="3"/>
    <n v="8661"/>
    <n v="4330"/>
    <n v="90939"/>
    <n v="4330"/>
    <n v="99599"/>
  </r>
  <r>
    <n v="3919"/>
    <x v="2"/>
    <s v="Male"/>
    <n v="52"/>
    <s v="Delhi"/>
    <x v="0"/>
    <n v="71457"/>
    <d v="2022-12-11T00:00:00"/>
    <n v="6"/>
    <n v="3"/>
    <n v="7146"/>
    <n v="3573"/>
    <n v="75030"/>
    <n v="3573"/>
    <n v="82176"/>
  </r>
  <r>
    <n v="3920"/>
    <x v="7"/>
    <s v="Male"/>
    <n v="48"/>
    <s v="Delhi"/>
    <x v="1"/>
    <n v="68208"/>
    <d v="2022-04-11T00:00:00"/>
    <n v="4"/>
    <n v="3"/>
    <n v="6821"/>
    <n v="3410"/>
    <n v="71619"/>
    <n v="0"/>
    <n v="75029"/>
  </r>
  <r>
    <n v="3921"/>
    <x v="2"/>
    <s v="Male"/>
    <n v="49"/>
    <s v="Bangalore"/>
    <x v="3"/>
    <n v="26826"/>
    <d v="2022-01-20T00:00:00"/>
    <n v="16"/>
    <n v="1"/>
    <n v="2683"/>
    <n v="1341"/>
    <n v="28168"/>
    <n v="1341"/>
    <n v="30850"/>
  </r>
  <r>
    <n v="3922"/>
    <x v="3"/>
    <s v="Female"/>
    <n v="46"/>
    <s v="Mumbai"/>
    <x v="2"/>
    <n v="43321"/>
    <d v="2023-03-23T00:00:00"/>
    <n v="18"/>
    <n v="5"/>
    <n v="4332"/>
    <n v="2166"/>
    <n v="45487"/>
    <n v="2166"/>
    <n v="49819"/>
  </r>
  <r>
    <n v="3923"/>
    <x v="2"/>
    <s v="Male"/>
    <n v="41"/>
    <s v="Chennai"/>
    <x v="0"/>
    <n v="95341"/>
    <d v="2023-06-01T00:00:00"/>
    <n v="4"/>
    <n v="5"/>
    <n v="9534"/>
    <n v="4767"/>
    <n v="100108"/>
    <n v="0"/>
    <n v="104875"/>
  </r>
  <r>
    <n v="3924"/>
    <x v="8"/>
    <s v="Male"/>
    <n v="56"/>
    <s v="Mumbai"/>
    <x v="3"/>
    <n v="29093"/>
    <d v="2023-12-18T00:00:00"/>
    <n v="4"/>
    <n v="1"/>
    <n v="2909"/>
    <n v="1455"/>
    <n v="30547"/>
    <n v="0"/>
    <n v="32002"/>
  </r>
  <r>
    <n v="3925"/>
    <x v="7"/>
    <s v="Male"/>
    <n v="50"/>
    <s v="Hyderabad"/>
    <x v="0"/>
    <n v="60639"/>
    <d v="2022-04-13T00:00:00"/>
    <n v="11"/>
    <n v="5"/>
    <n v="6064"/>
    <n v="3032"/>
    <n v="63671"/>
    <n v="3032"/>
    <n v="69735"/>
  </r>
  <r>
    <n v="3926"/>
    <x v="3"/>
    <s v="Male"/>
    <n v="58"/>
    <s v="Chennai"/>
    <x v="3"/>
    <n v="61152"/>
    <d v="2022-09-19T00:00:00"/>
    <n v="1"/>
    <n v="3"/>
    <n v="6115"/>
    <n v="3058"/>
    <n v="64209"/>
    <n v="0"/>
    <n v="67267"/>
  </r>
  <r>
    <n v="3927"/>
    <x v="1"/>
    <s v="Male"/>
    <n v="31"/>
    <s v="Delhi"/>
    <x v="3"/>
    <n v="80036"/>
    <d v="2022-07-23T00:00:00"/>
    <n v="17"/>
    <n v="3"/>
    <n v="8004"/>
    <n v="4002"/>
    <n v="84038"/>
    <n v="4002"/>
    <n v="92042"/>
  </r>
  <r>
    <n v="3928"/>
    <x v="0"/>
    <s v="Male"/>
    <n v="57"/>
    <s v="Chennai"/>
    <x v="0"/>
    <n v="21156"/>
    <d v="2022-12-02T00:00:00"/>
    <n v="15"/>
    <n v="2"/>
    <n v="2116"/>
    <n v="1058"/>
    <n v="22214"/>
    <n v="1058"/>
    <n v="24330"/>
  </r>
  <r>
    <n v="3929"/>
    <x v="0"/>
    <s v="Male"/>
    <n v="29"/>
    <s v="Mumbai"/>
    <x v="0"/>
    <n v="46506"/>
    <d v="2024-06-25T00:00:00"/>
    <n v="13"/>
    <n v="3"/>
    <n v="4651"/>
    <n v="2325"/>
    <n v="48832"/>
    <n v="2325"/>
    <n v="53482"/>
  </r>
  <r>
    <n v="3930"/>
    <x v="3"/>
    <s v="Female"/>
    <n v="59"/>
    <s v="Chennai"/>
    <x v="4"/>
    <n v="58748"/>
    <d v="2024-01-20T00:00:00"/>
    <n v="5"/>
    <n v="4"/>
    <n v="5875"/>
    <n v="2937"/>
    <n v="61686"/>
    <n v="0"/>
    <n v="64623"/>
  </r>
  <r>
    <n v="3931"/>
    <x v="5"/>
    <s v="Female"/>
    <n v="27"/>
    <s v="Mumbai"/>
    <x v="3"/>
    <n v="97776"/>
    <d v="2022-03-05T00:00:00"/>
    <n v="12"/>
    <n v="1"/>
    <n v="9778"/>
    <n v="4889"/>
    <n v="102665"/>
    <n v="4889"/>
    <n v="112443"/>
  </r>
  <r>
    <n v="3932"/>
    <x v="0"/>
    <s v="Male"/>
    <n v="45"/>
    <s v="Delhi"/>
    <x v="2"/>
    <n v="65410"/>
    <d v="2022-11-02T00:00:00"/>
    <n v="19"/>
    <n v="1"/>
    <n v="6541"/>
    <n v="3270"/>
    <n v="68681"/>
    <n v="3270"/>
    <n v="75221"/>
  </r>
  <r>
    <n v="3933"/>
    <x v="9"/>
    <s v="Female"/>
    <n v="57"/>
    <s v="Hyderabad"/>
    <x v="0"/>
    <n v="20405"/>
    <d v="2022-03-15T00:00:00"/>
    <n v="17"/>
    <n v="3"/>
    <n v="2040"/>
    <n v="1020"/>
    <n v="21425"/>
    <n v="1020"/>
    <n v="23465"/>
  </r>
  <r>
    <n v="3934"/>
    <x v="8"/>
    <s v="Male"/>
    <n v="45"/>
    <s v="Chennai"/>
    <x v="0"/>
    <n v="65122"/>
    <d v="2022-05-27T00:00:00"/>
    <n v="14"/>
    <n v="5"/>
    <n v="6512"/>
    <n v="3256"/>
    <n v="68378"/>
    <n v="3256"/>
    <n v="74890"/>
  </r>
  <r>
    <n v="3935"/>
    <x v="8"/>
    <s v="Male"/>
    <n v="26"/>
    <s v="Mumbai"/>
    <x v="3"/>
    <n v="84430"/>
    <d v="2022-01-31T00:00:00"/>
    <n v="2"/>
    <n v="4"/>
    <n v="8443"/>
    <n v="4222"/>
    <n v="88651"/>
    <n v="0"/>
    <n v="92873"/>
  </r>
  <r>
    <n v="3936"/>
    <x v="6"/>
    <s v="Male"/>
    <n v="56"/>
    <s v="Chennai"/>
    <x v="0"/>
    <n v="46265"/>
    <d v="2022-03-17T00:00:00"/>
    <n v="13"/>
    <n v="4"/>
    <n v="4626"/>
    <n v="2313"/>
    <n v="48578"/>
    <n v="2313"/>
    <n v="53204"/>
  </r>
  <r>
    <n v="3937"/>
    <x v="2"/>
    <s v="Male"/>
    <n v="29"/>
    <s v="Delhi"/>
    <x v="0"/>
    <n v="67833"/>
    <d v="2023-07-08T00:00:00"/>
    <n v="14"/>
    <n v="5"/>
    <n v="6783"/>
    <n v="3392"/>
    <n v="71224"/>
    <n v="3392"/>
    <n v="78008"/>
  </r>
  <r>
    <n v="3938"/>
    <x v="2"/>
    <s v="Female"/>
    <n v="39"/>
    <s v="Bangalore"/>
    <x v="4"/>
    <n v="50056"/>
    <d v="2024-07-05T00:00:00"/>
    <n v="17"/>
    <n v="1"/>
    <n v="5006"/>
    <n v="2503"/>
    <n v="52559"/>
    <n v="2503"/>
    <n v="57565"/>
  </r>
  <r>
    <n v="3939"/>
    <x v="2"/>
    <s v="Female"/>
    <n v="37"/>
    <s v="Chennai"/>
    <x v="1"/>
    <n v="77959"/>
    <d v="2024-04-07T00:00:00"/>
    <n v="18"/>
    <n v="5"/>
    <n v="7796"/>
    <n v="3898"/>
    <n v="81857"/>
    <n v="3898"/>
    <n v="89653"/>
  </r>
  <r>
    <n v="3940"/>
    <x v="0"/>
    <s v="Female"/>
    <n v="57"/>
    <s v="Mumbai"/>
    <x v="2"/>
    <n v="56507"/>
    <d v="2022-04-04T00:00:00"/>
    <n v="2"/>
    <n v="2"/>
    <n v="5651"/>
    <n v="2825"/>
    <n v="59333"/>
    <n v="0"/>
    <n v="62158"/>
  </r>
  <r>
    <n v="3941"/>
    <x v="6"/>
    <s v="Male"/>
    <n v="21"/>
    <s v="Hyderabad"/>
    <x v="0"/>
    <n v="36502"/>
    <d v="2023-04-13T00:00:00"/>
    <n v="7"/>
    <n v="4"/>
    <n v="3650"/>
    <n v="1825"/>
    <n v="38327"/>
    <n v="1825"/>
    <n v="41977"/>
  </r>
  <r>
    <n v="3942"/>
    <x v="0"/>
    <s v="Male"/>
    <n v="60"/>
    <s v="Bangalore"/>
    <x v="3"/>
    <n v="87393"/>
    <d v="2022-07-15T00:00:00"/>
    <n v="4"/>
    <n v="4"/>
    <n v="8739"/>
    <n v="4370"/>
    <n v="91762"/>
    <n v="0"/>
    <n v="96132"/>
  </r>
  <r>
    <n v="3943"/>
    <x v="3"/>
    <s v="Female"/>
    <n v="31"/>
    <s v="Bangalore"/>
    <x v="1"/>
    <n v="90072"/>
    <d v="2024-05-27T00:00:00"/>
    <n v="4"/>
    <n v="5"/>
    <n v="9007"/>
    <n v="4504"/>
    <n v="94575"/>
    <n v="0"/>
    <n v="99079"/>
  </r>
  <r>
    <n v="3944"/>
    <x v="0"/>
    <s v="Male"/>
    <n v="25"/>
    <s v="Delhi"/>
    <x v="0"/>
    <n v="55917"/>
    <d v="2023-11-27T00:00:00"/>
    <n v="18"/>
    <n v="4"/>
    <n v="5592"/>
    <n v="2796"/>
    <n v="58713"/>
    <n v="2796"/>
    <n v="64305"/>
  </r>
  <r>
    <n v="3945"/>
    <x v="3"/>
    <s v="Female"/>
    <n v="31"/>
    <s v="Delhi"/>
    <x v="2"/>
    <n v="88390"/>
    <d v="2022-07-08T00:00:00"/>
    <n v="6"/>
    <n v="5"/>
    <n v="8839"/>
    <n v="4420"/>
    <n v="92809"/>
    <n v="4420"/>
    <n v="101649"/>
  </r>
  <r>
    <n v="3946"/>
    <x v="1"/>
    <s v="Female"/>
    <n v="55"/>
    <s v="Delhi"/>
    <x v="2"/>
    <n v="98268"/>
    <d v="2022-02-26T00:00:00"/>
    <n v="6"/>
    <n v="3"/>
    <n v="9827"/>
    <n v="4913"/>
    <n v="103182"/>
    <n v="4913"/>
    <n v="113008"/>
  </r>
  <r>
    <n v="3947"/>
    <x v="4"/>
    <s v="Female"/>
    <n v="25"/>
    <s v="Chennai"/>
    <x v="3"/>
    <n v="94321"/>
    <d v="2023-04-18T00:00:00"/>
    <n v="6"/>
    <n v="3"/>
    <n v="9432"/>
    <n v="4716"/>
    <n v="99037"/>
    <n v="4716"/>
    <n v="108469"/>
  </r>
  <r>
    <n v="3948"/>
    <x v="2"/>
    <s v="Male"/>
    <n v="29"/>
    <s v="Bangalore"/>
    <x v="1"/>
    <n v="52049"/>
    <d v="2022-07-04T00:00:00"/>
    <n v="10"/>
    <n v="5"/>
    <n v="5205"/>
    <n v="2602"/>
    <n v="54652"/>
    <n v="2602"/>
    <n v="59856"/>
  </r>
  <r>
    <n v="3949"/>
    <x v="1"/>
    <s v="Female"/>
    <n v="43"/>
    <s v="Delhi"/>
    <x v="3"/>
    <n v="69329"/>
    <d v="2023-05-30T00:00:00"/>
    <n v="10"/>
    <n v="1"/>
    <n v="6933"/>
    <n v="3466"/>
    <n v="72796"/>
    <n v="3466"/>
    <n v="79728"/>
  </r>
  <r>
    <n v="3950"/>
    <x v="8"/>
    <s v="Female"/>
    <n v="22"/>
    <s v="Hyderabad"/>
    <x v="0"/>
    <n v="97224"/>
    <d v="2022-12-11T00:00:00"/>
    <n v="1"/>
    <n v="3"/>
    <n v="9722"/>
    <n v="4861"/>
    <n v="102085"/>
    <n v="0"/>
    <n v="106946"/>
  </r>
  <r>
    <n v="3951"/>
    <x v="5"/>
    <s v="Male"/>
    <n v="46"/>
    <s v="Mumbai"/>
    <x v="3"/>
    <n v="93343"/>
    <d v="2023-08-26T00:00:00"/>
    <n v="18"/>
    <n v="4"/>
    <n v="9334"/>
    <n v="4667"/>
    <n v="98010"/>
    <n v="4667"/>
    <n v="107344"/>
  </r>
  <r>
    <n v="3952"/>
    <x v="9"/>
    <s v="Female"/>
    <n v="59"/>
    <s v="Bangalore"/>
    <x v="2"/>
    <n v="52986"/>
    <d v="2023-09-15T00:00:00"/>
    <n v="8"/>
    <n v="3"/>
    <n v="5299"/>
    <n v="2649"/>
    <n v="55636"/>
    <n v="2649"/>
    <n v="60934"/>
  </r>
  <r>
    <n v="3953"/>
    <x v="2"/>
    <s v="Female"/>
    <n v="55"/>
    <s v="Bangalore"/>
    <x v="2"/>
    <n v="79564"/>
    <d v="2022-08-08T00:00:00"/>
    <n v="16"/>
    <n v="5"/>
    <n v="7956"/>
    <n v="3978"/>
    <n v="83542"/>
    <n v="3978"/>
    <n v="91498"/>
  </r>
  <r>
    <n v="3954"/>
    <x v="5"/>
    <s v="Male"/>
    <n v="25"/>
    <s v="Hyderabad"/>
    <x v="0"/>
    <n v="35962"/>
    <d v="2023-01-28T00:00:00"/>
    <n v="15"/>
    <n v="5"/>
    <n v="3596"/>
    <n v="1798"/>
    <n v="37760"/>
    <n v="1798"/>
    <n v="41356"/>
  </r>
  <r>
    <n v="3955"/>
    <x v="2"/>
    <s v="Female"/>
    <n v="38"/>
    <s v="Chennai"/>
    <x v="2"/>
    <n v="95313"/>
    <d v="2023-11-23T00:00:00"/>
    <n v="1"/>
    <n v="3"/>
    <n v="9531"/>
    <n v="4766"/>
    <n v="100078"/>
    <n v="0"/>
    <n v="104844"/>
  </r>
  <r>
    <n v="3956"/>
    <x v="4"/>
    <s v="Female"/>
    <n v="43"/>
    <s v="Mumbai"/>
    <x v="2"/>
    <n v="67129"/>
    <d v="2024-09-03T00:00:00"/>
    <n v="10"/>
    <n v="3"/>
    <n v="6713"/>
    <n v="3356"/>
    <n v="70486"/>
    <n v="3356"/>
    <n v="77198"/>
  </r>
  <r>
    <n v="3957"/>
    <x v="2"/>
    <s v="Female"/>
    <n v="22"/>
    <s v="Hyderabad"/>
    <x v="3"/>
    <n v="28214"/>
    <d v="2023-11-15T00:00:00"/>
    <n v="8"/>
    <n v="2"/>
    <n v="2821"/>
    <n v="1411"/>
    <n v="29624"/>
    <n v="1411"/>
    <n v="32446"/>
  </r>
  <r>
    <n v="3958"/>
    <x v="5"/>
    <s v="Female"/>
    <n v="32"/>
    <s v="Delhi"/>
    <x v="4"/>
    <n v="33229"/>
    <d v="2022-07-13T00:00:00"/>
    <n v="11"/>
    <n v="1"/>
    <n v="3323"/>
    <n v="1661"/>
    <n v="34891"/>
    <n v="1661"/>
    <n v="38213"/>
  </r>
  <r>
    <n v="3959"/>
    <x v="6"/>
    <s v="Female"/>
    <n v="33"/>
    <s v="Mumbai"/>
    <x v="3"/>
    <n v="93956"/>
    <d v="2024-02-05T00:00:00"/>
    <n v="7"/>
    <n v="1"/>
    <n v="9396"/>
    <n v="4698"/>
    <n v="98654"/>
    <n v="4698"/>
    <n v="108050"/>
  </r>
  <r>
    <n v="3960"/>
    <x v="9"/>
    <s v="Female"/>
    <n v="53"/>
    <s v="Delhi"/>
    <x v="2"/>
    <n v="82455"/>
    <d v="2023-06-19T00:00:00"/>
    <n v="17"/>
    <n v="5"/>
    <n v="8246"/>
    <n v="4123"/>
    <n v="86578"/>
    <n v="4123"/>
    <n v="94824"/>
  </r>
  <r>
    <n v="3961"/>
    <x v="9"/>
    <s v="Male"/>
    <n v="25"/>
    <s v="Bangalore"/>
    <x v="2"/>
    <n v="64152"/>
    <d v="2023-04-29T00:00:00"/>
    <n v="10"/>
    <n v="4"/>
    <n v="6415"/>
    <n v="3208"/>
    <n v="67359"/>
    <n v="3208"/>
    <n v="73775"/>
  </r>
  <r>
    <n v="3962"/>
    <x v="1"/>
    <s v="Female"/>
    <n v="41"/>
    <s v="Hyderabad"/>
    <x v="4"/>
    <n v="58161"/>
    <d v="2023-06-06T00:00:00"/>
    <n v="13"/>
    <n v="3"/>
    <n v="5816"/>
    <n v="2908"/>
    <n v="61069"/>
    <n v="2908"/>
    <n v="66885"/>
  </r>
  <r>
    <n v="3963"/>
    <x v="9"/>
    <s v="Male"/>
    <n v="29"/>
    <s v="Hyderabad"/>
    <x v="3"/>
    <n v="54389"/>
    <d v="2023-12-01T00:00:00"/>
    <n v="5"/>
    <n v="1"/>
    <n v="5439"/>
    <n v="2719"/>
    <n v="57109"/>
    <n v="0"/>
    <n v="59828"/>
  </r>
  <r>
    <n v="3964"/>
    <x v="2"/>
    <s v="Female"/>
    <n v="23"/>
    <s v="Mumbai"/>
    <x v="3"/>
    <n v="87194"/>
    <d v="2023-07-23T00:00:00"/>
    <n v="19"/>
    <n v="4"/>
    <n v="8719"/>
    <n v="4360"/>
    <n v="91553"/>
    <n v="4360"/>
    <n v="100273"/>
  </r>
  <r>
    <n v="3965"/>
    <x v="2"/>
    <s v="Female"/>
    <n v="55"/>
    <s v="Bangalore"/>
    <x v="2"/>
    <n v="62149"/>
    <d v="2022-05-25T00:00:00"/>
    <n v="9"/>
    <n v="2"/>
    <n v="6215"/>
    <n v="3107"/>
    <n v="65257"/>
    <n v="3107"/>
    <n v="71471"/>
  </r>
  <r>
    <n v="3966"/>
    <x v="1"/>
    <s v="Male"/>
    <n v="27"/>
    <s v="Delhi"/>
    <x v="4"/>
    <n v="53885"/>
    <d v="2022-08-30T00:00:00"/>
    <n v="2"/>
    <n v="1"/>
    <n v="5388"/>
    <n v="2694"/>
    <n v="56579"/>
    <n v="0"/>
    <n v="59273"/>
  </r>
  <r>
    <n v="3967"/>
    <x v="9"/>
    <s v="Female"/>
    <n v="33"/>
    <s v="Hyderabad"/>
    <x v="3"/>
    <n v="35442"/>
    <d v="2023-04-10T00:00:00"/>
    <n v="20"/>
    <n v="3"/>
    <n v="3544"/>
    <n v="1772"/>
    <n v="37214"/>
    <n v="1772"/>
    <n v="40758"/>
  </r>
  <r>
    <n v="3968"/>
    <x v="3"/>
    <s v="Female"/>
    <n v="42"/>
    <s v="Hyderabad"/>
    <x v="2"/>
    <n v="29369"/>
    <d v="2023-08-05T00:00:00"/>
    <n v="1"/>
    <n v="5"/>
    <n v="2937"/>
    <n v="1468"/>
    <n v="30838"/>
    <n v="0"/>
    <n v="32306"/>
  </r>
  <r>
    <n v="3969"/>
    <x v="4"/>
    <s v="Female"/>
    <n v="33"/>
    <s v="Bangalore"/>
    <x v="2"/>
    <n v="36685"/>
    <d v="2024-09-03T00:00:00"/>
    <n v="10"/>
    <n v="2"/>
    <n v="3668"/>
    <n v="1834"/>
    <n v="38519"/>
    <n v="1834"/>
    <n v="42187"/>
  </r>
  <r>
    <n v="3970"/>
    <x v="3"/>
    <s v="Female"/>
    <n v="36"/>
    <s v="Chennai"/>
    <x v="3"/>
    <n v="42676"/>
    <d v="2022-08-21T00:00:00"/>
    <n v="14"/>
    <n v="4"/>
    <n v="4268"/>
    <n v="2134"/>
    <n v="44810"/>
    <n v="2134"/>
    <n v="49078"/>
  </r>
  <r>
    <n v="3971"/>
    <x v="0"/>
    <s v="Male"/>
    <n v="26"/>
    <s v="Mumbai"/>
    <x v="3"/>
    <n v="61287"/>
    <d v="2023-06-15T00:00:00"/>
    <n v="1"/>
    <n v="1"/>
    <n v="6129"/>
    <n v="3064"/>
    <n v="64352"/>
    <n v="0"/>
    <n v="67416"/>
  </r>
  <r>
    <n v="3972"/>
    <x v="1"/>
    <s v="Male"/>
    <n v="30"/>
    <s v="Delhi"/>
    <x v="2"/>
    <n v="40677"/>
    <d v="2023-05-02T00:00:00"/>
    <n v="6"/>
    <n v="1"/>
    <n v="4068"/>
    <n v="2034"/>
    <n v="42711"/>
    <n v="2034"/>
    <n v="46779"/>
  </r>
  <r>
    <n v="3973"/>
    <x v="8"/>
    <s v="Female"/>
    <n v="38"/>
    <s v="Mumbai"/>
    <x v="2"/>
    <n v="91314"/>
    <d v="2023-04-08T00:00:00"/>
    <n v="11"/>
    <n v="4"/>
    <n v="9131"/>
    <n v="4566"/>
    <n v="95879"/>
    <n v="4566"/>
    <n v="105011"/>
  </r>
  <r>
    <n v="3974"/>
    <x v="8"/>
    <s v="Female"/>
    <n v="56"/>
    <s v="Delhi"/>
    <x v="2"/>
    <n v="98945"/>
    <d v="2022-10-18T00:00:00"/>
    <n v="2"/>
    <n v="2"/>
    <n v="9894"/>
    <n v="4947"/>
    <n v="103892"/>
    <n v="0"/>
    <n v="108839"/>
  </r>
  <r>
    <n v="3975"/>
    <x v="4"/>
    <s v="Male"/>
    <n v="27"/>
    <s v="Delhi"/>
    <x v="0"/>
    <n v="88532"/>
    <d v="2022-08-13T00:00:00"/>
    <n v="16"/>
    <n v="2"/>
    <n v="8853"/>
    <n v="4427"/>
    <n v="92958"/>
    <n v="4427"/>
    <n v="101812"/>
  </r>
  <r>
    <n v="3976"/>
    <x v="7"/>
    <s v="Male"/>
    <n v="54"/>
    <s v="Hyderabad"/>
    <x v="0"/>
    <n v="33884"/>
    <d v="2024-08-01T00:00:00"/>
    <n v="11"/>
    <n v="4"/>
    <n v="3388"/>
    <n v="1694"/>
    <n v="35578"/>
    <n v="1694"/>
    <n v="38966"/>
  </r>
  <r>
    <n v="3977"/>
    <x v="6"/>
    <s v="Male"/>
    <n v="46"/>
    <s v="Bangalore"/>
    <x v="0"/>
    <n v="75280"/>
    <d v="2023-02-11T00:00:00"/>
    <n v="6"/>
    <n v="5"/>
    <n v="7528"/>
    <n v="3764"/>
    <n v="79044"/>
    <n v="3764"/>
    <n v="86572"/>
  </r>
  <r>
    <n v="3978"/>
    <x v="8"/>
    <s v="Female"/>
    <n v="37"/>
    <s v="Chennai"/>
    <x v="3"/>
    <n v="97275"/>
    <d v="2023-02-05T00:00:00"/>
    <n v="14"/>
    <n v="4"/>
    <n v="9728"/>
    <n v="4864"/>
    <n v="102139"/>
    <n v="4864"/>
    <n v="111867"/>
  </r>
  <r>
    <n v="3979"/>
    <x v="9"/>
    <s v="Male"/>
    <n v="28"/>
    <s v="Bangalore"/>
    <x v="2"/>
    <n v="69085"/>
    <d v="2024-06-08T00:00:00"/>
    <n v="10"/>
    <n v="1"/>
    <n v="6908"/>
    <n v="3454"/>
    <n v="72539"/>
    <n v="3454"/>
    <n v="79447"/>
  </r>
  <r>
    <n v="3980"/>
    <x v="2"/>
    <s v="Male"/>
    <n v="34"/>
    <s v="Chennai"/>
    <x v="0"/>
    <n v="47003"/>
    <d v="2024-05-27T00:00:00"/>
    <n v="2"/>
    <n v="5"/>
    <n v="4700"/>
    <n v="2350"/>
    <n v="49353"/>
    <n v="0"/>
    <n v="51703"/>
  </r>
  <r>
    <n v="3981"/>
    <x v="3"/>
    <s v="Female"/>
    <n v="28"/>
    <s v="Delhi"/>
    <x v="0"/>
    <n v="40520"/>
    <d v="2022-01-21T00:00:00"/>
    <n v="14"/>
    <n v="3"/>
    <n v="4052"/>
    <n v="2026"/>
    <n v="42546"/>
    <n v="2026"/>
    <n v="46598"/>
  </r>
  <r>
    <n v="3982"/>
    <x v="7"/>
    <s v="Female"/>
    <n v="37"/>
    <s v="Bangalore"/>
    <x v="1"/>
    <n v="52771"/>
    <d v="2023-01-01T00:00:00"/>
    <n v="8"/>
    <n v="4"/>
    <n v="5277"/>
    <n v="2639"/>
    <n v="55409"/>
    <n v="2639"/>
    <n v="60687"/>
  </r>
  <r>
    <n v="3983"/>
    <x v="8"/>
    <s v="Male"/>
    <n v="21"/>
    <s v="Hyderabad"/>
    <x v="1"/>
    <n v="56973"/>
    <d v="2024-04-01T00:00:00"/>
    <n v="8"/>
    <n v="4"/>
    <n v="5697"/>
    <n v="2849"/>
    <n v="59821"/>
    <n v="2849"/>
    <n v="65519"/>
  </r>
  <r>
    <n v="3984"/>
    <x v="3"/>
    <s v="Male"/>
    <n v="53"/>
    <s v="Bangalore"/>
    <x v="3"/>
    <n v="51544"/>
    <d v="2024-02-14T00:00:00"/>
    <n v="18"/>
    <n v="5"/>
    <n v="5154"/>
    <n v="2577"/>
    <n v="54121"/>
    <n v="2577"/>
    <n v="59275"/>
  </r>
  <r>
    <n v="3985"/>
    <x v="0"/>
    <s v="Female"/>
    <n v="41"/>
    <s v="Bangalore"/>
    <x v="2"/>
    <n v="76681"/>
    <d v="2022-06-07T00:00:00"/>
    <n v="19"/>
    <n v="1"/>
    <n v="7668"/>
    <n v="3834"/>
    <n v="80515"/>
    <n v="3834"/>
    <n v="88183"/>
  </r>
  <r>
    <n v="3986"/>
    <x v="9"/>
    <s v="Male"/>
    <n v="52"/>
    <s v="Hyderabad"/>
    <x v="0"/>
    <n v="43794"/>
    <d v="2022-03-27T00:00:00"/>
    <n v="10"/>
    <n v="1"/>
    <n v="4379"/>
    <n v="2190"/>
    <n v="45983"/>
    <n v="2190"/>
    <n v="50363"/>
  </r>
  <r>
    <n v="3987"/>
    <x v="9"/>
    <s v="Male"/>
    <n v="34"/>
    <s v="Chennai"/>
    <x v="3"/>
    <n v="64136"/>
    <d v="2022-08-15T00:00:00"/>
    <n v="2"/>
    <n v="4"/>
    <n v="6414"/>
    <n v="3207"/>
    <n v="67343"/>
    <n v="0"/>
    <n v="70550"/>
  </r>
  <r>
    <n v="3988"/>
    <x v="1"/>
    <s v="Female"/>
    <n v="35"/>
    <s v="Hyderabad"/>
    <x v="2"/>
    <n v="37127"/>
    <d v="2023-07-11T00:00:00"/>
    <n v="3"/>
    <n v="2"/>
    <n v="3713"/>
    <n v="1856"/>
    <n v="38984"/>
    <n v="0"/>
    <n v="40840"/>
  </r>
  <r>
    <n v="3989"/>
    <x v="2"/>
    <s v="Female"/>
    <n v="47"/>
    <s v="Hyderabad"/>
    <x v="4"/>
    <n v="32009"/>
    <d v="2022-01-27T00:00:00"/>
    <n v="8"/>
    <n v="4"/>
    <n v="3201"/>
    <n v="1600"/>
    <n v="33610"/>
    <n v="1600"/>
    <n v="36810"/>
  </r>
  <r>
    <n v="3990"/>
    <x v="4"/>
    <s v="Male"/>
    <n v="26"/>
    <s v="Chennai"/>
    <x v="0"/>
    <n v="39119"/>
    <d v="2024-05-08T00:00:00"/>
    <n v="18"/>
    <n v="5"/>
    <n v="3912"/>
    <n v="1956"/>
    <n v="41075"/>
    <n v="1956"/>
    <n v="44987"/>
  </r>
  <r>
    <n v="3991"/>
    <x v="8"/>
    <s v="Female"/>
    <n v="26"/>
    <s v="Chennai"/>
    <x v="4"/>
    <n v="60279"/>
    <d v="2023-10-26T00:00:00"/>
    <n v="12"/>
    <n v="1"/>
    <n v="6028"/>
    <n v="3014"/>
    <n v="63293"/>
    <n v="3014"/>
    <n v="69321"/>
  </r>
  <r>
    <n v="3992"/>
    <x v="0"/>
    <s v="Female"/>
    <n v="28"/>
    <s v="Hyderabad"/>
    <x v="2"/>
    <n v="60422"/>
    <d v="2022-04-08T00:00:00"/>
    <n v="7"/>
    <n v="4"/>
    <n v="6042"/>
    <n v="3021"/>
    <n v="63443"/>
    <n v="3021"/>
    <n v="69485"/>
  </r>
  <r>
    <n v="3993"/>
    <x v="7"/>
    <s v="Male"/>
    <n v="49"/>
    <s v="Hyderabad"/>
    <x v="2"/>
    <n v="91778"/>
    <d v="2023-08-11T00:00:00"/>
    <n v="19"/>
    <n v="4"/>
    <n v="9178"/>
    <n v="4589"/>
    <n v="96367"/>
    <n v="4589"/>
    <n v="105545"/>
  </r>
  <r>
    <n v="3994"/>
    <x v="6"/>
    <s v="Male"/>
    <n v="57"/>
    <s v="Hyderabad"/>
    <x v="4"/>
    <n v="24133"/>
    <d v="2023-07-08T00:00:00"/>
    <n v="14"/>
    <n v="5"/>
    <n v="2413"/>
    <n v="1207"/>
    <n v="25339"/>
    <n v="1207"/>
    <n v="27753"/>
  </r>
  <r>
    <n v="3995"/>
    <x v="0"/>
    <s v="Female"/>
    <n v="35"/>
    <s v="Chennai"/>
    <x v="0"/>
    <n v="39511"/>
    <d v="2024-04-24T00:00:00"/>
    <n v="17"/>
    <n v="4"/>
    <n v="3951"/>
    <n v="1976"/>
    <n v="41486"/>
    <n v="1976"/>
    <n v="45438"/>
  </r>
  <r>
    <n v="3996"/>
    <x v="1"/>
    <s v="Female"/>
    <n v="45"/>
    <s v="Chennai"/>
    <x v="3"/>
    <n v="59442"/>
    <d v="2022-02-12T00:00:00"/>
    <n v="1"/>
    <n v="3"/>
    <n v="5944"/>
    <n v="2972"/>
    <n v="62414"/>
    <n v="0"/>
    <n v="65386"/>
  </r>
  <r>
    <n v="3997"/>
    <x v="3"/>
    <s v="Female"/>
    <n v="50"/>
    <s v="Delhi"/>
    <x v="2"/>
    <n v="75971"/>
    <d v="2022-09-04T00:00:00"/>
    <n v="7"/>
    <n v="4"/>
    <n v="7597"/>
    <n v="3799"/>
    <n v="79769"/>
    <n v="3799"/>
    <n v="87367"/>
  </r>
  <r>
    <n v="3998"/>
    <x v="5"/>
    <s v="Female"/>
    <n v="48"/>
    <s v="Chennai"/>
    <x v="3"/>
    <n v="42383"/>
    <d v="2022-03-14T00:00:00"/>
    <n v="14"/>
    <n v="3"/>
    <n v="4238"/>
    <n v="2119"/>
    <n v="44502"/>
    <n v="2119"/>
    <n v="48740"/>
  </r>
  <r>
    <n v="3999"/>
    <x v="1"/>
    <s v="Female"/>
    <n v="52"/>
    <s v="Mumbai"/>
    <x v="0"/>
    <n v="52561"/>
    <d v="2024-01-27T00:00:00"/>
    <n v="14"/>
    <n v="4"/>
    <n v="5256"/>
    <n v="2628"/>
    <n v="55189"/>
    <n v="2628"/>
    <n v="60445"/>
  </r>
  <r>
    <n v="4000"/>
    <x v="5"/>
    <s v="Female"/>
    <n v="33"/>
    <s v="Mumbai"/>
    <x v="1"/>
    <n v="27067"/>
    <d v="2023-02-28T00:00:00"/>
    <n v="9"/>
    <n v="2"/>
    <n v="2707"/>
    <n v="1353"/>
    <n v="28421"/>
    <n v="1353"/>
    <n v="31127"/>
  </r>
  <r>
    <n v="4001"/>
    <x v="0"/>
    <s v="Male"/>
    <n v="34"/>
    <s v="Mumbai"/>
    <x v="4"/>
    <n v="44594"/>
    <d v="2022-03-29T00:00:00"/>
    <n v="7"/>
    <n v="3"/>
    <n v="4459"/>
    <n v="2230"/>
    <n v="46823"/>
    <n v="2230"/>
    <n v="51283"/>
  </r>
  <r>
    <n v="4002"/>
    <x v="1"/>
    <s v="Male"/>
    <n v="29"/>
    <s v="Bangalore"/>
    <x v="4"/>
    <n v="72995"/>
    <d v="2022-08-22T00:00:00"/>
    <n v="7"/>
    <n v="2"/>
    <n v="7300"/>
    <n v="3650"/>
    <n v="76645"/>
    <n v="3650"/>
    <n v="83945"/>
  </r>
  <r>
    <n v="4003"/>
    <x v="0"/>
    <s v="Female"/>
    <n v="31"/>
    <s v="Chennai"/>
    <x v="4"/>
    <n v="93838"/>
    <d v="2023-11-04T00:00:00"/>
    <n v="15"/>
    <n v="3"/>
    <n v="9384"/>
    <n v="4692"/>
    <n v="98530"/>
    <n v="4692"/>
    <n v="107914"/>
  </r>
  <r>
    <n v="4004"/>
    <x v="4"/>
    <s v="Male"/>
    <n v="28"/>
    <s v="Delhi"/>
    <x v="0"/>
    <n v="37759"/>
    <d v="2023-11-11T00:00:00"/>
    <n v="1"/>
    <n v="4"/>
    <n v="3776"/>
    <n v="1888"/>
    <n v="39647"/>
    <n v="0"/>
    <n v="41535"/>
  </r>
  <r>
    <n v="4005"/>
    <x v="1"/>
    <s v="Female"/>
    <n v="39"/>
    <s v="Mumbai"/>
    <x v="0"/>
    <n v="83025"/>
    <d v="2024-03-24T00:00:00"/>
    <n v="13"/>
    <n v="1"/>
    <n v="8302"/>
    <n v="4151"/>
    <n v="87176"/>
    <n v="4151"/>
    <n v="95478"/>
  </r>
  <r>
    <n v="4006"/>
    <x v="1"/>
    <s v="Male"/>
    <n v="48"/>
    <s v="Bangalore"/>
    <x v="4"/>
    <n v="45673"/>
    <d v="2022-05-13T00:00:00"/>
    <n v="11"/>
    <n v="5"/>
    <n v="4567"/>
    <n v="2284"/>
    <n v="47956"/>
    <n v="2284"/>
    <n v="52524"/>
  </r>
  <r>
    <n v="4007"/>
    <x v="6"/>
    <s v="Female"/>
    <n v="48"/>
    <s v="Hyderabad"/>
    <x v="1"/>
    <n v="89918"/>
    <d v="2023-07-30T00:00:00"/>
    <n v="12"/>
    <n v="2"/>
    <n v="8992"/>
    <n v="4496"/>
    <n v="94414"/>
    <n v="4496"/>
    <n v="103406"/>
  </r>
  <r>
    <n v="4008"/>
    <x v="6"/>
    <s v="Male"/>
    <n v="37"/>
    <s v="Hyderabad"/>
    <x v="1"/>
    <n v="75032"/>
    <d v="2023-01-27T00:00:00"/>
    <n v="5"/>
    <n v="1"/>
    <n v="7503"/>
    <n v="3752"/>
    <n v="78783"/>
    <n v="0"/>
    <n v="82535"/>
  </r>
  <r>
    <n v="4009"/>
    <x v="1"/>
    <s v="Female"/>
    <n v="23"/>
    <s v="Mumbai"/>
    <x v="2"/>
    <n v="45462"/>
    <d v="2022-08-15T00:00:00"/>
    <n v="10"/>
    <n v="4"/>
    <n v="4546"/>
    <n v="2273"/>
    <n v="47735"/>
    <n v="2273"/>
    <n v="52281"/>
  </r>
  <r>
    <n v="4010"/>
    <x v="7"/>
    <s v="Male"/>
    <n v="59"/>
    <s v="Mumbai"/>
    <x v="3"/>
    <n v="52118"/>
    <d v="2022-11-05T00:00:00"/>
    <n v="4"/>
    <n v="2"/>
    <n v="5212"/>
    <n v="2606"/>
    <n v="54724"/>
    <n v="0"/>
    <n v="57330"/>
  </r>
  <r>
    <n v="4011"/>
    <x v="3"/>
    <s v="Male"/>
    <n v="48"/>
    <s v="Bangalore"/>
    <x v="0"/>
    <n v="31943"/>
    <d v="2022-06-28T00:00:00"/>
    <n v="1"/>
    <n v="1"/>
    <n v="3194"/>
    <n v="1597"/>
    <n v="33540"/>
    <n v="0"/>
    <n v="35137"/>
  </r>
  <r>
    <n v="4012"/>
    <x v="9"/>
    <s v="Male"/>
    <n v="21"/>
    <s v="Hyderabad"/>
    <x v="3"/>
    <n v="55018"/>
    <d v="2024-05-12T00:00:00"/>
    <n v="11"/>
    <n v="3"/>
    <n v="5502"/>
    <n v="2751"/>
    <n v="57769"/>
    <n v="2751"/>
    <n v="63271"/>
  </r>
  <r>
    <n v="4013"/>
    <x v="2"/>
    <s v="Male"/>
    <n v="54"/>
    <s v="Mumbai"/>
    <x v="1"/>
    <n v="89234"/>
    <d v="2022-11-28T00:00:00"/>
    <n v="9"/>
    <n v="5"/>
    <n v="8923"/>
    <n v="4462"/>
    <n v="93695"/>
    <n v="4462"/>
    <n v="102619"/>
  </r>
  <r>
    <n v="4014"/>
    <x v="5"/>
    <s v="Female"/>
    <n v="25"/>
    <s v="Mumbai"/>
    <x v="0"/>
    <n v="21984"/>
    <d v="2022-07-26T00:00:00"/>
    <n v="15"/>
    <n v="1"/>
    <n v="2198"/>
    <n v="1099"/>
    <n v="23083"/>
    <n v="1099"/>
    <n v="25281"/>
  </r>
  <r>
    <n v="4015"/>
    <x v="2"/>
    <s v="Female"/>
    <n v="24"/>
    <s v="Chennai"/>
    <x v="2"/>
    <n v="91665"/>
    <d v="2023-04-17T00:00:00"/>
    <n v="8"/>
    <n v="4"/>
    <n v="9166"/>
    <n v="4583"/>
    <n v="96248"/>
    <n v="4583"/>
    <n v="105414"/>
  </r>
  <r>
    <n v="4016"/>
    <x v="2"/>
    <s v="Female"/>
    <n v="52"/>
    <s v="Bangalore"/>
    <x v="1"/>
    <n v="99412"/>
    <d v="2022-05-21T00:00:00"/>
    <n v="14"/>
    <n v="3"/>
    <n v="9941"/>
    <n v="4971"/>
    <n v="104382"/>
    <n v="4971"/>
    <n v="114324"/>
  </r>
  <r>
    <n v="4017"/>
    <x v="9"/>
    <s v="Female"/>
    <n v="27"/>
    <s v="Delhi"/>
    <x v="2"/>
    <n v="30476"/>
    <d v="2024-05-01T00:00:00"/>
    <n v="10"/>
    <n v="4"/>
    <n v="3048"/>
    <n v="1524"/>
    <n v="32000"/>
    <n v="1524"/>
    <n v="35048"/>
  </r>
  <r>
    <n v="4018"/>
    <x v="6"/>
    <s v="Female"/>
    <n v="36"/>
    <s v="Mumbai"/>
    <x v="1"/>
    <n v="50435"/>
    <d v="2022-10-21T00:00:00"/>
    <n v="4"/>
    <n v="1"/>
    <n v="5044"/>
    <n v="2522"/>
    <n v="52957"/>
    <n v="0"/>
    <n v="55479"/>
  </r>
  <r>
    <n v="4019"/>
    <x v="2"/>
    <s v="Female"/>
    <n v="51"/>
    <s v="Bangalore"/>
    <x v="4"/>
    <n v="45031"/>
    <d v="2022-05-31T00:00:00"/>
    <n v="14"/>
    <n v="3"/>
    <n v="4503"/>
    <n v="2252"/>
    <n v="47282"/>
    <n v="2252"/>
    <n v="51786"/>
  </r>
  <r>
    <n v="4020"/>
    <x v="9"/>
    <s v="Female"/>
    <n v="54"/>
    <s v="Mumbai"/>
    <x v="4"/>
    <n v="90464"/>
    <d v="2023-05-13T00:00:00"/>
    <n v="12"/>
    <n v="5"/>
    <n v="9046"/>
    <n v="4523"/>
    <n v="94987"/>
    <n v="4523"/>
    <n v="104033"/>
  </r>
  <r>
    <n v="4021"/>
    <x v="3"/>
    <s v="Female"/>
    <n v="50"/>
    <s v="Delhi"/>
    <x v="4"/>
    <n v="38314"/>
    <d v="2022-11-02T00:00:00"/>
    <n v="12"/>
    <n v="1"/>
    <n v="3831"/>
    <n v="1916"/>
    <n v="40229"/>
    <n v="1916"/>
    <n v="44061"/>
  </r>
  <r>
    <n v="4022"/>
    <x v="4"/>
    <s v="Male"/>
    <n v="48"/>
    <s v="Chennai"/>
    <x v="3"/>
    <n v="43678"/>
    <d v="2023-12-18T00:00:00"/>
    <n v="10"/>
    <n v="2"/>
    <n v="4368"/>
    <n v="2184"/>
    <n v="45862"/>
    <n v="2184"/>
    <n v="50230"/>
  </r>
  <r>
    <n v="4023"/>
    <x v="8"/>
    <s v="Female"/>
    <n v="54"/>
    <s v="Chennai"/>
    <x v="4"/>
    <n v="95384"/>
    <d v="2022-04-26T00:00:00"/>
    <n v="16"/>
    <n v="1"/>
    <n v="9538"/>
    <n v="4769"/>
    <n v="100153"/>
    <n v="4769"/>
    <n v="109691"/>
  </r>
  <r>
    <n v="4024"/>
    <x v="8"/>
    <s v="Female"/>
    <n v="26"/>
    <s v="Bangalore"/>
    <x v="4"/>
    <n v="63456"/>
    <d v="2022-10-18T00:00:00"/>
    <n v="17"/>
    <n v="3"/>
    <n v="6346"/>
    <n v="3173"/>
    <n v="66629"/>
    <n v="3173"/>
    <n v="72975"/>
  </r>
  <r>
    <n v="4025"/>
    <x v="6"/>
    <s v="Female"/>
    <n v="48"/>
    <s v="Delhi"/>
    <x v="2"/>
    <n v="93370"/>
    <d v="2022-11-25T00:00:00"/>
    <n v="9"/>
    <n v="2"/>
    <n v="9337"/>
    <n v="4668"/>
    <n v="98039"/>
    <n v="4668"/>
    <n v="107375"/>
  </r>
  <r>
    <n v="4026"/>
    <x v="7"/>
    <s v="Male"/>
    <n v="24"/>
    <s v="Chennai"/>
    <x v="0"/>
    <n v="33063"/>
    <d v="2022-07-20T00:00:00"/>
    <n v="5"/>
    <n v="1"/>
    <n v="3306"/>
    <n v="1653"/>
    <n v="34716"/>
    <n v="0"/>
    <n v="36369"/>
  </r>
  <r>
    <n v="4027"/>
    <x v="2"/>
    <s v="Female"/>
    <n v="33"/>
    <s v="Mumbai"/>
    <x v="0"/>
    <n v="93107"/>
    <d v="2022-08-04T00:00:00"/>
    <n v="3"/>
    <n v="5"/>
    <n v="9311"/>
    <n v="4655"/>
    <n v="97763"/>
    <n v="0"/>
    <n v="102418"/>
  </r>
  <r>
    <n v="4028"/>
    <x v="6"/>
    <s v="Female"/>
    <n v="55"/>
    <s v="Hyderabad"/>
    <x v="0"/>
    <n v="28176"/>
    <d v="2024-08-05T00:00:00"/>
    <n v="12"/>
    <n v="3"/>
    <n v="2818"/>
    <n v="1409"/>
    <n v="29585"/>
    <n v="1409"/>
    <n v="32403"/>
  </r>
  <r>
    <n v="4029"/>
    <x v="4"/>
    <s v="Female"/>
    <n v="29"/>
    <s v="Delhi"/>
    <x v="0"/>
    <n v="67361"/>
    <d v="2024-07-26T00:00:00"/>
    <n v="19"/>
    <n v="5"/>
    <n v="6736"/>
    <n v="3368"/>
    <n v="70729"/>
    <n v="3368"/>
    <n v="77465"/>
  </r>
  <r>
    <n v="4030"/>
    <x v="1"/>
    <s v="Female"/>
    <n v="26"/>
    <s v="Chennai"/>
    <x v="3"/>
    <n v="85601"/>
    <d v="2024-06-08T00:00:00"/>
    <n v="14"/>
    <n v="2"/>
    <n v="8560"/>
    <n v="4280"/>
    <n v="89881"/>
    <n v="4280"/>
    <n v="98441"/>
  </r>
  <r>
    <n v="4031"/>
    <x v="9"/>
    <s v="Male"/>
    <n v="24"/>
    <s v="Bangalore"/>
    <x v="4"/>
    <n v="77076"/>
    <d v="2022-11-20T00:00:00"/>
    <n v="15"/>
    <n v="4"/>
    <n v="7708"/>
    <n v="3854"/>
    <n v="80930"/>
    <n v="3854"/>
    <n v="88638"/>
  </r>
  <r>
    <n v="4032"/>
    <x v="8"/>
    <s v="Male"/>
    <n v="40"/>
    <s v="Hyderabad"/>
    <x v="0"/>
    <n v="48986"/>
    <d v="2022-08-02T00:00:00"/>
    <n v="2"/>
    <n v="2"/>
    <n v="4899"/>
    <n v="2449"/>
    <n v="51436"/>
    <n v="0"/>
    <n v="53885"/>
  </r>
  <r>
    <n v="4033"/>
    <x v="2"/>
    <s v="Male"/>
    <n v="47"/>
    <s v="Mumbai"/>
    <x v="1"/>
    <n v="21474"/>
    <d v="2022-05-28T00:00:00"/>
    <n v="20"/>
    <n v="5"/>
    <n v="2147"/>
    <n v="1074"/>
    <n v="22547"/>
    <n v="1074"/>
    <n v="24695"/>
  </r>
  <r>
    <n v="4034"/>
    <x v="6"/>
    <s v="Male"/>
    <n v="59"/>
    <s v="Hyderabad"/>
    <x v="4"/>
    <n v="44250"/>
    <d v="2023-08-23T00:00:00"/>
    <n v="15"/>
    <n v="5"/>
    <n v="4425"/>
    <n v="2212"/>
    <n v="46463"/>
    <n v="2212"/>
    <n v="50887"/>
  </r>
  <r>
    <n v="4035"/>
    <x v="0"/>
    <s v="Female"/>
    <n v="32"/>
    <s v="Mumbai"/>
    <x v="4"/>
    <n v="96157"/>
    <d v="2024-06-08T00:00:00"/>
    <n v="1"/>
    <n v="4"/>
    <n v="9616"/>
    <n v="4808"/>
    <n v="100965"/>
    <n v="0"/>
    <n v="105773"/>
  </r>
  <r>
    <n v="4036"/>
    <x v="3"/>
    <s v="Male"/>
    <n v="42"/>
    <s v="Delhi"/>
    <x v="3"/>
    <n v="76710"/>
    <d v="2024-08-10T00:00:00"/>
    <n v="11"/>
    <n v="5"/>
    <n v="7671"/>
    <n v="3836"/>
    <n v="80545"/>
    <n v="3836"/>
    <n v="88217"/>
  </r>
  <r>
    <n v="4037"/>
    <x v="4"/>
    <s v="Female"/>
    <n v="58"/>
    <s v="Mumbai"/>
    <x v="1"/>
    <n v="57862"/>
    <d v="2024-09-26T00:00:00"/>
    <n v="14"/>
    <n v="1"/>
    <n v="5786"/>
    <n v="2893"/>
    <n v="60755"/>
    <n v="2893"/>
    <n v="66541"/>
  </r>
  <r>
    <n v="4038"/>
    <x v="9"/>
    <s v="Male"/>
    <n v="42"/>
    <s v="Hyderabad"/>
    <x v="2"/>
    <n v="50556"/>
    <d v="2023-12-24T00:00:00"/>
    <n v="19"/>
    <n v="3"/>
    <n v="5056"/>
    <n v="2528"/>
    <n v="53084"/>
    <n v="2528"/>
    <n v="58140"/>
  </r>
  <r>
    <n v="4039"/>
    <x v="8"/>
    <s v="Female"/>
    <n v="22"/>
    <s v="Hyderabad"/>
    <x v="4"/>
    <n v="63405"/>
    <d v="2022-02-07T00:00:00"/>
    <n v="9"/>
    <n v="1"/>
    <n v="6340"/>
    <n v="3170"/>
    <n v="66575"/>
    <n v="3170"/>
    <n v="72915"/>
  </r>
  <r>
    <n v="4040"/>
    <x v="3"/>
    <s v="Male"/>
    <n v="32"/>
    <s v="Hyderabad"/>
    <x v="4"/>
    <n v="71284"/>
    <d v="2022-12-26T00:00:00"/>
    <n v="15"/>
    <n v="4"/>
    <n v="7128"/>
    <n v="3564"/>
    <n v="74848"/>
    <n v="3564"/>
    <n v="81976"/>
  </r>
  <r>
    <n v="4041"/>
    <x v="1"/>
    <s v="Female"/>
    <n v="40"/>
    <s v="Hyderabad"/>
    <x v="4"/>
    <n v="90620"/>
    <d v="2023-10-25T00:00:00"/>
    <n v="19"/>
    <n v="5"/>
    <n v="9062"/>
    <n v="4531"/>
    <n v="95151"/>
    <n v="4531"/>
    <n v="104213"/>
  </r>
  <r>
    <n v="4042"/>
    <x v="8"/>
    <s v="Male"/>
    <n v="48"/>
    <s v="Chennai"/>
    <x v="4"/>
    <n v="22550"/>
    <d v="2024-03-02T00:00:00"/>
    <n v="20"/>
    <n v="4"/>
    <n v="2255"/>
    <n v="1128"/>
    <n v="23677"/>
    <n v="1128"/>
    <n v="25933"/>
  </r>
  <r>
    <n v="4043"/>
    <x v="8"/>
    <s v="Female"/>
    <n v="28"/>
    <s v="Delhi"/>
    <x v="0"/>
    <n v="44741"/>
    <d v="2022-10-09T00:00:00"/>
    <n v="17"/>
    <n v="2"/>
    <n v="4474"/>
    <n v="2237"/>
    <n v="46978"/>
    <n v="2237"/>
    <n v="51452"/>
  </r>
  <r>
    <n v="4044"/>
    <x v="8"/>
    <s v="Female"/>
    <n v="49"/>
    <s v="Delhi"/>
    <x v="4"/>
    <n v="36682"/>
    <d v="2023-09-25T00:00:00"/>
    <n v="11"/>
    <n v="4"/>
    <n v="3668"/>
    <n v="1834"/>
    <n v="38516"/>
    <n v="1834"/>
    <n v="42184"/>
  </r>
  <r>
    <n v="4045"/>
    <x v="9"/>
    <s v="Male"/>
    <n v="21"/>
    <s v="Delhi"/>
    <x v="2"/>
    <n v="97146"/>
    <d v="2024-09-10T00:00:00"/>
    <n v="20"/>
    <n v="2"/>
    <n v="9715"/>
    <n v="4857"/>
    <n v="102004"/>
    <n v="4857"/>
    <n v="111718"/>
  </r>
  <r>
    <n v="4046"/>
    <x v="7"/>
    <s v="Male"/>
    <n v="52"/>
    <s v="Bangalore"/>
    <x v="1"/>
    <n v="62519"/>
    <d v="2023-09-20T00:00:00"/>
    <n v="8"/>
    <n v="1"/>
    <n v="6252"/>
    <n v="3126"/>
    <n v="65645"/>
    <n v="3126"/>
    <n v="71897"/>
  </r>
  <r>
    <n v="4047"/>
    <x v="8"/>
    <s v="Male"/>
    <n v="30"/>
    <s v="Bangalore"/>
    <x v="1"/>
    <n v="27432"/>
    <d v="2022-12-24T00:00:00"/>
    <n v="14"/>
    <n v="3"/>
    <n v="2743"/>
    <n v="1372"/>
    <n v="28803"/>
    <n v="1372"/>
    <n v="31547"/>
  </r>
  <r>
    <n v="4048"/>
    <x v="0"/>
    <s v="Male"/>
    <n v="30"/>
    <s v="Mumbai"/>
    <x v="2"/>
    <n v="24174"/>
    <d v="2023-09-24T00:00:00"/>
    <n v="16"/>
    <n v="5"/>
    <n v="2417"/>
    <n v="1209"/>
    <n v="25382"/>
    <n v="1209"/>
    <n v="27800"/>
  </r>
  <r>
    <n v="4049"/>
    <x v="5"/>
    <s v="Female"/>
    <n v="51"/>
    <s v="Bangalore"/>
    <x v="0"/>
    <n v="81934"/>
    <d v="2023-05-29T00:00:00"/>
    <n v="14"/>
    <n v="4"/>
    <n v="8193"/>
    <n v="4097"/>
    <n v="86030"/>
    <n v="4097"/>
    <n v="94224"/>
  </r>
  <r>
    <n v="4050"/>
    <x v="4"/>
    <s v="Female"/>
    <n v="47"/>
    <s v="Bangalore"/>
    <x v="2"/>
    <n v="80452"/>
    <d v="2023-08-30T00:00:00"/>
    <n v="14"/>
    <n v="1"/>
    <n v="8045"/>
    <n v="4023"/>
    <n v="84474"/>
    <n v="4023"/>
    <n v="92520"/>
  </r>
  <r>
    <n v="4051"/>
    <x v="0"/>
    <s v="Male"/>
    <n v="43"/>
    <s v="Chennai"/>
    <x v="0"/>
    <n v="79474"/>
    <d v="2022-09-03T00:00:00"/>
    <n v="6"/>
    <n v="4"/>
    <n v="7947"/>
    <n v="3974"/>
    <n v="83447"/>
    <n v="3974"/>
    <n v="91395"/>
  </r>
  <r>
    <n v="4052"/>
    <x v="6"/>
    <s v="Female"/>
    <n v="46"/>
    <s v="Mumbai"/>
    <x v="2"/>
    <n v="62105"/>
    <d v="2023-09-04T00:00:00"/>
    <n v="12"/>
    <n v="5"/>
    <n v="6210"/>
    <n v="3105"/>
    <n v="65210"/>
    <n v="3105"/>
    <n v="71420"/>
  </r>
  <r>
    <n v="4053"/>
    <x v="0"/>
    <s v="Male"/>
    <n v="37"/>
    <s v="Bangalore"/>
    <x v="4"/>
    <n v="73275"/>
    <d v="2022-02-23T00:00:00"/>
    <n v="13"/>
    <n v="3"/>
    <n v="7328"/>
    <n v="3664"/>
    <n v="76939"/>
    <n v="3664"/>
    <n v="84267"/>
  </r>
  <r>
    <n v="4054"/>
    <x v="6"/>
    <s v="Male"/>
    <n v="38"/>
    <s v="Bangalore"/>
    <x v="0"/>
    <n v="48103"/>
    <d v="2024-05-12T00:00:00"/>
    <n v="14"/>
    <n v="4"/>
    <n v="4810"/>
    <n v="2405"/>
    <n v="50508"/>
    <n v="2405"/>
    <n v="55318"/>
  </r>
  <r>
    <n v="4055"/>
    <x v="2"/>
    <s v="Female"/>
    <n v="24"/>
    <s v="Chennai"/>
    <x v="1"/>
    <n v="50772"/>
    <d v="2022-08-19T00:00:00"/>
    <n v="2"/>
    <n v="5"/>
    <n v="5077"/>
    <n v="2539"/>
    <n v="53310"/>
    <n v="0"/>
    <n v="55849"/>
  </r>
  <r>
    <n v="4056"/>
    <x v="3"/>
    <s v="Female"/>
    <n v="52"/>
    <s v="Bangalore"/>
    <x v="2"/>
    <n v="29619"/>
    <d v="2022-04-11T00:00:00"/>
    <n v="6"/>
    <n v="5"/>
    <n v="2962"/>
    <n v="1481"/>
    <n v="31100"/>
    <n v="1481"/>
    <n v="34062"/>
  </r>
  <r>
    <n v="4057"/>
    <x v="8"/>
    <s v="Male"/>
    <n v="26"/>
    <s v="Hyderabad"/>
    <x v="0"/>
    <n v="85616"/>
    <d v="2022-06-30T00:00:00"/>
    <n v="12"/>
    <n v="3"/>
    <n v="8562"/>
    <n v="4281"/>
    <n v="89897"/>
    <n v="4281"/>
    <n v="98459"/>
  </r>
  <r>
    <n v="4058"/>
    <x v="9"/>
    <s v="Male"/>
    <n v="56"/>
    <s v="Chennai"/>
    <x v="4"/>
    <n v="22477"/>
    <d v="2022-11-19T00:00:00"/>
    <n v="2"/>
    <n v="2"/>
    <n v="2248"/>
    <n v="1124"/>
    <n v="23601"/>
    <n v="0"/>
    <n v="24725"/>
  </r>
  <r>
    <n v="4059"/>
    <x v="4"/>
    <s v="Female"/>
    <n v="37"/>
    <s v="Chennai"/>
    <x v="3"/>
    <n v="70867"/>
    <d v="2022-07-08T00:00:00"/>
    <n v="8"/>
    <n v="5"/>
    <n v="7087"/>
    <n v="3543"/>
    <n v="74411"/>
    <n v="3543"/>
    <n v="81497"/>
  </r>
  <r>
    <n v="4060"/>
    <x v="0"/>
    <s v="Male"/>
    <n v="53"/>
    <s v="Hyderabad"/>
    <x v="0"/>
    <n v="64546"/>
    <d v="2023-08-30T00:00:00"/>
    <n v="2"/>
    <n v="1"/>
    <n v="6455"/>
    <n v="3227"/>
    <n v="67774"/>
    <n v="0"/>
    <n v="71001"/>
  </r>
  <r>
    <n v="4061"/>
    <x v="8"/>
    <s v="Female"/>
    <n v="31"/>
    <s v="Mumbai"/>
    <x v="3"/>
    <n v="84558"/>
    <d v="2024-03-26T00:00:00"/>
    <n v="5"/>
    <n v="5"/>
    <n v="8456"/>
    <n v="4228"/>
    <n v="88786"/>
    <n v="0"/>
    <n v="93014"/>
  </r>
  <r>
    <n v="4062"/>
    <x v="4"/>
    <s v="Female"/>
    <n v="43"/>
    <s v="Bangalore"/>
    <x v="4"/>
    <n v="41495"/>
    <d v="2022-05-02T00:00:00"/>
    <n v="19"/>
    <n v="4"/>
    <n v="4150"/>
    <n v="2075"/>
    <n v="43570"/>
    <n v="2075"/>
    <n v="47720"/>
  </r>
  <r>
    <n v="4063"/>
    <x v="3"/>
    <s v="Male"/>
    <n v="31"/>
    <s v="Mumbai"/>
    <x v="2"/>
    <n v="81849"/>
    <d v="2022-01-21T00:00:00"/>
    <n v="9"/>
    <n v="4"/>
    <n v="8185"/>
    <n v="4092"/>
    <n v="85942"/>
    <n v="4092"/>
    <n v="94126"/>
  </r>
  <r>
    <n v="4064"/>
    <x v="4"/>
    <s v="Female"/>
    <n v="58"/>
    <s v="Hyderabad"/>
    <x v="2"/>
    <n v="99647"/>
    <d v="2022-06-30T00:00:00"/>
    <n v="13"/>
    <n v="2"/>
    <n v="9965"/>
    <n v="4982"/>
    <n v="104630"/>
    <n v="4982"/>
    <n v="114594"/>
  </r>
  <r>
    <n v="4065"/>
    <x v="0"/>
    <s v="Female"/>
    <n v="52"/>
    <s v="Mumbai"/>
    <x v="2"/>
    <n v="20931"/>
    <d v="2022-10-20T00:00:00"/>
    <n v="13"/>
    <n v="3"/>
    <n v="2093"/>
    <n v="1047"/>
    <n v="21977"/>
    <n v="1047"/>
    <n v="24071"/>
  </r>
  <r>
    <n v="4066"/>
    <x v="4"/>
    <s v="Male"/>
    <n v="23"/>
    <s v="Hyderabad"/>
    <x v="2"/>
    <n v="90766"/>
    <d v="2024-06-08T00:00:00"/>
    <n v="7"/>
    <n v="1"/>
    <n v="9077"/>
    <n v="4538"/>
    <n v="95305"/>
    <n v="4538"/>
    <n v="104381"/>
  </r>
  <r>
    <n v="4067"/>
    <x v="3"/>
    <s v="Female"/>
    <n v="26"/>
    <s v="Bangalore"/>
    <x v="1"/>
    <n v="44706"/>
    <d v="2023-04-27T00:00:00"/>
    <n v="5"/>
    <n v="2"/>
    <n v="4471"/>
    <n v="2235"/>
    <n v="46942"/>
    <n v="0"/>
    <n v="49177"/>
  </r>
  <r>
    <n v="4068"/>
    <x v="5"/>
    <s v="Female"/>
    <n v="52"/>
    <s v="Delhi"/>
    <x v="2"/>
    <n v="81617"/>
    <d v="2022-01-14T00:00:00"/>
    <n v="7"/>
    <n v="4"/>
    <n v="8162"/>
    <n v="4081"/>
    <n v="85698"/>
    <n v="4081"/>
    <n v="93860"/>
  </r>
  <r>
    <n v="4069"/>
    <x v="7"/>
    <s v="Male"/>
    <n v="25"/>
    <s v="Mumbai"/>
    <x v="4"/>
    <n v="78871"/>
    <d v="2024-03-27T00:00:00"/>
    <n v="5"/>
    <n v="2"/>
    <n v="7887"/>
    <n v="3944"/>
    <n v="82814"/>
    <n v="0"/>
    <n v="86758"/>
  </r>
  <r>
    <n v="4070"/>
    <x v="9"/>
    <s v="Female"/>
    <n v="30"/>
    <s v="Chennai"/>
    <x v="0"/>
    <n v="92227"/>
    <d v="2022-09-30T00:00:00"/>
    <n v="16"/>
    <n v="4"/>
    <n v="9223"/>
    <n v="4611"/>
    <n v="96839"/>
    <n v="4611"/>
    <n v="106061"/>
  </r>
  <r>
    <n v="4071"/>
    <x v="9"/>
    <s v="Male"/>
    <n v="45"/>
    <s v="Hyderabad"/>
    <x v="3"/>
    <n v="75169"/>
    <d v="2023-07-01T00:00:00"/>
    <n v="2"/>
    <n v="3"/>
    <n v="7517"/>
    <n v="3758"/>
    <n v="78928"/>
    <n v="0"/>
    <n v="82686"/>
  </r>
  <r>
    <n v="4072"/>
    <x v="5"/>
    <s v="Female"/>
    <n v="47"/>
    <s v="Bangalore"/>
    <x v="4"/>
    <n v="61525"/>
    <d v="2022-02-01T00:00:00"/>
    <n v="16"/>
    <n v="3"/>
    <n v="6152"/>
    <n v="3076"/>
    <n v="64601"/>
    <n v="3076"/>
    <n v="70753"/>
  </r>
  <r>
    <n v="4073"/>
    <x v="1"/>
    <s v="Female"/>
    <n v="33"/>
    <s v="Chennai"/>
    <x v="2"/>
    <n v="61123"/>
    <d v="2024-08-20T00:00:00"/>
    <n v="6"/>
    <n v="4"/>
    <n v="6112"/>
    <n v="3056"/>
    <n v="64179"/>
    <n v="3056"/>
    <n v="70291"/>
  </r>
  <r>
    <n v="4074"/>
    <x v="3"/>
    <s v="Female"/>
    <n v="46"/>
    <s v="Delhi"/>
    <x v="1"/>
    <n v="55537"/>
    <d v="2024-06-28T00:00:00"/>
    <n v="10"/>
    <n v="4"/>
    <n v="5554"/>
    <n v="2777"/>
    <n v="58314"/>
    <n v="2777"/>
    <n v="63868"/>
  </r>
  <r>
    <n v="4075"/>
    <x v="0"/>
    <s v="Male"/>
    <n v="31"/>
    <s v="Mumbai"/>
    <x v="0"/>
    <n v="32584"/>
    <d v="2022-08-09T00:00:00"/>
    <n v="17"/>
    <n v="4"/>
    <n v="3258"/>
    <n v="1629"/>
    <n v="34213"/>
    <n v="1629"/>
    <n v="37471"/>
  </r>
  <r>
    <n v="4076"/>
    <x v="4"/>
    <s v="Male"/>
    <n v="59"/>
    <s v="Bangalore"/>
    <x v="2"/>
    <n v="33458"/>
    <d v="2023-11-29T00:00:00"/>
    <n v="7"/>
    <n v="2"/>
    <n v="3346"/>
    <n v="1673"/>
    <n v="35131"/>
    <n v="1673"/>
    <n v="38477"/>
  </r>
  <r>
    <n v="4077"/>
    <x v="5"/>
    <s v="Male"/>
    <n v="45"/>
    <s v="Bangalore"/>
    <x v="1"/>
    <n v="56348"/>
    <d v="2022-06-22T00:00:00"/>
    <n v="9"/>
    <n v="5"/>
    <n v="5635"/>
    <n v="2817"/>
    <n v="59166"/>
    <n v="2817"/>
    <n v="64800"/>
  </r>
  <r>
    <n v="4078"/>
    <x v="4"/>
    <s v="Female"/>
    <n v="59"/>
    <s v="Hyderabad"/>
    <x v="2"/>
    <n v="27914"/>
    <d v="2022-04-18T00:00:00"/>
    <n v="2"/>
    <n v="1"/>
    <n v="2791"/>
    <n v="1396"/>
    <n v="29309"/>
    <n v="0"/>
    <n v="30705"/>
  </r>
  <r>
    <n v="4079"/>
    <x v="0"/>
    <s v="Female"/>
    <n v="35"/>
    <s v="Hyderabad"/>
    <x v="3"/>
    <n v="46596"/>
    <d v="2024-04-19T00:00:00"/>
    <n v="20"/>
    <n v="2"/>
    <n v="4660"/>
    <n v="2330"/>
    <n v="48926"/>
    <n v="2330"/>
    <n v="53586"/>
  </r>
  <r>
    <n v="4080"/>
    <x v="4"/>
    <s v="Female"/>
    <n v="56"/>
    <s v="Bangalore"/>
    <x v="4"/>
    <n v="34822"/>
    <d v="2023-01-08T00:00:00"/>
    <n v="6"/>
    <n v="1"/>
    <n v="3482"/>
    <n v="1741"/>
    <n v="36563"/>
    <n v="1741"/>
    <n v="40045"/>
  </r>
  <r>
    <n v="4081"/>
    <x v="2"/>
    <s v="Male"/>
    <n v="26"/>
    <s v="Chennai"/>
    <x v="0"/>
    <n v="48153"/>
    <d v="2023-11-02T00:00:00"/>
    <n v="3"/>
    <n v="4"/>
    <n v="4815"/>
    <n v="2408"/>
    <n v="50560"/>
    <n v="0"/>
    <n v="52968"/>
  </r>
  <r>
    <n v="4082"/>
    <x v="5"/>
    <s v="Male"/>
    <n v="22"/>
    <s v="Hyderabad"/>
    <x v="0"/>
    <n v="51065"/>
    <d v="2023-11-16T00:00:00"/>
    <n v="6"/>
    <n v="2"/>
    <n v="5106"/>
    <n v="2553"/>
    <n v="53618"/>
    <n v="2553"/>
    <n v="58724"/>
  </r>
  <r>
    <n v="4083"/>
    <x v="9"/>
    <s v="Female"/>
    <n v="55"/>
    <s v="Chennai"/>
    <x v="3"/>
    <n v="31171"/>
    <d v="2022-11-16T00:00:00"/>
    <n v="7"/>
    <n v="4"/>
    <n v="3117"/>
    <n v="1559"/>
    <n v="32729"/>
    <n v="1559"/>
    <n v="35847"/>
  </r>
  <r>
    <n v="4084"/>
    <x v="9"/>
    <s v="Female"/>
    <n v="25"/>
    <s v="Bangalore"/>
    <x v="2"/>
    <n v="87956"/>
    <d v="2023-11-26T00:00:00"/>
    <n v="19"/>
    <n v="5"/>
    <n v="8796"/>
    <n v="4398"/>
    <n v="92354"/>
    <n v="4398"/>
    <n v="101150"/>
  </r>
  <r>
    <n v="4085"/>
    <x v="0"/>
    <s v="Male"/>
    <n v="55"/>
    <s v="Delhi"/>
    <x v="2"/>
    <n v="52509"/>
    <d v="2023-07-08T00:00:00"/>
    <n v="3"/>
    <n v="4"/>
    <n v="5251"/>
    <n v="2625"/>
    <n v="55135"/>
    <n v="0"/>
    <n v="57760"/>
  </r>
  <r>
    <n v="4086"/>
    <x v="0"/>
    <s v="Female"/>
    <n v="51"/>
    <s v="Bangalore"/>
    <x v="4"/>
    <n v="23459"/>
    <d v="2022-09-12T00:00:00"/>
    <n v="5"/>
    <n v="3"/>
    <n v="2346"/>
    <n v="1173"/>
    <n v="24632"/>
    <n v="0"/>
    <n v="25805"/>
  </r>
  <r>
    <n v="4087"/>
    <x v="8"/>
    <s v="Male"/>
    <n v="52"/>
    <s v="Hyderabad"/>
    <x v="4"/>
    <n v="74543"/>
    <d v="2022-07-07T00:00:00"/>
    <n v="9"/>
    <n v="5"/>
    <n v="7454"/>
    <n v="3727"/>
    <n v="78270"/>
    <n v="3727"/>
    <n v="85724"/>
  </r>
  <r>
    <n v="4088"/>
    <x v="5"/>
    <s v="Female"/>
    <n v="24"/>
    <s v="Hyderabad"/>
    <x v="2"/>
    <n v="80730"/>
    <d v="2022-11-24T00:00:00"/>
    <n v="4"/>
    <n v="4"/>
    <n v="8073"/>
    <n v="4036"/>
    <n v="84767"/>
    <n v="0"/>
    <n v="88803"/>
  </r>
  <r>
    <n v="4089"/>
    <x v="9"/>
    <s v="Male"/>
    <n v="42"/>
    <s v="Hyderabad"/>
    <x v="0"/>
    <n v="55917"/>
    <d v="2022-05-29T00:00:00"/>
    <n v="3"/>
    <n v="1"/>
    <n v="5592"/>
    <n v="2796"/>
    <n v="58713"/>
    <n v="0"/>
    <n v="61509"/>
  </r>
  <r>
    <n v="4090"/>
    <x v="6"/>
    <s v="Male"/>
    <n v="28"/>
    <s v="Delhi"/>
    <x v="1"/>
    <n v="27757"/>
    <d v="2022-12-18T00:00:00"/>
    <n v="10"/>
    <n v="4"/>
    <n v="2776"/>
    <n v="1388"/>
    <n v="29145"/>
    <n v="1388"/>
    <n v="31921"/>
  </r>
  <r>
    <n v="4091"/>
    <x v="9"/>
    <s v="Female"/>
    <n v="43"/>
    <s v="Delhi"/>
    <x v="2"/>
    <n v="91308"/>
    <d v="2024-06-08T00:00:00"/>
    <n v="17"/>
    <n v="1"/>
    <n v="9131"/>
    <n v="4565"/>
    <n v="95874"/>
    <n v="4565"/>
    <n v="105004"/>
  </r>
  <r>
    <n v="4092"/>
    <x v="6"/>
    <s v="Male"/>
    <n v="47"/>
    <s v="Mumbai"/>
    <x v="2"/>
    <n v="66384"/>
    <d v="2022-12-30T00:00:00"/>
    <n v="14"/>
    <n v="5"/>
    <n v="6638"/>
    <n v="3319"/>
    <n v="69703"/>
    <n v="3319"/>
    <n v="76341"/>
  </r>
  <r>
    <n v="4093"/>
    <x v="4"/>
    <s v="Female"/>
    <n v="33"/>
    <s v="Bangalore"/>
    <x v="0"/>
    <n v="75315"/>
    <d v="2023-11-20T00:00:00"/>
    <n v="18"/>
    <n v="4"/>
    <n v="7532"/>
    <n v="3766"/>
    <n v="79081"/>
    <n v="3766"/>
    <n v="86613"/>
  </r>
  <r>
    <n v="4094"/>
    <x v="5"/>
    <s v="Female"/>
    <n v="59"/>
    <s v="Chennai"/>
    <x v="1"/>
    <n v="68422"/>
    <d v="2023-06-25T00:00:00"/>
    <n v="13"/>
    <n v="3"/>
    <n v="6842"/>
    <n v="3421"/>
    <n v="71843"/>
    <n v="3421"/>
    <n v="78685"/>
  </r>
  <r>
    <n v="4095"/>
    <x v="2"/>
    <s v="Female"/>
    <n v="53"/>
    <s v="Delhi"/>
    <x v="4"/>
    <n v="80482"/>
    <d v="2023-06-29T00:00:00"/>
    <n v="20"/>
    <n v="5"/>
    <n v="8048"/>
    <n v="4024"/>
    <n v="84506"/>
    <n v="4024"/>
    <n v="92554"/>
  </r>
  <r>
    <n v="4096"/>
    <x v="8"/>
    <s v="Male"/>
    <n v="32"/>
    <s v="Bangalore"/>
    <x v="2"/>
    <n v="22289"/>
    <d v="2024-04-04T00:00:00"/>
    <n v="10"/>
    <n v="2"/>
    <n v="2229"/>
    <n v="1114"/>
    <n v="23404"/>
    <n v="1114"/>
    <n v="25632"/>
  </r>
  <r>
    <n v="4097"/>
    <x v="5"/>
    <s v="Female"/>
    <n v="24"/>
    <s v="Bangalore"/>
    <x v="2"/>
    <n v="74125"/>
    <d v="2023-02-08T00:00:00"/>
    <n v="8"/>
    <n v="4"/>
    <n v="7412"/>
    <n v="3706"/>
    <n v="77831"/>
    <n v="3706"/>
    <n v="85243"/>
  </r>
  <r>
    <n v="4098"/>
    <x v="3"/>
    <s v="Female"/>
    <n v="41"/>
    <s v="Mumbai"/>
    <x v="3"/>
    <n v="73010"/>
    <d v="2022-04-25T00:00:00"/>
    <n v="9"/>
    <n v="5"/>
    <n v="7301"/>
    <n v="3650"/>
    <n v="76661"/>
    <n v="3650"/>
    <n v="83961"/>
  </r>
  <r>
    <n v="4099"/>
    <x v="4"/>
    <s v="Female"/>
    <n v="59"/>
    <s v="Delhi"/>
    <x v="0"/>
    <n v="93723"/>
    <d v="2024-03-15T00:00:00"/>
    <n v="7"/>
    <n v="5"/>
    <n v="9372"/>
    <n v="4686"/>
    <n v="98409"/>
    <n v="4686"/>
    <n v="107781"/>
  </r>
  <r>
    <n v="4100"/>
    <x v="4"/>
    <s v="Female"/>
    <n v="54"/>
    <s v="Hyderabad"/>
    <x v="2"/>
    <n v="52106"/>
    <d v="2023-12-02T00:00:00"/>
    <n v="2"/>
    <n v="2"/>
    <n v="5211"/>
    <n v="2605"/>
    <n v="54712"/>
    <n v="0"/>
    <n v="57317"/>
  </r>
  <r>
    <n v="4101"/>
    <x v="9"/>
    <s v="Female"/>
    <n v="24"/>
    <s v="Hyderabad"/>
    <x v="0"/>
    <n v="84664"/>
    <d v="2022-05-09T00:00:00"/>
    <n v="4"/>
    <n v="4"/>
    <n v="8466"/>
    <n v="4233"/>
    <n v="88897"/>
    <n v="0"/>
    <n v="93130"/>
  </r>
  <r>
    <n v="4102"/>
    <x v="9"/>
    <s v="Female"/>
    <n v="56"/>
    <s v="Chennai"/>
    <x v="1"/>
    <n v="52073"/>
    <d v="2023-07-15T00:00:00"/>
    <n v="7"/>
    <n v="1"/>
    <n v="5207"/>
    <n v="2604"/>
    <n v="54676"/>
    <n v="2604"/>
    <n v="59884"/>
  </r>
  <r>
    <n v="4103"/>
    <x v="8"/>
    <s v="Male"/>
    <n v="60"/>
    <s v="Bangalore"/>
    <x v="4"/>
    <n v="53872"/>
    <d v="2022-09-07T00:00:00"/>
    <n v="14"/>
    <n v="4"/>
    <n v="5387"/>
    <n v="2694"/>
    <n v="56565"/>
    <n v="2694"/>
    <n v="61953"/>
  </r>
  <r>
    <n v="4104"/>
    <x v="3"/>
    <s v="Female"/>
    <n v="23"/>
    <s v="Bangalore"/>
    <x v="4"/>
    <n v="42244"/>
    <d v="2024-02-26T00:00:00"/>
    <n v="10"/>
    <n v="2"/>
    <n v="4224"/>
    <n v="2112"/>
    <n v="44356"/>
    <n v="2112"/>
    <n v="48580"/>
  </r>
  <r>
    <n v="4105"/>
    <x v="2"/>
    <s v="Female"/>
    <n v="32"/>
    <s v="Delhi"/>
    <x v="3"/>
    <n v="66729"/>
    <d v="2022-06-20T00:00:00"/>
    <n v="3"/>
    <n v="1"/>
    <n v="6673"/>
    <n v="3336"/>
    <n v="70066"/>
    <n v="0"/>
    <n v="73402"/>
  </r>
  <r>
    <n v="4106"/>
    <x v="0"/>
    <s v="Male"/>
    <n v="60"/>
    <s v="Hyderabad"/>
    <x v="4"/>
    <n v="61258"/>
    <d v="2022-01-27T00:00:00"/>
    <n v="14"/>
    <n v="2"/>
    <n v="6126"/>
    <n v="3063"/>
    <n v="64321"/>
    <n v="3063"/>
    <n v="70447"/>
  </r>
  <r>
    <n v="4107"/>
    <x v="0"/>
    <s v="Male"/>
    <n v="54"/>
    <s v="Chennai"/>
    <x v="2"/>
    <n v="41112"/>
    <d v="2023-07-10T00:00:00"/>
    <n v="8"/>
    <n v="3"/>
    <n v="4111"/>
    <n v="2056"/>
    <n v="43167"/>
    <n v="2056"/>
    <n v="47279"/>
  </r>
  <r>
    <n v="4108"/>
    <x v="7"/>
    <s v="Male"/>
    <n v="46"/>
    <s v="Mumbai"/>
    <x v="0"/>
    <n v="99815"/>
    <d v="2023-06-28T00:00:00"/>
    <n v="17"/>
    <n v="2"/>
    <n v="9982"/>
    <n v="4991"/>
    <n v="104806"/>
    <n v="4991"/>
    <n v="114788"/>
  </r>
  <r>
    <n v="4109"/>
    <x v="9"/>
    <s v="Female"/>
    <n v="59"/>
    <s v="Hyderabad"/>
    <x v="0"/>
    <n v="98738"/>
    <d v="2023-03-10T00:00:00"/>
    <n v="5"/>
    <n v="5"/>
    <n v="9874"/>
    <n v="4937"/>
    <n v="103675"/>
    <n v="0"/>
    <n v="108612"/>
  </r>
  <r>
    <n v="4110"/>
    <x v="6"/>
    <s v="Female"/>
    <n v="60"/>
    <s v="Delhi"/>
    <x v="1"/>
    <n v="26451"/>
    <d v="2023-11-06T00:00:00"/>
    <n v="12"/>
    <n v="3"/>
    <n v="2645"/>
    <n v="1323"/>
    <n v="27773"/>
    <n v="1323"/>
    <n v="30419"/>
  </r>
  <r>
    <n v="4111"/>
    <x v="4"/>
    <s v="Male"/>
    <n v="37"/>
    <s v="Chennai"/>
    <x v="0"/>
    <n v="39450"/>
    <d v="2024-02-25T00:00:00"/>
    <n v="14"/>
    <n v="5"/>
    <n v="3945"/>
    <n v="1972"/>
    <n v="41423"/>
    <n v="1972"/>
    <n v="45367"/>
  </r>
  <r>
    <n v="4112"/>
    <x v="6"/>
    <s v="Male"/>
    <n v="43"/>
    <s v="Mumbai"/>
    <x v="2"/>
    <n v="96925"/>
    <d v="2024-07-06T00:00:00"/>
    <n v="20"/>
    <n v="5"/>
    <n v="9692"/>
    <n v="4846"/>
    <n v="101771"/>
    <n v="4846"/>
    <n v="111463"/>
  </r>
  <r>
    <n v="4113"/>
    <x v="2"/>
    <s v="Female"/>
    <n v="59"/>
    <s v="Mumbai"/>
    <x v="3"/>
    <n v="92276"/>
    <d v="2022-03-22T00:00:00"/>
    <n v="9"/>
    <n v="4"/>
    <n v="9228"/>
    <n v="4614"/>
    <n v="96890"/>
    <n v="4614"/>
    <n v="106118"/>
  </r>
  <r>
    <n v="4114"/>
    <x v="3"/>
    <s v="Female"/>
    <n v="42"/>
    <s v="Bangalore"/>
    <x v="2"/>
    <n v="75805"/>
    <d v="2022-05-27T00:00:00"/>
    <n v="12"/>
    <n v="4"/>
    <n v="7580"/>
    <n v="3790"/>
    <n v="79595"/>
    <n v="3790"/>
    <n v="87175"/>
  </r>
  <r>
    <n v="4115"/>
    <x v="6"/>
    <s v="Female"/>
    <n v="47"/>
    <s v="Mumbai"/>
    <x v="0"/>
    <n v="71685"/>
    <d v="2023-02-16T00:00:00"/>
    <n v="18"/>
    <n v="2"/>
    <n v="7168"/>
    <n v="3584"/>
    <n v="75269"/>
    <n v="3584"/>
    <n v="82437"/>
  </r>
  <r>
    <n v="4116"/>
    <x v="4"/>
    <s v="Male"/>
    <n v="45"/>
    <s v="Chennai"/>
    <x v="4"/>
    <n v="89933"/>
    <d v="2024-03-20T00:00:00"/>
    <n v="2"/>
    <n v="3"/>
    <n v="8993"/>
    <n v="4497"/>
    <n v="94429"/>
    <n v="0"/>
    <n v="98926"/>
  </r>
  <r>
    <n v="4117"/>
    <x v="6"/>
    <s v="Female"/>
    <n v="59"/>
    <s v="Mumbai"/>
    <x v="1"/>
    <n v="24243"/>
    <d v="2024-04-21T00:00:00"/>
    <n v="8"/>
    <n v="5"/>
    <n v="2424"/>
    <n v="1212"/>
    <n v="25455"/>
    <n v="1212"/>
    <n v="27879"/>
  </r>
  <r>
    <n v="4118"/>
    <x v="8"/>
    <s v="Male"/>
    <n v="48"/>
    <s v="Mumbai"/>
    <x v="1"/>
    <n v="89843"/>
    <d v="2024-05-08T00:00:00"/>
    <n v="7"/>
    <n v="3"/>
    <n v="8984"/>
    <n v="4492"/>
    <n v="94335"/>
    <n v="4492"/>
    <n v="103319"/>
  </r>
  <r>
    <n v="4119"/>
    <x v="8"/>
    <s v="Male"/>
    <n v="23"/>
    <s v="Bangalore"/>
    <x v="3"/>
    <n v="70334"/>
    <d v="2022-05-18T00:00:00"/>
    <n v="13"/>
    <n v="5"/>
    <n v="7033"/>
    <n v="3517"/>
    <n v="73850"/>
    <n v="3517"/>
    <n v="80884"/>
  </r>
  <r>
    <n v="4120"/>
    <x v="3"/>
    <s v="Female"/>
    <n v="31"/>
    <s v="Bangalore"/>
    <x v="0"/>
    <n v="32167"/>
    <d v="2024-02-27T00:00:00"/>
    <n v="1"/>
    <n v="1"/>
    <n v="3217"/>
    <n v="1608"/>
    <n v="33776"/>
    <n v="0"/>
    <n v="35384"/>
  </r>
  <r>
    <n v="4121"/>
    <x v="5"/>
    <s v="Male"/>
    <n v="49"/>
    <s v="Mumbai"/>
    <x v="0"/>
    <n v="25279"/>
    <d v="2024-09-20T00:00:00"/>
    <n v="5"/>
    <n v="3"/>
    <n v="2528"/>
    <n v="1264"/>
    <n v="26543"/>
    <n v="0"/>
    <n v="27807"/>
  </r>
  <r>
    <n v="4122"/>
    <x v="3"/>
    <s v="Male"/>
    <n v="46"/>
    <s v="Chennai"/>
    <x v="0"/>
    <n v="72884"/>
    <d v="2022-09-01T00:00:00"/>
    <n v="6"/>
    <n v="1"/>
    <n v="7288"/>
    <n v="3644"/>
    <n v="76528"/>
    <n v="3644"/>
    <n v="83816"/>
  </r>
  <r>
    <n v="4123"/>
    <x v="4"/>
    <s v="Male"/>
    <n v="57"/>
    <s v="Hyderabad"/>
    <x v="4"/>
    <n v="25353"/>
    <d v="2024-01-22T00:00:00"/>
    <n v="3"/>
    <n v="3"/>
    <n v="2535"/>
    <n v="1268"/>
    <n v="26620"/>
    <n v="0"/>
    <n v="27888"/>
  </r>
  <r>
    <n v="4124"/>
    <x v="1"/>
    <s v="Male"/>
    <n v="57"/>
    <s v="Mumbai"/>
    <x v="4"/>
    <n v="44144"/>
    <d v="2024-03-04T00:00:00"/>
    <n v="9"/>
    <n v="3"/>
    <n v="4414"/>
    <n v="2207"/>
    <n v="46351"/>
    <n v="2207"/>
    <n v="50765"/>
  </r>
  <r>
    <n v="4125"/>
    <x v="4"/>
    <s v="Male"/>
    <n v="58"/>
    <s v="Delhi"/>
    <x v="2"/>
    <n v="92261"/>
    <d v="2024-01-19T00:00:00"/>
    <n v="18"/>
    <n v="1"/>
    <n v="9226"/>
    <n v="4613"/>
    <n v="96874"/>
    <n v="4613"/>
    <n v="106100"/>
  </r>
  <r>
    <n v="4126"/>
    <x v="0"/>
    <s v="Female"/>
    <n v="53"/>
    <s v="Chennai"/>
    <x v="1"/>
    <n v="94978"/>
    <d v="2024-08-26T00:00:00"/>
    <n v="16"/>
    <n v="4"/>
    <n v="9498"/>
    <n v="4749"/>
    <n v="99727"/>
    <n v="4749"/>
    <n v="109225"/>
  </r>
  <r>
    <n v="4127"/>
    <x v="4"/>
    <s v="Female"/>
    <n v="32"/>
    <s v="Chennai"/>
    <x v="3"/>
    <n v="51467"/>
    <d v="2023-05-24T00:00:00"/>
    <n v="7"/>
    <n v="4"/>
    <n v="5147"/>
    <n v="2573"/>
    <n v="54041"/>
    <n v="2573"/>
    <n v="59187"/>
  </r>
  <r>
    <n v="4128"/>
    <x v="4"/>
    <s v="Female"/>
    <n v="45"/>
    <s v="Chennai"/>
    <x v="4"/>
    <n v="97466"/>
    <d v="2022-01-21T00:00:00"/>
    <n v="7"/>
    <n v="5"/>
    <n v="9747"/>
    <n v="4873"/>
    <n v="102340"/>
    <n v="4873"/>
    <n v="112086"/>
  </r>
  <r>
    <n v="4129"/>
    <x v="2"/>
    <s v="Male"/>
    <n v="59"/>
    <s v="Chennai"/>
    <x v="3"/>
    <n v="31062"/>
    <d v="2022-10-15T00:00:00"/>
    <n v="10"/>
    <n v="1"/>
    <n v="3106"/>
    <n v="1553"/>
    <n v="32615"/>
    <n v="1553"/>
    <n v="35721"/>
  </r>
  <r>
    <n v="4130"/>
    <x v="7"/>
    <s v="Male"/>
    <n v="49"/>
    <s v="Hyderabad"/>
    <x v="0"/>
    <n v="56640"/>
    <d v="2024-06-02T00:00:00"/>
    <n v="13"/>
    <n v="5"/>
    <n v="5664"/>
    <n v="2832"/>
    <n v="59472"/>
    <n v="2832"/>
    <n v="65136"/>
  </r>
  <r>
    <n v="4131"/>
    <x v="8"/>
    <s v="Female"/>
    <n v="38"/>
    <s v="Bangalore"/>
    <x v="1"/>
    <n v="77855"/>
    <d v="2024-06-29T00:00:00"/>
    <n v="9"/>
    <n v="1"/>
    <n v="7786"/>
    <n v="3893"/>
    <n v="81748"/>
    <n v="3893"/>
    <n v="89534"/>
  </r>
  <r>
    <n v="4132"/>
    <x v="3"/>
    <s v="Female"/>
    <n v="50"/>
    <s v="Delhi"/>
    <x v="1"/>
    <n v="56951"/>
    <d v="2023-09-27T00:00:00"/>
    <n v="7"/>
    <n v="5"/>
    <n v="5695"/>
    <n v="2848"/>
    <n v="59798"/>
    <n v="2848"/>
    <n v="65494"/>
  </r>
  <r>
    <n v="4133"/>
    <x v="7"/>
    <s v="Male"/>
    <n v="55"/>
    <s v="Bangalore"/>
    <x v="4"/>
    <n v="92975"/>
    <d v="2022-03-30T00:00:00"/>
    <n v="20"/>
    <n v="5"/>
    <n v="9298"/>
    <n v="4649"/>
    <n v="97624"/>
    <n v="4649"/>
    <n v="106922"/>
  </r>
  <r>
    <n v="4134"/>
    <x v="3"/>
    <s v="Male"/>
    <n v="36"/>
    <s v="Delhi"/>
    <x v="0"/>
    <n v="32628"/>
    <d v="2023-08-22T00:00:00"/>
    <n v="18"/>
    <n v="3"/>
    <n v="3263"/>
    <n v="1631"/>
    <n v="34260"/>
    <n v="1631"/>
    <n v="37522"/>
  </r>
  <r>
    <n v="4135"/>
    <x v="7"/>
    <s v="Male"/>
    <n v="57"/>
    <s v="Bangalore"/>
    <x v="0"/>
    <n v="95752"/>
    <d v="2022-03-22T00:00:00"/>
    <n v="11"/>
    <n v="2"/>
    <n v="9575"/>
    <n v="4788"/>
    <n v="100539"/>
    <n v="4788"/>
    <n v="110115"/>
  </r>
  <r>
    <n v="4136"/>
    <x v="5"/>
    <s v="Male"/>
    <n v="53"/>
    <s v="Hyderabad"/>
    <x v="1"/>
    <n v="82218"/>
    <d v="2022-04-03T00:00:00"/>
    <n v="3"/>
    <n v="5"/>
    <n v="8222"/>
    <n v="4111"/>
    <n v="86329"/>
    <n v="0"/>
    <n v="90440"/>
  </r>
  <r>
    <n v="4137"/>
    <x v="4"/>
    <s v="Female"/>
    <n v="38"/>
    <s v="Chennai"/>
    <x v="3"/>
    <n v="88188"/>
    <d v="2022-05-31T00:00:00"/>
    <n v="3"/>
    <n v="3"/>
    <n v="8819"/>
    <n v="4409"/>
    <n v="92598"/>
    <n v="0"/>
    <n v="97007"/>
  </r>
  <r>
    <n v="4138"/>
    <x v="1"/>
    <s v="Male"/>
    <n v="39"/>
    <s v="Hyderabad"/>
    <x v="0"/>
    <n v="50384"/>
    <d v="2024-07-22T00:00:00"/>
    <n v="3"/>
    <n v="5"/>
    <n v="5038"/>
    <n v="2519"/>
    <n v="52903"/>
    <n v="0"/>
    <n v="55422"/>
  </r>
  <r>
    <n v="4139"/>
    <x v="8"/>
    <s v="Male"/>
    <n v="36"/>
    <s v="Mumbai"/>
    <x v="1"/>
    <n v="32392"/>
    <d v="2023-09-17T00:00:00"/>
    <n v="11"/>
    <n v="5"/>
    <n v="3239"/>
    <n v="1620"/>
    <n v="34011"/>
    <n v="1620"/>
    <n v="37251"/>
  </r>
  <r>
    <n v="4140"/>
    <x v="4"/>
    <s v="Female"/>
    <n v="35"/>
    <s v="Chennai"/>
    <x v="1"/>
    <n v="28890"/>
    <d v="2023-12-02T00:00:00"/>
    <n v="4"/>
    <n v="3"/>
    <n v="2889"/>
    <n v="1444"/>
    <n v="30335"/>
    <n v="0"/>
    <n v="31779"/>
  </r>
  <r>
    <n v="4141"/>
    <x v="5"/>
    <s v="Male"/>
    <n v="50"/>
    <s v="Bangalore"/>
    <x v="0"/>
    <n v="34975"/>
    <d v="2024-04-15T00:00:00"/>
    <n v="15"/>
    <n v="5"/>
    <n v="3498"/>
    <n v="1749"/>
    <n v="36724"/>
    <n v="1749"/>
    <n v="40222"/>
  </r>
  <r>
    <n v="4142"/>
    <x v="3"/>
    <s v="Male"/>
    <n v="41"/>
    <s v="Delhi"/>
    <x v="0"/>
    <n v="92072"/>
    <d v="2023-01-29T00:00:00"/>
    <n v="9"/>
    <n v="1"/>
    <n v="9207"/>
    <n v="4604"/>
    <n v="96675"/>
    <n v="4604"/>
    <n v="105883"/>
  </r>
  <r>
    <n v="4143"/>
    <x v="5"/>
    <s v="Female"/>
    <n v="58"/>
    <s v="Hyderabad"/>
    <x v="1"/>
    <n v="86100"/>
    <d v="2024-04-30T00:00:00"/>
    <n v="10"/>
    <n v="2"/>
    <n v="8610"/>
    <n v="4305"/>
    <n v="90405"/>
    <n v="4305"/>
    <n v="99015"/>
  </r>
  <r>
    <n v="4144"/>
    <x v="5"/>
    <s v="Female"/>
    <n v="44"/>
    <s v="Mumbai"/>
    <x v="2"/>
    <n v="48496"/>
    <d v="2024-09-09T00:00:00"/>
    <n v="3"/>
    <n v="2"/>
    <n v="4850"/>
    <n v="2425"/>
    <n v="50921"/>
    <n v="0"/>
    <n v="53346"/>
  </r>
  <r>
    <n v="4145"/>
    <x v="4"/>
    <s v="Female"/>
    <n v="28"/>
    <s v="Bangalore"/>
    <x v="0"/>
    <n v="60807"/>
    <d v="2022-02-03T00:00:00"/>
    <n v="8"/>
    <n v="1"/>
    <n v="6081"/>
    <n v="3040"/>
    <n v="63848"/>
    <n v="3040"/>
    <n v="69928"/>
  </r>
  <r>
    <n v="4146"/>
    <x v="1"/>
    <s v="Female"/>
    <n v="54"/>
    <s v="Mumbai"/>
    <x v="0"/>
    <n v="51021"/>
    <d v="2023-07-08T00:00:00"/>
    <n v="18"/>
    <n v="1"/>
    <n v="5102"/>
    <n v="2551"/>
    <n v="53572"/>
    <n v="2551"/>
    <n v="58674"/>
  </r>
  <r>
    <n v="4147"/>
    <x v="0"/>
    <s v="Male"/>
    <n v="26"/>
    <s v="Mumbai"/>
    <x v="3"/>
    <n v="52264"/>
    <d v="2023-12-31T00:00:00"/>
    <n v="2"/>
    <n v="4"/>
    <n v="5226"/>
    <n v="2613"/>
    <n v="54877"/>
    <n v="0"/>
    <n v="57490"/>
  </r>
  <r>
    <n v="4148"/>
    <x v="5"/>
    <s v="Female"/>
    <n v="39"/>
    <s v="Chennai"/>
    <x v="4"/>
    <n v="66136"/>
    <d v="2023-07-05T00:00:00"/>
    <n v="1"/>
    <n v="5"/>
    <n v="6614"/>
    <n v="3307"/>
    <n v="69443"/>
    <n v="0"/>
    <n v="72750"/>
  </r>
  <r>
    <n v="4149"/>
    <x v="9"/>
    <s v="Male"/>
    <n v="29"/>
    <s v="Chennai"/>
    <x v="2"/>
    <n v="72586"/>
    <d v="2022-01-09T00:00:00"/>
    <n v="6"/>
    <n v="4"/>
    <n v="7259"/>
    <n v="3629"/>
    <n v="76216"/>
    <n v="3629"/>
    <n v="83474"/>
  </r>
  <r>
    <n v="4150"/>
    <x v="7"/>
    <s v="Male"/>
    <n v="28"/>
    <s v="Bangalore"/>
    <x v="3"/>
    <n v="65430"/>
    <d v="2022-09-29T00:00:00"/>
    <n v="6"/>
    <n v="2"/>
    <n v="6543"/>
    <n v="3272"/>
    <n v="68701"/>
    <n v="3272"/>
    <n v="75245"/>
  </r>
  <r>
    <n v="4151"/>
    <x v="5"/>
    <s v="Female"/>
    <n v="54"/>
    <s v="Bangalore"/>
    <x v="3"/>
    <n v="63157"/>
    <d v="2022-02-15T00:00:00"/>
    <n v="19"/>
    <n v="1"/>
    <n v="6316"/>
    <n v="3158"/>
    <n v="66315"/>
    <n v="3158"/>
    <n v="72631"/>
  </r>
  <r>
    <n v="4152"/>
    <x v="4"/>
    <s v="Female"/>
    <n v="31"/>
    <s v="Bangalore"/>
    <x v="0"/>
    <n v="46120"/>
    <d v="2022-09-04T00:00:00"/>
    <n v="13"/>
    <n v="4"/>
    <n v="4612"/>
    <n v="2306"/>
    <n v="48426"/>
    <n v="2306"/>
    <n v="53038"/>
  </r>
  <r>
    <n v="4153"/>
    <x v="7"/>
    <s v="Male"/>
    <n v="41"/>
    <s v="Bangalore"/>
    <x v="2"/>
    <n v="46872"/>
    <d v="2022-02-12T00:00:00"/>
    <n v="3"/>
    <n v="4"/>
    <n v="4687"/>
    <n v="2344"/>
    <n v="49215"/>
    <n v="0"/>
    <n v="51559"/>
  </r>
  <r>
    <n v="4154"/>
    <x v="9"/>
    <s v="Female"/>
    <n v="56"/>
    <s v="Mumbai"/>
    <x v="4"/>
    <n v="53280"/>
    <d v="2023-01-16T00:00:00"/>
    <n v="6"/>
    <n v="5"/>
    <n v="5328"/>
    <n v="2664"/>
    <n v="55944"/>
    <n v="2664"/>
    <n v="61272"/>
  </r>
  <r>
    <n v="4155"/>
    <x v="2"/>
    <s v="Female"/>
    <n v="29"/>
    <s v="Chennai"/>
    <x v="0"/>
    <n v="46033"/>
    <d v="2024-08-20T00:00:00"/>
    <n v="14"/>
    <n v="5"/>
    <n v="4603"/>
    <n v="2302"/>
    <n v="48334"/>
    <n v="2302"/>
    <n v="52938"/>
  </r>
  <r>
    <n v="4156"/>
    <x v="7"/>
    <s v="Male"/>
    <n v="46"/>
    <s v="Hyderabad"/>
    <x v="2"/>
    <n v="77166"/>
    <d v="2023-09-26T00:00:00"/>
    <n v="3"/>
    <n v="2"/>
    <n v="7717"/>
    <n v="3858"/>
    <n v="81025"/>
    <n v="0"/>
    <n v="84883"/>
  </r>
  <r>
    <n v="4157"/>
    <x v="1"/>
    <s v="Female"/>
    <n v="47"/>
    <s v="Bangalore"/>
    <x v="4"/>
    <n v="28037"/>
    <d v="2024-02-19T00:00:00"/>
    <n v="20"/>
    <n v="2"/>
    <n v="2804"/>
    <n v="1402"/>
    <n v="29439"/>
    <n v="1402"/>
    <n v="32243"/>
  </r>
  <r>
    <n v="4158"/>
    <x v="1"/>
    <s v="Male"/>
    <n v="43"/>
    <s v="Bangalore"/>
    <x v="2"/>
    <n v="27387"/>
    <d v="2024-01-22T00:00:00"/>
    <n v="4"/>
    <n v="1"/>
    <n v="2739"/>
    <n v="1369"/>
    <n v="28757"/>
    <n v="0"/>
    <n v="30126"/>
  </r>
  <r>
    <n v="4159"/>
    <x v="3"/>
    <s v="Male"/>
    <n v="22"/>
    <s v="Hyderabad"/>
    <x v="3"/>
    <n v="95532"/>
    <d v="2022-03-08T00:00:00"/>
    <n v="4"/>
    <n v="5"/>
    <n v="9553"/>
    <n v="4777"/>
    <n v="100308"/>
    <n v="0"/>
    <n v="105085"/>
  </r>
  <r>
    <n v="4160"/>
    <x v="8"/>
    <s v="Male"/>
    <n v="49"/>
    <s v="Bangalore"/>
    <x v="3"/>
    <n v="41918"/>
    <d v="2022-12-06T00:00:00"/>
    <n v="2"/>
    <n v="1"/>
    <n v="4192"/>
    <n v="2096"/>
    <n v="44014"/>
    <n v="0"/>
    <n v="46110"/>
  </r>
  <r>
    <n v="4161"/>
    <x v="0"/>
    <s v="Male"/>
    <n v="52"/>
    <s v="Mumbai"/>
    <x v="3"/>
    <n v="38131"/>
    <d v="2023-11-25T00:00:00"/>
    <n v="3"/>
    <n v="1"/>
    <n v="3813"/>
    <n v="1907"/>
    <n v="40037"/>
    <n v="0"/>
    <n v="41944"/>
  </r>
  <r>
    <n v="4162"/>
    <x v="4"/>
    <s v="Female"/>
    <n v="29"/>
    <s v="Chennai"/>
    <x v="2"/>
    <n v="37077"/>
    <d v="2023-04-30T00:00:00"/>
    <n v="12"/>
    <n v="1"/>
    <n v="3708"/>
    <n v="1854"/>
    <n v="38931"/>
    <n v="1854"/>
    <n v="42639"/>
  </r>
  <r>
    <n v="4163"/>
    <x v="5"/>
    <s v="Male"/>
    <n v="23"/>
    <s v="Hyderabad"/>
    <x v="0"/>
    <n v="87528"/>
    <d v="2022-12-14T00:00:00"/>
    <n v="14"/>
    <n v="4"/>
    <n v="8753"/>
    <n v="4376"/>
    <n v="91905"/>
    <n v="4376"/>
    <n v="100657"/>
  </r>
  <r>
    <n v="4164"/>
    <x v="9"/>
    <s v="Male"/>
    <n v="59"/>
    <s v="Hyderabad"/>
    <x v="4"/>
    <n v="62128"/>
    <d v="2023-08-22T00:00:00"/>
    <n v="1"/>
    <n v="1"/>
    <n v="6213"/>
    <n v="3106"/>
    <n v="65235"/>
    <n v="0"/>
    <n v="68341"/>
  </r>
  <r>
    <n v="4165"/>
    <x v="1"/>
    <s v="Male"/>
    <n v="51"/>
    <s v="Hyderabad"/>
    <x v="1"/>
    <n v="40357"/>
    <d v="2024-05-02T00:00:00"/>
    <n v="12"/>
    <n v="1"/>
    <n v="4036"/>
    <n v="2018"/>
    <n v="42375"/>
    <n v="2018"/>
    <n v="46411"/>
  </r>
  <r>
    <n v="4166"/>
    <x v="0"/>
    <s v="Female"/>
    <n v="53"/>
    <s v="Hyderabad"/>
    <x v="0"/>
    <n v="33529"/>
    <d v="2022-11-15T00:00:00"/>
    <n v="10"/>
    <n v="4"/>
    <n v="3353"/>
    <n v="1676"/>
    <n v="35206"/>
    <n v="1676"/>
    <n v="38558"/>
  </r>
  <r>
    <n v="4167"/>
    <x v="4"/>
    <s v="Female"/>
    <n v="33"/>
    <s v="Chennai"/>
    <x v="0"/>
    <n v="41055"/>
    <d v="2023-03-22T00:00:00"/>
    <n v="14"/>
    <n v="4"/>
    <n v="4106"/>
    <n v="2053"/>
    <n v="43108"/>
    <n v="2053"/>
    <n v="47214"/>
  </r>
  <r>
    <n v="4168"/>
    <x v="0"/>
    <s v="Male"/>
    <n v="33"/>
    <s v="Bangalore"/>
    <x v="1"/>
    <n v="53177"/>
    <d v="2022-09-23T00:00:00"/>
    <n v="12"/>
    <n v="5"/>
    <n v="5318"/>
    <n v="2659"/>
    <n v="55836"/>
    <n v="2659"/>
    <n v="61154"/>
  </r>
  <r>
    <n v="4169"/>
    <x v="8"/>
    <s v="Male"/>
    <n v="48"/>
    <s v="Hyderabad"/>
    <x v="2"/>
    <n v="68606"/>
    <d v="2022-06-05T00:00:00"/>
    <n v="5"/>
    <n v="5"/>
    <n v="6861"/>
    <n v="3430"/>
    <n v="72037"/>
    <n v="0"/>
    <n v="75467"/>
  </r>
  <r>
    <n v="4170"/>
    <x v="7"/>
    <s v="Male"/>
    <n v="51"/>
    <s v="Mumbai"/>
    <x v="2"/>
    <n v="34315"/>
    <d v="2022-04-04T00:00:00"/>
    <n v="5"/>
    <n v="1"/>
    <n v="3432"/>
    <n v="1716"/>
    <n v="36031"/>
    <n v="0"/>
    <n v="37747"/>
  </r>
  <r>
    <n v="4171"/>
    <x v="6"/>
    <s v="Male"/>
    <n v="45"/>
    <s v="Hyderabad"/>
    <x v="2"/>
    <n v="61652"/>
    <d v="2023-11-04T00:00:00"/>
    <n v="5"/>
    <n v="5"/>
    <n v="6165"/>
    <n v="3083"/>
    <n v="64734"/>
    <n v="0"/>
    <n v="67817"/>
  </r>
  <r>
    <n v="4172"/>
    <x v="7"/>
    <s v="Female"/>
    <n v="42"/>
    <s v="Chennai"/>
    <x v="0"/>
    <n v="39244"/>
    <d v="2023-03-05T00:00:00"/>
    <n v="13"/>
    <n v="4"/>
    <n v="3924"/>
    <n v="1962"/>
    <n v="41206"/>
    <n v="1962"/>
    <n v="45130"/>
  </r>
  <r>
    <n v="4173"/>
    <x v="3"/>
    <s v="Female"/>
    <n v="34"/>
    <s v="Chennai"/>
    <x v="1"/>
    <n v="65810"/>
    <d v="2022-12-26T00:00:00"/>
    <n v="13"/>
    <n v="5"/>
    <n v="6581"/>
    <n v="3290"/>
    <n v="69101"/>
    <n v="3290"/>
    <n v="75681"/>
  </r>
  <r>
    <n v="4174"/>
    <x v="7"/>
    <s v="Female"/>
    <n v="33"/>
    <s v="Mumbai"/>
    <x v="4"/>
    <n v="43231"/>
    <d v="2023-05-17T00:00:00"/>
    <n v="16"/>
    <n v="5"/>
    <n v="4323"/>
    <n v="2162"/>
    <n v="45392"/>
    <n v="2162"/>
    <n v="49716"/>
  </r>
  <r>
    <n v="4175"/>
    <x v="9"/>
    <s v="Female"/>
    <n v="24"/>
    <s v="Mumbai"/>
    <x v="2"/>
    <n v="88819"/>
    <d v="2022-01-27T00:00:00"/>
    <n v="3"/>
    <n v="3"/>
    <n v="8882"/>
    <n v="4441"/>
    <n v="93260"/>
    <n v="0"/>
    <n v="97701"/>
  </r>
  <r>
    <n v="4176"/>
    <x v="2"/>
    <s v="Male"/>
    <n v="51"/>
    <s v="Chennai"/>
    <x v="2"/>
    <n v="83315"/>
    <d v="2023-08-13T00:00:00"/>
    <n v="7"/>
    <n v="2"/>
    <n v="8332"/>
    <n v="4166"/>
    <n v="87481"/>
    <n v="4166"/>
    <n v="95813"/>
  </r>
  <r>
    <n v="4177"/>
    <x v="4"/>
    <s v="Male"/>
    <n v="41"/>
    <s v="Hyderabad"/>
    <x v="0"/>
    <n v="58336"/>
    <d v="2022-12-14T00:00:00"/>
    <n v="6"/>
    <n v="5"/>
    <n v="5834"/>
    <n v="2917"/>
    <n v="61253"/>
    <n v="2917"/>
    <n v="67087"/>
  </r>
  <r>
    <n v="4178"/>
    <x v="1"/>
    <s v="Male"/>
    <n v="56"/>
    <s v="Hyderabad"/>
    <x v="1"/>
    <n v="80495"/>
    <d v="2022-12-01T00:00:00"/>
    <n v="19"/>
    <n v="2"/>
    <n v="8050"/>
    <n v="4025"/>
    <n v="84520"/>
    <n v="4025"/>
    <n v="92570"/>
  </r>
  <r>
    <n v="4179"/>
    <x v="1"/>
    <s v="Female"/>
    <n v="44"/>
    <s v="Hyderabad"/>
    <x v="3"/>
    <n v="34847"/>
    <d v="2023-10-28T00:00:00"/>
    <n v="20"/>
    <n v="4"/>
    <n v="3485"/>
    <n v="1742"/>
    <n v="36590"/>
    <n v="1742"/>
    <n v="40074"/>
  </r>
  <r>
    <n v="4180"/>
    <x v="6"/>
    <s v="Male"/>
    <n v="31"/>
    <s v="Hyderabad"/>
    <x v="4"/>
    <n v="47100"/>
    <d v="2022-04-24T00:00:00"/>
    <n v="2"/>
    <n v="3"/>
    <n v="4710"/>
    <n v="2355"/>
    <n v="49455"/>
    <n v="0"/>
    <n v="51810"/>
  </r>
  <r>
    <n v="4181"/>
    <x v="3"/>
    <s v="Female"/>
    <n v="60"/>
    <s v="Mumbai"/>
    <x v="3"/>
    <n v="26388"/>
    <d v="2022-03-19T00:00:00"/>
    <n v="7"/>
    <n v="4"/>
    <n v="2639"/>
    <n v="1319"/>
    <n v="27708"/>
    <n v="1319"/>
    <n v="30346"/>
  </r>
  <r>
    <n v="4182"/>
    <x v="4"/>
    <s v="Female"/>
    <n v="25"/>
    <s v="Mumbai"/>
    <x v="2"/>
    <n v="82260"/>
    <d v="2023-03-20T00:00:00"/>
    <n v="18"/>
    <n v="1"/>
    <n v="8226"/>
    <n v="4113"/>
    <n v="86373"/>
    <n v="4113"/>
    <n v="94599"/>
  </r>
  <r>
    <n v="4183"/>
    <x v="1"/>
    <s v="Female"/>
    <n v="41"/>
    <s v="Mumbai"/>
    <x v="3"/>
    <n v="98450"/>
    <d v="2024-09-18T00:00:00"/>
    <n v="17"/>
    <n v="4"/>
    <n v="9845"/>
    <n v="4922"/>
    <n v="103373"/>
    <n v="4922"/>
    <n v="113217"/>
  </r>
  <r>
    <n v="4184"/>
    <x v="3"/>
    <s v="Female"/>
    <n v="45"/>
    <s v="Bangalore"/>
    <x v="3"/>
    <n v="34682"/>
    <d v="2023-06-12T00:00:00"/>
    <n v="1"/>
    <n v="1"/>
    <n v="3468"/>
    <n v="1734"/>
    <n v="36416"/>
    <n v="0"/>
    <n v="38150"/>
  </r>
  <r>
    <n v="4185"/>
    <x v="3"/>
    <s v="Female"/>
    <n v="57"/>
    <s v="Hyderabad"/>
    <x v="0"/>
    <n v="22273"/>
    <d v="2022-11-09T00:00:00"/>
    <n v="2"/>
    <n v="2"/>
    <n v="2227"/>
    <n v="1114"/>
    <n v="23386"/>
    <n v="0"/>
    <n v="24500"/>
  </r>
  <r>
    <n v="4186"/>
    <x v="1"/>
    <s v="Female"/>
    <n v="51"/>
    <s v="Bangalore"/>
    <x v="3"/>
    <n v="61875"/>
    <d v="2022-02-06T00:00:00"/>
    <n v="13"/>
    <n v="5"/>
    <n v="6188"/>
    <n v="3094"/>
    <n v="64969"/>
    <n v="3094"/>
    <n v="71157"/>
  </r>
  <r>
    <n v="4187"/>
    <x v="0"/>
    <s v="Female"/>
    <n v="57"/>
    <s v="Bangalore"/>
    <x v="2"/>
    <n v="34980"/>
    <d v="2023-09-05T00:00:00"/>
    <n v="11"/>
    <n v="5"/>
    <n v="3498"/>
    <n v="1749"/>
    <n v="36729"/>
    <n v="1749"/>
    <n v="40227"/>
  </r>
  <r>
    <n v="4188"/>
    <x v="8"/>
    <s v="Female"/>
    <n v="56"/>
    <s v="Hyderabad"/>
    <x v="4"/>
    <n v="67591"/>
    <d v="2023-02-25T00:00:00"/>
    <n v="3"/>
    <n v="4"/>
    <n v="6759"/>
    <n v="3380"/>
    <n v="70970"/>
    <n v="0"/>
    <n v="74350"/>
  </r>
  <r>
    <n v="4189"/>
    <x v="7"/>
    <s v="Male"/>
    <n v="57"/>
    <s v="Chennai"/>
    <x v="1"/>
    <n v="52927"/>
    <d v="2022-02-03T00:00:00"/>
    <n v="1"/>
    <n v="3"/>
    <n v="5293"/>
    <n v="2646"/>
    <n v="55574"/>
    <n v="0"/>
    <n v="58220"/>
  </r>
  <r>
    <n v="4190"/>
    <x v="5"/>
    <s v="Female"/>
    <n v="57"/>
    <s v="Hyderabad"/>
    <x v="3"/>
    <n v="36158"/>
    <d v="2023-11-15T00:00:00"/>
    <n v="4"/>
    <n v="5"/>
    <n v="3616"/>
    <n v="1808"/>
    <n v="37966"/>
    <n v="0"/>
    <n v="39774"/>
  </r>
  <r>
    <n v="4191"/>
    <x v="5"/>
    <s v="Female"/>
    <n v="35"/>
    <s v="Hyderabad"/>
    <x v="3"/>
    <n v="64009"/>
    <d v="2022-07-28T00:00:00"/>
    <n v="5"/>
    <n v="3"/>
    <n v="6401"/>
    <n v="3200"/>
    <n v="67210"/>
    <n v="0"/>
    <n v="70410"/>
  </r>
  <r>
    <n v="4192"/>
    <x v="3"/>
    <s v="Female"/>
    <n v="44"/>
    <s v="Bangalore"/>
    <x v="0"/>
    <n v="90058"/>
    <d v="2022-04-05T00:00:00"/>
    <n v="1"/>
    <n v="5"/>
    <n v="9006"/>
    <n v="4503"/>
    <n v="94561"/>
    <n v="0"/>
    <n v="99064"/>
  </r>
  <r>
    <n v="4193"/>
    <x v="5"/>
    <s v="Female"/>
    <n v="35"/>
    <s v="Bangalore"/>
    <x v="3"/>
    <n v="62546"/>
    <d v="2022-02-06T00:00:00"/>
    <n v="9"/>
    <n v="2"/>
    <n v="6255"/>
    <n v="3127"/>
    <n v="65674"/>
    <n v="3127"/>
    <n v="71928"/>
  </r>
  <r>
    <n v="4194"/>
    <x v="4"/>
    <s v="Female"/>
    <n v="40"/>
    <s v="Mumbai"/>
    <x v="0"/>
    <n v="28547"/>
    <d v="2023-02-04T00:00:00"/>
    <n v="12"/>
    <n v="5"/>
    <n v="2855"/>
    <n v="1427"/>
    <n v="29975"/>
    <n v="1427"/>
    <n v="32829"/>
  </r>
  <r>
    <n v="4195"/>
    <x v="8"/>
    <s v="Male"/>
    <n v="43"/>
    <s v="Chennai"/>
    <x v="0"/>
    <n v="27711"/>
    <d v="2022-01-24T00:00:00"/>
    <n v="5"/>
    <n v="3"/>
    <n v="2771"/>
    <n v="1386"/>
    <n v="29096"/>
    <n v="0"/>
    <n v="30482"/>
  </r>
  <r>
    <n v="4196"/>
    <x v="4"/>
    <s v="Female"/>
    <n v="41"/>
    <s v="Bangalore"/>
    <x v="1"/>
    <n v="79287"/>
    <d v="2023-05-18T00:00:00"/>
    <n v="17"/>
    <n v="3"/>
    <n v="7929"/>
    <n v="3964"/>
    <n v="83252"/>
    <n v="3964"/>
    <n v="91180"/>
  </r>
  <r>
    <n v="4197"/>
    <x v="8"/>
    <s v="Female"/>
    <n v="38"/>
    <s v="Chennai"/>
    <x v="0"/>
    <n v="26104"/>
    <d v="2022-08-04T00:00:00"/>
    <n v="3"/>
    <n v="1"/>
    <n v="2610"/>
    <n v="1305"/>
    <n v="27409"/>
    <n v="0"/>
    <n v="28714"/>
  </r>
  <r>
    <n v="4198"/>
    <x v="6"/>
    <s v="Female"/>
    <n v="34"/>
    <s v="Mumbai"/>
    <x v="1"/>
    <n v="98882"/>
    <d v="2024-03-06T00:00:00"/>
    <n v="2"/>
    <n v="3"/>
    <n v="9888"/>
    <n v="4944"/>
    <n v="103826"/>
    <n v="0"/>
    <n v="108770"/>
  </r>
  <r>
    <n v="4199"/>
    <x v="1"/>
    <s v="Male"/>
    <n v="58"/>
    <s v="Chennai"/>
    <x v="1"/>
    <n v="28717"/>
    <d v="2023-05-03T00:00:00"/>
    <n v="15"/>
    <n v="2"/>
    <n v="2872"/>
    <n v="1436"/>
    <n v="30153"/>
    <n v="1436"/>
    <n v="33025"/>
  </r>
  <r>
    <n v="4200"/>
    <x v="3"/>
    <s v="Male"/>
    <n v="53"/>
    <s v="Bangalore"/>
    <x v="0"/>
    <n v="99261"/>
    <d v="2023-07-08T00:00:00"/>
    <n v="2"/>
    <n v="5"/>
    <n v="9926"/>
    <n v="4963"/>
    <n v="104224"/>
    <n v="0"/>
    <n v="109187"/>
  </r>
  <r>
    <n v="4201"/>
    <x v="5"/>
    <s v="Male"/>
    <n v="58"/>
    <s v="Bangalore"/>
    <x v="0"/>
    <n v="46341"/>
    <d v="2023-11-29T00:00:00"/>
    <n v="18"/>
    <n v="1"/>
    <n v="4634"/>
    <n v="2317"/>
    <n v="48658"/>
    <n v="2317"/>
    <n v="53292"/>
  </r>
  <r>
    <n v="4202"/>
    <x v="5"/>
    <s v="Female"/>
    <n v="39"/>
    <s v="Bangalore"/>
    <x v="2"/>
    <n v="79900"/>
    <d v="2023-11-20T00:00:00"/>
    <n v="10"/>
    <n v="2"/>
    <n v="7990"/>
    <n v="3995"/>
    <n v="83895"/>
    <n v="3995"/>
    <n v="91885"/>
  </r>
  <r>
    <n v="4203"/>
    <x v="8"/>
    <s v="Male"/>
    <n v="50"/>
    <s v="Chennai"/>
    <x v="4"/>
    <n v="93612"/>
    <d v="2024-04-18T00:00:00"/>
    <n v="12"/>
    <n v="5"/>
    <n v="9361"/>
    <n v="4681"/>
    <n v="98292"/>
    <n v="4681"/>
    <n v="107654"/>
  </r>
  <r>
    <n v="4204"/>
    <x v="6"/>
    <s v="Female"/>
    <n v="56"/>
    <s v="Mumbai"/>
    <x v="4"/>
    <n v="33083"/>
    <d v="2022-06-28T00:00:00"/>
    <n v="2"/>
    <n v="3"/>
    <n v="3308"/>
    <n v="1654"/>
    <n v="34737"/>
    <n v="0"/>
    <n v="36391"/>
  </r>
  <r>
    <n v="4205"/>
    <x v="6"/>
    <s v="Male"/>
    <n v="23"/>
    <s v="Bangalore"/>
    <x v="1"/>
    <n v="49723"/>
    <d v="2023-07-09T00:00:00"/>
    <n v="16"/>
    <n v="1"/>
    <n v="4972"/>
    <n v="2486"/>
    <n v="52209"/>
    <n v="2486"/>
    <n v="57181"/>
  </r>
  <r>
    <n v="4206"/>
    <x v="4"/>
    <s v="Male"/>
    <n v="47"/>
    <s v="Mumbai"/>
    <x v="4"/>
    <n v="23390"/>
    <d v="2024-07-28T00:00:00"/>
    <n v="17"/>
    <n v="4"/>
    <n v="2339"/>
    <n v="1170"/>
    <n v="24559"/>
    <n v="1170"/>
    <n v="26899"/>
  </r>
  <r>
    <n v="4207"/>
    <x v="6"/>
    <s v="Male"/>
    <n v="54"/>
    <s v="Bangalore"/>
    <x v="4"/>
    <n v="86899"/>
    <d v="2022-04-30T00:00:00"/>
    <n v="4"/>
    <n v="5"/>
    <n v="8690"/>
    <n v="4345"/>
    <n v="91244"/>
    <n v="0"/>
    <n v="95589"/>
  </r>
  <r>
    <n v="4208"/>
    <x v="5"/>
    <s v="Male"/>
    <n v="27"/>
    <s v="Mumbai"/>
    <x v="2"/>
    <n v="54881"/>
    <d v="2023-11-14T00:00:00"/>
    <n v="7"/>
    <n v="4"/>
    <n v="5488"/>
    <n v="2744"/>
    <n v="57625"/>
    <n v="2744"/>
    <n v="63113"/>
  </r>
  <r>
    <n v="4209"/>
    <x v="5"/>
    <s v="Male"/>
    <n v="27"/>
    <s v="Hyderabad"/>
    <x v="0"/>
    <n v="70627"/>
    <d v="2024-06-22T00:00:00"/>
    <n v="7"/>
    <n v="1"/>
    <n v="7063"/>
    <n v="3531"/>
    <n v="74159"/>
    <n v="3531"/>
    <n v="81221"/>
  </r>
  <r>
    <n v="4210"/>
    <x v="3"/>
    <s v="Male"/>
    <n v="21"/>
    <s v="Chennai"/>
    <x v="1"/>
    <n v="94854"/>
    <d v="2024-03-22T00:00:00"/>
    <n v="13"/>
    <n v="1"/>
    <n v="9485"/>
    <n v="4743"/>
    <n v="99596"/>
    <n v="4743"/>
    <n v="109082"/>
  </r>
  <r>
    <n v="4211"/>
    <x v="3"/>
    <s v="Female"/>
    <n v="53"/>
    <s v="Delhi"/>
    <x v="3"/>
    <n v="78386"/>
    <d v="2022-07-14T00:00:00"/>
    <n v="5"/>
    <n v="1"/>
    <n v="7839"/>
    <n v="3919"/>
    <n v="82306"/>
    <n v="0"/>
    <n v="86225"/>
  </r>
  <r>
    <n v="4212"/>
    <x v="4"/>
    <s v="Female"/>
    <n v="34"/>
    <s v="Bangalore"/>
    <x v="1"/>
    <n v="36025"/>
    <d v="2023-08-07T00:00:00"/>
    <n v="14"/>
    <n v="2"/>
    <n v="3602"/>
    <n v="1801"/>
    <n v="37826"/>
    <n v="1801"/>
    <n v="41428"/>
  </r>
  <r>
    <n v="4213"/>
    <x v="4"/>
    <s v="Male"/>
    <n v="29"/>
    <s v="Chennai"/>
    <x v="3"/>
    <n v="93507"/>
    <d v="2024-08-17T00:00:00"/>
    <n v="17"/>
    <n v="5"/>
    <n v="9351"/>
    <n v="4675"/>
    <n v="98183"/>
    <n v="4675"/>
    <n v="107533"/>
  </r>
  <r>
    <n v="4214"/>
    <x v="1"/>
    <s v="Male"/>
    <n v="59"/>
    <s v="Hyderabad"/>
    <x v="0"/>
    <n v="97100"/>
    <d v="2023-03-19T00:00:00"/>
    <n v="18"/>
    <n v="3"/>
    <n v="9710"/>
    <n v="4855"/>
    <n v="101955"/>
    <n v="4855"/>
    <n v="111665"/>
  </r>
  <r>
    <n v="4215"/>
    <x v="1"/>
    <s v="Female"/>
    <n v="57"/>
    <s v="Chennai"/>
    <x v="3"/>
    <n v="39638"/>
    <d v="2023-12-08T00:00:00"/>
    <n v="12"/>
    <n v="4"/>
    <n v="3964"/>
    <n v="1982"/>
    <n v="41620"/>
    <n v="1982"/>
    <n v="45584"/>
  </r>
  <r>
    <n v="4216"/>
    <x v="5"/>
    <s v="Male"/>
    <n v="48"/>
    <s v="Chennai"/>
    <x v="1"/>
    <n v="47583"/>
    <d v="2023-05-24T00:00:00"/>
    <n v="9"/>
    <n v="2"/>
    <n v="4758"/>
    <n v="2379"/>
    <n v="49962"/>
    <n v="2379"/>
    <n v="54720"/>
  </r>
  <r>
    <n v="4217"/>
    <x v="3"/>
    <s v="Female"/>
    <n v="52"/>
    <s v="Delhi"/>
    <x v="1"/>
    <n v="78614"/>
    <d v="2022-05-06T00:00:00"/>
    <n v="17"/>
    <n v="3"/>
    <n v="7861"/>
    <n v="3931"/>
    <n v="82544"/>
    <n v="3931"/>
    <n v="90406"/>
  </r>
  <r>
    <n v="4218"/>
    <x v="0"/>
    <s v="Female"/>
    <n v="44"/>
    <s v="Hyderabad"/>
    <x v="4"/>
    <n v="78460"/>
    <d v="2024-02-02T00:00:00"/>
    <n v="6"/>
    <n v="3"/>
    <n v="7846"/>
    <n v="3923"/>
    <n v="82383"/>
    <n v="3923"/>
    <n v="90229"/>
  </r>
  <r>
    <n v="4219"/>
    <x v="1"/>
    <s v="Male"/>
    <n v="42"/>
    <s v="Delhi"/>
    <x v="0"/>
    <n v="55474"/>
    <d v="2022-11-22T00:00:00"/>
    <n v="19"/>
    <n v="2"/>
    <n v="5547"/>
    <n v="2774"/>
    <n v="58247"/>
    <n v="2774"/>
    <n v="63795"/>
  </r>
  <r>
    <n v="4220"/>
    <x v="6"/>
    <s v="Male"/>
    <n v="42"/>
    <s v="Delhi"/>
    <x v="4"/>
    <n v="80683"/>
    <d v="2024-04-16T00:00:00"/>
    <n v="7"/>
    <n v="3"/>
    <n v="8068"/>
    <n v="4034"/>
    <n v="84717"/>
    <n v="4034"/>
    <n v="92785"/>
  </r>
  <r>
    <n v="4221"/>
    <x v="7"/>
    <s v="Female"/>
    <n v="27"/>
    <s v="Delhi"/>
    <x v="4"/>
    <n v="84293"/>
    <d v="2023-04-26T00:00:00"/>
    <n v="8"/>
    <n v="4"/>
    <n v="8429"/>
    <n v="4215"/>
    <n v="88507"/>
    <n v="4215"/>
    <n v="96937"/>
  </r>
  <r>
    <n v="4222"/>
    <x v="9"/>
    <s v="Male"/>
    <n v="36"/>
    <s v="Bangalore"/>
    <x v="1"/>
    <n v="79431"/>
    <d v="2022-09-30T00:00:00"/>
    <n v="11"/>
    <n v="1"/>
    <n v="7943"/>
    <n v="3972"/>
    <n v="83402"/>
    <n v="3972"/>
    <n v="91346"/>
  </r>
  <r>
    <n v="4223"/>
    <x v="9"/>
    <s v="Female"/>
    <n v="56"/>
    <s v="Bangalore"/>
    <x v="4"/>
    <n v="44578"/>
    <d v="2022-02-27T00:00:00"/>
    <n v="3"/>
    <n v="4"/>
    <n v="4458"/>
    <n v="2229"/>
    <n v="46807"/>
    <n v="0"/>
    <n v="49036"/>
  </r>
  <r>
    <n v="4224"/>
    <x v="9"/>
    <s v="Female"/>
    <n v="58"/>
    <s v="Hyderabad"/>
    <x v="2"/>
    <n v="83929"/>
    <d v="2022-07-12T00:00:00"/>
    <n v="13"/>
    <n v="3"/>
    <n v="8393"/>
    <n v="4196"/>
    <n v="88126"/>
    <n v="4196"/>
    <n v="96518"/>
  </r>
  <r>
    <n v="4225"/>
    <x v="9"/>
    <s v="Female"/>
    <n v="42"/>
    <s v="Delhi"/>
    <x v="4"/>
    <n v="40748"/>
    <d v="2023-11-26T00:00:00"/>
    <n v="2"/>
    <n v="1"/>
    <n v="4075"/>
    <n v="2037"/>
    <n v="42786"/>
    <n v="0"/>
    <n v="44823"/>
  </r>
  <r>
    <n v="4226"/>
    <x v="5"/>
    <s v="Male"/>
    <n v="32"/>
    <s v="Delhi"/>
    <x v="2"/>
    <n v="40906"/>
    <d v="2022-02-07T00:00:00"/>
    <n v="2"/>
    <n v="1"/>
    <n v="4091"/>
    <n v="2045"/>
    <n v="42952"/>
    <n v="0"/>
    <n v="44997"/>
  </r>
  <r>
    <n v="4227"/>
    <x v="7"/>
    <s v="Male"/>
    <n v="41"/>
    <s v="Bangalore"/>
    <x v="2"/>
    <n v="37009"/>
    <d v="2024-02-20T00:00:00"/>
    <n v="12"/>
    <n v="2"/>
    <n v="3701"/>
    <n v="1850"/>
    <n v="38860"/>
    <n v="1850"/>
    <n v="42560"/>
  </r>
  <r>
    <n v="4228"/>
    <x v="3"/>
    <s v="Male"/>
    <n v="57"/>
    <s v="Bangalore"/>
    <x v="1"/>
    <n v="89893"/>
    <d v="2022-08-21T00:00:00"/>
    <n v="11"/>
    <n v="3"/>
    <n v="8989"/>
    <n v="4495"/>
    <n v="94387"/>
    <n v="4495"/>
    <n v="103377"/>
  </r>
  <r>
    <n v="4229"/>
    <x v="5"/>
    <s v="Male"/>
    <n v="31"/>
    <s v="Mumbai"/>
    <x v="1"/>
    <n v="77060"/>
    <d v="2023-12-17T00:00:00"/>
    <n v="11"/>
    <n v="1"/>
    <n v="7706"/>
    <n v="3853"/>
    <n v="80913"/>
    <n v="3853"/>
    <n v="88619"/>
  </r>
  <r>
    <n v="4230"/>
    <x v="1"/>
    <s v="Female"/>
    <n v="26"/>
    <s v="Mumbai"/>
    <x v="4"/>
    <n v="51343"/>
    <d v="2024-08-26T00:00:00"/>
    <n v="4"/>
    <n v="3"/>
    <n v="5134"/>
    <n v="2567"/>
    <n v="53910"/>
    <n v="0"/>
    <n v="56477"/>
  </r>
  <r>
    <n v="4231"/>
    <x v="6"/>
    <s v="Male"/>
    <n v="43"/>
    <s v="Chennai"/>
    <x v="2"/>
    <n v="78595"/>
    <d v="2022-09-12T00:00:00"/>
    <n v="12"/>
    <n v="1"/>
    <n v="7860"/>
    <n v="3930"/>
    <n v="82525"/>
    <n v="3930"/>
    <n v="90385"/>
  </r>
  <r>
    <n v="4232"/>
    <x v="9"/>
    <s v="Male"/>
    <n v="28"/>
    <s v="Hyderabad"/>
    <x v="0"/>
    <n v="34587"/>
    <d v="2022-11-05T00:00:00"/>
    <n v="18"/>
    <n v="1"/>
    <n v="3459"/>
    <n v="1729"/>
    <n v="36317"/>
    <n v="1729"/>
    <n v="39775"/>
  </r>
  <r>
    <n v="4233"/>
    <x v="6"/>
    <s v="Male"/>
    <n v="53"/>
    <s v="Hyderabad"/>
    <x v="4"/>
    <n v="68196"/>
    <d v="2022-02-02T00:00:00"/>
    <n v="3"/>
    <n v="5"/>
    <n v="6820"/>
    <n v="3410"/>
    <n v="71606"/>
    <n v="0"/>
    <n v="75016"/>
  </r>
  <r>
    <n v="4234"/>
    <x v="0"/>
    <s v="Female"/>
    <n v="39"/>
    <s v="Mumbai"/>
    <x v="0"/>
    <n v="96624"/>
    <d v="2022-01-27T00:00:00"/>
    <n v="18"/>
    <n v="5"/>
    <n v="9662"/>
    <n v="4831"/>
    <n v="101455"/>
    <n v="4831"/>
    <n v="111117"/>
  </r>
  <r>
    <n v="4235"/>
    <x v="5"/>
    <s v="Male"/>
    <n v="33"/>
    <s v="Hyderabad"/>
    <x v="4"/>
    <n v="77413"/>
    <d v="2023-03-26T00:00:00"/>
    <n v="14"/>
    <n v="5"/>
    <n v="7741"/>
    <n v="3871"/>
    <n v="81283"/>
    <n v="3871"/>
    <n v="89025"/>
  </r>
  <r>
    <n v="4236"/>
    <x v="9"/>
    <s v="Female"/>
    <n v="31"/>
    <s v="Mumbai"/>
    <x v="2"/>
    <n v="31781"/>
    <d v="2024-04-18T00:00:00"/>
    <n v="4"/>
    <n v="3"/>
    <n v="3178"/>
    <n v="1589"/>
    <n v="33370"/>
    <n v="0"/>
    <n v="34959"/>
  </r>
  <r>
    <n v="4237"/>
    <x v="1"/>
    <s v="Female"/>
    <n v="37"/>
    <s v="Mumbai"/>
    <x v="3"/>
    <n v="48841"/>
    <d v="2022-01-20T00:00:00"/>
    <n v="16"/>
    <n v="5"/>
    <n v="4884"/>
    <n v="2442"/>
    <n v="51283"/>
    <n v="2442"/>
    <n v="56167"/>
  </r>
  <r>
    <n v="4238"/>
    <x v="0"/>
    <s v="Female"/>
    <n v="36"/>
    <s v="Bangalore"/>
    <x v="2"/>
    <n v="39990"/>
    <d v="2023-08-19T00:00:00"/>
    <n v="17"/>
    <n v="5"/>
    <n v="3999"/>
    <n v="2000"/>
    <n v="41989"/>
    <n v="2000"/>
    <n v="45989"/>
  </r>
  <r>
    <n v="4239"/>
    <x v="0"/>
    <s v="Male"/>
    <n v="55"/>
    <s v="Delhi"/>
    <x v="2"/>
    <n v="33048"/>
    <d v="2024-05-07T00:00:00"/>
    <n v="15"/>
    <n v="4"/>
    <n v="3305"/>
    <n v="1652"/>
    <n v="34701"/>
    <n v="1652"/>
    <n v="38005"/>
  </r>
  <r>
    <n v="4240"/>
    <x v="9"/>
    <s v="Male"/>
    <n v="32"/>
    <s v="Delhi"/>
    <x v="1"/>
    <n v="26572"/>
    <d v="2024-01-07T00:00:00"/>
    <n v="6"/>
    <n v="2"/>
    <n v="2657"/>
    <n v="1329"/>
    <n v="27900"/>
    <n v="1329"/>
    <n v="30558"/>
  </r>
  <r>
    <n v="4241"/>
    <x v="5"/>
    <s v="Female"/>
    <n v="39"/>
    <s v="Chennai"/>
    <x v="4"/>
    <n v="93597"/>
    <d v="2022-07-03T00:00:00"/>
    <n v="12"/>
    <n v="5"/>
    <n v="9360"/>
    <n v="4680"/>
    <n v="98277"/>
    <n v="4680"/>
    <n v="107637"/>
  </r>
  <r>
    <n v="4242"/>
    <x v="8"/>
    <s v="Male"/>
    <n v="34"/>
    <s v="Bangalore"/>
    <x v="2"/>
    <n v="60899"/>
    <d v="2022-03-04T00:00:00"/>
    <n v="17"/>
    <n v="2"/>
    <n v="6090"/>
    <n v="3045"/>
    <n v="63944"/>
    <n v="3045"/>
    <n v="70034"/>
  </r>
  <r>
    <n v="4243"/>
    <x v="4"/>
    <s v="Female"/>
    <n v="56"/>
    <s v="Chennai"/>
    <x v="0"/>
    <n v="50975"/>
    <d v="2023-06-18T00:00:00"/>
    <n v="9"/>
    <n v="5"/>
    <n v="5098"/>
    <n v="2549"/>
    <n v="53524"/>
    <n v="2549"/>
    <n v="58622"/>
  </r>
  <r>
    <n v="4244"/>
    <x v="6"/>
    <s v="Male"/>
    <n v="51"/>
    <s v="Delhi"/>
    <x v="2"/>
    <n v="78142"/>
    <d v="2023-02-11T00:00:00"/>
    <n v="20"/>
    <n v="3"/>
    <n v="7814"/>
    <n v="3907"/>
    <n v="82049"/>
    <n v="3907"/>
    <n v="89863"/>
  </r>
  <r>
    <n v="4245"/>
    <x v="3"/>
    <s v="Male"/>
    <n v="32"/>
    <s v="Chennai"/>
    <x v="1"/>
    <n v="38631"/>
    <d v="2022-10-18T00:00:00"/>
    <n v="8"/>
    <n v="1"/>
    <n v="3863"/>
    <n v="1932"/>
    <n v="40562"/>
    <n v="1932"/>
    <n v="44426"/>
  </r>
  <r>
    <n v="4246"/>
    <x v="5"/>
    <s v="Female"/>
    <n v="28"/>
    <s v="Bangalore"/>
    <x v="4"/>
    <n v="31492"/>
    <d v="2023-03-04T00:00:00"/>
    <n v="15"/>
    <n v="1"/>
    <n v="3149"/>
    <n v="1575"/>
    <n v="33066"/>
    <n v="1575"/>
    <n v="36216"/>
  </r>
  <r>
    <n v="4247"/>
    <x v="2"/>
    <s v="Female"/>
    <n v="57"/>
    <s v="Mumbai"/>
    <x v="4"/>
    <n v="48152"/>
    <d v="2024-04-03T00:00:00"/>
    <n v="6"/>
    <n v="2"/>
    <n v="4815"/>
    <n v="2408"/>
    <n v="50559"/>
    <n v="2408"/>
    <n v="55375"/>
  </r>
  <r>
    <n v="4248"/>
    <x v="0"/>
    <s v="Male"/>
    <n v="58"/>
    <s v="Delhi"/>
    <x v="3"/>
    <n v="60793"/>
    <d v="2022-02-02T00:00:00"/>
    <n v="14"/>
    <n v="4"/>
    <n v="6079"/>
    <n v="3040"/>
    <n v="63832"/>
    <n v="3040"/>
    <n v="69912"/>
  </r>
  <r>
    <n v="4249"/>
    <x v="5"/>
    <s v="Female"/>
    <n v="55"/>
    <s v="Hyderabad"/>
    <x v="4"/>
    <n v="68814"/>
    <d v="2023-01-15T00:00:00"/>
    <n v="9"/>
    <n v="1"/>
    <n v="6881"/>
    <n v="3441"/>
    <n v="72254"/>
    <n v="3441"/>
    <n v="79136"/>
  </r>
  <r>
    <n v="4250"/>
    <x v="1"/>
    <s v="Female"/>
    <n v="57"/>
    <s v="Hyderabad"/>
    <x v="2"/>
    <n v="29736"/>
    <d v="2024-06-20T00:00:00"/>
    <n v="11"/>
    <n v="3"/>
    <n v="2974"/>
    <n v="1487"/>
    <n v="31223"/>
    <n v="1487"/>
    <n v="34197"/>
  </r>
  <r>
    <n v="4251"/>
    <x v="5"/>
    <s v="Male"/>
    <n v="57"/>
    <s v="Chennai"/>
    <x v="4"/>
    <n v="23307"/>
    <d v="2022-06-14T00:00:00"/>
    <n v="14"/>
    <n v="5"/>
    <n v="2331"/>
    <n v="1165"/>
    <n v="24473"/>
    <n v="1165"/>
    <n v="26803"/>
  </r>
  <r>
    <n v="4252"/>
    <x v="3"/>
    <s v="Female"/>
    <n v="37"/>
    <s v="Chennai"/>
    <x v="1"/>
    <n v="81419"/>
    <d v="2024-08-03T00:00:00"/>
    <n v="8"/>
    <n v="2"/>
    <n v="8142"/>
    <n v="4071"/>
    <n v="85490"/>
    <n v="4071"/>
    <n v="93632"/>
  </r>
  <r>
    <n v="4253"/>
    <x v="4"/>
    <s v="Female"/>
    <n v="58"/>
    <s v="Mumbai"/>
    <x v="0"/>
    <n v="98112"/>
    <d v="2024-06-24T00:00:00"/>
    <n v="9"/>
    <n v="5"/>
    <n v="9811"/>
    <n v="4906"/>
    <n v="103017"/>
    <n v="4906"/>
    <n v="112829"/>
  </r>
  <r>
    <n v="4254"/>
    <x v="6"/>
    <s v="Female"/>
    <n v="33"/>
    <s v="Chennai"/>
    <x v="0"/>
    <n v="62230"/>
    <d v="2023-06-14T00:00:00"/>
    <n v="7"/>
    <n v="2"/>
    <n v="6223"/>
    <n v="3112"/>
    <n v="65341"/>
    <n v="3112"/>
    <n v="71565"/>
  </r>
  <r>
    <n v="4255"/>
    <x v="4"/>
    <s v="Female"/>
    <n v="36"/>
    <s v="Hyderabad"/>
    <x v="3"/>
    <n v="54083"/>
    <d v="2024-06-21T00:00:00"/>
    <n v="2"/>
    <n v="1"/>
    <n v="5408"/>
    <n v="2704"/>
    <n v="56787"/>
    <n v="0"/>
    <n v="59491"/>
  </r>
  <r>
    <n v="4256"/>
    <x v="1"/>
    <s v="Male"/>
    <n v="46"/>
    <s v="Chennai"/>
    <x v="3"/>
    <n v="65404"/>
    <d v="2024-07-20T00:00:00"/>
    <n v="11"/>
    <n v="3"/>
    <n v="6540"/>
    <n v="3270"/>
    <n v="68674"/>
    <n v="3270"/>
    <n v="75214"/>
  </r>
  <r>
    <n v="4257"/>
    <x v="8"/>
    <s v="Male"/>
    <n v="50"/>
    <s v="Mumbai"/>
    <x v="1"/>
    <n v="69400"/>
    <d v="2023-04-12T00:00:00"/>
    <n v="20"/>
    <n v="3"/>
    <n v="6940"/>
    <n v="3470"/>
    <n v="72870"/>
    <n v="3470"/>
    <n v="79810"/>
  </r>
  <r>
    <n v="4258"/>
    <x v="0"/>
    <s v="Female"/>
    <n v="33"/>
    <s v="Chennai"/>
    <x v="1"/>
    <n v="70038"/>
    <d v="2022-03-13T00:00:00"/>
    <n v="16"/>
    <n v="1"/>
    <n v="7004"/>
    <n v="3502"/>
    <n v="73540"/>
    <n v="3502"/>
    <n v="80544"/>
  </r>
  <r>
    <n v="4259"/>
    <x v="1"/>
    <s v="Female"/>
    <n v="24"/>
    <s v="Delhi"/>
    <x v="0"/>
    <n v="69115"/>
    <d v="2024-08-01T00:00:00"/>
    <n v="20"/>
    <n v="1"/>
    <n v="6912"/>
    <n v="3456"/>
    <n v="72571"/>
    <n v="3456"/>
    <n v="79483"/>
  </r>
  <r>
    <n v="4260"/>
    <x v="6"/>
    <s v="Female"/>
    <n v="36"/>
    <s v="Bangalore"/>
    <x v="2"/>
    <n v="75400"/>
    <d v="2022-03-22T00:00:00"/>
    <n v="7"/>
    <n v="4"/>
    <n v="7540"/>
    <n v="3770"/>
    <n v="79170"/>
    <n v="3770"/>
    <n v="86710"/>
  </r>
  <r>
    <n v="4261"/>
    <x v="0"/>
    <s v="Female"/>
    <n v="56"/>
    <s v="Chennai"/>
    <x v="4"/>
    <n v="22716"/>
    <d v="2022-04-13T00:00:00"/>
    <n v="19"/>
    <n v="1"/>
    <n v="2272"/>
    <n v="1136"/>
    <n v="23852"/>
    <n v="1136"/>
    <n v="26124"/>
  </r>
  <r>
    <n v="4262"/>
    <x v="7"/>
    <s v="Female"/>
    <n v="49"/>
    <s v="Hyderabad"/>
    <x v="0"/>
    <n v="30122"/>
    <d v="2023-06-02T00:00:00"/>
    <n v="9"/>
    <n v="5"/>
    <n v="3012"/>
    <n v="1506"/>
    <n v="31628"/>
    <n v="1506"/>
    <n v="34640"/>
  </r>
  <r>
    <n v="4263"/>
    <x v="7"/>
    <s v="Male"/>
    <n v="33"/>
    <s v="Mumbai"/>
    <x v="0"/>
    <n v="69454"/>
    <d v="2022-08-28T00:00:00"/>
    <n v="2"/>
    <n v="4"/>
    <n v="6945"/>
    <n v="3473"/>
    <n v="72926"/>
    <n v="0"/>
    <n v="76399"/>
  </r>
  <r>
    <n v="4264"/>
    <x v="8"/>
    <s v="Male"/>
    <n v="49"/>
    <s v="Mumbai"/>
    <x v="4"/>
    <n v="50839"/>
    <d v="2022-07-03T00:00:00"/>
    <n v="10"/>
    <n v="5"/>
    <n v="5084"/>
    <n v="2542"/>
    <n v="53381"/>
    <n v="2542"/>
    <n v="58465"/>
  </r>
  <r>
    <n v="4265"/>
    <x v="2"/>
    <s v="Male"/>
    <n v="23"/>
    <s v="Delhi"/>
    <x v="4"/>
    <n v="41876"/>
    <d v="2023-05-01T00:00:00"/>
    <n v="7"/>
    <n v="2"/>
    <n v="4188"/>
    <n v="2094"/>
    <n v="43970"/>
    <n v="2094"/>
    <n v="48158"/>
  </r>
  <r>
    <n v="4266"/>
    <x v="6"/>
    <s v="Female"/>
    <n v="43"/>
    <s v="Hyderabad"/>
    <x v="2"/>
    <n v="74454"/>
    <d v="2022-05-28T00:00:00"/>
    <n v="14"/>
    <n v="4"/>
    <n v="7445"/>
    <n v="3723"/>
    <n v="78176"/>
    <n v="3723"/>
    <n v="85622"/>
  </r>
  <r>
    <n v="4267"/>
    <x v="4"/>
    <s v="Female"/>
    <n v="42"/>
    <s v="Bangalore"/>
    <x v="2"/>
    <n v="93448"/>
    <d v="2022-06-25T00:00:00"/>
    <n v="16"/>
    <n v="5"/>
    <n v="9345"/>
    <n v="4672"/>
    <n v="98121"/>
    <n v="4672"/>
    <n v="107465"/>
  </r>
  <r>
    <n v="4268"/>
    <x v="0"/>
    <s v="Male"/>
    <n v="34"/>
    <s v="Bangalore"/>
    <x v="3"/>
    <n v="20639"/>
    <d v="2022-02-16T00:00:00"/>
    <n v="11"/>
    <n v="3"/>
    <n v="2064"/>
    <n v="1032"/>
    <n v="21671"/>
    <n v="1032"/>
    <n v="23735"/>
  </r>
  <r>
    <n v="4269"/>
    <x v="4"/>
    <s v="Male"/>
    <n v="30"/>
    <s v="Hyderabad"/>
    <x v="1"/>
    <n v="28586"/>
    <d v="2023-11-10T00:00:00"/>
    <n v="19"/>
    <n v="3"/>
    <n v="2859"/>
    <n v="1429"/>
    <n v="30016"/>
    <n v="1429"/>
    <n v="32874"/>
  </r>
  <r>
    <n v="4270"/>
    <x v="0"/>
    <s v="Female"/>
    <n v="56"/>
    <s v="Bangalore"/>
    <x v="2"/>
    <n v="98322"/>
    <d v="2023-10-04T00:00:00"/>
    <n v="8"/>
    <n v="4"/>
    <n v="9832"/>
    <n v="4916"/>
    <n v="103238"/>
    <n v="4916"/>
    <n v="113070"/>
  </r>
  <r>
    <n v="4271"/>
    <x v="1"/>
    <s v="Male"/>
    <n v="30"/>
    <s v="Chennai"/>
    <x v="1"/>
    <n v="39018"/>
    <d v="2024-03-13T00:00:00"/>
    <n v="9"/>
    <n v="1"/>
    <n v="3902"/>
    <n v="1951"/>
    <n v="40969"/>
    <n v="1951"/>
    <n v="44871"/>
  </r>
  <r>
    <n v="4272"/>
    <x v="4"/>
    <s v="Female"/>
    <n v="23"/>
    <s v="Chennai"/>
    <x v="0"/>
    <n v="86053"/>
    <d v="2023-03-14T00:00:00"/>
    <n v="16"/>
    <n v="3"/>
    <n v="8605"/>
    <n v="4303"/>
    <n v="90355"/>
    <n v="4303"/>
    <n v="98961"/>
  </r>
  <r>
    <n v="4273"/>
    <x v="0"/>
    <s v="Female"/>
    <n v="25"/>
    <s v="Delhi"/>
    <x v="3"/>
    <n v="95686"/>
    <d v="2022-03-15T00:00:00"/>
    <n v="14"/>
    <n v="1"/>
    <n v="9569"/>
    <n v="4784"/>
    <n v="100471"/>
    <n v="4784"/>
    <n v="110039"/>
  </r>
  <r>
    <n v="4274"/>
    <x v="5"/>
    <s v="Female"/>
    <n v="59"/>
    <s v="Hyderabad"/>
    <x v="4"/>
    <n v="23760"/>
    <d v="2022-11-23T00:00:00"/>
    <n v="12"/>
    <n v="4"/>
    <n v="2376"/>
    <n v="1188"/>
    <n v="24948"/>
    <n v="1188"/>
    <n v="27324"/>
  </r>
  <r>
    <n v="4275"/>
    <x v="7"/>
    <s v="Male"/>
    <n v="52"/>
    <s v="Delhi"/>
    <x v="0"/>
    <n v="51456"/>
    <d v="2023-08-07T00:00:00"/>
    <n v="2"/>
    <n v="2"/>
    <n v="5146"/>
    <n v="2573"/>
    <n v="54029"/>
    <n v="0"/>
    <n v="56602"/>
  </r>
  <r>
    <n v="4276"/>
    <x v="9"/>
    <s v="Female"/>
    <n v="27"/>
    <s v="Chennai"/>
    <x v="0"/>
    <n v="92818"/>
    <d v="2023-12-08T00:00:00"/>
    <n v="6"/>
    <n v="4"/>
    <n v="9282"/>
    <n v="4641"/>
    <n v="97459"/>
    <n v="4641"/>
    <n v="106741"/>
  </r>
  <r>
    <n v="4277"/>
    <x v="2"/>
    <s v="Male"/>
    <n v="32"/>
    <s v="Delhi"/>
    <x v="3"/>
    <n v="33312"/>
    <d v="2022-04-15T00:00:00"/>
    <n v="9"/>
    <n v="5"/>
    <n v="3331"/>
    <n v="1666"/>
    <n v="34977"/>
    <n v="1666"/>
    <n v="38309"/>
  </r>
  <r>
    <n v="4278"/>
    <x v="8"/>
    <s v="Female"/>
    <n v="45"/>
    <s v="Chennai"/>
    <x v="2"/>
    <n v="37626"/>
    <d v="2024-04-12T00:00:00"/>
    <n v="8"/>
    <n v="5"/>
    <n v="3763"/>
    <n v="1881"/>
    <n v="39508"/>
    <n v="1881"/>
    <n v="43270"/>
  </r>
  <r>
    <n v="4279"/>
    <x v="5"/>
    <s v="Female"/>
    <n v="47"/>
    <s v="Mumbai"/>
    <x v="2"/>
    <n v="86185"/>
    <d v="2023-05-22T00:00:00"/>
    <n v="3"/>
    <n v="4"/>
    <n v="8618"/>
    <n v="4309"/>
    <n v="90494"/>
    <n v="0"/>
    <n v="94803"/>
  </r>
  <r>
    <n v="4280"/>
    <x v="8"/>
    <s v="Female"/>
    <n v="52"/>
    <s v="Chennai"/>
    <x v="0"/>
    <n v="41582"/>
    <d v="2022-12-06T00:00:00"/>
    <n v="13"/>
    <n v="4"/>
    <n v="4158"/>
    <n v="2079"/>
    <n v="43661"/>
    <n v="2079"/>
    <n v="47819"/>
  </r>
  <r>
    <n v="4281"/>
    <x v="3"/>
    <s v="Male"/>
    <n v="42"/>
    <s v="Mumbai"/>
    <x v="2"/>
    <n v="22722"/>
    <d v="2023-04-28T00:00:00"/>
    <n v="1"/>
    <n v="3"/>
    <n v="2272"/>
    <n v="1136"/>
    <n v="23858"/>
    <n v="0"/>
    <n v="24994"/>
  </r>
  <r>
    <n v="4282"/>
    <x v="8"/>
    <s v="Female"/>
    <n v="41"/>
    <s v="Delhi"/>
    <x v="3"/>
    <n v="85551"/>
    <d v="2022-07-26T00:00:00"/>
    <n v="3"/>
    <n v="3"/>
    <n v="8555"/>
    <n v="4278"/>
    <n v="89828"/>
    <n v="0"/>
    <n v="94106"/>
  </r>
  <r>
    <n v="4283"/>
    <x v="8"/>
    <s v="Female"/>
    <n v="55"/>
    <s v="Hyderabad"/>
    <x v="4"/>
    <n v="98731"/>
    <d v="2023-08-31T00:00:00"/>
    <n v="11"/>
    <n v="2"/>
    <n v="9873"/>
    <n v="4937"/>
    <n v="103667"/>
    <n v="4937"/>
    <n v="113541"/>
  </r>
  <r>
    <n v="4284"/>
    <x v="4"/>
    <s v="Female"/>
    <n v="29"/>
    <s v="Hyderabad"/>
    <x v="2"/>
    <n v="72044"/>
    <d v="2022-12-23T00:00:00"/>
    <n v="10"/>
    <n v="1"/>
    <n v="7204"/>
    <n v="3602"/>
    <n v="75646"/>
    <n v="3602"/>
    <n v="82850"/>
  </r>
  <r>
    <n v="4285"/>
    <x v="2"/>
    <s v="Male"/>
    <n v="28"/>
    <s v="Bangalore"/>
    <x v="3"/>
    <n v="43791"/>
    <d v="2024-05-28T00:00:00"/>
    <n v="14"/>
    <n v="5"/>
    <n v="4379"/>
    <n v="2190"/>
    <n v="45980"/>
    <n v="2190"/>
    <n v="50360"/>
  </r>
  <r>
    <n v="4286"/>
    <x v="9"/>
    <s v="Male"/>
    <n v="57"/>
    <s v="Hyderabad"/>
    <x v="4"/>
    <n v="59696"/>
    <d v="2022-07-07T00:00:00"/>
    <n v="5"/>
    <n v="4"/>
    <n v="5970"/>
    <n v="2985"/>
    <n v="62681"/>
    <n v="0"/>
    <n v="65666"/>
  </r>
  <r>
    <n v="4287"/>
    <x v="9"/>
    <s v="Male"/>
    <n v="28"/>
    <s v="Delhi"/>
    <x v="2"/>
    <n v="89322"/>
    <d v="2022-01-27T00:00:00"/>
    <n v="12"/>
    <n v="3"/>
    <n v="8932"/>
    <n v="4466"/>
    <n v="93788"/>
    <n v="4466"/>
    <n v="102720"/>
  </r>
  <r>
    <n v="4288"/>
    <x v="5"/>
    <s v="Male"/>
    <n v="47"/>
    <s v="Delhi"/>
    <x v="2"/>
    <n v="87746"/>
    <d v="2022-12-23T00:00:00"/>
    <n v="17"/>
    <n v="5"/>
    <n v="8775"/>
    <n v="4387"/>
    <n v="92134"/>
    <n v="4387"/>
    <n v="100908"/>
  </r>
  <r>
    <n v="4289"/>
    <x v="6"/>
    <s v="Male"/>
    <n v="59"/>
    <s v="Hyderabad"/>
    <x v="3"/>
    <n v="96223"/>
    <d v="2023-08-19T00:00:00"/>
    <n v="7"/>
    <n v="5"/>
    <n v="9622"/>
    <n v="4811"/>
    <n v="101034"/>
    <n v="4811"/>
    <n v="110656"/>
  </r>
  <r>
    <n v="4290"/>
    <x v="8"/>
    <s v="Male"/>
    <n v="50"/>
    <s v="Delhi"/>
    <x v="4"/>
    <n v="24497"/>
    <d v="2022-01-21T00:00:00"/>
    <n v="10"/>
    <n v="5"/>
    <n v="2450"/>
    <n v="1225"/>
    <n v="25722"/>
    <n v="1225"/>
    <n v="28172"/>
  </r>
  <r>
    <n v="4291"/>
    <x v="8"/>
    <s v="Female"/>
    <n v="52"/>
    <s v="Hyderabad"/>
    <x v="1"/>
    <n v="42477"/>
    <d v="2022-05-13T00:00:00"/>
    <n v="12"/>
    <n v="4"/>
    <n v="4248"/>
    <n v="2124"/>
    <n v="44601"/>
    <n v="2124"/>
    <n v="48849"/>
  </r>
  <r>
    <n v="4292"/>
    <x v="9"/>
    <s v="Female"/>
    <n v="35"/>
    <s v="Chennai"/>
    <x v="4"/>
    <n v="94699"/>
    <d v="2022-07-12T00:00:00"/>
    <n v="5"/>
    <n v="3"/>
    <n v="9470"/>
    <n v="4735"/>
    <n v="99434"/>
    <n v="0"/>
    <n v="104169"/>
  </r>
  <r>
    <n v="4293"/>
    <x v="6"/>
    <s v="Female"/>
    <n v="37"/>
    <s v="Mumbai"/>
    <x v="3"/>
    <n v="94570"/>
    <d v="2024-06-20T00:00:00"/>
    <n v="5"/>
    <n v="4"/>
    <n v="9457"/>
    <n v="4728"/>
    <n v="99299"/>
    <n v="0"/>
    <n v="104027"/>
  </r>
  <r>
    <n v="4294"/>
    <x v="5"/>
    <s v="Female"/>
    <n v="37"/>
    <s v="Delhi"/>
    <x v="1"/>
    <n v="73969"/>
    <d v="2023-02-20T00:00:00"/>
    <n v="11"/>
    <n v="4"/>
    <n v="7397"/>
    <n v="3698"/>
    <n v="77668"/>
    <n v="3698"/>
    <n v="85064"/>
  </r>
  <r>
    <n v="4295"/>
    <x v="1"/>
    <s v="Female"/>
    <n v="22"/>
    <s v="Bangalore"/>
    <x v="2"/>
    <n v="21162"/>
    <d v="2023-01-28T00:00:00"/>
    <n v="4"/>
    <n v="5"/>
    <n v="2116"/>
    <n v="1058"/>
    <n v="22220"/>
    <n v="0"/>
    <n v="23278"/>
  </r>
  <r>
    <n v="4296"/>
    <x v="3"/>
    <s v="Female"/>
    <n v="45"/>
    <s v="Mumbai"/>
    <x v="0"/>
    <n v="88870"/>
    <d v="2023-09-14T00:00:00"/>
    <n v="8"/>
    <n v="5"/>
    <n v="8887"/>
    <n v="4444"/>
    <n v="93313"/>
    <n v="4444"/>
    <n v="102201"/>
  </r>
  <r>
    <n v="4297"/>
    <x v="5"/>
    <s v="Female"/>
    <n v="41"/>
    <s v="Delhi"/>
    <x v="0"/>
    <n v="68357"/>
    <d v="2022-04-15T00:00:00"/>
    <n v="16"/>
    <n v="4"/>
    <n v="6836"/>
    <n v="3418"/>
    <n v="71775"/>
    <n v="3418"/>
    <n v="78611"/>
  </r>
  <r>
    <n v="4298"/>
    <x v="4"/>
    <s v="Female"/>
    <n v="35"/>
    <s v="Delhi"/>
    <x v="2"/>
    <n v="72816"/>
    <d v="2023-02-19T00:00:00"/>
    <n v="8"/>
    <n v="2"/>
    <n v="7282"/>
    <n v="3641"/>
    <n v="76457"/>
    <n v="3641"/>
    <n v="83739"/>
  </r>
  <r>
    <n v="4299"/>
    <x v="4"/>
    <s v="Female"/>
    <n v="37"/>
    <s v="Hyderabad"/>
    <x v="1"/>
    <n v="63607"/>
    <d v="2024-03-08T00:00:00"/>
    <n v="4"/>
    <n v="4"/>
    <n v="6361"/>
    <n v="3180"/>
    <n v="66788"/>
    <n v="0"/>
    <n v="69968"/>
  </r>
  <r>
    <n v="4300"/>
    <x v="7"/>
    <s v="Female"/>
    <n v="32"/>
    <s v="Hyderabad"/>
    <x v="0"/>
    <n v="82429"/>
    <d v="2022-02-09T00:00:00"/>
    <n v="17"/>
    <n v="5"/>
    <n v="8243"/>
    <n v="4121"/>
    <n v="86551"/>
    <n v="4121"/>
    <n v="94793"/>
  </r>
  <r>
    <n v="4301"/>
    <x v="5"/>
    <s v="Female"/>
    <n v="43"/>
    <s v="Chennai"/>
    <x v="3"/>
    <n v="25976"/>
    <d v="2024-04-24T00:00:00"/>
    <n v="16"/>
    <n v="4"/>
    <n v="2598"/>
    <n v="1299"/>
    <n v="27275"/>
    <n v="1299"/>
    <n v="29873"/>
  </r>
  <r>
    <n v="4302"/>
    <x v="9"/>
    <s v="Female"/>
    <n v="25"/>
    <s v="Delhi"/>
    <x v="0"/>
    <n v="94556"/>
    <d v="2023-09-14T00:00:00"/>
    <n v="20"/>
    <n v="3"/>
    <n v="9456"/>
    <n v="4728"/>
    <n v="99284"/>
    <n v="4728"/>
    <n v="108740"/>
  </r>
  <r>
    <n v="4303"/>
    <x v="0"/>
    <s v="Male"/>
    <n v="39"/>
    <s v="Bangalore"/>
    <x v="2"/>
    <n v="96403"/>
    <d v="2022-03-06T00:00:00"/>
    <n v="2"/>
    <n v="2"/>
    <n v="9640"/>
    <n v="4820"/>
    <n v="101223"/>
    <n v="0"/>
    <n v="106043"/>
  </r>
  <r>
    <n v="4304"/>
    <x v="1"/>
    <s v="Male"/>
    <n v="35"/>
    <s v="Delhi"/>
    <x v="0"/>
    <n v="46759"/>
    <d v="2023-02-03T00:00:00"/>
    <n v="8"/>
    <n v="5"/>
    <n v="4676"/>
    <n v="2338"/>
    <n v="49097"/>
    <n v="2338"/>
    <n v="53773"/>
  </r>
  <r>
    <n v="4305"/>
    <x v="1"/>
    <s v="Male"/>
    <n v="25"/>
    <s v="Bangalore"/>
    <x v="0"/>
    <n v="89449"/>
    <d v="2024-03-10T00:00:00"/>
    <n v="18"/>
    <n v="3"/>
    <n v="8945"/>
    <n v="4472"/>
    <n v="93922"/>
    <n v="4472"/>
    <n v="102866"/>
  </r>
  <r>
    <n v="4306"/>
    <x v="0"/>
    <s v="Female"/>
    <n v="38"/>
    <s v="Chennai"/>
    <x v="3"/>
    <n v="56168"/>
    <d v="2024-06-19T00:00:00"/>
    <n v="10"/>
    <n v="3"/>
    <n v="5617"/>
    <n v="2808"/>
    <n v="58977"/>
    <n v="2808"/>
    <n v="64593"/>
  </r>
  <r>
    <n v="4307"/>
    <x v="7"/>
    <s v="Male"/>
    <n v="39"/>
    <s v="Delhi"/>
    <x v="2"/>
    <n v="32877"/>
    <d v="2024-06-25T00:00:00"/>
    <n v="17"/>
    <n v="1"/>
    <n v="3288"/>
    <n v="1644"/>
    <n v="34521"/>
    <n v="1644"/>
    <n v="37809"/>
  </r>
  <r>
    <n v="4308"/>
    <x v="1"/>
    <s v="Female"/>
    <n v="34"/>
    <s v="Bangalore"/>
    <x v="3"/>
    <n v="37413"/>
    <d v="2023-03-05T00:00:00"/>
    <n v="1"/>
    <n v="5"/>
    <n v="3741"/>
    <n v="1871"/>
    <n v="39283"/>
    <n v="0"/>
    <n v="41154"/>
  </r>
  <r>
    <n v="4309"/>
    <x v="1"/>
    <s v="Female"/>
    <n v="30"/>
    <s v="Hyderabad"/>
    <x v="1"/>
    <n v="52547"/>
    <d v="2022-09-30T00:00:00"/>
    <n v="15"/>
    <n v="5"/>
    <n v="5255"/>
    <n v="2627"/>
    <n v="55175"/>
    <n v="2627"/>
    <n v="60429"/>
  </r>
  <r>
    <n v="4310"/>
    <x v="5"/>
    <s v="Female"/>
    <n v="30"/>
    <s v="Hyderabad"/>
    <x v="4"/>
    <n v="46341"/>
    <d v="2023-09-13T00:00:00"/>
    <n v="17"/>
    <n v="3"/>
    <n v="4634"/>
    <n v="2317"/>
    <n v="48658"/>
    <n v="2317"/>
    <n v="53292"/>
  </r>
  <r>
    <n v="4311"/>
    <x v="6"/>
    <s v="Male"/>
    <n v="48"/>
    <s v="Mumbai"/>
    <x v="4"/>
    <n v="65153"/>
    <d v="2024-05-30T00:00:00"/>
    <n v="14"/>
    <n v="3"/>
    <n v="6515"/>
    <n v="3258"/>
    <n v="68410"/>
    <n v="3258"/>
    <n v="74926"/>
  </r>
  <r>
    <n v="4312"/>
    <x v="7"/>
    <s v="Female"/>
    <n v="46"/>
    <s v="Hyderabad"/>
    <x v="3"/>
    <n v="67035"/>
    <d v="2023-04-28T00:00:00"/>
    <n v="19"/>
    <n v="2"/>
    <n v="6704"/>
    <n v="3352"/>
    <n v="70387"/>
    <n v="3352"/>
    <n v="77091"/>
  </r>
  <r>
    <n v="4313"/>
    <x v="1"/>
    <s v="Female"/>
    <n v="40"/>
    <s v="Delhi"/>
    <x v="2"/>
    <n v="36189"/>
    <d v="2022-01-17T00:00:00"/>
    <n v="19"/>
    <n v="2"/>
    <n v="3619"/>
    <n v="1809"/>
    <n v="37999"/>
    <n v="1809"/>
    <n v="41617"/>
  </r>
  <r>
    <n v="4314"/>
    <x v="0"/>
    <s v="Female"/>
    <n v="41"/>
    <s v="Delhi"/>
    <x v="2"/>
    <n v="80764"/>
    <d v="2024-04-08T00:00:00"/>
    <n v="4"/>
    <n v="4"/>
    <n v="8076"/>
    <n v="4038"/>
    <n v="84802"/>
    <n v="0"/>
    <n v="88840"/>
  </r>
  <r>
    <n v="4315"/>
    <x v="8"/>
    <s v="Male"/>
    <n v="53"/>
    <s v="Mumbai"/>
    <x v="3"/>
    <n v="48044"/>
    <d v="2023-05-16T00:00:00"/>
    <n v="7"/>
    <n v="1"/>
    <n v="4804"/>
    <n v="2402"/>
    <n v="50446"/>
    <n v="2402"/>
    <n v="55250"/>
  </r>
  <r>
    <n v="4316"/>
    <x v="1"/>
    <s v="Female"/>
    <n v="51"/>
    <s v="Hyderabad"/>
    <x v="4"/>
    <n v="32742"/>
    <d v="2022-03-29T00:00:00"/>
    <n v="14"/>
    <n v="4"/>
    <n v="3274"/>
    <n v="1637"/>
    <n v="34379"/>
    <n v="1637"/>
    <n v="37653"/>
  </r>
  <r>
    <n v="4317"/>
    <x v="4"/>
    <s v="Female"/>
    <n v="50"/>
    <s v="Bangalore"/>
    <x v="3"/>
    <n v="84522"/>
    <d v="2023-09-29T00:00:00"/>
    <n v="17"/>
    <n v="4"/>
    <n v="8452"/>
    <n v="4226"/>
    <n v="88748"/>
    <n v="4226"/>
    <n v="97200"/>
  </r>
  <r>
    <n v="4318"/>
    <x v="6"/>
    <s v="Female"/>
    <n v="24"/>
    <s v="Bangalore"/>
    <x v="4"/>
    <n v="65942"/>
    <d v="2024-06-30T00:00:00"/>
    <n v="19"/>
    <n v="4"/>
    <n v="6594"/>
    <n v="3297"/>
    <n v="69239"/>
    <n v="3297"/>
    <n v="75833"/>
  </r>
  <r>
    <n v="4319"/>
    <x v="9"/>
    <s v="Male"/>
    <n v="57"/>
    <s v="Bangalore"/>
    <x v="3"/>
    <n v="97575"/>
    <d v="2024-06-23T00:00:00"/>
    <n v="15"/>
    <n v="5"/>
    <n v="9758"/>
    <n v="4879"/>
    <n v="102454"/>
    <n v="4879"/>
    <n v="112212"/>
  </r>
  <r>
    <n v="4320"/>
    <x v="4"/>
    <s v="Male"/>
    <n v="43"/>
    <s v="Hyderabad"/>
    <x v="2"/>
    <n v="55342"/>
    <d v="2024-05-12T00:00:00"/>
    <n v="6"/>
    <n v="3"/>
    <n v="5534"/>
    <n v="2767"/>
    <n v="58109"/>
    <n v="2767"/>
    <n v="63643"/>
  </r>
  <r>
    <n v="4321"/>
    <x v="4"/>
    <s v="Male"/>
    <n v="22"/>
    <s v="Hyderabad"/>
    <x v="4"/>
    <n v="42235"/>
    <d v="2023-12-14T00:00:00"/>
    <n v="7"/>
    <n v="3"/>
    <n v="4224"/>
    <n v="2112"/>
    <n v="44347"/>
    <n v="2112"/>
    <n v="48571"/>
  </r>
  <r>
    <n v="4322"/>
    <x v="5"/>
    <s v="Female"/>
    <n v="30"/>
    <s v="Bangalore"/>
    <x v="1"/>
    <n v="73608"/>
    <d v="2023-01-06T00:00:00"/>
    <n v="17"/>
    <n v="3"/>
    <n v="7361"/>
    <n v="3680"/>
    <n v="77289"/>
    <n v="3680"/>
    <n v="84649"/>
  </r>
  <r>
    <n v="4323"/>
    <x v="2"/>
    <s v="Female"/>
    <n v="22"/>
    <s v="Chennai"/>
    <x v="0"/>
    <n v="46935"/>
    <d v="2022-06-27T00:00:00"/>
    <n v="13"/>
    <n v="4"/>
    <n v="4694"/>
    <n v="2347"/>
    <n v="49282"/>
    <n v="2347"/>
    <n v="53976"/>
  </r>
  <r>
    <n v="4324"/>
    <x v="5"/>
    <s v="Male"/>
    <n v="27"/>
    <s v="Delhi"/>
    <x v="4"/>
    <n v="32795"/>
    <d v="2023-04-09T00:00:00"/>
    <n v="6"/>
    <n v="3"/>
    <n v="3280"/>
    <n v="1640"/>
    <n v="34435"/>
    <n v="1640"/>
    <n v="37715"/>
  </r>
  <r>
    <n v="4325"/>
    <x v="3"/>
    <s v="Female"/>
    <n v="39"/>
    <s v="Bangalore"/>
    <x v="3"/>
    <n v="55187"/>
    <d v="2022-08-29T00:00:00"/>
    <n v="19"/>
    <n v="2"/>
    <n v="5519"/>
    <n v="2759"/>
    <n v="57947"/>
    <n v="2759"/>
    <n v="63465"/>
  </r>
  <r>
    <n v="4326"/>
    <x v="5"/>
    <s v="Female"/>
    <n v="45"/>
    <s v="Hyderabad"/>
    <x v="4"/>
    <n v="54517"/>
    <d v="2023-01-08T00:00:00"/>
    <n v="19"/>
    <n v="1"/>
    <n v="5452"/>
    <n v="2726"/>
    <n v="57243"/>
    <n v="2726"/>
    <n v="62695"/>
  </r>
  <r>
    <n v="4327"/>
    <x v="6"/>
    <s v="Male"/>
    <n v="36"/>
    <s v="Mumbai"/>
    <x v="2"/>
    <n v="84621"/>
    <d v="2023-07-14T00:00:00"/>
    <n v="10"/>
    <n v="5"/>
    <n v="8462"/>
    <n v="4231"/>
    <n v="88852"/>
    <n v="4231"/>
    <n v="97314"/>
  </r>
  <r>
    <n v="4328"/>
    <x v="4"/>
    <s v="Female"/>
    <n v="43"/>
    <s v="Chennai"/>
    <x v="0"/>
    <n v="84529"/>
    <d v="2024-06-29T00:00:00"/>
    <n v="4"/>
    <n v="5"/>
    <n v="8453"/>
    <n v="4226"/>
    <n v="88756"/>
    <n v="0"/>
    <n v="92982"/>
  </r>
  <r>
    <n v="4329"/>
    <x v="2"/>
    <s v="Male"/>
    <n v="33"/>
    <s v="Bangalore"/>
    <x v="3"/>
    <n v="57147"/>
    <d v="2023-09-05T00:00:00"/>
    <n v="7"/>
    <n v="4"/>
    <n v="5715"/>
    <n v="2857"/>
    <n v="60005"/>
    <n v="2857"/>
    <n v="65719"/>
  </r>
  <r>
    <n v="4330"/>
    <x v="2"/>
    <s v="Female"/>
    <n v="22"/>
    <s v="Mumbai"/>
    <x v="2"/>
    <n v="76992"/>
    <d v="2022-05-27T00:00:00"/>
    <n v="9"/>
    <n v="2"/>
    <n v="7699"/>
    <n v="3850"/>
    <n v="80841"/>
    <n v="3850"/>
    <n v="88541"/>
  </r>
  <r>
    <n v="4331"/>
    <x v="1"/>
    <s v="Female"/>
    <n v="34"/>
    <s v="Mumbai"/>
    <x v="2"/>
    <n v="21486"/>
    <d v="2022-07-03T00:00:00"/>
    <n v="15"/>
    <n v="2"/>
    <n v="2149"/>
    <n v="1074"/>
    <n v="22561"/>
    <n v="1074"/>
    <n v="24709"/>
  </r>
  <r>
    <n v="4332"/>
    <x v="1"/>
    <s v="Female"/>
    <n v="52"/>
    <s v="Delhi"/>
    <x v="3"/>
    <n v="99129"/>
    <d v="2023-12-16T00:00:00"/>
    <n v="19"/>
    <n v="1"/>
    <n v="9913"/>
    <n v="4956"/>
    <n v="104086"/>
    <n v="4956"/>
    <n v="113998"/>
  </r>
  <r>
    <n v="4333"/>
    <x v="2"/>
    <s v="Male"/>
    <n v="40"/>
    <s v="Mumbai"/>
    <x v="1"/>
    <n v="80011"/>
    <d v="2024-08-14T00:00:00"/>
    <n v="14"/>
    <n v="2"/>
    <n v="8001"/>
    <n v="4001"/>
    <n v="84011"/>
    <n v="4001"/>
    <n v="92013"/>
  </r>
  <r>
    <n v="4334"/>
    <x v="8"/>
    <s v="Male"/>
    <n v="27"/>
    <s v="Delhi"/>
    <x v="3"/>
    <n v="90984"/>
    <d v="2022-07-16T00:00:00"/>
    <n v="9"/>
    <n v="4"/>
    <n v="9098"/>
    <n v="4549"/>
    <n v="95533"/>
    <n v="4549"/>
    <n v="104631"/>
  </r>
  <r>
    <n v="4335"/>
    <x v="4"/>
    <s v="Female"/>
    <n v="50"/>
    <s v="Bangalore"/>
    <x v="2"/>
    <n v="64355"/>
    <d v="2024-03-07T00:00:00"/>
    <n v="10"/>
    <n v="2"/>
    <n v="6436"/>
    <n v="3218"/>
    <n v="67573"/>
    <n v="3218"/>
    <n v="74009"/>
  </r>
  <r>
    <n v="4336"/>
    <x v="8"/>
    <s v="Female"/>
    <n v="55"/>
    <s v="Mumbai"/>
    <x v="4"/>
    <n v="30207"/>
    <d v="2023-04-10T00:00:00"/>
    <n v="12"/>
    <n v="2"/>
    <n v="3021"/>
    <n v="1510"/>
    <n v="31718"/>
    <n v="1510"/>
    <n v="34738"/>
  </r>
  <r>
    <n v="4337"/>
    <x v="8"/>
    <s v="Male"/>
    <n v="52"/>
    <s v="Mumbai"/>
    <x v="2"/>
    <n v="87311"/>
    <d v="2023-08-15T00:00:00"/>
    <n v="17"/>
    <n v="4"/>
    <n v="8731"/>
    <n v="4366"/>
    <n v="91676"/>
    <n v="4366"/>
    <n v="100408"/>
  </r>
  <r>
    <n v="4338"/>
    <x v="6"/>
    <s v="Female"/>
    <n v="42"/>
    <s v="Delhi"/>
    <x v="4"/>
    <n v="74248"/>
    <d v="2022-03-04T00:00:00"/>
    <n v="13"/>
    <n v="3"/>
    <n v="7425"/>
    <n v="3712"/>
    <n v="77961"/>
    <n v="3712"/>
    <n v="85385"/>
  </r>
  <r>
    <n v="4339"/>
    <x v="7"/>
    <s v="Female"/>
    <n v="25"/>
    <s v="Bangalore"/>
    <x v="0"/>
    <n v="51263"/>
    <d v="2023-06-22T00:00:00"/>
    <n v="11"/>
    <n v="4"/>
    <n v="5126"/>
    <n v="2563"/>
    <n v="53826"/>
    <n v="2563"/>
    <n v="58952"/>
  </r>
  <r>
    <n v="4340"/>
    <x v="9"/>
    <s v="Female"/>
    <n v="44"/>
    <s v="Hyderabad"/>
    <x v="3"/>
    <n v="94094"/>
    <d v="2023-03-05T00:00:00"/>
    <n v="11"/>
    <n v="1"/>
    <n v="9409"/>
    <n v="4705"/>
    <n v="98798"/>
    <n v="4705"/>
    <n v="108208"/>
  </r>
  <r>
    <n v="4341"/>
    <x v="7"/>
    <s v="Male"/>
    <n v="54"/>
    <s v="Delhi"/>
    <x v="4"/>
    <n v="71991"/>
    <d v="2024-08-23T00:00:00"/>
    <n v="4"/>
    <n v="5"/>
    <n v="7199"/>
    <n v="3600"/>
    <n v="75590"/>
    <n v="0"/>
    <n v="79190"/>
  </r>
  <r>
    <n v="4342"/>
    <x v="1"/>
    <s v="Male"/>
    <n v="22"/>
    <s v="Delhi"/>
    <x v="2"/>
    <n v="51124"/>
    <d v="2024-04-11T00:00:00"/>
    <n v="15"/>
    <n v="2"/>
    <n v="5112"/>
    <n v="2556"/>
    <n v="53680"/>
    <n v="2556"/>
    <n v="58792"/>
  </r>
  <r>
    <n v="4343"/>
    <x v="2"/>
    <s v="Female"/>
    <n v="45"/>
    <s v="Mumbai"/>
    <x v="0"/>
    <n v="32317"/>
    <d v="2022-09-22T00:00:00"/>
    <n v="20"/>
    <n v="3"/>
    <n v="3232"/>
    <n v="1616"/>
    <n v="33933"/>
    <n v="1616"/>
    <n v="37165"/>
  </r>
  <r>
    <n v="4344"/>
    <x v="6"/>
    <s v="Female"/>
    <n v="41"/>
    <s v="Mumbai"/>
    <x v="4"/>
    <n v="77800"/>
    <d v="2023-12-17T00:00:00"/>
    <n v="14"/>
    <n v="4"/>
    <n v="7780"/>
    <n v="3890"/>
    <n v="81690"/>
    <n v="3890"/>
    <n v="89470"/>
  </r>
  <r>
    <n v="4345"/>
    <x v="4"/>
    <s v="Male"/>
    <n v="35"/>
    <s v="Hyderabad"/>
    <x v="3"/>
    <n v="80328"/>
    <d v="2022-02-20T00:00:00"/>
    <n v="18"/>
    <n v="2"/>
    <n v="8033"/>
    <n v="4016"/>
    <n v="84345"/>
    <n v="4016"/>
    <n v="92377"/>
  </r>
  <r>
    <n v="4346"/>
    <x v="9"/>
    <s v="Male"/>
    <n v="60"/>
    <s v="Bangalore"/>
    <x v="3"/>
    <n v="52060"/>
    <d v="2023-01-30T00:00:00"/>
    <n v="15"/>
    <n v="4"/>
    <n v="5206"/>
    <n v="2603"/>
    <n v="54663"/>
    <n v="2603"/>
    <n v="59869"/>
  </r>
  <r>
    <n v="4347"/>
    <x v="7"/>
    <s v="Male"/>
    <n v="60"/>
    <s v="Hyderabad"/>
    <x v="0"/>
    <n v="28361"/>
    <d v="2022-06-26T00:00:00"/>
    <n v="7"/>
    <n v="1"/>
    <n v="2836"/>
    <n v="1418"/>
    <n v="29779"/>
    <n v="1418"/>
    <n v="32615"/>
  </r>
  <r>
    <n v="4348"/>
    <x v="3"/>
    <s v="Male"/>
    <n v="57"/>
    <s v="Hyderabad"/>
    <x v="3"/>
    <n v="75778"/>
    <d v="2022-04-16T00:00:00"/>
    <n v="9"/>
    <n v="5"/>
    <n v="7578"/>
    <n v="3789"/>
    <n v="79567"/>
    <n v="3789"/>
    <n v="87145"/>
  </r>
  <r>
    <n v="4349"/>
    <x v="3"/>
    <s v="Male"/>
    <n v="39"/>
    <s v="Delhi"/>
    <x v="2"/>
    <n v="90927"/>
    <d v="2024-04-03T00:00:00"/>
    <n v="6"/>
    <n v="3"/>
    <n v="9093"/>
    <n v="4546"/>
    <n v="95474"/>
    <n v="4546"/>
    <n v="104566"/>
  </r>
  <r>
    <n v="4350"/>
    <x v="5"/>
    <s v="Male"/>
    <n v="47"/>
    <s v="Hyderabad"/>
    <x v="3"/>
    <n v="90312"/>
    <d v="2023-01-26T00:00:00"/>
    <n v="1"/>
    <n v="1"/>
    <n v="9031"/>
    <n v="4516"/>
    <n v="94827"/>
    <n v="0"/>
    <n v="99343"/>
  </r>
  <r>
    <n v="4351"/>
    <x v="6"/>
    <s v="Male"/>
    <n v="58"/>
    <s v="Bangalore"/>
    <x v="0"/>
    <n v="46839"/>
    <d v="2023-12-05T00:00:00"/>
    <n v="3"/>
    <n v="3"/>
    <n v="4684"/>
    <n v="2342"/>
    <n v="49181"/>
    <n v="0"/>
    <n v="51523"/>
  </r>
  <r>
    <n v="4352"/>
    <x v="9"/>
    <s v="Female"/>
    <n v="43"/>
    <s v="Mumbai"/>
    <x v="4"/>
    <n v="28910"/>
    <d v="2024-07-17T00:00:00"/>
    <n v="19"/>
    <n v="5"/>
    <n v="2891"/>
    <n v="1446"/>
    <n v="30355"/>
    <n v="1446"/>
    <n v="33247"/>
  </r>
  <r>
    <n v="4353"/>
    <x v="1"/>
    <s v="Male"/>
    <n v="53"/>
    <s v="Mumbai"/>
    <x v="3"/>
    <n v="73891"/>
    <d v="2022-02-26T00:00:00"/>
    <n v="18"/>
    <n v="2"/>
    <n v="7389"/>
    <n v="3695"/>
    <n v="77585"/>
    <n v="3695"/>
    <n v="84975"/>
  </r>
  <r>
    <n v="4354"/>
    <x v="6"/>
    <s v="Female"/>
    <n v="32"/>
    <s v="Hyderabad"/>
    <x v="1"/>
    <n v="34588"/>
    <d v="2023-12-16T00:00:00"/>
    <n v="15"/>
    <n v="1"/>
    <n v="3459"/>
    <n v="1729"/>
    <n v="36318"/>
    <n v="1729"/>
    <n v="39776"/>
  </r>
  <r>
    <n v="4355"/>
    <x v="2"/>
    <s v="Female"/>
    <n v="59"/>
    <s v="Delhi"/>
    <x v="2"/>
    <n v="73232"/>
    <d v="2023-10-09T00:00:00"/>
    <n v="2"/>
    <n v="4"/>
    <n v="7323"/>
    <n v="3662"/>
    <n v="76893"/>
    <n v="0"/>
    <n v="80555"/>
  </r>
  <r>
    <n v="4356"/>
    <x v="7"/>
    <s v="Male"/>
    <n v="32"/>
    <s v="Bangalore"/>
    <x v="3"/>
    <n v="21916"/>
    <d v="2023-05-21T00:00:00"/>
    <n v="3"/>
    <n v="3"/>
    <n v="2192"/>
    <n v="1096"/>
    <n v="23012"/>
    <n v="0"/>
    <n v="24108"/>
  </r>
  <r>
    <n v="4357"/>
    <x v="7"/>
    <s v="Female"/>
    <n v="21"/>
    <s v="Chennai"/>
    <x v="0"/>
    <n v="32735"/>
    <d v="2024-06-14T00:00:00"/>
    <n v="2"/>
    <n v="3"/>
    <n v="3274"/>
    <n v="1637"/>
    <n v="34372"/>
    <n v="0"/>
    <n v="36009"/>
  </r>
  <r>
    <n v="4358"/>
    <x v="0"/>
    <s v="Female"/>
    <n v="60"/>
    <s v="Hyderabad"/>
    <x v="1"/>
    <n v="97816"/>
    <d v="2022-11-15T00:00:00"/>
    <n v="4"/>
    <n v="2"/>
    <n v="9782"/>
    <n v="4891"/>
    <n v="102707"/>
    <n v="0"/>
    <n v="107598"/>
  </r>
  <r>
    <n v="4359"/>
    <x v="3"/>
    <s v="Male"/>
    <n v="34"/>
    <s v="Bangalore"/>
    <x v="3"/>
    <n v="31994"/>
    <d v="2023-04-10T00:00:00"/>
    <n v="14"/>
    <n v="1"/>
    <n v="3199"/>
    <n v="1600"/>
    <n v="33593"/>
    <n v="1600"/>
    <n v="36793"/>
  </r>
  <r>
    <n v="4360"/>
    <x v="4"/>
    <s v="Male"/>
    <n v="50"/>
    <s v="Delhi"/>
    <x v="4"/>
    <n v="61926"/>
    <d v="2024-06-08T00:00:00"/>
    <n v="16"/>
    <n v="1"/>
    <n v="6193"/>
    <n v="3096"/>
    <n v="65023"/>
    <n v="3096"/>
    <n v="71215"/>
  </r>
  <r>
    <n v="4361"/>
    <x v="7"/>
    <s v="Male"/>
    <n v="60"/>
    <s v="Delhi"/>
    <x v="0"/>
    <n v="85437"/>
    <d v="2023-10-18T00:00:00"/>
    <n v="3"/>
    <n v="4"/>
    <n v="8544"/>
    <n v="4272"/>
    <n v="89709"/>
    <n v="0"/>
    <n v="93981"/>
  </r>
  <r>
    <n v="4362"/>
    <x v="6"/>
    <s v="Female"/>
    <n v="56"/>
    <s v="Delhi"/>
    <x v="0"/>
    <n v="81250"/>
    <d v="2022-02-24T00:00:00"/>
    <n v="10"/>
    <n v="3"/>
    <n v="8125"/>
    <n v="4062"/>
    <n v="85313"/>
    <n v="4062"/>
    <n v="93437"/>
  </r>
  <r>
    <n v="4363"/>
    <x v="7"/>
    <s v="Male"/>
    <n v="27"/>
    <s v="Bangalore"/>
    <x v="0"/>
    <n v="20385"/>
    <d v="2024-02-03T00:00:00"/>
    <n v="18"/>
    <n v="1"/>
    <n v="2038"/>
    <n v="1019"/>
    <n v="21404"/>
    <n v="1019"/>
    <n v="23442"/>
  </r>
  <r>
    <n v="4364"/>
    <x v="9"/>
    <s v="Male"/>
    <n v="27"/>
    <s v="Chennai"/>
    <x v="3"/>
    <n v="91128"/>
    <d v="2024-01-31T00:00:00"/>
    <n v="19"/>
    <n v="2"/>
    <n v="9113"/>
    <n v="4556"/>
    <n v="95685"/>
    <n v="4556"/>
    <n v="104797"/>
  </r>
  <r>
    <n v="4365"/>
    <x v="7"/>
    <s v="Female"/>
    <n v="27"/>
    <s v="Hyderabad"/>
    <x v="1"/>
    <n v="99488"/>
    <d v="2022-01-03T00:00:00"/>
    <n v="18"/>
    <n v="2"/>
    <n v="9949"/>
    <n v="4974"/>
    <n v="104463"/>
    <n v="4974"/>
    <n v="114411"/>
  </r>
  <r>
    <n v="4366"/>
    <x v="3"/>
    <s v="Female"/>
    <n v="46"/>
    <s v="Hyderabad"/>
    <x v="1"/>
    <n v="42325"/>
    <d v="2023-12-16T00:00:00"/>
    <n v="6"/>
    <n v="5"/>
    <n v="4232"/>
    <n v="2116"/>
    <n v="44441"/>
    <n v="2116"/>
    <n v="48673"/>
  </r>
  <r>
    <n v="4367"/>
    <x v="6"/>
    <s v="Male"/>
    <n v="25"/>
    <s v="Bangalore"/>
    <x v="2"/>
    <n v="73325"/>
    <d v="2024-05-19T00:00:00"/>
    <n v="8"/>
    <n v="2"/>
    <n v="7332"/>
    <n v="3666"/>
    <n v="76991"/>
    <n v="3666"/>
    <n v="84323"/>
  </r>
  <r>
    <n v="4368"/>
    <x v="3"/>
    <s v="Female"/>
    <n v="24"/>
    <s v="Delhi"/>
    <x v="0"/>
    <n v="44767"/>
    <d v="2022-01-01T00:00:00"/>
    <n v="7"/>
    <n v="1"/>
    <n v="4477"/>
    <n v="2238"/>
    <n v="47006"/>
    <n v="2238"/>
    <n v="51482"/>
  </r>
  <r>
    <n v="4369"/>
    <x v="7"/>
    <s v="Female"/>
    <n v="54"/>
    <s v="Delhi"/>
    <x v="1"/>
    <n v="88746"/>
    <d v="2023-01-05T00:00:00"/>
    <n v="1"/>
    <n v="2"/>
    <n v="8875"/>
    <n v="4437"/>
    <n v="93184"/>
    <n v="0"/>
    <n v="97621"/>
  </r>
  <r>
    <n v="4370"/>
    <x v="4"/>
    <s v="Male"/>
    <n v="53"/>
    <s v="Bangalore"/>
    <x v="0"/>
    <n v="67015"/>
    <d v="2022-11-01T00:00:00"/>
    <n v="10"/>
    <n v="4"/>
    <n v="6702"/>
    <n v="3351"/>
    <n v="70366"/>
    <n v="3351"/>
    <n v="77068"/>
  </r>
  <r>
    <n v="4371"/>
    <x v="6"/>
    <s v="Male"/>
    <n v="53"/>
    <s v="Hyderabad"/>
    <x v="1"/>
    <n v="47206"/>
    <d v="2023-01-18T00:00:00"/>
    <n v="2"/>
    <n v="3"/>
    <n v="4721"/>
    <n v="2360"/>
    <n v="49567"/>
    <n v="0"/>
    <n v="51927"/>
  </r>
  <r>
    <n v="4372"/>
    <x v="8"/>
    <s v="Male"/>
    <n v="50"/>
    <s v="Hyderabad"/>
    <x v="2"/>
    <n v="67970"/>
    <d v="2022-11-04T00:00:00"/>
    <n v="15"/>
    <n v="4"/>
    <n v="6797"/>
    <n v="3398"/>
    <n v="71369"/>
    <n v="3398"/>
    <n v="78165"/>
  </r>
  <r>
    <n v="4373"/>
    <x v="1"/>
    <s v="Female"/>
    <n v="51"/>
    <s v="Chennai"/>
    <x v="2"/>
    <n v="79569"/>
    <d v="2024-09-23T00:00:00"/>
    <n v="9"/>
    <n v="2"/>
    <n v="7957"/>
    <n v="3978"/>
    <n v="83548"/>
    <n v="3978"/>
    <n v="91504"/>
  </r>
  <r>
    <n v="4374"/>
    <x v="4"/>
    <s v="Female"/>
    <n v="25"/>
    <s v="Mumbai"/>
    <x v="4"/>
    <n v="54399"/>
    <d v="2023-01-15T00:00:00"/>
    <n v="7"/>
    <n v="4"/>
    <n v="5440"/>
    <n v="2720"/>
    <n v="57119"/>
    <n v="2720"/>
    <n v="62559"/>
  </r>
  <r>
    <n v="4375"/>
    <x v="6"/>
    <s v="Male"/>
    <n v="23"/>
    <s v="Hyderabad"/>
    <x v="0"/>
    <n v="31873"/>
    <d v="2023-08-15T00:00:00"/>
    <n v="7"/>
    <n v="5"/>
    <n v="3187"/>
    <n v="1594"/>
    <n v="33466"/>
    <n v="1594"/>
    <n v="36654"/>
  </r>
  <r>
    <n v="4376"/>
    <x v="2"/>
    <s v="Female"/>
    <n v="29"/>
    <s v="Chennai"/>
    <x v="2"/>
    <n v="36794"/>
    <d v="2022-06-18T00:00:00"/>
    <n v="14"/>
    <n v="1"/>
    <n v="3679"/>
    <n v="1840"/>
    <n v="38633"/>
    <n v="1840"/>
    <n v="42313"/>
  </r>
  <r>
    <n v="4377"/>
    <x v="8"/>
    <s v="Male"/>
    <n v="34"/>
    <s v="Bangalore"/>
    <x v="4"/>
    <n v="28719"/>
    <d v="2022-08-01T00:00:00"/>
    <n v="9"/>
    <n v="1"/>
    <n v="2872"/>
    <n v="1436"/>
    <n v="30155"/>
    <n v="1436"/>
    <n v="33027"/>
  </r>
  <r>
    <n v="4378"/>
    <x v="0"/>
    <s v="Male"/>
    <n v="39"/>
    <s v="Bangalore"/>
    <x v="3"/>
    <n v="59036"/>
    <d v="2024-05-24T00:00:00"/>
    <n v="4"/>
    <n v="3"/>
    <n v="5904"/>
    <n v="2952"/>
    <n v="61988"/>
    <n v="0"/>
    <n v="64940"/>
  </r>
  <r>
    <n v="4379"/>
    <x v="4"/>
    <s v="Male"/>
    <n v="35"/>
    <s v="Delhi"/>
    <x v="3"/>
    <n v="89135"/>
    <d v="2023-10-10T00:00:00"/>
    <n v="17"/>
    <n v="2"/>
    <n v="8914"/>
    <n v="4457"/>
    <n v="93592"/>
    <n v="4457"/>
    <n v="102506"/>
  </r>
  <r>
    <n v="4380"/>
    <x v="9"/>
    <s v="Male"/>
    <n v="30"/>
    <s v="Bangalore"/>
    <x v="1"/>
    <n v="22390"/>
    <d v="2022-10-06T00:00:00"/>
    <n v="10"/>
    <n v="3"/>
    <n v="2239"/>
    <n v="1120"/>
    <n v="23509"/>
    <n v="1120"/>
    <n v="25749"/>
  </r>
  <r>
    <n v="4381"/>
    <x v="1"/>
    <s v="Male"/>
    <n v="54"/>
    <s v="Bangalore"/>
    <x v="0"/>
    <n v="81126"/>
    <d v="2023-03-15T00:00:00"/>
    <n v="14"/>
    <n v="2"/>
    <n v="8113"/>
    <n v="4056"/>
    <n v="85183"/>
    <n v="4056"/>
    <n v="93295"/>
  </r>
  <r>
    <n v="4382"/>
    <x v="3"/>
    <s v="Female"/>
    <n v="47"/>
    <s v="Delhi"/>
    <x v="1"/>
    <n v="90034"/>
    <d v="2022-09-23T00:00:00"/>
    <n v="20"/>
    <n v="3"/>
    <n v="9003"/>
    <n v="4502"/>
    <n v="94535"/>
    <n v="4502"/>
    <n v="103539"/>
  </r>
  <r>
    <n v="4383"/>
    <x v="2"/>
    <s v="Male"/>
    <n v="55"/>
    <s v="Mumbai"/>
    <x v="3"/>
    <n v="44500"/>
    <d v="2024-04-08T00:00:00"/>
    <n v="12"/>
    <n v="1"/>
    <n v="4450"/>
    <n v="2225"/>
    <n v="46725"/>
    <n v="2225"/>
    <n v="51175"/>
  </r>
  <r>
    <n v="4384"/>
    <x v="7"/>
    <s v="Male"/>
    <n v="41"/>
    <s v="Hyderabad"/>
    <x v="3"/>
    <n v="72044"/>
    <d v="2023-10-01T00:00:00"/>
    <n v="20"/>
    <n v="1"/>
    <n v="7204"/>
    <n v="3602"/>
    <n v="75646"/>
    <n v="3602"/>
    <n v="82850"/>
  </r>
  <r>
    <n v="4385"/>
    <x v="0"/>
    <s v="Male"/>
    <n v="57"/>
    <s v="Chennai"/>
    <x v="0"/>
    <n v="59938"/>
    <d v="2024-05-19T00:00:00"/>
    <n v="12"/>
    <n v="5"/>
    <n v="5994"/>
    <n v="2997"/>
    <n v="62935"/>
    <n v="2997"/>
    <n v="68929"/>
  </r>
  <r>
    <n v="4386"/>
    <x v="0"/>
    <s v="Female"/>
    <n v="31"/>
    <s v="Hyderabad"/>
    <x v="3"/>
    <n v="37687"/>
    <d v="2024-01-20T00:00:00"/>
    <n v="5"/>
    <n v="1"/>
    <n v="3769"/>
    <n v="1884"/>
    <n v="39572"/>
    <n v="0"/>
    <n v="41456"/>
  </r>
  <r>
    <n v="4387"/>
    <x v="5"/>
    <s v="Male"/>
    <n v="50"/>
    <s v="Hyderabad"/>
    <x v="3"/>
    <n v="80158"/>
    <d v="2024-01-20T00:00:00"/>
    <n v="11"/>
    <n v="5"/>
    <n v="8016"/>
    <n v="4008"/>
    <n v="84166"/>
    <n v="4008"/>
    <n v="92182"/>
  </r>
  <r>
    <n v="4388"/>
    <x v="5"/>
    <s v="Female"/>
    <n v="56"/>
    <s v="Chennai"/>
    <x v="3"/>
    <n v="21276"/>
    <d v="2024-05-05T00:00:00"/>
    <n v="10"/>
    <n v="2"/>
    <n v="2128"/>
    <n v="1064"/>
    <n v="22340"/>
    <n v="1064"/>
    <n v="24468"/>
  </r>
  <r>
    <n v="4389"/>
    <x v="8"/>
    <s v="Female"/>
    <n v="32"/>
    <s v="Bangalore"/>
    <x v="3"/>
    <n v="91887"/>
    <d v="2022-12-04T00:00:00"/>
    <n v="6"/>
    <n v="3"/>
    <n v="9189"/>
    <n v="4594"/>
    <n v="96482"/>
    <n v="4594"/>
    <n v="105670"/>
  </r>
  <r>
    <n v="4390"/>
    <x v="6"/>
    <s v="Female"/>
    <n v="31"/>
    <s v="Chennai"/>
    <x v="3"/>
    <n v="60570"/>
    <d v="2024-03-01T00:00:00"/>
    <n v="18"/>
    <n v="1"/>
    <n v="6057"/>
    <n v="3028"/>
    <n v="63599"/>
    <n v="3028"/>
    <n v="69655"/>
  </r>
  <r>
    <n v="4391"/>
    <x v="5"/>
    <s v="Female"/>
    <n v="49"/>
    <s v="Delhi"/>
    <x v="4"/>
    <n v="36608"/>
    <d v="2022-12-11T00:00:00"/>
    <n v="7"/>
    <n v="1"/>
    <n v="3661"/>
    <n v="1830"/>
    <n v="38439"/>
    <n v="1830"/>
    <n v="42099"/>
  </r>
  <r>
    <n v="4392"/>
    <x v="2"/>
    <s v="Male"/>
    <n v="47"/>
    <s v="Mumbai"/>
    <x v="0"/>
    <n v="49942"/>
    <d v="2022-06-25T00:00:00"/>
    <n v="17"/>
    <n v="3"/>
    <n v="4994"/>
    <n v="2497"/>
    <n v="52439"/>
    <n v="2497"/>
    <n v="57433"/>
  </r>
  <r>
    <n v="4393"/>
    <x v="1"/>
    <s v="Male"/>
    <n v="34"/>
    <s v="Mumbai"/>
    <x v="1"/>
    <n v="70367"/>
    <d v="2022-12-30T00:00:00"/>
    <n v="1"/>
    <n v="2"/>
    <n v="7037"/>
    <n v="3518"/>
    <n v="73886"/>
    <n v="0"/>
    <n v="77404"/>
  </r>
  <r>
    <n v="4394"/>
    <x v="7"/>
    <s v="Male"/>
    <n v="60"/>
    <s v="Hyderabad"/>
    <x v="0"/>
    <n v="88602"/>
    <d v="2022-08-17T00:00:00"/>
    <n v="15"/>
    <n v="1"/>
    <n v="8860"/>
    <n v="4430"/>
    <n v="93032"/>
    <n v="4430"/>
    <n v="101892"/>
  </r>
  <r>
    <n v="4395"/>
    <x v="1"/>
    <s v="Female"/>
    <n v="42"/>
    <s v="Mumbai"/>
    <x v="4"/>
    <n v="74151"/>
    <d v="2022-08-04T00:00:00"/>
    <n v="14"/>
    <n v="4"/>
    <n v="7415"/>
    <n v="3708"/>
    <n v="77858"/>
    <n v="3708"/>
    <n v="85274"/>
  </r>
  <r>
    <n v="4396"/>
    <x v="8"/>
    <s v="Female"/>
    <n v="48"/>
    <s v="Mumbai"/>
    <x v="3"/>
    <n v="69725"/>
    <d v="2023-10-07T00:00:00"/>
    <n v="10"/>
    <n v="2"/>
    <n v="6972"/>
    <n v="3486"/>
    <n v="73211"/>
    <n v="3486"/>
    <n v="80183"/>
  </r>
  <r>
    <n v="4397"/>
    <x v="2"/>
    <s v="Male"/>
    <n v="23"/>
    <s v="Mumbai"/>
    <x v="0"/>
    <n v="20762"/>
    <d v="2024-05-18T00:00:00"/>
    <n v="14"/>
    <n v="1"/>
    <n v="2076"/>
    <n v="1038"/>
    <n v="21800"/>
    <n v="1038"/>
    <n v="23876"/>
  </r>
  <r>
    <n v="4398"/>
    <x v="5"/>
    <s v="Female"/>
    <n v="37"/>
    <s v="Mumbai"/>
    <x v="0"/>
    <n v="26687"/>
    <d v="2022-05-16T00:00:00"/>
    <n v="6"/>
    <n v="1"/>
    <n v="2669"/>
    <n v="1334"/>
    <n v="28022"/>
    <n v="1334"/>
    <n v="30690"/>
  </r>
  <r>
    <n v="4399"/>
    <x v="3"/>
    <s v="Female"/>
    <n v="58"/>
    <s v="Delhi"/>
    <x v="0"/>
    <n v="22623"/>
    <d v="2022-05-10T00:00:00"/>
    <n v="16"/>
    <n v="5"/>
    <n v="2262"/>
    <n v="1131"/>
    <n v="23754"/>
    <n v="1131"/>
    <n v="26016"/>
  </r>
  <r>
    <n v="4400"/>
    <x v="6"/>
    <s v="Female"/>
    <n v="59"/>
    <s v="Delhi"/>
    <x v="3"/>
    <n v="62826"/>
    <d v="2023-04-05T00:00:00"/>
    <n v="8"/>
    <n v="2"/>
    <n v="6283"/>
    <n v="3141"/>
    <n v="65968"/>
    <n v="3141"/>
    <n v="72250"/>
  </r>
  <r>
    <n v="4401"/>
    <x v="5"/>
    <s v="Male"/>
    <n v="29"/>
    <s v="Chennai"/>
    <x v="1"/>
    <n v="41819"/>
    <d v="2022-05-09T00:00:00"/>
    <n v="10"/>
    <n v="5"/>
    <n v="4182"/>
    <n v="2091"/>
    <n v="43910"/>
    <n v="2091"/>
    <n v="48092"/>
  </r>
  <r>
    <n v="4402"/>
    <x v="1"/>
    <s v="Female"/>
    <n v="47"/>
    <s v="Mumbai"/>
    <x v="4"/>
    <n v="82908"/>
    <d v="2023-11-28T00:00:00"/>
    <n v="15"/>
    <n v="5"/>
    <n v="8291"/>
    <n v="4145"/>
    <n v="87054"/>
    <n v="4145"/>
    <n v="95344"/>
  </r>
  <r>
    <n v="4403"/>
    <x v="1"/>
    <s v="Female"/>
    <n v="37"/>
    <s v="Delhi"/>
    <x v="3"/>
    <n v="24759"/>
    <d v="2023-08-19T00:00:00"/>
    <n v="6"/>
    <n v="4"/>
    <n v="2476"/>
    <n v="1238"/>
    <n v="25997"/>
    <n v="1238"/>
    <n v="28473"/>
  </r>
  <r>
    <n v="4404"/>
    <x v="9"/>
    <s v="Male"/>
    <n v="43"/>
    <s v="Chennai"/>
    <x v="3"/>
    <n v="87245"/>
    <d v="2024-05-15T00:00:00"/>
    <n v="13"/>
    <n v="2"/>
    <n v="8724"/>
    <n v="4362"/>
    <n v="91607"/>
    <n v="4362"/>
    <n v="100331"/>
  </r>
  <r>
    <n v="4405"/>
    <x v="0"/>
    <s v="Female"/>
    <n v="53"/>
    <s v="Delhi"/>
    <x v="4"/>
    <n v="34419"/>
    <d v="2023-01-19T00:00:00"/>
    <n v="19"/>
    <n v="2"/>
    <n v="3442"/>
    <n v="1721"/>
    <n v="36140"/>
    <n v="1721"/>
    <n v="39582"/>
  </r>
  <r>
    <n v="4406"/>
    <x v="9"/>
    <s v="Female"/>
    <n v="25"/>
    <s v="Hyderabad"/>
    <x v="4"/>
    <n v="45782"/>
    <d v="2023-04-09T00:00:00"/>
    <n v="14"/>
    <n v="5"/>
    <n v="4578"/>
    <n v="2289"/>
    <n v="48071"/>
    <n v="2289"/>
    <n v="52649"/>
  </r>
  <r>
    <n v="4407"/>
    <x v="1"/>
    <s v="Female"/>
    <n v="49"/>
    <s v="Hyderabad"/>
    <x v="3"/>
    <n v="55331"/>
    <d v="2023-05-23T00:00:00"/>
    <n v="13"/>
    <n v="1"/>
    <n v="5533"/>
    <n v="2767"/>
    <n v="58097"/>
    <n v="2767"/>
    <n v="63631"/>
  </r>
  <r>
    <n v="4408"/>
    <x v="4"/>
    <s v="Female"/>
    <n v="41"/>
    <s v="Chennai"/>
    <x v="4"/>
    <n v="35947"/>
    <d v="2022-02-08T00:00:00"/>
    <n v="7"/>
    <n v="4"/>
    <n v="3595"/>
    <n v="1797"/>
    <n v="37745"/>
    <n v="1797"/>
    <n v="41339"/>
  </r>
  <r>
    <n v="4409"/>
    <x v="0"/>
    <s v="Male"/>
    <n v="38"/>
    <s v="Mumbai"/>
    <x v="2"/>
    <n v="59748"/>
    <d v="2023-01-26T00:00:00"/>
    <n v="6"/>
    <n v="1"/>
    <n v="5975"/>
    <n v="2987"/>
    <n v="62736"/>
    <n v="2987"/>
    <n v="68710"/>
  </r>
  <r>
    <n v="4410"/>
    <x v="3"/>
    <s v="Female"/>
    <n v="55"/>
    <s v="Chennai"/>
    <x v="3"/>
    <n v="54779"/>
    <d v="2024-08-21T00:00:00"/>
    <n v="3"/>
    <n v="5"/>
    <n v="5478"/>
    <n v="2739"/>
    <n v="57518"/>
    <n v="0"/>
    <n v="60257"/>
  </r>
  <r>
    <n v="4411"/>
    <x v="6"/>
    <s v="Male"/>
    <n v="47"/>
    <s v="Chennai"/>
    <x v="4"/>
    <n v="25011"/>
    <d v="2023-03-01T00:00:00"/>
    <n v="5"/>
    <n v="5"/>
    <n v="2501"/>
    <n v="1251"/>
    <n v="26261"/>
    <n v="0"/>
    <n v="27512"/>
  </r>
  <r>
    <n v="4412"/>
    <x v="2"/>
    <s v="Female"/>
    <n v="22"/>
    <s v="Delhi"/>
    <x v="1"/>
    <n v="45393"/>
    <d v="2024-04-17T00:00:00"/>
    <n v="5"/>
    <n v="4"/>
    <n v="4539"/>
    <n v="2270"/>
    <n v="47662"/>
    <n v="0"/>
    <n v="49932"/>
  </r>
  <r>
    <n v="4413"/>
    <x v="5"/>
    <s v="Male"/>
    <n v="24"/>
    <s v="Hyderabad"/>
    <x v="3"/>
    <n v="57542"/>
    <d v="2023-04-08T00:00:00"/>
    <n v="16"/>
    <n v="3"/>
    <n v="5754"/>
    <n v="2877"/>
    <n v="60419"/>
    <n v="2877"/>
    <n v="66173"/>
  </r>
  <r>
    <n v="4414"/>
    <x v="1"/>
    <s v="Female"/>
    <n v="42"/>
    <s v="Mumbai"/>
    <x v="4"/>
    <n v="40228"/>
    <d v="2022-11-06T00:00:00"/>
    <n v="15"/>
    <n v="3"/>
    <n v="4023"/>
    <n v="2011"/>
    <n v="42240"/>
    <n v="2011"/>
    <n v="46262"/>
  </r>
  <r>
    <n v="4415"/>
    <x v="5"/>
    <s v="Male"/>
    <n v="42"/>
    <s v="Delhi"/>
    <x v="4"/>
    <n v="72581"/>
    <d v="2024-09-02T00:00:00"/>
    <n v="14"/>
    <n v="5"/>
    <n v="7258"/>
    <n v="3629"/>
    <n v="76210"/>
    <n v="3629"/>
    <n v="83468"/>
  </r>
  <r>
    <n v="4416"/>
    <x v="6"/>
    <s v="Male"/>
    <n v="25"/>
    <s v="Hyderabad"/>
    <x v="4"/>
    <n v="71332"/>
    <d v="2024-03-15T00:00:00"/>
    <n v="5"/>
    <n v="5"/>
    <n v="7133"/>
    <n v="3567"/>
    <n v="74898"/>
    <n v="0"/>
    <n v="78465"/>
  </r>
  <r>
    <n v="4417"/>
    <x v="0"/>
    <s v="Female"/>
    <n v="54"/>
    <s v="Hyderabad"/>
    <x v="1"/>
    <n v="82735"/>
    <d v="2024-02-14T00:00:00"/>
    <n v="8"/>
    <n v="4"/>
    <n v="8274"/>
    <n v="4137"/>
    <n v="86872"/>
    <n v="4137"/>
    <n v="95146"/>
  </r>
  <r>
    <n v="4418"/>
    <x v="4"/>
    <s v="Male"/>
    <n v="57"/>
    <s v="Hyderabad"/>
    <x v="0"/>
    <n v="39433"/>
    <d v="2024-04-27T00:00:00"/>
    <n v="11"/>
    <n v="5"/>
    <n v="3943"/>
    <n v="1972"/>
    <n v="41404"/>
    <n v="1972"/>
    <n v="45348"/>
  </r>
  <r>
    <n v="4419"/>
    <x v="4"/>
    <s v="Male"/>
    <n v="36"/>
    <s v="Bangalore"/>
    <x v="3"/>
    <n v="76124"/>
    <d v="2024-02-10T00:00:00"/>
    <n v="11"/>
    <n v="3"/>
    <n v="7612"/>
    <n v="3806"/>
    <n v="79930"/>
    <n v="3806"/>
    <n v="87542"/>
  </r>
  <r>
    <n v="4420"/>
    <x v="4"/>
    <s v="Male"/>
    <n v="59"/>
    <s v="Hyderabad"/>
    <x v="3"/>
    <n v="73048"/>
    <d v="2023-10-18T00:00:00"/>
    <n v="8"/>
    <n v="3"/>
    <n v="7305"/>
    <n v="3652"/>
    <n v="76701"/>
    <n v="3652"/>
    <n v="84005"/>
  </r>
  <r>
    <n v="4421"/>
    <x v="1"/>
    <s v="Female"/>
    <n v="40"/>
    <s v="Hyderabad"/>
    <x v="0"/>
    <n v="22926"/>
    <d v="2024-06-03T00:00:00"/>
    <n v="7"/>
    <n v="4"/>
    <n v="2293"/>
    <n v="1146"/>
    <n v="24073"/>
    <n v="1146"/>
    <n v="26365"/>
  </r>
  <r>
    <n v="4422"/>
    <x v="8"/>
    <s v="Male"/>
    <n v="46"/>
    <s v="Mumbai"/>
    <x v="0"/>
    <n v="20898"/>
    <d v="2023-10-16T00:00:00"/>
    <n v="18"/>
    <n v="2"/>
    <n v="2090"/>
    <n v="1045"/>
    <n v="21943"/>
    <n v="1045"/>
    <n v="24033"/>
  </r>
  <r>
    <n v="4423"/>
    <x v="1"/>
    <s v="Male"/>
    <n v="44"/>
    <s v="Chennai"/>
    <x v="2"/>
    <n v="74401"/>
    <d v="2024-01-02T00:00:00"/>
    <n v="3"/>
    <n v="3"/>
    <n v="7440"/>
    <n v="3720"/>
    <n v="78121"/>
    <n v="0"/>
    <n v="81841"/>
  </r>
  <r>
    <n v="4424"/>
    <x v="1"/>
    <s v="Female"/>
    <n v="39"/>
    <s v="Hyderabad"/>
    <x v="4"/>
    <n v="60443"/>
    <d v="2023-06-03T00:00:00"/>
    <n v="13"/>
    <n v="5"/>
    <n v="6044"/>
    <n v="3022"/>
    <n v="63465"/>
    <n v="3022"/>
    <n v="69509"/>
  </r>
  <r>
    <n v="4425"/>
    <x v="9"/>
    <s v="Male"/>
    <n v="55"/>
    <s v="Mumbai"/>
    <x v="0"/>
    <n v="60462"/>
    <d v="2024-06-11T00:00:00"/>
    <n v="13"/>
    <n v="5"/>
    <n v="6046"/>
    <n v="3023"/>
    <n v="63485"/>
    <n v="3023"/>
    <n v="69531"/>
  </r>
  <r>
    <n v="4426"/>
    <x v="7"/>
    <s v="Female"/>
    <n v="53"/>
    <s v="Delhi"/>
    <x v="1"/>
    <n v="75942"/>
    <d v="2022-05-13T00:00:00"/>
    <n v="17"/>
    <n v="1"/>
    <n v="7594"/>
    <n v="3797"/>
    <n v="79739"/>
    <n v="3797"/>
    <n v="87333"/>
  </r>
  <r>
    <n v="4427"/>
    <x v="3"/>
    <s v="Male"/>
    <n v="27"/>
    <s v="Chennai"/>
    <x v="2"/>
    <n v="31665"/>
    <d v="2024-03-03T00:00:00"/>
    <n v="14"/>
    <n v="2"/>
    <n v="3166"/>
    <n v="1583"/>
    <n v="33248"/>
    <n v="1583"/>
    <n v="36414"/>
  </r>
  <r>
    <n v="4428"/>
    <x v="9"/>
    <s v="Male"/>
    <n v="52"/>
    <s v="Chennai"/>
    <x v="2"/>
    <n v="21535"/>
    <d v="2022-11-14T00:00:00"/>
    <n v="8"/>
    <n v="2"/>
    <n v="2154"/>
    <n v="1077"/>
    <n v="22612"/>
    <n v="1077"/>
    <n v="24766"/>
  </r>
  <r>
    <n v="4429"/>
    <x v="2"/>
    <s v="Female"/>
    <n v="23"/>
    <s v="Delhi"/>
    <x v="2"/>
    <n v="63861"/>
    <d v="2022-05-12T00:00:00"/>
    <n v="14"/>
    <n v="1"/>
    <n v="6386"/>
    <n v="3193"/>
    <n v="67054"/>
    <n v="3193"/>
    <n v="73440"/>
  </r>
  <r>
    <n v="4430"/>
    <x v="3"/>
    <s v="Female"/>
    <n v="41"/>
    <s v="Chennai"/>
    <x v="2"/>
    <n v="52677"/>
    <d v="2022-08-24T00:00:00"/>
    <n v="14"/>
    <n v="4"/>
    <n v="5268"/>
    <n v="2634"/>
    <n v="55311"/>
    <n v="2634"/>
    <n v="60579"/>
  </r>
  <r>
    <n v="4431"/>
    <x v="1"/>
    <s v="Female"/>
    <n v="21"/>
    <s v="Delhi"/>
    <x v="2"/>
    <n v="39995"/>
    <d v="2024-07-15T00:00:00"/>
    <n v="6"/>
    <n v="1"/>
    <n v="4000"/>
    <n v="2000"/>
    <n v="41995"/>
    <n v="2000"/>
    <n v="45995"/>
  </r>
  <r>
    <n v="4432"/>
    <x v="7"/>
    <s v="Male"/>
    <n v="38"/>
    <s v="Chennai"/>
    <x v="3"/>
    <n v="87762"/>
    <d v="2024-06-26T00:00:00"/>
    <n v="13"/>
    <n v="3"/>
    <n v="8776"/>
    <n v="4388"/>
    <n v="92150"/>
    <n v="4388"/>
    <n v="100926"/>
  </r>
  <r>
    <n v="4433"/>
    <x v="4"/>
    <s v="Male"/>
    <n v="60"/>
    <s v="Delhi"/>
    <x v="4"/>
    <n v="51439"/>
    <d v="2024-02-18T00:00:00"/>
    <n v="8"/>
    <n v="2"/>
    <n v="5144"/>
    <n v="2572"/>
    <n v="54011"/>
    <n v="2572"/>
    <n v="59155"/>
  </r>
  <r>
    <n v="4434"/>
    <x v="2"/>
    <s v="Male"/>
    <n v="42"/>
    <s v="Bangalore"/>
    <x v="1"/>
    <n v="89349"/>
    <d v="2022-12-31T00:00:00"/>
    <n v="7"/>
    <n v="4"/>
    <n v="8935"/>
    <n v="4467"/>
    <n v="93817"/>
    <n v="4467"/>
    <n v="102751"/>
  </r>
  <r>
    <n v="4435"/>
    <x v="0"/>
    <s v="Female"/>
    <n v="51"/>
    <s v="Mumbai"/>
    <x v="2"/>
    <n v="70297"/>
    <d v="2023-09-09T00:00:00"/>
    <n v="9"/>
    <n v="4"/>
    <n v="7030"/>
    <n v="3515"/>
    <n v="73812"/>
    <n v="3515"/>
    <n v="80842"/>
  </r>
  <r>
    <n v="4436"/>
    <x v="0"/>
    <s v="Female"/>
    <n v="48"/>
    <s v="Delhi"/>
    <x v="1"/>
    <n v="37502"/>
    <d v="2023-04-10T00:00:00"/>
    <n v="15"/>
    <n v="1"/>
    <n v="3750"/>
    <n v="1875"/>
    <n v="39377"/>
    <n v="1875"/>
    <n v="43127"/>
  </r>
  <r>
    <n v="4437"/>
    <x v="3"/>
    <s v="Male"/>
    <n v="28"/>
    <s v="Hyderabad"/>
    <x v="3"/>
    <n v="46959"/>
    <d v="2024-07-07T00:00:00"/>
    <n v="7"/>
    <n v="1"/>
    <n v="4696"/>
    <n v="2348"/>
    <n v="49307"/>
    <n v="2348"/>
    <n v="54003"/>
  </r>
  <r>
    <n v="4438"/>
    <x v="5"/>
    <s v="Male"/>
    <n v="47"/>
    <s v="Delhi"/>
    <x v="0"/>
    <n v="26204"/>
    <d v="2024-02-24T00:00:00"/>
    <n v="2"/>
    <n v="2"/>
    <n v="2620"/>
    <n v="1310"/>
    <n v="27514"/>
    <n v="0"/>
    <n v="28824"/>
  </r>
  <r>
    <n v="4439"/>
    <x v="4"/>
    <s v="Male"/>
    <n v="32"/>
    <s v="Bangalore"/>
    <x v="3"/>
    <n v="72613"/>
    <d v="2024-08-18T00:00:00"/>
    <n v="8"/>
    <n v="1"/>
    <n v="7261"/>
    <n v="3631"/>
    <n v="76243"/>
    <n v="3631"/>
    <n v="83505"/>
  </r>
  <r>
    <n v="4440"/>
    <x v="5"/>
    <s v="Female"/>
    <n v="41"/>
    <s v="Hyderabad"/>
    <x v="3"/>
    <n v="80898"/>
    <d v="2022-01-23T00:00:00"/>
    <n v="11"/>
    <n v="5"/>
    <n v="8090"/>
    <n v="4045"/>
    <n v="84943"/>
    <n v="4045"/>
    <n v="93033"/>
  </r>
  <r>
    <n v="4441"/>
    <x v="3"/>
    <s v="Male"/>
    <n v="48"/>
    <s v="Delhi"/>
    <x v="4"/>
    <n v="35008"/>
    <d v="2024-01-14T00:00:00"/>
    <n v="18"/>
    <n v="5"/>
    <n v="3501"/>
    <n v="1750"/>
    <n v="36759"/>
    <n v="1750"/>
    <n v="40259"/>
  </r>
  <r>
    <n v="4442"/>
    <x v="4"/>
    <s v="Male"/>
    <n v="36"/>
    <s v="Hyderabad"/>
    <x v="4"/>
    <n v="56362"/>
    <d v="2022-10-28T00:00:00"/>
    <n v="10"/>
    <n v="4"/>
    <n v="5636"/>
    <n v="2818"/>
    <n v="59180"/>
    <n v="2818"/>
    <n v="64816"/>
  </r>
  <r>
    <n v="4443"/>
    <x v="4"/>
    <s v="Female"/>
    <n v="38"/>
    <s v="Chennai"/>
    <x v="2"/>
    <n v="36198"/>
    <d v="2024-08-30T00:00:00"/>
    <n v="19"/>
    <n v="5"/>
    <n v="3620"/>
    <n v="1810"/>
    <n v="38008"/>
    <n v="1810"/>
    <n v="41628"/>
  </r>
  <r>
    <n v="4444"/>
    <x v="4"/>
    <s v="Female"/>
    <n v="22"/>
    <s v="Mumbai"/>
    <x v="4"/>
    <n v="84085"/>
    <d v="2022-06-29T00:00:00"/>
    <n v="3"/>
    <n v="5"/>
    <n v="8408"/>
    <n v="4204"/>
    <n v="88289"/>
    <n v="0"/>
    <n v="92493"/>
  </r>
  <r>
    <n v="4445"/>
    <x v="5"/>
    <s v="Female"/>
    <n v="33"/>
    <s v="Hyderabad"/>
    <x v="3"/>
    <n v="61874"/>
    <d v="2024-02-08T00:00:00"/>
    <n v="3"/>
    <n v="3"/>
    <n v="6187"/>
    <n v="3094"/>
    <n v="64967"/>
    <n v="0"/>
    <n v="68061"/>
  </r>
  <r>
    <n v="4446"/>
    <x v="5"/>
    <s v="Male"/>
    <n v="37"/>
    <s v="Bangalore"/>
    <x v="0"/>
    <n v="68377"/>
    <d v="2022-06-08T00:00:00"/>
    <n v="13"/>
    <n v="4"/>
    <n v="6838"/>
    <n v="3419"/>
    <n v="71796"/>
    <n v="3419"/>
    <n v="78634"/>
  </r>
  <r>
    <n v="4447"/>
    <x v="7"/>
    <s v="Female"/>
    <n v="29"/>
    <s v="Mumbai"/>
    <x v="1"/>
    <n v="98837"/>
    <d v="2023-03-20T00:00:00"/>
    <n v="1"/>
    <n v="1"/>
    <n v="9884"/>
    <n v="4942"/>
    <n v="103779"/>
    <n v="0"/>
    <n v="108721"/>
  </r>
  <r>
    <n v="4448"/>
    <x v="8"/>
    <s v="Male"/>
    <n v="37"/>
    <s v="Mumbai"/>
    <x v="3"/>
    <n v="49215"/>
    <d v="2022-09-04T00:00:00"/>
    <n v="2"/>
    <n v="2"/>
    <n v="4922"/>
    <n v="2461"/>
    <n v="51676"/>
    <n v="0"/>
    <n v="54137"/>
  </r>
  <r>
    <n v="4449"/>
    <x v="4"/>
    <s v="Male"/>
    <n v="21"/>
    <s v="Hyderabad"/>
    <x v="3"/>
    <n v="47075"/>
    <d v="2023-08-15T00:00:00"/>
    <n v="2"/>
    <n v="2"/>
    <n v="4708"/>
    <n v="2354"/>
    <n v="49429"/>
    <n v="0"/>
    <n v="51783"/>
  </r>
  <r>
    <n v="4450"/>
    <x v="6"/>
    <s v="Male"/>
    <n v="50"/>
    <s v="Bangalore"/>
    <x v="0"/>
    <n v="26567"/>
    <d v="2024-01-16T00:00:00"/>
    <n v="11"/>
    <n v="2"/>
    <n v="2657"/>
    <n v="1328"/>
    <n v="27896"/>
    <n v="1328"/>
    <n v="30552"/>
  </r>
  <r>
    <n v="4451"/>
    <x v="9"/>
    <s v="Female"/>
    <n v="35"/>
    <s v="Delhi"/>
    <x v="2"/>
    <n v="21173"/>
    <d v="2022-08-19T00:00:00"/>
    <n v="15"/>
    <n v="2"/>
    <n v="2117"/>
    <n v="1059"/>
    <n v="22231"/>
    <n v="1059"/>
    <n v="24349"/>
  </r>
  <r>
    <n v="4452"/>
    <x v="6"/>
    <s v="Male"/>
    <n v="42"/>
    <s v="Chennai"/>
    <x v="1"/>
    <n v="48774"/>
    <d v="2023-04-14T00:00:00"/>
    <n v="3"/>
    <n v="1"/>
    <n v="4877"/>
    <n v="2439"/>
    <n v="51212"/>
    <n v="0"/>
    <n v="53651"/>
  </r>
  <r>
    <n v="4453"/>
    <x v="2"/>
    <s v="Female"/>
    <n v="35"/>
    <s v="Hyderabad"/>
    <x v="4"/>
    <n v="53159"/>
    <d v="2023-04-19T00:00:00"/>
    <n v="9"/>
    <n v="2"/>
    <n v="5316"/>
    <n v="2658"/>
    <n v="55817"/>
    <n v="2658"/>
    <n v="61133"/>
  </r>
  <r>
    <n v="4454"/>
    <x v="9"/>
    <s v="Male"/>
    <n v="25"/>
    <s v="Delhi"/>
    <x v="3"/>
    <n v="39025"/>
    <d v="2022-04-06T00:00:00"/>
    <n v="11"/>
    <n v="1"/>
    <n v="3902"/>
    <n v="1951"/>
    <n v="40976"/>
    <n v="1951"/>
    <n v="44878"/>
  </r>
  <r>
    <n v="4455"/>
    <x v="4"/>
    <s v="Male"/>
    <n v="31"/>
    <s v="Mumbai"/>
    <x v="2"/>
    <n v="47217"/>
    <d v="2023-04-25T00:00:00"/>
    <n v="15"/>
    <n v="3"/>
    <n v="4722"/>
    <n v="2361"/>
    <n v="49578"/>
    <n v="2361"/>
    <n v="54300"/>
  </r>
  <r>
    <n v="4456"/>
    <x v="3"/>
    <s v="Female"/>
    <n v="35"/>
    <s v="Hyderabad"/>
    <x v="3"/>
    <n v="58932"/>
    <d v="2022-08-19T00:00:00"/>
    <n v="3"/>
    <n v="2"/>
    <n v="5893"/>
    <n v="2947"/>
    <n v="61878"/>
    <n v="0"/>
    <n v="64825"/>
  </r>
  <r>
    <n v="4457"/>
    <x v="6"/>
    <s v="Male"/>
    <n v="29"/>
    <s v="Chennai"/>
    <x v="2"/>
    <n v="93858"/>
    <d v="2022-09-10T00:00:00"/>
    <n v="1"/>
    <n v="3"/>
    <n v="9386"/>
    <n v="4693"/>
    <n v="98551"/>
    <n v="0"/>
    <n v="103244"/>
  </r>
  <r>
    <n v="4458"/>
    <x v="1"/>
    <s v="Male"/>
    <n v="25"/>
    <s v="Mumbai"/>
    <x v="3"/>
    <n v="91751"/>
    <d v="2024-09-07T00:00:00"/>
    <n v="10"/>
    <n v="5"/>
    <n v="9175"/>
    <n v="4588"/>
    <n v="96338"/>
    <n v="4588"/>
    <n v="105514"/>
  </r>
  <r>
    <n v="4459"/>
    <x v="4"/>
    <s v="Female"/>
    <n v="54"/>
    <s v="Bangalore"/>
    <x v="2"/>
    <n v="96705"/>
    <d v="2022-06-01T00:00:00"/>
    <n v="3"/>
    <n v="3"/>
    <n v="9670"/>
    <n v="4835"/>
    <n v="101540"/>
    <n v="0"/>
    <n v="106375"/>
  </r>
  <r>
    <n v="4460"/>
    <x v="9"/>
    <s v="Female"/>
    <n v="43"/>
    <s v="Bangalore"/>
    <x v="2"/>
    <n v="92676"/>
    <d v="2023-01-24T00:00:00"/>
    <n v="18"/>
    <n v="4"/>
    <n v="9268"/>
    <n v="4634"/>
    <n v="97310"/>
    <n v="4634"/>
    <n v="106578"/>
  </r>
  <r>
    <n v="4461"/>
    <x v="1"/>
    <s v="Male"/>
    <n v="22"/>
    <s v="Hyderabad"/>
    <x v="0"/>
    <n v="94339"/>
    <d v="2024-05-02T00:00:00"/>
    <n v="16"/>
    <n v="3"/>
    <n v="9434"/>
    <n v="4717"/>
    <n v="99056"/>
    <n v="4717"/>
    <n v="108490"/>
  </r>
  <r>
    <n v="4462"/>
    <x v="5"/>
    <s v="Female"/>
    <n v="37"/>
    <s v="Mumbai"/>
    <x v="3"/>
    <n v="82927"/>
    <d v="2023-03-03T00:00:00"/>
    <n v="17"/>
    <n v="2"/>
    <n v="8293"/>
    <n v="4146"/>
    <n v="87074"/>
    <n v="4146"/>
    <n v="95366"/>
  </r>
  <r>
    <n v="4463"/>
    <x v="4"/>
    <s v="Female"/>
    <n v="58"/>
    <s v="Mumbai"/>
    <x v="1"/>
    <n v="46501"/>
    <d v="2022-01-31T00:00:00"/>
    <n v="13"/>
    <n v="2"/>
    <n v="4650"/>
    <n v="2325"/>
    <n v="48826"/>
    <n v="2325"/>
    <n v="53476"/>
  </r>
  <r>
    <n v="4464"/>
    <x v="5"/>
    <s v="Female"/>
    <n v="50"/>
    <s v="Mumbai"/>
    <x v="0"/>
    <n v="79130"/>
    <d v="2022-03-27T00:00:00"/>
    <n v="17"/>
    <n v="4"/>
    <n v="7913"/>
    <n v="3956"/>
    <n v="83087"/>
    <n v="3956"/>
    <n v="90999"/>
  </r>
  <r>
    <n v="4465"/>
    <x v="3"/>
    <s v="Female"/>
    <n v="53"/>
    <s v="Hyderabad"/>
    <x v="4"/>
    <n v="59254"/>
    <d v="2023-04-26T00:00:00"/>
    <n v="2"/>
    <n v="1"/>
    <n v="5925"/>
    <n v="2963"/>
    <n v="62216"/>
    <n v="0"/>
    <n v="65179"/>
  </r>
  <r>
    <n v="4466"/>
    <x v="4"/>
    <s v="Female"/>
    <n v="53"/>
    <s v="Chennai"/>
    <x v="0"/>
    <n v="93397"/>
    <d v="2023-05-30T00:00:00"/>
    <n v="16"/>
    <n v="3"/>
    <n v="9340"/>
    <n v="4670"/>
    <n v="98067"/>
    <n v="4670"/>
    <n v="107407"/>
  </r>
  <r>
    <n v="4467"/>
    <x v="9"/>
    <s v="Female"/>
    <n v="39"/>
    <s v="Delhi"/>
    <x v="2"/>
    <n v="30061"/>
    <d v="2023-10-20T00:00:00"/>
    <n v="2"/>
    <n v="1"/>
    <n v="3006"/>
    <n v="1503"/>
    <n v="31564"/>
    <n v="0"/>
    <n v="33067"/>
  </r>
  <r>
    <n v="4468"/>
    <x v="2"/>
    <s v="Male"/>
    <n v="37"/>
    <s v="Hyderabad"/>
    <x v="0"/>
    <n v="95327"/>
    <d v="2023-01-31T00:00:00"/>
    <n v="6"/>
    <n v="2"/>
    <n v="9533"/>
    <n v="4766"/>
    <n v="100094"/>
    <n v="4766"/>
    <n v="109626"/>
  </r>
  <r>
    <n v="4469"/>
    <x v="8"/>
    <s v="Female"/>
    <n v="39"/>
    <s v="Bangalore"/>
    <x v="2"/>
    <n v="62733"/>
    <d v="2022-03-25T00:00:00"/>
    <n v="12"/>
    <n v="2"/>
    <n v="6273"/>
    <n v="3137"/>
    <n v="65869"/>
    <n v="3137"/>
    <n v="72143"/>
  </r>
  <r>
    <n v="4470"/>
    <x v="0"/>
    <s v="Male"/>
    <n v="51"/>
    <s v="Mumbai"/>
    <x v="4"/>
    <n v="32935"/>
    <d v="2024-08-24T00:00:00"/>
    <n v="7"/>
    <n v="1"/>
    <n v="3294"/>
    <n v="1647"/>
    <n v="34582"/>
    <n v="1647"/>
    <n v="37876"/>
  </r>
  <r>
    <n v="4471"/>
    <x v="5"/>
    <s v="Female"/>
    <n v="52"/>
    <s v="Hyderabad"/>
    <x v="4"/>
    <n v="97691"/>
    <d v="2023-02-21T00:00:00"/>
    <n v="17"/>
    <n v="5"/>
    <n v="9769"/>
    <n v="4885"/>
    <n v="102575"/>
    <n v="4885"/>
    <n v="112345"/>
  </r>
  <r>
    <n v="4472"/>
    <x v="8"/>
    <s v="Female"/>
    <n v="58"/>
    <s v="Hyderabad"/>
    <x v="1"/>
    <n v="30712"/>
    <d v="2022-03-01T00:00:00"/>
    <n v="12"/>
    <n v="4"/>
    <n v="3071"/>
    <n v="1536"/>
    <n v="32247"/>
    <n v="1536"/>
    <n v="35319"/>
  </r>
  <r>
    <n v="4473"/>
    <x v="9"/>
    <s v="Male"/>
    <n v="48"/>
    <s v="Delhi"/>
    <x v="2"/>
    <n v="76414"/>
    <d v="2024-07-17T00:00:00"/>
    <n v="3"/>
    <n v="5"/>
    <n v="7641"/>
    <n v="3821"/>
    <n v="80234"/>
    <n v="0"/>
    <n v="84055"/>
  </r>
  <r>
    <n v="4474"/>
    <x v="2"/>
    <s v="Female"/>
    <n v="38"/>
    <s v="Chennai"/>
    <x v="3"/>
    <n v="32776"/>
    <d v="2024-07-29T00:00:00"/>
    <n v="20"/>
    <n v="3"/>
    <n v="3278"/>
    <n v="1639"/>
    <n v="34415"/>
    <n v="1639"/>
    <n v="37693"/>
  </r>
  <r>
    <n v="4475"/>
    <x v="4"/>
    <s v="Male"/>
    <n v="44"/>
    <s v="Delhi"/>
    <x v="0"/>
    <n v="59671"/>
    <d v="2022-03-12T00:00:00"/>
    <n v="17"/>
    <n v="4"/>
    <n v="5967"/>
    <n v="2984"/>
    <n v="62654"/>
    <n v="2984"/>
    <n v="68622"/>
  </r>
  <r>
    <n v="4476"/>
    <x v="9"/>
    <s v="Female"/>
    <n v="39"/>
    <s v="Bangalore"/>
    <x v="0"/>
    <n v="63100"/>
    <d v="2022-05-12T00:00:00"/>
    <n v="5"/>
    <n v="4"/>
    <n v="6310"/>
    <n v="3155"/>
    <n v="66255"/>
    <n v="0"/>
    <n v="69410"/>
  </r>
  <r>
    <n v="4477"/>
    <x v="7"/>
    <s v="Female"/>
    <n v="46"/>
    <s v="Hyderabad"/>
    <x v="0"/>
    <n v="38065"/>
    <d v="2022-10-02T00:00:00"/>
    <n v="2"/>
    <n v="3"/>
    <n v="3806"/>
    <n v="1903"/>
    <n v="39968"/>
    <n v="0"/>
    <n v="41871"/>
  </r>
  <r>
    <n v="4478"/>
    <x v="8"/>
    <s v="Female"/>
    <n v="57"/>
    <s v="Hyderabad"/>
    <x v="0"/>
    <n v="20865"/>
    <d v="2023-12-11T00:00:00"/>
    <n v="10"/>
    <n v="5"/>
    <n v="2086"/>
    <n v="1043"/>
    <n v="21908"/>
    <n v="1043"/>
    <n v="23994"/>
  </r>
  <r>
    <n v="4479"/>
    <x v="5"/>
    <s v="Female"/>
    <n v="41"/>
    <s v="Mumbai"/>
    <x v="1"/>
    <n v="78861"/>
    <d v="2024-03-04T00:00:00"/>
    <n v="12"/>
    <n v="5"/>
    <n v="7886"/>
    <n v="3943"/>
    <n v="82804"/>
    <n v="3943"/>
    <n v="90690"/>
  </r>
  <r>
    <n v="4480"/>
    <x v="4"/>
    <s v="Female"/>
    <n v="43"/>
    <s v="Hyderabad"/>
    <x v="4"/>
    <n v="49199"/>
    <d v="2022-07-14T00:00:00"/>
    <n v="17"/>
    <n v="1"/>
    <n v="4920"/>
    <n v="2460"/>
    <n v="51659"/>
    <n v="2460"/>
    <n v="56579"/>
  </r>
  <r>
    <n v="4481"/>
    <x v="7"/>
    <s v="Female"/>
    <n v="59"/>
    <s v="Chennai"/>
    <x v="1"/>
    <n v="48290"/>
    <d v="2022-01-27T00:00:00"/>
    <n v="9"/>
    <n v="2"/>
    <n v="4829"/>
    <n v="2414"/>
    <n v="50705"/>
    <n v="2414"/>
    <n v="55533"/>
  </r>
  <r>
    <n v="4482"/>
    <x v="0"/>
    <s v="Female"/>
    <n v="23"/>
    <s v="Mumbai"/>
    <x v="0"/>
    <n v="34691"/>
    <d v="2024-09-05T00:00:00"/>
    <n v="3"/>
    <n v="4"/>
    <n v="3469"/>
    <n v="1735"/>
    <n v="36425"/>
    <n v="0"/>
    <n v="38160"/>
  </r>
  <r>
    <n v="4483"/>
    <x v="2"/>
    <s v="Female"/>
    <n v="29"/>
    <s v="Delhi"/>
    <x v="3"/>
    <n v="72437"/>
    <d v="2023-08-20T00:00:00"/>
    <n v="7"/>
    <n v="5"/>
    <n v="7244"/>
    <n v="3622"/>
    <n v="76059"/>
    <n v="3622"/>
    <n v="83303"/>
  </r>
  <r>
    <n v="4484"/>
    <x v="8"/>
    <s v="Male"/>
    <n v="50"/>
    <s v="Hyderabad"/>
    <x v="0"/>
    <n v="74006"/>
    <d v="2024-09-13T00:00:00"/>
    <n v="20"/>
    <n v="3"/>
    <n v="7401"/>
    <n v="3700"/>
    <n v="77707"/>
    <n v="3700"/>
    <n v="85107"/>
  </r>
  <r>
    <n v="4485"/>
    <x v="3"/>
    <s v="Male"/>
    <n v="22"/>
    <s v="Delhi"/>
    <x v="0"/>
    <n v="84078"/>
    <d v="2024-09-17T00:00:00"/>
    <n v="17"/>
    <n v="3"/>
    <n v="8408"/>
    <n v="4204"/>
    <n v="88282"/>
    <n v="4204"/>
    <n v="96690"/>
  </r>
  <r>
    <n v="4486"/>
    <x v="0"/>
    <s v="Male"/>
    <n v="31"/>
    <s v="Hyderabad"/>
    <x v="0"/>
    <n v="92551"/>
    <d v="2024-01-10T00:00:00"/>
    <n v="16"/>
    <n v="4"/>
    <n v="9255"/>
    <n v="4628"/>
    <n v="97178"/>
    <n v="4628"/>
    <n v="106434"/>
  </r>
  <r>
    <n v="4487"/>
    <x v="9"/>
    <s v="Male"/>
    <n v="37"/>
    <s v="Delhi"/>
    <x v="4"/>
    <n v="51465"/>
    <d v="2023-11-20T00:00:00"/>
    <n v="7"/>
    <n v="2"/>
    <n v="5146"/>
    <n v="2573"/>
    <n v="54038"/>
    <n v="2573"/>
    <n v="59184"/>
  </r>
  <r>
    <n v="4488"/>
    <x v="1"/>
    <s v="Male"/>
    <n v="22"/>
    <s v="Delhi"/>
    <x v="1"/>
    <n v="58359"/>
    <d v="2022-11-11T00:00:00"/>
    <n v="18"/>
    <n v="2"/>
    <n v="5836"/>
    <n v="2918"/>
    <n v="61277"/>
    <n v="2918"/>
    <n v="67113"/>
  </r>
  <r>
    <n v="4489"/>
    <x v="5"/>
    <s v="Female"/>
    <n v="36"/>
    <s v="Delhi"/>
    <x v="3"/>
    <n v="27703"/>
    <d v="2024-09-14T00:00:00"/>
    <n v="17"/>
    <n v="2"/>
    <n v="2770"/>
    <n v="1385"/>
    <n v="29088"/>
    <n v="1385"/>
    <n v="31858"/>
  </r>
  <r>
    <n v="4490"/>
    <x v="3"/>
    <s v="Male"/>
    <n v="37"/>
    <s v="Hyderabad"/>
    <x v="4"/>
    <n v="54693"/>
    <d v="2023-04-27T00:00:00"/>
    <n v="9"/>
    <n v="2"/>
    <n v="5469"/>
    <n v="2735"/>
    <n v="57427"/>
    <n v="2735"/>
    <n v="62897"/>
  </r>
  <r>
    <n v="4491"/>
    <x v="5"/>
    <s v="Female"/>
    <n v="51"/>
    <s v="Bangalore"/>
    <x v="4"/>
    <n v="59063"/>
    <d v="2023-12-06T00:00:00"/>
    <n v="6"/>
    <n v="2"/>
    <n v="5906"/>
    <n v="2953"/>
    <n v="62016"/>
    <n v="2953"/>
    <n v="67922"/>
  </r>
  <r>
    <n v="4492"/>
    <x v="1"/>
    <s v="Female"/>
    <n v="27"/>
    <s v="Chennai"/>
    <x v="4"/>
    <n v="27303"/>
    <d v="2022-08-20T00:00:00"/>
    <n v="5"/>
    <n v="2"/>
    <n v="2730"/>
    <n v="1365"/>
    <n v="28668"/>
    <n v="0"/>
    <n v="30033"/>
  </r>
  <r>
    <n v="4493"/>
    <x v="1"/>
    <s v="Male"/>
    <n v="47"/>
    <s v="Hyderabad"/>
    <x v="3"/>
    <n v="29675"/>
    <d v="2022-05-05T00:00:00"/>
    <n v="18"/>
    <n v="2"/>
    <n v="2968"/>
    <n v="1484"/>
    <n v="31159"/>
    <n v="1484"/>
    <n v="34127"/>
  </r>
  <r>
    <n v="4494"/>
    <x v="2"/>
    <s v="Male"/>
    <n v="38"/>
    <s v="Delhi"/>
    <x v="4"/>
    <n v="62683"/>
    <d v="2023-10-17T00:00:00"/>
    <n v="8"/>
    <n v="1"/>
    <n v="6268"/>
    <n v="3134"/>
    <n v="65817"/>
    <n v="3134"/>
    <n v="72085"/>
  </r>
  <r>
    <n v="4495"/>
    <x v="5"/>
    <s v="Female"/>
    <n v="47"/>
    <s v="Mumbai"/>
    <x v="0"/>
    <n v="79055"/>
    <d v="2023-12-29T00:00:00"/>
    <n v="11"/>
    <n v="3"/>
    <n v="7906"/>
    <n v="3953"/>
    <n v="83008"/>
    <n v="3953"/>
    <n v="90914"/>
  </r>
  <r>
    <n v="4496"/>
    <x v="3"/>
    <s v="Female"/>
    <n v="34"/>
    <s v="Chennai"/>
    <x v="0"/>
    <n v="75575"/>
    <d v="2023-12-19T00:00:00"/>
    <n v="7"/>
    <n v="1"/>
    <n v="7558"/>
    <n v="3779"/>
    <n v="79354"/>
    <n v="3779"/>
    <n v="86912"/>
  </r>
  <r>
    <n v="4497"/>
    <x v="7"/>
    <s v="Male"/>
    <n v="49"/>
    <s v="Hyderabad"/>
    <x v="3"/>
    <n v="26584"/>
    <d v="2023-12-09T00:00:00"/>
    <n v="5"/>
    <n v="3"/>
    <n v="2658"/>
    <n v="1329"/>
    <n v="27913"/>
    <n v="0"/>
    <n v="29242"/>
  </r>
  <r>
    <n v="4498"/>
    <x v="4"/>
    <s v="Female"/>
    <n v="51"/>
    <s v="Delhi"/>
    <x v="1"/>
    <n v="64650"/>
    <d v="2024-06-11T00:00:00"/>
    <n v="19"/>
    <n v="5"/>
    <n v="6465"/>
    <n v="3232"/>
    <n v="67883"/>
    <n v="3232"/>
    <n v="74347"/>
  </r>
  <r>
    <n v="4499"/>
    <x v="6"/>
    <s v="Male"/>
    <n v="55"/>
    <s v="Hyderabad"/>
    <x v="3"/>
    <n v="61813"/>
    <d v="2024-04-30T00:00:00"/>
    <n v="10"/>
    <n v="5"/>
    <n v="6181"/>
    <n v="3091"/>
    <n v="64903"/>
    <n v="3091"/>
    <n v="71085"/>
  </r>
  <r>
    <n v="4500"/>
    <x v="4"/>
    <s v="Female"/>
    <n v="34"/>
    <s v="Delhi"/>
    <x v="4"/>
    <n v="43192"/>
    <d v="2023-08-15T00:00:00"/>
    <n v="10"/>
    <n v="2"/>
    <n v="4319"/>
    <n v="2160"/>
    <n v="45351"/>
    <n v="2160"/>
    <n v="49671"/>
  </r>
  <r>
    <n v="4501"/>
    <x v="5"/>
    <s v="Female"/>
    <n v="54"/>
    <s v="Bangalore"/>
    <x v="2"/>
    <n v="92192"/>
    <d v="2022-02-01T00:00:00"/>
    <n v="11"/>
    <n v="5"/>
    <n v="9219"/>
    <n v="4610"/>
    <n v="96801"/>
    <n v="4610"/>
    <n v="106021"/>
  </r>
  <r>
    <n v="4502"/>
    <x v="4"/>
    <s v="Male"/>
    <n v="60"/>
    <s v="Mumbai"/>
    <x v="3"/>
    <n v="67293"/>
    <d v="2023-10-11T00:00:00"/>
    <n v="1"/>
    <n v="5"/>
    <n v="6729"/>
    <n v="3365"/>
    <n v="70657"/>
    <n v="0"/>
    <n v="74022"/>
  </r>
  <r>
    <n v="4503"/>
    <x v="8"/>
    <s v="Female"/>
    <n v="56"/>
    <s v="Mumbai"/>
    <x v="2"/>
    <n v="57357"/>
    <d v="2024-03-06T00:00:00"/>
    <n v="16"/>
    <n v="4"/>
    <n v="5736"/>
    <n v="2868"/>
    <n v="60225"/>
    <n v="2868"/>
    <n v="65961"/>
  </r>
  <r>
    <n v="4504"/>
    <x v="0"/>
    <s v="Male"/>
    <n v="44"/>
    <s v="Delhi"/>
    <x v="4"/>
    <n v="44528"/>
    <d v="2022-05-13T00:00:00"/>
    <n v="2"/>
    <n v="5"/>
    <n v="4453"/>
    <n v="2226"/>
    <n v="46755"/>
    <n v="0"/>
    <n v="48981"/>
  </r>
  <r>
    <n v="4505"/>
    <x v="5"/>
    <s v="Female"/>
    <n v="22"/>
    <s v="Bangalore"/>
    <x v="1"/>
    <n v="81401"/>
    <d v="2022-10-17T00:00:00"/>
    <n v="15"/>
    <n v="1"/>
    <n v="8140"/>
    <n v="4070"/>
    <n v="85471"/>
    <n v="4070"/>
    <n v="93611"/>
  </r>
  <r>
    <n v="4506"/>
    <x v="3"/>
    <s v="Female"/>
    <n v="38"/>
    <s v="Delhi"/>
    <x v="3"/>
    <n v="23060"/>
    <d v="2022-03-30T00:00:00"/>
    <n v="20"/>
    <n v="5"/>
    <n v="2306"/>
    <n v="1153"/>
    <n v="24213"/>
    <n v="1153"/>
    <n v="26519"/>
  </r>
  <r>
    <n v="4507"/>
    <x v="1"/>
    <s v="Male"/>
    <n v="49"/>
    <s v="Bangalore"/>
    <x v="4"/>
    <n v="26905"/>
    <d v="2023-07-08T00:00:00"/>
    <n v="2"/>
    <n v="2"/>
    <n v="2690"/>
    <n v="1345"/>
    <n v="28250"/>
    <n v="0"/>
    <n v="29595"/>
  </r>
  <r>
    <n v="4508"/>
    <x v="5"/>
    <s v="Male"/>
    <n v="35"/>
    <s v="Hyderabad"/>
    <x v="1"/>
    <n v="43220"/>
    <d v="2024-02-17T00:00:00"/>
    <n v="9"/>
    <n v="4"/>
    <n v="4322"/>
    <n v="2161"/>
    <n v="45381"/>
    <n v="2161"/>
    <n v="49703"/>
  </r>
  <r>
    <n v="4509"/>
    <x v="0"/>
    <s v="Female"/>
    <n v="40"/>
    <s v="Hyderabad"/>
    <x v="2"/>
    <n v="59948"/>
    <d v="2022-06-20T00:00:00"/>
    <n v="3"/>
    <n v="5"/>
    <n v="5995"/>
    <n v="2997"/>
    <n v="62946"/>
    <n v="0"/>
    <n v="65943"/>
  </r>
  <r>
    <n v="4510"/>
    <x v="3"/>
    <s v="Male"/>
    <n v="50"/>
    <s v="Chennai"/>
    <x v="2"/>
    <n v="33109"/>
    <d v="2024-01-27T00:00:00"/>
    <n v="19"/>
    <n v="1"/>
    <n v="3311"/>
    <n v="1655"/>
    <n v="34765"/>
    <n v="1655"/>
    <n v="38075"/>
  </r>
  <r>
    <n v="4511"/>
    <x v="2"/>
    <s v="Male"/>
    <n v="26"/>
    <s v="Mumbai"/>
    <x v="0"/>
    <n v="77930"/>
    <d v="2023-08-19T00:00:00"/>
    <n v="18"/>
    <n v="2"/>
    <n v="7793"/>
    <n v="3896"/>
    <n v="81827"/>
    <n v="3896"/>
    <n v="89619"/>
  </r>
  <r>
    <n v="4512"/>
    <x v="6"/>
    <s v="Male"/>
    <n v="38"/>
    <s v="Bangalore"/>
    <x v="2"/>
    <n v="72194"/>
    <d v="2023-05-07T00:00:00"/>
    <n v="17"/>
    <n v="1"/>
    <n v="7219"/>
    <n v="3610"/>
    <n v="75803"/>
    <n v="3610"/>
    <n v="83023"/>
  </r>
  <r>
    <n v="4513"/>
    <x v="7"/>
    <s v="Male"/>
    <n v="46"/>
    <s v="Hyderabad"/>
    <x v="3"/>
    <n v="69986"/>
    <d v="2023-11-05T00:00:00"/>
    <n v="14"/>
    <n v="5"/>
    <n v="6999"/>
    <n v="3499"/>
    <n v="73486"/>
    <n v="3499"/>
    <n v="80484"/>
  </r>
  <r>
    <n v="4514"/>
    <x v="3"/>
    <s v="Female"/>
    <n v="21"/>
    <s v="Chennai"/>
    <x v="0"/>
    <n v="97869"/>
    <d v="2024-01-06T00:00:00"/>
    <n v="15"/>
    <n v="5"/>
    <n v="9787"/>
    <n v="4893"/>
    <n v="102763"/>
    <n v="4893"/>
    <n v="112549"/>
  </r>
  <r>
    <n v="4515"/>
    <x v="0"/>
    <s v="Female"/>
    <n v="33"/>
    <s v="Mumbai"/>
    <x v="4"/>
    <n v="41284"/>
    <d v="2022-08-31T00:00:00"/>
    <n v="4"/>
    <n v="5"/>
    <n v="4128"/>
    <n v="2064"/>
    <n v="43348"/>
    <n v="0"/>
    <n v="45412"/>
  </r>
  <r>
    <n v="4516"/>
    <x v="5"/>
    <s v="Female"/>
    <n v="34"/>
    <s v="Mumbai"/>
    <x v="3"/>
    <n v="23453"/>
    <d v="2023-02-25T00:00:00"/>
    <n v="19"/>
    <n v="4"/>
    <n v="2345"/>
    <n v="1173"/>
    <n v="24625"/>
    <n v="1173"/>
    <n v="26971"/>
  </r>
  <r>
    <n v="4517"/>
    <x v="8"/>
    <s v="Male"/>
    <n v="28"/>
    <s v="Chennai"/>
    <x v="0"/>
    <n v="86560"/>
    <d v="2024-04-15T00:00:00"/>
    <n v="11"/>
    <n v="2"/>
    <n v="8656"/>
    <n v="4328"/>
    <n v="90888"/>
    <n v="4328"/>
    <n v="99544"/>
  </r>
  <r>
    <n v="4518"/>
    <x v="4"/>
    <s v="Female"/>
    <n v="54"/>
    <s v="Bangalore"/>
    <x v="2"/>
    <n v="30578"/>
    <d v="2022-09-02T00:00:00"/>
    <n v="3"/>
    <n v="3"/>
    <n v="3058"/>
    <n v="1529"/>
    <n v="32107"/>
    <n v="0"/>
    <n v="33636"/>
  </r>
  <r>
    <n v="4519"/>
    <x v="0"/>
    <s v="Male"/>
    <n v="50"/>
    <s v="Hyderabad"/>
    <x v="3"/>
    <n v="77358"/>
    <d v="2024-08-07T00:00:00"/>
    <n v="13"/>
    <n v="4"/>
    <n v="7736"/>
    <n v="3868"/>
    <n v="81226"/>
    <n v="3868"/>
    <n v="88962"/>
  </r>
  <r>
    <n v="4520"/>
    <x v="0"/>
    <s v="Male"/>
    <n v="44"/>
    <s v="Bangalore"/>
    <x v="1"/>
    <n v="91567"/>
    <d v="2023-09-13T00:00:00"/>
    <n v="7"/>
    <n v="1"/>
    <n v="9157"/>
    <n v="4578"/>
    <n v="96146"/>
    <n v="4578"/>
    <n v="105302"/>
  </r>
  <r>
    <n v="4521"/>
    <x v="6"/>
    <s v="Male"/>
    <n v="21"/>
    <s v="Chennai"/>
    <x v="4"/>
    <n v="55286"/>
    <d v="2024-03-17T00:00:00"/>
    <n v="16"/>
    <n v="3"/>
    <n v="5529"/>
    <n v="2764"/>
    <n v="58051"/>
    <n v="2764"/>
    <n v="63579"/>
  </r>
  <r>
    <n v="4522"/>
    <x v="2"/>
    <s v="Male"/>
    <n v="32"/>
    <s v="Mumbai"/>
    <x v="2"/>
    <n v="94397"/>
    <d v="2022-11-19T00:00:00"/>
    <n v="16"/>
    <n v="2"/>
    <n v="9440"/>
    <n v="4720"/>
    <n v="99117"/>
    <n v="4720"/>
    <n v="108557"/>
  </r>
  <r>
    <n v="4523"/>
    <x v="1"/>
    <s v="Male"/>
    <n v="31"/>
    <s v="Delhi"/>
    <x v="3"/>
    <n v="46881"/>
    <d v="2023-03-12T00:00:00"/>
    <n v="17"/>
    <n v="3"/>
    <n v="4688"/>
    <n v="2344"/>
    <n v="49225"/>
    <n v="2344"/>
    <n v="53913"/>
  </r>
  <r>
    <n v="4524"/>
    <x v="0"/>
    <s v="Female"/>
    <n v="53"/>
    <s v="Delhi"/>
    <x v="2"/>
    <n v="78749"/>
    <d v="2024-01-19T00:00:00"/>
    <n v="6"/>
    <n v="4"/>
    <n v="7875"/>
    <n v="3937"/>
    <n v="82687"/>
    <n v="3937"/>
    <n v="90561"/>
  </r>
  <r>
    <n v="4525"/>
    <x v="6"/>
    <s v="Male"/>
    <n v="44"/>
    <s v="Hyderabad"/>
    <x v="3"/>
    <n v="87304"/>
    <d v="2024-01-09T00:00:00"/>
    <n v="6"/>
    <n v="5"/>
    <n v="8730"/>
    <n v="4365"/>
    <n v="91669"/>
    <n v="4365"/>
    <n v="100399"/>
  </r>
  <r>
    <n v="4526"/>
    <x v="0"/>
    <s v="Female"/>
    <n v="43"/>
    <s v="Bangalore"/>
    <x v="1"/>
    <n v="49938"/>
    <d v="2022-10-25T00:00:00"/>
    <n v="12"/>
    <n v="4"/>
    <n v="4994"/>
    <n v="2497"/>
    <n v="52435"/>
    <n v="2497"/>
    <n v="57429"/>
  </r>
  <r>
    <n v="4527"/>
    <x v="1"/>
    <s v="Male"/>
    <n v="48"/>
    <s v="Delhi"/>
    <x v="4"/>
    <n v="97798"/>
    <d v="2024-02-17T00:00:00"/>
    <n v="6"/>
    <n v="5"/>
    <n v="9780"/>
    <n v="4890"/>
    <n v="102688"/>
    <n v="4890"/>
    <n v="112468"/>
  </r>
  <r>
    <n v="4528"/>
    <x v="6"/>
    <s v="Female"/>
    <n v="30"/>
    <s v="Hyderabad"/>
    <x v="1"/>
    <n v="51401"/>
    <d v="2022-01-05T00:00:00"/>
    <n v="14"/>
    <n v="4"/>
    <n v="5140"/>
    <n v="2570"/>
    <n v="53971"/>
    <n v="2570"/>
    <n v="59111"/>
  </r>
  <r>
    <n v="4529"/>
    <x v="5"/>
    <s v="Male"/>
    <n v="44"/>
    <s v="Bangalore"/>
    <x v="4"/>
    <n v="78066"/>
    <d v="2022-07-10T00:00:00"/>
    <n v="5"/>
    <n v="1"/>
    <n v="7807"/>
    <n v="3903"/>
    <n v="81970"/>
    <n v="0"/>
    <n v="85873"/>
  </r>
  <r>
    <n v="4530"/>
    <x v="4"/>
    <s v="Male"/>
    <n v="22"/>
    <s v="Hyderabad"/>
    <x v="2"/>
    <n v="77345"/>
    <d v="2022-02-26T00:00:00"/>
    <n v="13"/>
    <n v="3"/>
    <n v="7734"/>
    <n v="3867"/>
    <n v="81212"/>
    <n v="3867"/>
    <n v="88946"/>
  </r>
  <r>
    <n v="4531"/>
    <x v="3"/>
    <s v="Female"/>
    <n v="39"/>
    <s v="Chennai"/>
    <x v="4"/>
    <n v="24893"/>
    <d v="2024-06-18T00:00:00"/>
    <n v="1"/>
    <n v="3"/>
    <n v="2489"/>
    <n v="1245"/>
    <n v="26137"/>
    <n v="0"/>
    <n v="27382"/>
  </r>
  <r>
    <n v="4532"/>
    <x v="8"/>
    <s v="Male"/>
    <n v="23"/>
    <s v="Delhi"/>
    <x v="0"/>
    <n v="31431"/>
    <d v="2022-06-24T00:00:00"/>
    <n v="8"/>
    <n v="3"/>
    <n v="3143"/>
    <n v="1572"/>
    <n v="33002"/>
    <n v="1572"/>
    <n v="36146"/>
  </r>
  <r>
    <n v="4533"/>
    <x v="4"/>
    <s v="Female"/>
    <n v="49"/>
    <s v="Chennai"/>
    <x v="1"/>
    <n v="55905"/>
    <d v="2022-12-21T00:00:00"/>
    <n v="4"/>
    <n v="4"/>
    <n v="5590"/>
    <n v="2795"/>
    <n v="58700"/>
    <n v="0"/>
    <n v="61495"/>
  </r>
  <r>
    <n v="4534"/>
    <x v="3"/>
    <s v="Female"/>
    <n v="24"/>
    <s v="Chennai"/>
    <x v="2"/>
    <n v="52830"/>
    <d v="2023-10-16T00:00:00"/>
    <n v="15"/>
    <n v="4"/>
    <n v="5283"/>
    <n v="2642"/>
    <n v="55471"/>
    <n v="2642"/>
    <n v="60755"/>
  </r>
  <r>
    <n v="4535"/>
    <x v="4"/>
    <s v="Male"/>
    <n v="29"/>
    <s v="Chennai"/>
    <x v="1"/>
    <n v="94195"/>
    <d v="2022-03-13T00:00:00"/>
    <n v="11"/>
    <n v="4"/>
    <n v="9420"/>
    <n v="4710"/>
    <n v="98905"/>
    <n v="4710"/>
    <n v="108325"/>
  </r>
  <r>
    <n v="4536"/>
    <x v="6"/>
    <s v="Male"/>
    <n v="30"/>
    <s v="Bangalore"/>
    <x v="3"/>
    <n v="65993"/>
    <d v="2024-07-22T00:00:00"/>
    <n v="18"/>
    <n v="3"/>
    <n v="6599"/>
    <n v="3300"/>
    <n v="69292"/>
    <n v="3300"/>
    <n v="75892"/>
  </r>
  <r>
    <n v="4537"/>
    <x v="1"/>
    <s v="Male"/>
    <n v="31"/>
    <s v="Delhi"/>
    <x v="2"/>
    <n v="94008"/>
    <d v="2024-09-02T00:00:00"/>
    <n v="2"/>
    <n v="1"/>
    <n v="9401"/>
    <n v="4700"/>
    <n v="98709"/>
    <n v="0"/>
    <n v="103409"/>
  </r>
  <r>
    <n v="4538"/>
    <x v="6"/>
    <s v="Female"/>
    <n v="28"/>
    <s v="Chennai"/>
    <x v="3"/>
    <n v="46323"/>
    <d v="2024-05-18T00:00:00"/>
    <n v="3"/>
    <n v="1"/>
    <n v="4632"/>
    <n v="2316"/>
    <n v="48639"/>
    <n v="0"/>
    <n v="50955"/>
  </r>
  <r>
    <n v="4539"/>
    <x v="3"/>
    <s v="Male"/>
    <n v="49"/>
    <s v="Chennai"/>
    <x v="4"/>
    <n v="79138"/>
    <d v="2022-02-03T00:00:00"/>
    <n v="3"/>
    <n v="4"/>
    <n v="7914"/>
    <n v="3957"/>
    <n v="83095"/>
    <n v="0"/>
    <n v="87052"/>
  </r>
  <r>
    <n v="4540"/>
    <x v="2"/>
    <s v="Male"/>
    <n v="56"/>
    <s v="Bangalore"/>
    <x v="4"/>
    <n v="95552"/>
    <d v="2022-10-13T00:00:00"/>
    <n v="15"/>
    <n v="1"/>
    <n v="9555"/>
    <n v="4778"/>
    <n v="100329"/>
    <n v="4778"/>
    <n v="109885"/>
  </r>
  <r>
    <n v="4541"/>
    <x v="0"/>
    <s v="Female"/>
    <n v="36"/>
    <s v="Chennai"/>
    <x v="2"/>
    <n v="62978"/>
    <d v="2022-07-17T00:00:00"/>
    <n v="17"/>
    <n v="4"/>
    <n v="6298"/>
    <n v="3149"/>
    <n v="66127"/>
    <n v="3149"/>
    <n v="72425"/>
  </r>
  <r>
    <n v="4542"/>
    <x v="3"/>
    <s v="Female"/>
    <n v="44"/>
    <s v="Bangalore"/>
    <x v="4"/>
    <n v="58408"/>
    <d v="2023-05-18T00:00:00"/>
    <n v="10"/>
    <n v="3"/>
    <n v="5841"/>
    <n v="2920"/>
    <n v="61329"/>
    <n v="2920"/>
    <n v="67169"/>
  </r>
  <r>
    <n v="4543"/>
    <x v="7"/>
    <s v="Male"/>
    <n v="49"/>
    <s v="Bangalore"/>
    <x v="0"/>
    <n v="62569"/>
    <d v="2022-06-24T00:00:00"/>
    <n v="3"/>
    <n v="4"/>
    <n v="6257"/>
    <n v="3128"/>
    <n v="65698"/>
    <n v="0"/>
    <n v="68826"/>
  </r>
  <r>
    <n v="4544"/>
    <x v="2"/>
    <s v="Male"/>
    <n v="24"/>
    <s v="Delhi"/>
    <x v="4"/>
    <n v="58317"/>
    <d v="2022-11-26T00:00:00"/>
    <n v="2"/>
    <n v="4"/>
    <n v="5832"/>
    <n v="2916"/>
    <n v="61233"/>
    <n v="0"/>
    <n v="64149"/>
  </r>
  <r>
    <n v="4545"/>
    <x v="5"/>
    <s v="Male"/>
    <n v="54"/>
    <s v="Chennai"/>
    <x v="1"/>
    <n v="67217"/>
    <d v="2023-12-28T00:00:00"/>
    <n v="14"/>
    <n v="3"/>
    <n v="6722"/>
    <n v="3361"/>
    <n v="70578"/>
    <n v="3361"/>
    <n v="77300"/>
  </r>
  <r>
    <n v="4546"/>
    <x v="4"/>
    <s v="Female"/>
    <n v="26"/>
    <s v="Chennai"/>
    <x v="3"/>
    <n v="88472"/>
    <d v="2022-10-10T00:00:00"/>
    <n v="8"/>
    <n v="2"/>
    <n v="8847"/>
    <n v="4424"/>
    <n v="92895"/>
    <n v="4424"/>
    <n v="101743"/>
  </r>
  <r>
    <n v="4547"/>
    <x v="0"/>
    <s v="Female"/>
    <n v="30"/>
    <s v="Bangalore"/>
    <x v="0"/>
    <n v="59696"/>
    <d v="2023-12-25T00:00:00"/>
    <n v="14"/>
    <n v="4"/>
    <n v="5970"/>
    <n v="2985"/>
    <n v="62681"/>
    <n v="2985"/>
    <n v="68651"/>
  </r>
  <r>
    <n v="4548"/>
    <x v="9"/>
    <s v="Female"/>
    <n v="34"/>
    <s v="Delhi"/>
    <x v="1"/>
    <n v="34438"/>
    <d v="2024-09-19T00:00:00"/>
    <n v="15"/>
    <n v="4"/>
    <n v="3444"/>
    <n v="1722"/>
    <n v="36160"/>
    <n v="1722"/>
    <n v="39604"/>
  </r>
  <r>
    <n v="4549"/>
    <x v="0"/>
    <s v="Female"/>
    <n v="30"/>
    <s v="Delhi"/>
    <x v="4"/>
    <n v="67960"/>
    <d v="2023-11-10T00:00:00"/>
    <n v="18"/>
    <n v="1"/>
    <n v="6796"/>
    <n v="3398"/>
    <n v="71358"/>
    <n v="3398"/>
    <n v="78154"/>
  </r>
  <r>
    <n v="4550"/>
    <x v="3"/>
    <s v="Female"/>
    <n v="22"/>
    <s v="Hyderabad"/>
    <x v="4"/>
    <n v="53432"/>
    <d v="2023-10-18T00:00:00"/>
    <n v="2"/>
    <n v="4"/>
    <n v="5343"/>
    <n v="2672"/>
    <n v="56103"/>
    <n v="0"/>
    <n v="58775"/>
  </r>
  <r>
    <n v="4551"/>
    <x v="5"/>
    <s v="Male"/>
    <n v="23"/>
    <s v="Bangalore"/>
    <x v="2"/>
    <n v="52244"/>
    <d v="2022-12-17T00:00:00"/>
    <n v="1"/>
    <n v="5"/>
    <n v="5224"/>
    <n v="2612"/>
    <n v="54856"/>
    <n v="0"/>
    <n v="57468"/>
  </r>
  <r>
    <n v="4552"/>
    <x v="0"/>
    <s v="Female"/>
    <n v="32"/>
    <s v="Bangalore"/>
    <x v="3"/>
    <n v="43859"/>
    <d v="2023-05-16T00:00:00"/>
    <n v="16"/>
    <n v="1"/>
    <n v="4386"/>
    <n v="2193"/>
    <n v="46052"/>
    <n v="2193"/>
    <n v="50438"/>
  </r>
  <r>
    <n v="4553"/>
    <x v="9"/>
    <s v="Male"/>
    <n v="52"/>
    <s v="Chennai"/>
    <x v="0"/>
    <n v="87965"/>
    <d v="2022-03-23T00:00:00"/>
    <n v="1"/>
    <n v="5"/>
    <n v="8796"/>
    <n v="4398"/>
    <n v="92363"/>
    <n v="0"/>
    <n v="96761"/>
  </r>
  <r>
    <n v="4554"/>
    <x v="8"/>
    <s v="Male"/>
    <n v="29"/>
    <s v="Chennai"/>
    <x v="0"/>
    <n v="83706"/>
    <d v="2022-04-01T00:00:00"/>
    <n v="10"/>
    <n v="4"/>
    <n v="8371"/>
    <n v="4185"/>
    <n v="87892"/>
    <n v="4185"/>
    <n v="96262"/>
  </r>
  <r>
    <n v="4555"/>
    <x v="4"/>
    <s v="Male"/>
    <n v="40"/>
    <s v="Mumbai"/>
    <x v="2"/>
    <n v="47842"/>
    <d v="2023-09-12T00:00:00"/>
    <n v="16"/>
    <n v="5"/>
    <n v="4784"/>
    <n v="2392"/>
    <n v="50234"/>
    <n v="2392"/>
    <n v="55018"/>
  </r>
  <r>
    <n v="4556"/>
    <x v="1"/>
    <s v="Male"/>
    <n v="47"/>
    <s v="Chennai"/>
    <x v="3"/>
    <n v="27782"/>
    <d v="2023-02-02T00:00:00"/>
    <n v="10"/>
    <n v="4"/>
    <n v="2778"/>
    <n v="1389"/>
    <n v="29171"/>
    <n v="1389"/>
    <n v="31949"/>
  </r>
  <r>
    <n v="4557"/>
    <x v="6"/>
    <s v="Male"/>
    <n v="36"/>
    <s v="Delhi"/>
    <x v="0"/>
    <n v="35831"/>
    <d v="2024-08-07T00:00:00"/>
    <n v="8"/>
    <n v="5"/>
    <n v="3583"/>
    <n v="1792"/>
    <n v="37622"/>
    <n v="1792"/>
    <n v="41206"/>
  </r>
  <r>
    <n v="4558"/>
    <x v="6"/>
    <s v="Female"/>
    <n v="31"/>
    <s v="Mumbai"/>
    <x v="0"/>
    <n v="43189"/>
    <d v="2023-05-31T00:00:00"/>
    <n v="17"/>
    <n v="4"/>
    <n v="4319"/>
    <n v="2159"/>
    <n v="45349"/>
    <n v="2159"/>
    <n v="49667"/>
  </r>
  <r>
    <n v="4559"/>
    <x v="3"/>
    <s v="Female"/>
    <n v="59"/>
    <s v="Hyderabad"/>
    <x v="1"/>
    <n v="30428"/>
    <d v="2022-02-21T00:00:00"/>
    <n v="19"/>
    <n v="5"/>
    <n v="3043"/>
    <n v="1521"/>
    <n v="31950"/>
    <n v="1521"/>
    <n v="34992"/>
  </r>
  <r>
    <n v="4560"/>
    <x v="3"/>
    <s v="Female"/>
    <n v="24"/>
    <s v="Bangalore"/>
    <x v="2"/>
    <n v="93784"/>
    <d v="2023-09-30T00:00:00"/>
    <n v="12"/>
    <n v="1"/>
    <n v="9378"/>
    <n v="4689"/>
    <n v="98473"/>
    <n v="4689"/>
    <n v="107851"/>
  </r>
  <r>
    <n v="4561"/>
    <x v="2"/>
    <s v="Male"/>
    <n v="36"/>
    <s v="Bangalore"/>
    <x v="4"/>
    <n v="36747"/>
    <d v="2022-02-10T00:00:00"/>
    <n v="13"/>
    <n v="4"/>
    <n v="3675"/>
    <n v="1837"/>
    <n v="38585"/>
    <n v="1837"/>
    <n v="42259"/>
  </r>
  <r>
    <n v="4562"/>
    <x v="4"/>
    <s v="Female"/>
    <n v="55"/>
    <s v="Chennai"/>
    <x v="4"/>
    <n v="69161"/>
    <d v="2022-04-01T00:00:00"/>
    <n v="2"/>
    <n v="5"/>
    <n v="6916"/>
    <n v="3458"/>
    <n v="72619"/>
    <n v="0"/>
    <n v="76077"/>
  </r>
  <r>
    <n v="4563"/>
    <x v="5"/>
    <s v="Male"/>
    <n v="33"/>
    <s v="Hyderabad"/>
    <x v="1"/>
    <n v="38073"/>
    <d v="2022-07-17T00:00:00"/>
    <n v="3"/>
    <n v="1"/>
    <n v="3807"/>
    <n v="1904"/>
    <n v="39976"/>
    <n v="0"/>
    <n v="41880"/>
  </r>
  <r>
    <n v="4564"/>
    <x v="8"/>
    <s v="Male"/>
    <n v="39"/>
    <s v="Delhi"/>
    <x v="0"/>
    <n v="64085"/>
    <d v="2023-11-23T00:00:00"/>
    <n v="12"/>
    <n v="2"/>
    <n v="6408"/>
    <n v="3204"/>
    <n v="67289"/>
    <n v="3204"/>
    <n v="73697"/>
  </r>
  <r>
    <n v="4565"/>
    <x v="7"/>
    <s v="Female"/>
    <n v="51"/>
    <s v="Mumbai"/>
    <x v="3"/>
    <n v="91439"/>
    <d v="2023-02-26T00:00:00"/>
    <n v="1"/>
    <n v="4"/>
    <n v="9144"/>
    <n v="4572"/>
    <n v="96011"/>
    <n v="0"/>
    <n v="100583"/>
  </r>
  <r>
    <n v="4566"/>
    <x v="4"/>
    <s v="Female"/>
    <n v="21"/>
    <s v="Bangalore"/>
    <x v="2"/>
    <n v="22760"/>
    <d v="2022-04-18T00:00:00"/>
    <n v="17"/>
    <n v="1"/>
    <n v="2276"/>
    <n v="1138"/>
    <n v="23898"/>
    <n v="1138"/>
    <n v="26174"/>
  </r>
  <r>
    <n v="4567"/>
    <x v="9"/>
    <s v="Male"/>
    <n v="35"/>
    <s v="Delhi"/>
    <x v="3"/>
    <n v="40998"/>
    <d v="2022-03-30T00:00:00"/>
    <n v="1"/>
    <n v="1"/>
    <n v="4100"/>
    <n v="2050"/>
    <n v="43048"/>
    <n v="0"/>
    <n v="45098"/>
  </r>
  <r>
    <n v="4568"/>
    <x v="8"/>
    <s v="Female"/>
    <n v="59"/>
    <s v="Mumbai"/>
    <x v="3"/>
    <n v="31589"/>
    <d v="2022-07-05T00:00:00"/>
    <n v="18"/>
    <n v="5"/>
    <n v="3159"/>
    <n v="1579"/>
    <n v="33169"/>
    <n v="1579"/>
    <n v="36327"/>
  </r>
  <r>
    <n v="4569"/>
    <x v="7"/>
    <s v="Female"/>
    <n v="58"/>
    <s v="Mumbai"/>
    <x v="1"/>
    <n v="74510"/>
    <d v="2024-08-28T00:00:00"/>
    <n v="8"/>
    <n v="5"/>
    <n v="7451"/>
    <n v="3726"/>
    <n v="78235"/>
    <n v="3726"/>
    <n v="85687"/>
  </r>
  <r>
    <n v="4570"/>
    <x v="6"/>
    <s v="Female"/>
    <n v="34"/>
    <s v="Delhi"/>
    <x v="0"/>
    <n v="84994"/>
    <d v="2022-08-06T00:00:00"/>
    <n v="12"/>
    <n v="3"/>
    <n v="8499"/>
    <n v="4250"/>
    <n v="89243"/>
    <n v="4250"/>
    <n v="97743"/>
  </r>
  <r>
    <n v="4571"/>
    <x v="9"/>
    <s v="Female"/>
    <n v="31"/>
    <s v="Delhi"/>
    <x v="2"/>
    <n v="47050"/>
    <d v="2024-08-03T00:00:00"/>
    <n v="7"/>
    <n v="3"/>
    <n v="4705"/>
    <n v="2352"/>
    <n v="49403"/>
    <n v="2352"/>
    <n v="54107"/>
  </r>
  <r>
    <n v="4572"/>
    <x v="6"/>
    <s v="Female"/>
    <n v="32"/>
    <s v="Bangalore"/>
    <x v="0"/>
    <n v="57507"/>
    <d v="2022-04-25T00:00:00"/>
    <n v="7"/>
    <n v="3"/>
    <n v="5751"/>
    <n v="2875"/>
    <n v="60383"/>
    <n v="2875"/>
    <n v="66133"/>
  </r>
  <r>
    <n v="4573"/>
    <x v="7"/>
    <s v="Male"/>
    <n v="31"/>
    <s v="Mumbai"/>
    <x v="4"/>
    <n v="47227"/>
    <d v="2023-01-21T00:00:00"/>
    <n v="18"/>
    <n v="5"/>
    <n v="4723"/>
    <n v="2361"/>
    <n v="49589"/>
    <n v="2361"/>
    <n v="54311"/>
  </r>
  <r>
    <n v="4574"/>
    <x v="4"/>
    <s v="Male"/>
    <n v="53"/>
    <s v="Chennai"/>
    <x v="4"/>
    <n v="76669"/>
    <d v="2024-05-30T00:00:00"/>
    <n v="15"/>
    <n v="5"/>
    <n v="7667"/>
    <n v="3833"/>
    <n v="80503"/>
    <n v="3833"/>
    <n v="88169"/>
  </r>
  <r>
    <n v="4575"/>
    <x v="7"/>
    <s v="Female"/>
    <n v="27"/>
    <s v="Chennai"/>
    <x v="1"/>
    <n v="34762"/>
    <d v="2022-09-05T00:00:00"/>
    <n v="19"/>
    <n v="4"/>
    <n v="3476"/>
    <n v="1738"/>
    <n v="36500"/>
    <n v="1738"/>
    <n v="39976"/>
  </r>
  <r>
    <n v="4576"/>
    <x v="3"/>
    <s v="Female"/>
    <n v="53"/>
    <s v="Mumbai"/>
    <x v="3"/>
    <n v="35097"/>
    <d v="2023-05-18T00:00:00"/>
    <n v="6"/>
    <n v="1"/>
    <n v="3510"/>
    <n v="1755"/>
    <n v="36852"/>
    <n v="1755"/>
    <n v="40362"/>
  </r>
  <r>
    <n v="4577"/>
    <x v="6"/>
    <s v="Female"/>
    <n v="57"/>
    <s v="Bangalore"/>
    <x v="3"/>
    <n v="57894"/>
    <d v="2024-09-19T00:00:00"/>
    <n v="1"/>
    <n v="5"/>
    <n v="5789"/>
    <n v="2895"/>
    <n v="60788"/>
    <n v="0"/>
    <n v="63683"/>
  </r>
  <r>
    <n v="4578"/>
    <x v="8"/>
    <s v="Male"/>
    <n v="58"/>
    <s v="Delhi"/>
    <x v="2"/>
    <n v="26217"/>
    <d v="2023-06-09T00:00:00"/>
    <n v="12"/>
    <n v="5"/>
    <n v="2622"/>
    <n v="1311"/>
    <n v="27528"/>
    <n v="1311"/>
    <n v="30150"/>
  </r>
  <r>
    <n v="4579"/>
    <x v="8"/>
    <s v="Female"/>
    <n v="31"/>
    <s v="Hyderabad"/>
    <x v="0"/>
    <n v="91239"/>
    <d v="2022-02-25T00:00:00"/>
    <n v="11"/>
    <n v="4"/>
    <n v="9124"/>
    <n v="4562"/>
    <n v="95801"/>
    <n v="4562"/>
    <n v="104925"/>
  </r>
  <r>
    <n v="4580"/>
    <x v="7"/>
    <s v="Male"/>
    <n v="48"/>
    <s v="Mumbai"/>
    <x v="3"/>
    <n v="34439"/>
    <d v="2022-03-23T00:00:00"/>
    <n v="10"/>
    <n v="2"/>
    <n v="3444"/>
    <n v="1722"/>
    <n v="36161"/>
    <n v="1722"/>
    <n v="39605"/>
  </r>
  <r>
    <n v="4581"/>
    <x v="4"/>
    <s v="Male"/>
    <n v="28"/>
    <s v="Hyderabad"/>
    <x v="1"/>
    <n v="60753"/>
    <d v="2023-01-27T00:00:00"/>
    <n v="4"/>
    <n v="3"/>
    <n v="6075"/>
    <n v="3038"/>
    <n v="63790"/>
    <n v="0"/>
    <n v="66828"/>
  </r>
  <r>
    <n v="4582"/>
    <x v="7"/>
    <s v="Female"/>
    <n v="30"/>
    <s v="Chennai"/>
    <x v="4"/>
    <n v="23638"/>
    <d v="2022-10-18T00:00:00"/>
    <n v="13"/>
    <n v="1"/>
    <n v="2364"/>
    <n v="1182"/>
    <n v="24820"/>
    <n v="1182"/>
    <n v="27184"/>
  </r>
  <r>
    <n v="4583"/>
    <x v="2"/>
    <s v="Male"/>
    <n v="34"/>
    <s v="Delhi"/>
    <x v="3"/>
    <n v="45891"/>
    <d v="2024-05-30T00:00:00"/>
    <n v="7"/>
    <n v="4"/>
    <n v="4589"/>
    <n v="2295"/>
    <n v="48185"/>
    <n v="2295"/>
    <n v="52775"/>
  </r>
  <r>
    <n v="4584"/>
    <x v="7"/>
    <s v="Male"/>
    <n v="21"/>
    <s v="Delhi"/>
    <x v="2"/>
    <n v="38190"/>
    <d v="2022-08-25T00:00:00"/>
    <n v="8"/>
    <n v="2"/>
    <n v="3819"/>
    <n v="1910"/>
    <n v="40099"/>
    <n v="1910"/>
    <n v="43919"/>
  </r>
  <r>
    <n v="4585"/>
    <x v="8"/>
    <s v="Female"/>
    <n v="41"/>
    <s v="Bangalore"/>
    <x v="4"/>
    <n v="38254"/>
    <d v="2023-05-12T00:00:00"/>
    <n v="13"/>
    <n v="5"/>
    <n v="3825"/>
    <n v="1913"/>
    <n v="40166"/>
    <n v="1913"/>
    <n v="43992"/>
  </r>
  <r>
    <n v="4586"/>
    <x v="7"/>
    <s v="Male"/>
    <n v="54"/>
    <s v="Hyderabad"/>
    <x v="2"/>
    <n v="27499"/>
    <d v="2022-04-22T00:00:00"/>
    <n v="14"/>
    <n v="3"/>
    <n v="2750"/>
    <n v="1375"/>
    <n v="28874"/>
    <n v="1375"/>
    <n v="31624"/>
  </r>
  <r>
    <n v="4587"/>
    <x v="9"/>
    <s v="Female"/>
    <n v="26"/>
    <s v="Delhi"/>
    <x v="2"/>
    <n v="43078"/>
    <d v="2023-01-07T00:00:00"/>
    <n v="14"/>
    <n v="5"/>
    <n v="4308"/>
    <n v="2154"/>
    <n v="45232"/>
    <n v="2154"/>
    <n v="49540"/>
  </r>
  <r>
    <n v="4588"/>
    <x v="4"/>
    <s v="Female"/>
    <n v="38"/>
    <s v="Chennai"/>
    <x v="1"/>
    <n v="44528"/>
    <d v="2022-07-09T00:00:00"/>
    <n v="19"/>
    <n v="4"/>
    <n v="4453"/>
    <n v="2226"/>
    <n v="46755"/>
    <n v="2226"/>
    <n v="51207"/>
  </r>
  <r>
    <n v="4589"/>
    <x v="0"/>
    <s v="Female"/>
    <n v="44"/>
    <s v="Hyderabad"/>
    <x v="2"/>
    <n v="61925"/>
    <d v="2022-03-07T00:00:00"/>
    <n v="12"/>
    <n v="5"/>
    <n v="6192"/>
    <n v="3096"/>
    <n v="65021"/>
    <n v="3096"/>
    <n v="71213"/>
  </r>
  <r>
    <n v="4590"/>
    <x v="3"/>
    <s v="Male"/>
    <n v="28"/>
    <s v="Mumbai"/>
    <x v="0"/>
    <n v="21602"/>
    <d v="2022-12-11T00:00:00"/>
    <n v="15"/>
    <n v="1"/>
    <n v="2160"/>
    <n v="1080"/>
    <n v="22682"/>
    <n v="1080"/>
    <n v="24842"/>
  </r>
  <r>
    <n v="4591"/>
    <x v="4"/>
    <s v="Male"/>
    <n v="50"/>
    <s v="Chennai"/>
    <x v="0"/>
    <n v="97302"/>
    <d v="2023-05-26T00:00:00"/>
    <n v="8"/>
    <n v="3"/>
    <n v="9730"/>
    <n v="4865"/>
    <n v="102167"/>
    <n v="4865"/>
    <n v="111897"/>
  </r>
  <r>
    <n v="4592"/>
    <x v="2"/>
    <s v="Male"/>
    <n v="36"/>
    <s v="Bangalore"/>
    <x v="0"/>
    <n v="68978"/>
    <d v="2024-01-23T00:00:00"/>
    <n v="15"/>
    <n v="3"/>
    <n v="6898"/>
    <n v="3449"/>
    <n v="72427"/>
    <n v="3449"/>
    <n v="79325"/>
  </r>
  <r>
    <n v="4593"/>
    <x v="0"/>
    <s v="Male"/>
    <n v="22"/>
    <s v="Chennai"/>
    <x v="0"/>
    <n v="79408"/>
    <d v="2023-11-25T00:00:00"/>
    <n v="1"/>
    <n v="1"/>
    <n v="7941"/>
    <n v="3970"/>
    <n v="83379"/>
    <n v="0"/>
    <n v="87349"/>
  </r>
  <r>
    <n v="4594"/>
    <x v="1"/>
    <s v="Male"/>
    <n v="49"/>
    <s v="Chennai"/>
    <x v="4"/>
    <n v="25785"/>
    <d v="2023-06-06T00:00:00"/>
    <n v="6"/>
    <n v="5"/>
    <n v="2578"/>
    <n v="1289"/>
    <n v="27074"/>
    <n v="1289"/>
    <n v="29652"/>
  </r>
  <r>
    <n v="4595"/>
    <x v="4"/>
    <s v="Male"/>
    <n v="53"/>
    <s v="Mumbai"/>
    <x v="3"/>
    <n v="76477"/>
    <d v="2024-05-03T00:00:00"/>
    <n v="3"/>
    <n v="5"/>
    <n v="7648"/>
    <n v="3824"/>
    <n v="80301"/>
    <n v="0"/>
    <n v="84125"/>
  </r>
  <r>
    <n v="4596"/>
    <x v="1"/>
    <s v="Male"/>
    <n v="23"/>
    <s v="Hyderabad"/>
    <x v="3"/>
    <n v="54423"/>
    <d v="2023-05-30T00:00:00"/>
    <n v="16"/>
    <n v="1"/>
    <n v="5442"/>
    <n v="2721"/>
    <n v="57144"/>
    <n v="2721"/>
    <n v="62586"/>
  </r>
  <r>
    <n v="4597"/>
    <x v="3"/>
    <s v="Male"/>
    <n v="22"/>
    <s v="Bangalore"/>
    <x v="2"/>
    <n v="56930"/>
    <d v="2022-12-12T00:00:00"/>
    <n v="7"/>
    <n v="3"/>
    <n v="5693"/>
    <n v="2846"/>
    <n v="59777"/>
    <n v="2846"/>
    <n v="65469"/>
  </r>
  <r>
    <n v="4598"/>
    <x v="9"/>
    <s v="Female"/>
    <n v="37"/>
    <s v="Chennai"/>
    <x v="0"/>
    <n v="92323"/>
    <d v="2024-07-30T00:00:00"/>
    <n v="18"/>
    <n v="3"/>
    <n v="9232"/>
    <n v="4616"/>
    <n v="96939"/>
    <n v="4616"/>
    <n v="106171"/>
  </r>
  <r>
    <n v="4599"/>
    <x v="9"/>
    <s v="Male"/>
    <n v="50"/>
    <s v="Delhi"/>
    <x v="3"/>
    <n v="49795"/>
    <d v="2022-03-02T00:00:00"/>
    <n v="3"/>
    <n v="1"/>
    <n v="4980"/>
    <n v="2490"/>
    <n v="52285"/>
    <n v="0"/>
    <n v="54775"/>
  </r>
  <r>
    <n v="4600"/>
    <x v="9"/>
    <s v="Male"/>
    <n v="58"/>
    <s v="Mumbai"/>
    <x v="1"/>
    <n v="24349"/>
    <d v="2024-09-16T00:00:00"/>
    <n v="2"/>
    <n v="4"/>
    <n v="2435"/>
    <n v="1217"/>
    <n v="25567"/>
    <n v="0"/>
    <n v="26784"/>
  </r>
  <r>
    <n v="4601"/>
    <x v="8"/>
    <s v="Female"/>
    <n v="27"/>
    <s v="Mumbai"/>
    <x v="4"/>
    <n v="92786"/>
    <d v="2024-04-21T00:00:00"/>
    <n v="11"/>
    <n v="4"/>
    <n v="9279"/>
    <n v="4639"/>
    <n v="97426"/>
    <n v="4639"/>
    <n v="106704"/>
  </r>
  <r>
    <n v="4602"/>
    <x v="6"/>
    <s v="Male"/>
    <n v="57"/>
    <s v="Hyderabad"/>
    <x v="4"/>
    <n v="74808"/>
    <d v="2022-10-16T00:00:00"/>
    <n v="10"/>
    <n v="2"/>
    <n v="7481"/>
    <n v="3740"/>
    <n v="78549"/>
    <n v="3740"/>
    <n v="86029"/>
  </r>
  <r>
    <n v="4603"/>
    <x v="0"/>
    <s v="Female"/>
    <n v="47"/>
    <s v="Delhi"/>
    <x v="1"/>
    <n v="96101"/>
    <d v="2023-09-08T00:00:00"/>
    <n v="12"/>
    <n v="2"/>
    <n v="9610"/>
    <n v="4805"/>
    <n v="100906"/>
    <n v="4805"/>
    <n v="110516"/>
  </r>
  <r>
    <n v="4604"/>
    <x v="3"/>
    <s v="Male"/>
    <n v="38"/>
    <s v="Chennai"/>
    <x v="2"/>
    <n v="78948"/>
    <d v="2022-06-22T00:00:00"/>
    <n v="3"/>
    <n v="1"/>
    <n v="7895"/>
    <n v="3947"/>
    <n v="82896"/>
    <n v="0"/>
    <n v="86843"/>
  </r>
  <r>
    <n v="4605"/>
    <x v="6"/>
    <s v="Male"/>
    <n v="57"/>
    <s v="Delhi"/>
    <x v="1"/>
    <n v="42929"/>
    <d v="2023-08-20T00:00:00"/>
    <n v="7"/>
    <n v="1"/>
    <n v="4293"/>
    <n v="2146"/>
    <n v="45076"/>
    <n v="2146"/>
    <n v="49368"/>
  </r>
  <r>
    <n v="4606"/>
    <x v="8"/>
    <s v="Male"/>
    <n v="40"/>
    <s v="Chennai"/>
    <x v="2"/>
    <n v="27564"/>
    <d v="2023-10-11T00:00:00"/>
    <n v="9"/>
    <n v="3"/>
    <n v="2756"/>
    <n v="1378"/>
    <n v="28942"/>
    <n v="1378"/>
    <n v="31698"/>
  </r>
  <r>
    <n v="4607"/>
    <x v="3"/>
    <s v="Male"/>
    <n v="36"/>
    <s v="Bangalore"/>
    <x v="4"/>
    <n v="56475"/>
    <d v="2024-05-09T00:00:00"/>
    <n v="11"/>
    <n v="2"/>
    <n v="5648"/>
    <n v="2824"/>
    <n v="59299"/>
    <n v="2824"/>
    <n v="64947"/>
  </r>
  <r>
    <n v="4608"/>
    <x v="5"/>
    <s v="Female"/>
    <n v="40"/>
    <s v="Bangalore"/>
    <x v="0"/>
    <n v="86365"/>
    <d v="2024-08-04T00:00:00"/>
    <n v="10"/>
    <n v="2"/>
    <n v="8636"/>
    <n v="4318"/>
    <n v="90683"/>
    <n v="4318"/>
    <n v="99319"/>
  </r>
  <r>
    <n v="4609"/>
    <x v="1"/>
    <s v="Male"/>
    <n v="41"/>
    <s v="Delhi"/>
    <x v="1"/>
    <n v="20236"/>
    <d v="2022-07-19T00:00:00"/>
    <n v="20"/>
    <n v="4"/>
    <n v="2024"/>
    <n v="1012"/>
    <n v="21248"/>
    <n v="1012"/>
    <n v="23272"/>
  </r>
  <r>
    <n v="4610"/>
    <x v="9"/>
    <s v="Female"/>
    <n v="54"/>
    <s v="Hyderabad"/>
    <x v="3"/>
    <n v="35358"/>
    <d v="2022-04-30T00:00:00"/>
    <n v="18"/>
    <n v="1"/>
    <n v="3536"/>
    <n v="1768"/>
    <n v="37126"/>
    <n v="1768"/>
    <n v="40662"/>
  </r>
  <r>
    <n v="4611"/>
    <x v="7"/>
    <s v="Female"/>
    <n v="57"/>
    <s v="Bangalore"/>
    <x v="4"/>
    <n v="82655"/>
    <d v="2023-02-16T00:00:00"/>
    <n v="12"/>
    <n v="1"/>
    <n v="8266"/>
    <n v="4133"/>
    <n v="86788"/>
    <n v="4133"/>
    <n v="95054"/>
  </r>
  <r>
    <n v="4612"/>
    <x v="0"/>
    <s v="Female"/>
    <n v="28"/>
    <s v="Hyderabad"/>
    <x v="4"/>
    <n v="71818"/>
    <d v="2023-01-04T00:00:00"/>
    <n v="8"/>
    <n v="5"/>
    <n v="7182"/>
    <n v="3591"/>
    <n v="75409"/>
    <n v="3591"/>
    <n v="82591"/>
  </r>
  <r>
    <n v="4613"/>
    <x v="2"/>
    <s v="Female"/>
    <n v="39"/>
    <s v="Mumbai"/>
    <x v="0"/>
    <n v="73129"/>
    <d v="2022-11-05T00:00:00"/>
    <n v="15"/>
    <n v="3"/>
    <n v="7313"/>
    <n v="3656"/>
    <n v="76786"/>
    <n v="3656"/>
    <n v="84098"/>
  </r>
  <r>
    <n v="4614"/>
    <x v="5"/>
    <s v="Female"/>
    <n v="59"/>
    <s v="Bangalore"/>
    <x v="3"/>
    <n v="84827"/>
    <d v="2024-05-19T00:00:00"/>
    <n v="20"/>
    <n v="4"/>
    <n v="8483"/>
    <n v="4241"/>
    <n v="89069"/>
    <n v="4241"/>
    <n v="97551"/>
  </r>
  <r>
    <n v="4615"/>
    <x v="5"/>
    <s v="Female"/>
    <n v="26"/>
    <s v="Delhi"/>
    <x v="1"/>
    <n v="24810"/>
    <d v="2023-09-11T00:00:00"/>
    <n v="18"/>
    <n v="3"/>
    <n v="2481"/>
    <n v="1240"/>
    <n v="26051"/>
    <n v="1240"/>
    <n v="28531"/>
  </r>
  <r>
    <n v="4616"/>
    <x v="2"/>
    <s v="Male"/>
    <n v="55"/>
    <s v="Bangalore"/>
    <x v="2"/>
    <n v="70752"/>
    <d v="2024-06-25T00:00:00"/>
    <n v="3"/>
    <n v="1"/>
    <n v="7075"/>
    <n v="3538"/>
    <n v="74289"/>
    <n v="0"/>
    <n v="77827"/>
  </r>
  <r>
    <n v="4617"/>
    <x v="4"/>
    <s v="Male"/>
    <n v="31"/>
    <s v="Mumbai"/>
    <x v="1"/>
    <n v="32307"/>
    <d v="2022-10-21T00:00:00"/>
    <n v="12"/>
    <n v="2"/>
    <n v="3231"/>
    <n v="1615"/>
    <n v="33923"/>
    <n v="1615"/>
    <n v="37153"/>
  </r>
  <r>
    <n v="4618"/>
    <x v="1"/>
    <s v="Male"/>
    <n v="55"/>
    <s v="Chennai"/>
    <x v="2"/>
    <n v="49356"/>
    <d v="2022-05-23T00:00:00"/>
    <n v="4"/>
    <n v="4"/>
    <n v="4936"/>
    <n v="2468"/>
    <n v="51824"/>
    <n v="0"/>
    <n v="54292"/>
  </r>
  <r>
    <n v="4619"/>
    <x v="9"/>
    <s v="Female"/>
    <n v="54"/>
    <s v="Chennai"/>
    <x v="3"/>
    <n v="69013"/>
    <d v="2024-02-09T00:00:00"/>
    <n v="14"/>
    <n v="4"/>
    <n v="6901"/>
    <n v="3451"/>
    <n v="72463"/>
    <n v="3451"/>
    <n v="79365"/>
  </r>
  <r>
    <n v="4620"/>
    <x v="8"/>
    <s v="Female"/>
    <n v="47"/>
    <s v="Hyderabad"/>
    <x v="0"/>
    <n v="64028"/>
    <d v="2023-09-06T00:00:00"/>
    <n v="13"/>
    <n v="1"/>
    <n v="6403"/>
    <n v="3201"/>
    <n v="67230"/>
    <n v="3201"/>
    <n v="73632"/>
  </r>
  <r>
    <n v="4621"/>
    <x v="0"/>
    <s v="Male"/>
    <n v="33"/>
    <s v="Hyderabad"/>
    <x v="2"/>
    <n v="30660"/>
    <d v="2023-01-16T00:00:00"/>
    <n v="19"/>
    <n v="5"/>
    <n v="3066"/>
    <n v="1533"/>
    <n v="32193"/>
    <n v="1533"/>
    <n v="35259"/>
  </r>
  <r>
    <n v="4622"/>
    <x v="1"/>
    <s v="Female"/>
    <n v="52"/>
    <s v="Delhi"/>
    <x v="1"/>
    <n v="49748"/>
    <d v="2023-08-12T00:00:00"/>
    <n v="1"/>
    <n v="1"/>
    <n v="4975"/>
    <n v="2487"/>
    <n v="52236"/>
    <n v="0"/>
    <n v="54723"/>
  </r>
  <r>
    <n v="4623"/>
    <x v="4"/>
    <s v="Female"/>
    <n v="22"/>
    <s v="Chennai"/>
    <x v="2"/>
    <n v="88577"/>
    <d v="2022-03-24T00:00:00"/>
    <n v="11"/>
    <n v="5"/>
    <n v="8858"/>
    <n v="4429"/>
    <n v="93006"/>
    <n v="4429"/>
    <n v="101864"/>
  </r>
  <r>
    <n v="4624"/>
    <x v="0"/>
    <s v="Female"/>
    <n v="44"/>
    <s v="Bangalore"/>
    <x v="0"/>
    <n v="75002"/>
    <d v="2022-04-11T00:00:00"/>
    <n v="13"/>
    <n v="3"/>
    <n v="7500"/>
    <n v="3750"/>
    <n v="78752"/>
    <n v="3750"/>
    <n v="86252"/>
  </r>
  <r>
    <n v="4625"/>
    <x v="4"/>
    <s v="Male"/>
    <n v="49"/>
    <s v="Chennai"/>
    <x v="3"/>
    <n v="45360"/>
    <d v="2023-06-17T00:00:00"/>
    <n v="10"/>
    <n v="2"/>
    <n v="4536"/>
    <n v="2268"/>
    <n v="47628"/>
    <n v="2268"/>
    <n v="52164"/>
  </r>
  <r>
    <n v="4626"/>
    <x v="6"/>
    <s v="Female"/>
    <n v="59"/>
    <s v="Bangalore"/>
    <x v="0"/>
    <n v="98890"/>
    <d v="2022-09-16T00:00:00"/>
    <n v="3"/>
    <n v="4"/>
    <n v="9889"/>
    <n v="4944"/>
    <n v="103835"/>
    <n v="0"/>
    <n v="108779"/>
  </r>
  <r>
    <n v="4627"/>
    <x v="4"/>
    <s v="Male"/>
    <n v="34"/>
    <s v="Hyderabad"/>
    <x v="4"/>
    <n v="71362"/>
    <d v="2024-07-20T00:00:00"/>
    <n v="1"/>
    <n v="1"/>
    <n v="7136"/>
    <n v="3568"/>
    <n v="74930"/>
    <n v="0"/>
    <n v="78498"/>
  </r>
  <r>
    <n v="4628"/>
    <x v="4"/>
    <s v="Male"/>
    <n v="52"/>
    <s v="Mumbai"/>
    <x v="3"/>
    <n v="95272"/>
    <d v="2022-08-24T00:00:00"/>
    <n v="17"/>
    <n v="4"/>
    <n v="9527"/>
    <n v="4764"/>
    <n v="100035"/>
    <n v="4764"/>
    <n v="109563"/>
  </r>
  <r>
    <n v="4629"/>
    <x v="2"/>
    <s v="Male"/>
    <n v="57"/>
    <s v="Chennai"/>
    <x v="1"/>
    <n v="32584"/>
    <d v="2023-10-18T00:00:00"/>
    <n v="18"/>
    <n v="5"/>
    <n v="3258"/>
    <n v="1629"/>
    <n v="34213"/>
    <n v="1629"/>
    <n v="37471"/>
  </r>
  <r>
    <n v="4630"/>
    <x v="2"/>
    <s v="Male"/>
    <n v="39"/>
    <s v="Mumbai"/>
    <x v="2"/>
    <n v="66339"/>
    <d v="2023-07-26T00:00:00"/>
    <n v="19"/>
    <n v="2"/>
    <n v="6634"/>
    <n v="3317"/>
    <n v="69656"/>
    <n v="3317"/>
    <n v="76290"/>
  </r>
  <r>
    <n v="4631"/>
    <x v="2"/>
    <s v="Female"/>
    <n v="54"/>
    <s v="Hyderabad"/>
    <x v="0"/>
    <n v="68122"/>
    <d v="2022-02-04T00:00:00"/>
    <n v="17"/>
    <n v="1"/>
    <n v="6812"/>
    <n v="3406"/>
    <n v="71528"/>
    <n v="3406"/>
    <n v="78340"/>
  </r>
  <r>
    <n v="4632"/>
    <x v="5"/>
    <s v="Female"/>
    <n v="56"/>
    <s v="Mumbai"/>
    <x v="4"/>
    <n v="29174"/>
    <d v="2022-10-23T00:00:00"/>
    <n v="13"/>
    <n v="2"/>
    <n v="2917"/>
    <n v="1459"/>
    <n v="30632"/>
    <n v="1459"/>
    <n v="33550"/>
  </r>
  <r>
    <n v="4633"/>
    <x v="1"/>
    <s v="Female"/>
    <n v="37"/>
    <s v="Chennai"/>
    <x v="4"/>
    <n v="68421"/>
    <d v="2022-07-10T00:00:00"/>
    <n v="6"/>
    <n v="5"/>
    <n v="6842"/>
    <n v="3421"/>
    <n v="71842"/>
    <n v="3421"/>
    <n v="78684"/>
  </r>
  <r>
    <n v="4634"/>
    <x v="1"/>
    <s v="Male"/>
    <n v="53"/>
    <s v="Hyderabad"/>
    <x v="3"/>
    <n v="89034"/>
    <d v="2023-04-27T00:00:00"/>
    <n v="18"/>
    <n v="5"/>
    <n v="8903"/>
    <n v="4452"/>
    <n v="93485"/>
    <n v="4452"/>
    <n v="102389"/>
  </r>
  <r>
    <n v="4635"/>
    <x v="7"/>
    <s v="Male"/>
    <n v="59"/>
    <s v="Bangalore"/>
    <x v="2"/>
    <n v="74369"/>
    <d v="2023-10-11T00:00:00"/>
    <n v="14"/>
    <n v="2"/>
    <n v="7437"/>
    <n v="3718"/>
    <n v="78088"/>
    <n v="3718"/>
    <n v="85524"/>
  </r>
  <r>
    <n v="4636"/>
    <x v="2"/>
    <s v="Female"/>
    <n v="33"/>
    <s v="Chennai"/>
    <x v="2"/>
    <n v="23538"/>
    <d v="2023-05-30T00:00:00"/>
    <n v="11"/>
    <n v="2"/>
    <n v="2354"/>
    <n v="1177"/>
    <n v="24715"/>
    <n v="1177"/>
    <n v="27069"/>
  </r>
  <r>
    <n v="4637"/>
    <x v="6"/>
    <s v="Male"/>
    <n v="27"/>
    <s v="Mumbai"/>
    <x v="2"/>
    <n v="81480"/>
    <d v="2023-01-03T00:00:00"/>
    <n v="17"/>
    <n v="1"/>
    <n v="8148"/>
    <n v="4074"/>
    <n v="85554"/>
    <n v="4074"/>
    <n v="93702"/>
  </r>
  <r>
    <n v="4638"/>
    <x v="0"/>
    <s v="Male"/>
    <n v="49"/>
    <s v="Chennai"/>
    <x v="2"/>
    <n v="26969"/>
    <d v="2023-07-14T00:00:00"/>
    <n v="17"/>
    <n v="1"/>
    <n v="2697"/>
    <n v="1348"/>
    <n v="28318"/>
    <n v="1348"/>
    <n v="31014"/>
  </r>
  <r>
    <n v="4639"/>
    <x v="6"/>
    <s v="Female"/>
    <n v="46"/>
    <s v="Bangalore"/>
    <x v="3"/>
    <n v="21703"/>
    <d v="2023-08-13T00:00:00"/>
    <n v="18"/>
    <n v="1"/>
    <n v="2170"/>
    <n v="1085"/>
    <n v="22788"/>
    <n v="1085"/>
    <n v="24958"/>
  </r>
  <r>
    <n v="4640"/>
    <x v="2"/>
    <s v="Female"/>
    <n v="38"/>
    <s v="Chennai"/>
    <x v="4"/>
    <n v="92245"/>
    <d v="2022-09-05T00:00:00"/>
    <n v="6"/>
    <n v="3"/>
    <n v="9224"/>
    <n v="4612"/>
    <n v="96857"/>
    <n v="4612"/>
    <n v="106081"/>
  </r>
  <r>
    <n v="4641"/>
    <x v="7"/>
    <s v="Male"/>
    <n v="56"/>
    <s v="Chennai"/>
    <x v="3"/>
    <n v="77521"/>
    <d v="2022-11-13T00:00:00"/>
    <n v="4"/>
    <n v="3"/>
    <n v="7752"/>
    <n v="3876"/>
    <n v="81397"/>
    <n v="0"/>
    <n v="85273"/>
  </r>
  <r>
    <n v="4642"/>
    <x v="4"/>
    <s v="Male"/>
    <n v="28"/>
    <s v="Chennai"/>
    <x v="4"/>
    <n v="28694"/>
    <d v="2022-01-25T00:00:00"/>
    <n v="9"/>
    <n v="1"/>
    <n v="2869"/>
    <n v="1435"/>
    <n v="30128"/>
    <n v="1435"/>
    <n v="32998"/>
  </r>
  <r>
    <n v="4643"/>
    <x v="7"/>
    <s v="Male"/>
    <n v="59"/>
    <s v="Delhi"/>
    <x v="1"/>
    <n v="66859"/>
    <d v="2024-09-17T00:00:00"/>
    <n v="16"/>
    <n v="5"/>
    <n v="6686"/>
    <n v="3343"/>
    <n v="70202"/>
    <n v="3343"/>
    <n v="76888"/>
  </r>
  <r>
    <n v="4644"/>
    <x v="7"/>
    <s v="Male"/>
    <n v="31"/>
    <s v="Hyderabad"/>
    <x v="0"/>
    <n v="47987"/>
    <d v="2023-11-22T00:00:00"/>
    <n v="5"/>
    <n v="5"/>
    <n v="4799"/>
    <n v="2399"/>
    <n v="50387"/>
    <n v="0"/>
    <n v="52786"/>
  </r>
  <r>
    <n v="4645"/>
    <x v="1"/>
    <s v="Male"/>
    <n v="50"/>
    <s v="Mumbai"/>
    <x v="1"/>
    <n v="41068"/>
    <d v="2022-10-02T00:00:00"/>
    <n v="19"/>
    <n v="2"/>
    <n v="4107"/>
    <n v="2053"/>
    <n v="43122"/>
    <n v="2053"/>
    <n v="47228"/>
  </r>
  <r>
    <n v="4646"/>
    <x v="1"/>
    <s v="Male"/>
    <n v="28"/>
    <s v="Bangalore"/>
    <x v="0"/>
    <n v="43189"/>
    <d v="2022-11-01T00:00:00"/>
    <n v="8"/>
    <n v="3"/>
    <n v="4319"/>
    <n v="2159"/>
    <n v="45349"/>
    <n v="2159"/>
    <n v="49667"/>
  </r>
  <r>
    <n v="4647"/>
    <x v="4"/>
    <s v="Female"/>
    <n v="51"/>
    <s v="Delhi"/>
    <x v="0"/>
    <n v="79298"/>
    <d v="2023-06-08T00:00:00"/>
    <n v="8"/>
    <n v="2"/>
    <n v="7930"/>
    <n v="3965"/>
    <n v="83263"/>
    <n v="3965"/>
    <n v="91193"/>
  </r>
  <r>
    <n v="4648"/>
    <x v="1"/>
    <s v="Female"/>
    <n v="21"/>
    <s v="Bangalore"/>
    <x v="2"/>
    <n v="86785"/>
    <d v="2022-03-08T00:00:00"/>
    <n v="10"/>
    <n v="5"/>
    <n v="8678"/>
    <n v="4339"/>
    <n v="91124"/>
    <n v="4339"/>
    <n v="99802"/>
  </r>
  <r>
    <n v="4649"/>
    <x v="5"/>
    <s v="Male"/>
    <n v="46"/>
    <s v="Chennai"/>
    <x v="2"/>
    <n v="70916"/>
    <d v="2023-10-27T00:00:00"/>
    <n v="5"/>
    <n v="1"/>
    <n v="7092"/>
    <n v="3546"/>
    <n v="74462"/>
    <n v="0"/>
    <n v="78008"/>
  </r>
  <r>
    <n v="4650"/>
    <x v="8"/>
    <s v="Male"/>
    <n v="25"/>
    <s v="Mumbai"/>
    <x v="3"/>
    <n v="88030"/>
    <d v="2023-05-10T00:00:00"/>
    <n v="12"/>
    <n v="3"/>
    <n v="8803"/>
    <n v="4402"/>
    <n v="92431"/>
    <n v="4402"/>
    <n v="101235"/>
  </r>
  <r>
    <n v="4651"/>
    <x v="4"/>
    <s v="Female"/>
    <n v="24"/>
    <s v="Hyderabad"/>
    <x v="0"/>
    <n v="81804"/>
    <d v="2022-04-17T00:00:00"/>
    <n v="16"/>
    <n v="1"/>
    <n v="8180"/>
    <n v="4090"/>
    <n v="85894"/>
    <n v="4090"/>
    <n v="94074"/>
  </r>
  <r>
    <n v="4652"/>
    <x v="0"/>
    <s v="Male"/>
    <n v="41"/>
    <s v="Mumbai"/>
    <x v="2"/>
    <n v="84032"/>
    <d v="2023-05-20T00:00:00"/>
    <n v="8"/>
    <n v="1"/>
    <n v="8403"/>
    <n v="4202"/>
    <n v="88233"/>
    <n v="4202"/>
    <n v="96637"/>
  </r>
  <r>
    <n v="4653"/>
    <x v="3"/>
    <s v="Male"/>
    <n v="24"/>
    <s v="Chennai"/>
    <x v="0"/>
    <n v="67549"/>
    <d v="2023-04-01T00:00:00"/>
    <n v="1"/>
    <n v="4"/>
    <n v="6755"/>
    <n v="3377"/>
    <n v="70927"/>
    <n v="0"/>
    <n v="74304"/>
  </r>
  <r>
    <n v="4654"/>
    <x v="9"/>
    <s v="Female"/>
    <n v="44"/>
    <s v="Delhi"/>
    <x v="2"/>
    <n v="62391"/>
    <d v="2023-06-09T00:00:00"/>
    <n v="18"/>
    <n v="5"/>
    <n v="6239"/>
    <n v="3120"/>
    <n v="65510"/>
    <n v="3120"/>
    <n v="71750"/>
  </r>
  <r>
    <n v="4655"/>
    <x v="0"/>
    <s v="Female"/>
    <n v="59"/>
    <s v="Bangalore"/>
    <x v="3"/>
    <n v="84387"/>
    <d v="2024-09-15T00:00:00"/>
    <n v="15"/>
    <n v="5"/>
    <n v="8439"/>
    <n v="4219"/>
    <n v="88607"/>
    <n v="4219"/>
    <n v="97045"/>
  </r>
  <r>
    <n v="4656"/>
    <x v="4"/>
    <s v="Female"/>
    <n v="45"/>
    <s v="Mumbai"/>
    <x v="1"/>
    <n v="94243"/>
    <d v="2024-01-06T00:00:00"/>
    <n v="5"/>
    <n v="3"/>
    <n v="9424"/>
    <n v="4712"/>
    <n v="98955"/>
    <n v="0"/>
    <n v="103667"/>
  </r>
  <r>
    <n v="4657"/>
    <x v="8"/>
    <s v="Female"/>
    <n v="39"/>
    <s v="Mumbai"/>
    <x v="2"/>
    <n v="29809"/>
    <d v="2023-01-21T00:00:00"/>
    <n v="17"/>
    <n v="5"/>
    <n v="2981"/>
    <n v="1490"/>
    <n v="31300"/>
    <n v="1490"/>
    <n v="34280"/>
  </r>
  <r>
    <n v="4658"/>
    <x v="4"/>
    <s v="Male"/>
    <n v="57"/>
    <s v="Mumbai"/>
    <x v="4"/>
    <n v="45049"/>
    <d v="2022-04-02T00:00:00"/>
    <n v="11"/>
    <n v="3"/>
    <n v="4505"/>
    <n v="2252"/>
    <n v="47302"/>
    <n v="2252"/>
    <n v="51806"/>
  </r>
  <r>
    <n v="4659"/>
    <x v="2"/>
    <s v="Male"/>
    <n v="36"/>
    <s v="Chennai"/>
    <x v="1"/>
    <n v="45369"/>
    <d v="2022-04-17T00:00:00"/>
    <n v="9"/>
    <n v="1"/>
    <n v="4537"/>
    <n v="2268"/>
    <n v="47638"/>
    <n v="2268"/>
    <n v="52174"/>
  </r>
  <r>
    <n v="4660"/>
    <x v="7"/>
    <s v="Female"/>
    <n v="44"/>
    <s v="Delhi"/>
    <x v="0"/>
    <n v="61015"/>
    <d v="2024-06-14T00:00:00"/>
    <n v="1"/>
    <n v="2"/>
    <n v="6102"/>
    <n v="3051"/>
    <n v="64066"/>
    <n v="0"/>
    <n v="67117"/>
  </r>
  <r>
    <n v="4661"/>
    <x v="0"/>
    <s v="Male"/>
    <n v="42"/>
    <s v="Delhi"/>
    <x v="3"/>
    <n v="79173"/>
    <d v="2022-05-30T00:00:00"/>
    <n v="18"/>
    <n v="2"/>
    <n v="7917"/>
    <n v="3959"/>
    <n v="83131"/>
    <n v="3959"/>
    <n v="91049"/>
  </r>
  <r>
    <n v="4662"/>
    <x v="7"/>
    <s v="Male"/>
    <n v="54"/>
    <s v="Delhi"/>
    <x v="1"/>
    <n v="56917"/>
    <d v="2023-08-06T00:00:00"/>
    <n v="4"/>
    <n v="1"/>
    <n v="5692"/>
    <n v="2846"/>
    <n v="59763"/>
    <n v="0"/>
    <n v="62609"/>
  </r>
  <r>
    <n v="4663"/>
    <x v="1"/>
    <s v="Male"/>
    <n v="55"/>
    <s v="Bangalore"/>
    <x v="1"/>
    <n v="79173"/>
    <d v="2023-06-17T00:00:00"/>
    <n v="6"/>
    <n v="2"/>
    <n v="7917"/>
    <n v="3959"/>
    <n v="83131"/>
    <n v="3959"/>
    <n v="91049"/>
  </r>
  <r>
    <n v="4664"/>
    <x v="3"/>
    <s v="Male"/>
    <n v="55"/>
    <s v="Bangalore"/>
    <x v="1"/>
    <n v="77433"/>
    <d v="2024-09-13T00:00:00"/>
    <n v="17"/>
    <n v="1"/>
    <n v="7743"/>
    <n v="3872"/>
    <n v="81304"/>
    <n v="3872"/>
    <n v="89048"/>
  </r>
  <r>
    <n v="4665"/>
    <x v="4"/>
    <s v="Male"/>
    <n v="27"/>
    <s v="Mumbai"/>
    <x v="1"/>
    <n v="86490"/>
    <d v="2024-04-25T00:00:00"/>
    <n v="6"/>
    <n v="2"/>
    <n v="8649"/>
    <n v="4324"/>
    <n v="90815"/>
    <n v="4324"/>
    <n v="99463"/>
  </r>
  <r>
    <n v="4666"/>
    <x v="5"/>
    <s v="Male"/>
    <n v="25"/>
    <s v="Chennai"/>
    <x v="2"/>
    <n v="92101"/>
    <d v="2024-09-03T00:00:00"/>
    <n v="10"/>
    <n v="2"/>
    <n v="9210"/>
    <n v="4605"/>
    <n v="96706"/>
    <n v="4605"/>
    <n v="105916"/>
  </r>
  <r>
    <n v="4667"/>
    <x v="2"/>
    <s v="Female"/>
    <n v="21"/>
    <s v="Bangalore"/>
    <x v="0"/>
    <n v="99953"/>
    <d v="2022-02-22T00:00:00"/>
    <n v="10"/>
    <n v="5"/>
    <n v="9995"/>
    <n v="4998"/>
    <n v="104950"/>
    <n v="4998"/>
    <n v="114946"/>
  </r>
  <r>
    <n v="4668"/>
    <x v="2"/>
    <s v="Female"/>
    <n v="42"/>
    <s v="Delhi"/>
    <x v="4"/>
    <n v="78155"/>
    <d v="2023-05-29T00:00:00"/>
    <n v="2"/>
    <n v="3"/>
    <n v="7816"/>
    <n v="3908"/>
    <n v="82063"/>
    <n v="0"/>
    <n v="85971"/>
  </r>
  <r>
    <n v="4669"/>
    <x v="4"/>
    <s v="Female"/>
    <n v="21"/>
    <s v="Delhi"/>
    <x v="1"/>
    <n v="32134"/>
    <d v="2023-09-06T00:00:00"/>
    <n v="10"/>
    <n v="4"/>
    <n v="3213"/>
    <n v="1607"/>
    <n v="33740"/>
    <n v="1607"/>
    <n v="36954"/>
  </r>
  <r>
    <n v="4670"/>
    <x v="4"/>
    <s v="Male"/>
    <n v="51"/>
    <s v="Delhi"/>
    <x v="3"/>
    <n v="94817"/>
    <d v="2022-07-29T00:00:00"/>
    <n v="9"/>
    <n v="2"/>
    <n v="9482"/>
    <n v="4741"/>
    <n v="99558"/>
    <n v="4741"/>
    <n v="109040"/>
  </r>
  <r>
    <n v="4671"/>
    <x v="3"/>
    <s v="Female"/>
    <n v="53"/>
    <s v="Mumbai"/>
    <x v="2"/>
    <n v="54587"/>
    <d v="2022-03-15T00:00:00"/>
    <n v="11"/>
    <n v="4"/>
    <n v="5459"/>
    <n v="2729"/>
    <n v="57317"/>
    <n v="2729"/>
    <n v="62775"/>
  </r>
  <r>
    <n v="4672"/>
    <x v="2"/>
    <s v="Male"/>
    <n v="42"/>
    <s v="Delhi"/>
    <x v="1"/>
    <n v="48357"/>
    <d v="2023-08-05T00:00:00"/>
    <n v="12"/>
    <n v="3"/>
    <n v="4836"/>
    <n v="2418"/>
    <n v="50775"/>
    <n v="2418"/>
    <n v="55611"/>
  </r>
  <r>
    <n v="4673"/>
    <x v="9"/>
    <s v="Female"/>
    <n v="57"/>
    <s v="Chennai"/>
    <x v="3"/>
    <n v="95347"/>
    <d v="2024-08-13T00:00:00"/>
    <n v="6"/>
    <n v="5"/>
    <n v="9535"/>
    <n v="4767"/>
    <n v="100115"/>
    <n v="4767"/>
    <n v="109649"/>
  </r>
  <r>
    <n v="4674"/>
    <x v="7"/>
    <s v="Female"/>
    <n v="29"/>
    <s v="Hyderabad"/>
    <x v="2"/>
    <n v="67345"/>
    <d v="2023-04-25T00:00:00"/>
    <n v="7"/>
    <n v="5"/>
    <n v="6734"/>
    <n v="3367"/>
    <n v="70712"/>
    <n v="3367"/>
    <n v="77446"/>
  </r>
  <r>
    <n v="4675"/>
    <x v="9"/>
    <s v="Male"/>
    <n v="50"/>
    <s v="Hyderabad"/>
    <x v="1"/>
    <n v="57601"/>
    <d v="2022-07-21T00:00:00"/>
    <n v="13"/>
    <n v="4"/>
    <n v="5760"/>
    <n v="2880"/>
    <n v="60481"/>
    <n v="2880"/>
    <n v="66241"/>
  </r>
  <r>
    <n v="4676"/>
    <x v="5"/>
    <s v="Female"/>
    <n v="36"/>
    <s v="Mumbai"/>
    <x v="3"/>
    <n v="73491"/>
    <d v="2022-01-27T00:00:00"/>
    <n v="11"/>
    <n v="1"/>
    <n v="7349"/>
    <n v="3675"/>
    <n v="77165"/>
    <n v="3675"/>
    <n v="84515"/>
  </r>
  <r>
    <n v="4677"/>
    <x v="2"/>
    <s v="Male"/>
    <n v="23"/>
    <s v="Delhi"/>
    <x v="0"/>
    <n v="31858"/>
    <d v="2023-04-08T00:00:00"/>
    <n v="6"/>
    <n v="2"/>
    <n v="3186"/>
    <n v="1593"/>
    <n v="33451"/>
    <n v="1593"/>
    <n v="36637"/>
  </r>
  <r>
    <n v="4678"/>
    <x v="9"/>
    <s v="Male"/>
    <n v="59"/>
    <s v="Bangalore"/>
    <x v="3"/>
    <n v="92552"/>
    <d v="2023-09-15T00:00:00"/>
    <n v="20"/>
    <n v="5"/>
    <n v="9255"/>
    <n v="4628"/>
    <n v="97179"/>
    <n v="4628"/>
    <n v="106435"/>
  </r>
  <r>
    <n v="4679"/>
    <x v="0"/>
    <s v="Male"/>
    <n v="33"/>
    <s v="Delhi"/>
    <x v="1"/>
    <n v="98274"/>
    <d v="2022-04-11T00:00:00"/>
    <n v="15"/>
    <n v="2"/>
    <n v="9827"/>
    <n v="4914"/>
    <n v="103187"/>
    <n v="4914"/>
    <n v="113015"/>
  </r>
  <r>
    <n v="4680"/>
    <x v="7"/>
    <s v="Female"/>
    <n v="48"/>
    <s v="Mumbai"/>
    <x v="3"/>
    <n v="65831"/>
    <d v="2024-09-21T00:00:00"/>
    <n v="10"/>
    <n v="2"/>
    <n v="6583"/>
    <n v="3292"/>
    <n v="69122"/>
    <n v="3292"/>
    <n v="75706"/>
  </r>
  <r>
    <n v="4681"/>
    <x v="1"/>
    <s v="Male"/>
    <n v="21"/>
    <s v="Mumbai"/>
    <x v="2"/>
    <n v="36741"/>
    <d v="2024-06-01T00:00:00"/>
    <n v="3"/>
    <n v="3"/>
    <n v="3674"/>
    <n v="1837"/>
    <n v="38578"/>
    <n v="0"/>
    <n v="40415"/>
  </r>
  <r>
    <n v="4682"/>
    <x v="1"/>
    <s v="Male"/>
    <n v="48"/>
    <s v="Bangalore"/>
    <x v="3"/>
    <n v="85443"/>
    <d v="2023-08-29T00:00:00"/>
    <n v="11"/>
    <n v="4"/>
    <n v="8544"/>
    <n v="4272"/>
    <n v="89715"/>
    <n v="4272"/>
    <n v="98259"/>
  </r>
  <r>
    <n v="4683"/>
    <x v="8"/>
    <s v="Female"/>
    <n v="23"/>
    <s v="Hyderabad"/>
    <x v="4"/>
    <n v="37599"/>
    <d v="2024-09-13T00:00:00"/>
    <n v="11"/>
    <n v="5"/>
    <n v="3760"/>
    <n v="1880"/>
    <n v="39479"/>
    <n v="1880"/>
    <n v="43239"/>
  </r>
  <r>
    <n v="4684"/>
    <x v="9"/>
    <s v="Male"/>
    <n v="38"/>
    <s v="Mumbai"/>
    <x v="2"/>
    <n v="22555"/>
    <d v="2022-12-25T00:00:00"/>
    <n v="20"/>
    <n v="5"/>
    <n v="2256"/>
    <n v="1128"/>
    <n v="23683"/>
    <n v="1128"/>
    <n v="25939"/>
  </r>
  <r>
    <n v="4685"/>
    <x v="8"/>
    <s v="Female"/>
    <n v="37"/>
    <s v="Delhi"/>
    <x v="1"/>
    <n v="68300"/>
    <d v="2022-08-01T00:00:00"/>
    <n v="1"/>
    <n v="5"/>
    <n v="6830"/>
    <n v="3415"/>
    <n v="71715"/>
    <n v="0"/>
    <n v="75130"/>
  </r>
  <r>
    <n v="4686"/>
    <x v="5"/>
    <s v="Female"/>
    <n v="57"/>
    <s v="Bangalore"/>
    <x v="4"/>
    <n v="55072"/>
    <d v="2024-04-27T00:00:00"/>
    <n v="3"/>
    <n v="5"/>
    <n v="5507"/>
    <n v="2754"/>
    <n v="57825"/>
    <n v="0"/>
    <n v="60579"/>
  </r>
  <r>
    <n v="4687"/>
    <x v="5"/>
    <s v="Male"/>
    <n v="47"/>
    <s v="Mumbai"/>
    <x v="2"/>
    <n v="40206"/>
    <d v="2023-02-19T00:00:00"/>
    <n v="7"/>
    <n v="1"/>
    <n v="4021"/>
    <n v="2010"/>
    <n v="42217"/>
    <n v="2010"/>
    <n v="46237"/>
  </r>
  <r>
    <n v="4688"/>
    <x v="7"/>
    <s v="Male"/>
    <n v="59"/>
    <s v="Mumbai"/>
    <x v="0"/>
    <n v="76660"/>
    <d v="2022-10-07T00:00:00"/>
    <n v="18"/>
    <n v="5"/>
    <n v="7666"/>
    <n v="3833"/>
    <n v="80493"/>
    <n v="3833"/>
    <n v="88159"/>
  </r>
  <r>
    <n v="4689"/>
    <x v="7"/>
    <s v="Female"/>
    <n v="34"/>
    <s v="Chennai"/>
    <x v="0"/>
    <n v="24515"/>
    <d v="2024-02-15T00:00:00"/>
    <n v="1"/>
    <n v="1"/>
    <n v="2452"/>
    <n v="1226"/>
    <n v="25741"/>
    <n v="0"/>
    <n v="26967"/>
  </r>
  <r>
    <n v="4690"/>
    <x v="6"/>
    <s v="Female"/>
    <n v="29"/>
    <s v="Bangalore"/>
    <x v="1"/>
    <n v="81715"/>
    <d v="2022-02-07T00:00:00"/>
    <n v="7"/>
    <n v="1"/>
    <n v="8172"/>
    <n v="4086"/>
    <n v="85801"/>
    <n v="4086"/>
    <n v="93973"/>
  </r>
  <r>
    <n v="4691"/>
    <x v="9"/>
    <s v="Male"/>
    <n v="60"/>
    <s v="Mumbai"/>
    <x v="2"/>
    <n v="46215"/>
    <d v="2022-03-17T00:00:00"/>
    <n v="14"/>
    <n v="3"/>
    <n v="4622"/>
    <n v="2311"/>
    <n v="48526"/>
    <n v="2311"/>
    <n v="53148"/>
  </r>
  <r>
    <n v="4692"/>
    <x v="3"/>
    <s v="Male"/>
    <n v="33"/>
    <s v="Delhi"/>
    <x v="3"/>
    <n v="85727"/>
    <d v="2024-01-05T00:00:00"/>
    <n v="10"/>
    <n v="2"/>
    <n v="8573"/>
    <n v="4286"/>
    <n v="90014"/>
    <n v="4286"/>
    <n v="98586"/>
  </r>
  <r>
    <n v="4693"/>
    <x v="0"/>
    <s v="Male"/>
    <n v="28"/>
    <s v="Hyderabad"/>
    <x v="3"/>
    <n v="97886"/>
    <d v="2024-02-22T00:00:00"/>
    <n v="11"/>
    <n v="1"/>
    <n v="9789"/>
    <n v="4894"/>
    <n v="102781"/>
    <n v="4894"/>
    <n v="112569"/>
  </r>
  <r>
    <n v="4694"/>
    <x v="1"/>
    <s v="Male"/>
    <n v="21"/>
    <s v="Delhi"/>
    <x v="1"/>
    <n v="43078"/>
    <d v="2024-02-23T00:00:00"/>
    <n v="6"/>
    <n v="1"/>
    <n v="4308"/>
    <n v="2154"/>
    <n v="45232"/>
    <n v="2154"/>
    <n v="49540"/>
  </r>
  <r>
    <n v="4695"/>
    <x v="0"/>
    <s v="Male"/>
    <n v="33"/>
    <s v="Mumbai"/>
    <x v="1"/>
    <n v="79511"/>
    <d v="2023-07-01T00:00:00"/>
    <n v="12"/>
    <n v="1"/>
    <n v="7951"/>
    <n v="3976"/>
    <n v="83486"/>
    <n v="3976"/>
    <n v="91438"/>
  </r>
  <r>
    <n v="4696"/>
    <x v="5"/>
    <s v="Female"/>
    <n v="22"/>
    <s v="Delhi"/>
    <x v="2"/>
    <n v="24321"/>
    <d v="2024-06-19T00:00:00"/>
    <n v="7"/>
    <n v="1"/>
    <n v="2432"/>
    <n v="1216"/>
    <n v="25537"/>
    <n v="1216"/>
    <n v="27969"/>
  </r>
  <r>
    <n v="4697"/>
    <x v="8"/>
    <s v="Male"/>
    <n v="36"/>
    <s v="Delhi"/>
    <x v="1"/>
    <n v="93339"/>
    <d v="2023-08-17T00:00:00"/>
    <n v="18"/>
    <n v="4"/>
    <n v="9334"/>
    <n v="4667"/>
    <n v="98006"/>
    <n v="4667"/>
    <n v="107340"/>
  </r>
  <r>
    <n v="4698"/>
    <x v="5"/>
    <s v="Male"/>
    <n v="52"/>
    <s v="Bangalore"/>
    <x v="1"/>
    <n v="73600"/>
    <d v="2023-04-23T00:00:00"/>
    <n v="18"/>
    <n v="5"/>
    <n v="7360"/>
    <n v="3680"/>
    <n v="77280"/>
    <n v="3680"/>
    <n v="84640"/>
  </r>
  <r>
    <n v="4699"/>
    <x v="3"/>
    <s v="Male"/>
    <n v="43"/>
    <s v="Bangalore"/>
    <x v="4"/>
    <n v="52386"/>
    <d v="2024-03-14T00:00:00"/>
    <n v="17"/>
    <n v="1"/>
    <n v="5239"/>
    <n v="2619"/>
    <n v="55006"/>
    <n v="2619"/>
    <n v="60244"/>
  </r>
  <r>
    <n v="4700"/>
    <x v="5"/>
    <s v="Male"/>
    <n v="57"/>
    <s v="Delhi"/>
    <x v="3"/>
    <n v="65675"/>
    <d v="2023-09-22T00:00:00"/>
    <n v="20"/>
    <n v="5"/>
    <n v="6568"/>
    <n v="3284"/>
    <n v="68959"/>
    <n v="3284"/>
    <n v="75527"/>
  </r>
  <r>
    <n v="4701"/>
    <x v="9"/>
    <s v="Male"/>
    <n v="37"/>
    <s v="Delhi"/>
    <x v="3"/>
    <n v="76879"/>
    <d v="2024-08-28T00:00:00"/>
    <n v="20"/>
    <n v="4"/>
    <n v="7688"/>
    <n v="3844"/>
    <n v="80723"/>
    <n v="3844"/>
    <n v="88411"/>
  </r>
  <r>
    <n v="4702"/>
    <x v="2"/>
    <s v="Male"/>
    <n v="29"/>
    <s v="Delhi"/>
    <x v="4"/>
    <n v="86758"/>
    <d v="2022-06-05T00:00:00"/>
    <n v="5"/>
    <n v="5"/>
    <n v="8676"/>
    <n v="4338"/>
    <n v="91096"/>
    <n v="0"/>
    <n v="95434"/>
  </r>
  <r>
    <n v="4703"/>
    <x v="3"/>
    <s v="Male"/>
    <n v="57"/>
    <s v="Bangalore"/>
    <x v="2"/>
    <n v="31015"/>
    <d v="2023-04-28T00:00:00"/>
    <n v="5"/>
    <n v="1"/>
    <n v="3102"/>
    <n v="1551"/>
    <n v="32566"/>
    <n v="0"/>
    <n v="34117"/>
  </r>
  <r>
    <n v="4704"/>
    <x v="8"/>
    <s v="Female"/>
    <n v="29"/>
    <s v="Mumbai"/>
    <x v="1"/>
    <n v="42748"/>
    <d v="2022-08-22T00:00:00"/>
    <n v="10"/>
    <n v="1"/>
    <n v="4275"/>
    <n v="2137"/>
    <n v="44886"/>
    <n v="2137"/>
    <n v="49160"/>
  </r>
  <r>
    <n v="4705"/>
    <x v="3"/>
    <s v="Male"/>
    <n v="51"/>
    <s v="Mumbai"/>
    <x v="0"/>
    <n v="20004"/>
    <d v="2024-07-20T00:00:00"/>
    <n v="2"/>
    <n v="3"/>
    <n v="2000"/>
    <n v="1000"/>
    <n v="21004"/>
    <n v="0"/>
    <n v="22004"/>
  </r>
  <r>
    <n v="4706"/>
    <x v="6"/>
    <s v="Female"/>
    <n v="22"/>
    <s v="Mumbai"/>
    <x v="3"/>
    <n v="53833"/>
    <d v="2022-09-20T00:00:00"/>
    <n v="5"/>
    <n v="3"/>
    <n v="5383"/>
    <n v="2692"/>
    <n v="56524"/>
    <n v="0"/>
    <n v="59216"/>
  </r>
  <r>
    <n v="4707"/>
    <x v="6"/>
    <s v="Male"/>
    <n v="58"/>
    <s v="Hyderabad"/>
    <x v="2"/>
    <n v="23479"/>
    <d v="2022-12-21T00:00:00"/>
    <n v="15"/>
    <n v="4"/>
    <n v="2348"/>
    <n v="1174"/>
    <n v="24653"/>
    <n v="1174"/>
    <n v="27001"/>
  </r>
  <r>
    <n v="4708"/>
    <x v="5"/>
    <s v="Male"/>
    <n v="28"/>
    <s v="Chennai"/>
    <x v="1"/>
    <n v="43740"/>
    <d v="2023-10-13T00:00:00"/>
    <n v="5"/>
    <n v="1"/>
    <n v="4374"/>
    <n v="2187"/>
    <n v="45927"/>
    <n v="0"/>
    <n v="48114"/>
  </r>
  <r>
    <n v="4709"/>
    <x v="5"/>
    <s v="Male"/>
    <n v="45"/>
    <s v="Delhi"/>
    <x v="4"/>
    <n v="22310"/>
    <d v="2022-10-03T00:00:00"/>
    <n v="9"/>
    <n v="5"/>
    <n v="2231"/>
    <n v="1116"/>
    <n v="23425"/>
    <n v="1116"/>
    <n v="25657"/>
  </r>
  <r>
    <n v="4710"/>
    <x v="3"/>
    <s v="Female"/>
    <n v="48"/>
    <s v="Chennai"/>
    <x v="2"/>
    <n v="29500"/>
    <d v="2022-07-26T00:00:00"/>
    <n v="19"/>
    <n v="5"/>
    <n v="2950"/>
    <n v="1475"/>
    <n v="30975"/>
    <n v="1475"/>
    <n v="33925"/>
  </r>
  <r>
    <n v="4711"/>
    <x v="4"/>
    <s v="Male"/>
    <n v="33"/>
    <s v="Hyderabad"/>
    <x v="1"/>
    <n v="33629"/>
    <d v="2024-07-20T00:00:00"/>
    <n v="16"/>
    <n v="3"/>
    <n v="3363"/>
    <n v="1681"/>
    <n v="35311"/>
    <n v="1681"/>
    <n v="38673"/>
  </r>
  <r>
    <n v="4712"/>
    <x v="6"/>
    <s v="Male"/>
    <n v="33"/>
    <s v="Delhi"/>
    <x v="2"/>
    <n v="72699"/>
    <d v="2023-10-12T00:00:00"/>
    <n v="11"/>
    <n v="1"/>
    <n v="7270"/>
    <n v="3635"/>
    <n v="76334"/>
    <n v="3635"/>
    <n v="83604"/>
  </r>
  <r>
    <n v="4713"/>
    <x v="8"/>
    <s v="Female"/>
    <n v="49"/>
    <s v="Chennai"/>
    <x v="3"/>
    <n v="76744"/>
    <d v="2023-03-19T00:00:00"/>
    <n v="2"/>
    <n v="2"/>
    <n v="7674"/>
    <n v="3837"/>
    <n v="80581"/>
    <n v="0"/>
    <n v="84418"/>
  </r>
  <r>
    <n v="4714"/>
    <x v="5"/>
    <s v="Female"/>
    <n v="45"/>
    <s v="Mumbai"/>
    <x v="3"/>
    <n v="22827"/>
    <d v="2023-04-17T00:00:00"/>
    <n v="14"/>
    <n v="3"/>
    <n v="2283"/>
    <n v="1141"/>
    <n v="23969"/>
    <n v="1141"/>
    <n v="26251"/>
  </r>
  <r>
    <n v="4715"/>
    <x v="7"/>
    <s v="Male"/>
    <n v="23"/>
    <s v="Mumbai"/>
    <x v="0"/>
    <n v="68304"/>
    <d v="2022-06-17T00:00:00"/>
    <n v="14"/>
    <n v="3"/>
    <n v="6830"/>
    <n v="3415"/>
    <n v="71719"/>
    <n v="3415"/>
    <n v="78549"/>
  </r>
  <r>
    <n v="4716"/>
    <x v="5"/>
    <s v="Male"/>
    <n v="43"/>
    <s v="Hyderabad"/>
    <x v="3"/>
    <n v="81347"/>
    <d v="2024-03-22T00:00:00"/>
    <n v="11"/>
    <n v="4"/>
    <n v="8135"/>
    <n v="4067"/>
    <n v="85415"/>
    <n v="4067"/>
    <n v="93549"/>
  </r>
  <r>
    <n v="4717"/>
    <x v="9"/>
    <s v="Female"/>
    <n v="38"/>
    <s v="Chennai"/>
    <x v="1"/>
    <n v="80880"/>
    <d v="2023-12-12T00:00:00"/>
    <n v="7"/>
    <n v="3"/>
    <n v="8088"/>
    <n v="4044"/>
    <n v="84924"/>
    <n v="4044"/>
    <n v="93012"/>
  </r>
  <r>
    <n v="4718"/>
    <x v="9"/>
    <s v="Male"/>
    <n v="52"/>
    <s v="Hyderabad"/>
    <x v="2"/>
    <n v="73168"/>
    <d v="2023-11-27T00:00:00"/>
    <n v="15"/>
    <n v="1"/>
    <n v="7317"/>
    <n v="3658"/>
    <n v="76827"/>
    <n v="3658"/>
    <n v="84143"/>
  </r>
  <r>
    <n v="4719"/>
    <x v="1"/>
    <s v="Male"/>
    <n v="35"/>
    <s v="Chennai"/>
    <x v="0"/>
    <n v="93464"/>
    <d v="2022-04-14T00:00:00"/>
    <n v="1"/>
    <n v="3"/>
    <n v="9346"/>
    <n v="4673"/>
    <n v="98137"/>
    <n v="0"/>
    <n v="102810"/>
  </r>
  <r>
    <n v="4720"/>
    <x v="6"/>
    <s v="Male"/>
    <n v="53"/>
    <s v="Bangalore"/>
    <x v="3"/>
    <n v="27607"/>
    <d v="2024-09-02T00:00:00"/>
    <n v="16"/>
    <n v="5"/>
    <n v="2761"/>
    <n v="1380"/>
    <n v="28988"/>
    <n v="1380"/>
    <n v="31748"/>
  </r>
  <r>
    <n v="4721"/>
    <x v="1"/>
    <s v="Female"/>
    <n v="53"/>
    <s v="Bangalore"/>
    <x v="0"/>
    <n v="95747"/>
    <d v="2024-08-10T00:00:00"/>
    <n v="9"/>
    <n v="2"/>
    <n v="9575"/>
    <n v="4787"/>
    <n v="100535"/>
    <n v="4787"/>
    <n v="110109"/>
  </r>
  <r>
    <n v="4722"/>
    <x v="6"/>
    <s v="Female"/>
    <n v="49"/>
    <s v="Mumbai"/>
    <x v="2"/>
    <n v="46346"/>
    <d v="2024-05-25T00:00:00"/>
    <n v="3"/>
    <n v="1"/>
    <n v="4635"/>
    <n v="2317"/>
    <n v="48664"/>
    <n v="0"/>
    <n v="50981"/>
  </r>
  <r>
    <n v="4723"/>
    <x v="4"/>
    <s v="Female"/>
    <n v="36"/>
    <s v="Chennai"/>
    <x v="3"/>
    <n v="28517"/>
    <d v="2023-09-07T00:00:00"/>
    <n v="1"/>
    <n v="2"/>
    <n v="2852"/>
    <n v="1426"/>
    <n v="29943"/>
    <n v="0"/>
    <n v="31369"/>
  </r>
  <r>
    <n v="4724"/>
    <x v="2"/>
    <s v="Female"/>
    <n v="48"/>
    <s v="Mumbai"/>
    <x v="4"/>
    <n v="97244"/>
    <d v="2023-04-22T00:00:00"/>
    <n v="13"/>
    <n v="1"/>
    <n v="9724"/>
    <n v="4862"/>
    <n v="102106"/>
    <n v="4862"/>
    <n v="111830"/>
  </r>
  <r>
    <n v="4725"/>
    <x v="3"/>
    <s v="Male"/>
    <n v="22"/>
    <s v="Mumbai"/>
    <x v="2"/>
    <n v="42948"/>
    <d v="2024-07-31T00:00:00"/>
    <n v="6"/>
    <n v="1"/>
    <n v="4295"/>
    <n v="2147"/>
    <n v="45096"/>
    <n v="2147"/>
    <n v="49390"/>
  </r>
  <r>
    <n v="4726"/>
    <x v="0"/>
    <s v="Male"/>
    <n v="58"/>
    <s v="Bangalore"/>
    <x v="2"/>
    <n v="88774"/>
    <d v="2023-01-05T00:00:00"/>
    <n v="8"/>
    <n v="2"/>
    <n v="8877"/>
    <n v="4439"/>
    <n v="93212"/>
    <n v="4439"/>
    <n v="102090"/>
  </r>
  <r>
    <n v="4727"/>
    <x v="7"/>
    <s v="Female"/>
    <n v="41"/>
    <s v="Delhi"/>
    <x v="1"/>
    <n v="94022"/>
    <d v="2022-01-18T00:00:00"/>
    <n v="16"/>
    <n v="4"/>
    <n v="9402"/>
    <n v="4701"/>
    <n v="98723"/>
    <n v="4701"/>
    <n v="108125"/>
  </r>
  <r>
    <n v="4728"/>
    <x v="4"/>
    <s v="Female"/>
    <n v="46"/>
    <s v="Bangalore"/>
    <x v="2"/>
    <n v="65005"/>
    <d v="2022-08-04T00:00:00"/>
    <n v="13"/>
    <n v="4"/>
    <n v="6500"/>
    <n v="3250"/>
    <n v="68255"/>
    <n v="3250"/>
    <n v="74755"/>
  </r>
  <r>
    <n v="4729"/>
    <x v="2"/>
    <s v="Male"/>
    <n v="39"/>
    <s v="Hyderabad"/>
    <x v="4"/>
    <n v="71562"/>
    <d v="2022-08-18T00:00:00"/>
    <n v="14"/>
    <n v="4"/>
    <n v="7156"/>
    <n v="3578"/>
    <n v="75140"/>
    <n v="3578"/>
    <n v="82296"/>
  </r>
  <r>
    <n v="4730"/>
    <x v="1"/>
    <s v="Male"/>
    <n v="25"/>
    <s v="Bangalore"/>
    <x v="1"/>
    <n v="58030"/>
    <d v="2024-03-09T00:00:00"/>
    <n v="15"/>
    <n v="1"/>
    <n v="5803"/>
    <n v="2902"/>
    <n v="60931"/>
    <n v="2902"/>
    <n v="66735"/>
  </r>
  <r>
    <n v="4731"/>
    <x v="4"/>
    <s v="Female"/>
    <n v="31"/>
    <s v="Chennai"/>
    <x v="3"/>
    <n v="94064"/>
    <d v="2022-09-01T00:00:00"/>
    <n v="19"/>
    <n v="2"/>
    <n v="9406"/>
    <n v="4703"/>
    <n v="98767"/>
    <n v="4703"/>
    <n v="108173"/>
  </r>
  <r>
    <n v="4732"/>
    <x v="6"/>
    <s v="Female"/>
    <n v="59"/>
    <s v="Delhi"/>
    <x v="3"/>
    <n v="53078"/>
    <d v="2024-03-02T00:00:00"/>
    <n v="8"/>
    <n v="5"/>
    <n v="5308"/>
    <n v="2654"/>
    <n v="55732"/>
    <n v="2654"/>
    <n v="61040"/>
  </r>
  <r>
    <n v="4733"/>
    <x v="5"/>
    <s v="Female"/>
    <n v="45"/>
    <s v="Delhi"/>
    <x v="0"/>
    <n v="80423"/>
    <d v="2022-07-17T00:00:00"/>
    <n v="6"/>
    <n v="3"/>
    <n v="8042"/>
    <n v="4021"/>
    <n v="84444"/>
    <n v="4021"/>
    <n v="92486"/>
  </r>
  <r>
    <n v="4734"/>
    <x v="7"/>
    <s v="Male"/>
    <n v="36"/>
    <s v="Mumbai"/>
    <x v="1"/>
    <n v="42498"/>
    <d v="2023-11-01T00:00:00"/>
    <n v="6"/>
    <n v="2"/>
    <n v="4250"/>
    <n v="2125"/>
    <n v="44623"/>
    <n v="2125"/>
    <n v="48873"/>
  </r>
  <r>
    <n v="4735"/>
    <x v="0"/>
    <s v="Female"/>
    <n v="39"/>
    <s v="Bangalore"/>
    <x v="4"/>
    <n v="74122"/>
    <d v="2023-09-04T00:00:00"/>
    <n v="18"/>
    <n v="4"/>
    <n v="7412"/>
    <n v="3706"/>
    <n v="77828"/>
    <n v="3706"/>
    <n v="85240"/>
  </r>
  <r>
    <n v="4736"/>
    <x v="7"/>
    <s v="Male"/>
    <n v="34"/>
    <s v="Mumbai"/>
    <x v="1"/>
    <n v="88787"/>
    <d v="2022-01-07T00:00:00"/>
    <n v="5"/>
    <n v="4"/>
    <n v="8879"/>
    <n v="4439"/>
    <n v="93227"/>
    <n v="0"/>
    <n v="97666"/>
  </r>
  <r>
    <n v="4737"/>
    <x v="3"/>
    <s v="Female"/>
    <n v="59"/>
    <s v="Delhi"/>
    <x v="2"/>
    <n v="80186"/>
    <d v="2023-08-17T00:00:00"/>
    <n v="20"/>
    <n v="5"/>
    <n v="8019"/>
    <n v="4009"/>
    <n v="84196"/>
    <n v="4009"/>
    <n v="92214"/>
  </r>
  <r>
    <n v="4738"/>
    <x v="9"/>
    <s v="Male"/>
    <n v="40"/>
    <s v="Hyderabad"/>
    <x v="3"/>
    <n v="73714"/>
    <d v="2022-06-10T00:00:00"/>
    <n v="10"/>
    <n v="4"/>
    <n v="7371"/>
    <n v="3686"/>
    <n v="77399"/>
    <n v="3686"/>
    <n v="84771"/>
  </r>
  <r>
    <n v="4739"/>
    <x v="9"/>
    <s v="Female"/>
    <n v="51"/>
    <s v="Delhi"/>
    <x v="4"/>
    <n v="76213"/>
    <d v="2023-02-06T00:00:00"/>
    <n v="19"/>
    <n v="2"/>
    <n v="7621"/>
    <n v="3811"/>
    <n v="80023"/>
    <n v="3811"/>
    <n v="87645"/>
  </r>
  <r>
    <n v="4740"/>
    <x v="4"/>
    <s v="Female"/>
    <n v="25"/>
    <s v="Chennai"/>
    <x v="0"/>
    <n v="63288"/>
    <d v="2022-11-26T00:00:00"/>
    <n v="15"/>
    <n v="1"/>
    <n v="6329"/>
    <n v="3164"/>
    <n v="66453"/>
    <n v="3164"/>
    <n v="72781"/>
  </r>
  <r>
    <n v="4741"/>
    <x v="2"/>
    <s v="Male"/>
    <n v="57"/>
    <s v="Delhi"/>
    <x v="3"/>
    <n v="32856"/>
    <d v="2023-11-13T00:00:00"/>
    <n v="13"/>
    <n v="5"/>
    <n v="3286"/>
    <n v="1643"/>
    <n v="34499"/>
    <n v="1643"/>
    <n v="37785"/>
  </r>
  <r>
    <n v="4742"/>
    <x v="3"/>
    <s v="Male"/>
    <n v="24"/>
    <s v="Delhi"/>
    <x v="2"/>
    <n v="32744"/>
    <d v="2023-06-05T00:00:00"/>
    <n v="11"/>
    <n v="2"/>
    <n v="3274"/>
    <n v="1637"/>
    <n v="34381"/>
    <n v="1637"/>
    <n v="37655"/>
  </r>
  <r>
    <n v="4743"/>
    <x v="9"/>
    <s v="Male"/>
    <n v="56"/>
    <s v="Bangalore"/>
    <x v="2"/>
    <n v="35821"/>
    <d v="2023-01-29T00:00:00"/>
    <n v="18"/>
    <n v="4"/>
    <n v="3582"/>
    <n v="1791"/>
    <n v="37612"/>
    <n v="1791"/>
    <n v="41194"/>
  </r>
  <r>
    <n v="4744"/>
    <x v="2"/>
    <s v="Female"/>
    <n v="35"/>
    <s v="Delhi"/>
    <x v="3"/>
    <n v="99783"/>
    <d v="2022-06-27T00:00:00"/>
    <n v="19"/>
    <n v="3"/>
    <n v="9978"/>
    <n v="4989"/>
    <n v="104772"/>
    <n v="4989"/>
    <n v="114750"/>
  </r>
  <r>
    <n v="4745"/>
    <x v="2"/>
    <s v="Female"/>
    <n v="38"/>
    <s v="Chennai"/>
    <x v="3"/>
    <n v="36489"/>
    <d v="2024-06-17T00:00:00"/>
    <n v="1"/>
    <n v="4"/>
    <n v="3649"/>
    <n v="1824"/>
    <n v="38314"/>
    <n v="0"/>
    <n v="40138"/>
  </r>
  <r>
    <n v="4746"/>
    <x v="9"/>
    <s v="Female"/>
    <n v="41"/>
    <s v="Delhi"/>
    <x v="0"/>
    <n v="96586"/>
    <d v="2024-03-19T00:00:00"/>
    <n v="1"/>
    <n v="5"/>
    <n v="9659"/>
    <n v="4829"/>
    <n v="101416"/>
    <n v="0"/>
    <n v="106245"/>
  </r>
  <r>
    <n v="4747"/>
    <x v="4"/>
    <s v="Male"/>
    <n v="54"/>
    <s v="Hyderabad"/>
    <x v="0"/>
    <n v="74041"/>
    <d v="2024-04-16T00:00:00"/>
    <n v="9"/>
    <n v="2"/>
    <n v="7404"/>
    <n v="3702"/>
    <n v="77743"/>
    <n v="3702"/>
    <n v="85147"/>
  </r>
  <r>
    <n v="4748"/>
    <x v="1"/>
    <s v="Male"/>
    <n v="22"/>
    <s v="Bangalore"/>
    <x v="1"/>
    <n v="60734"/>
    <d v="2022-07-29T00:00:00"/>
    <n v="10"/>
    <n v="3"/>
    <n v="6073"/>
    <n v="3037"/>
    <n v="63770"/>
    <n v="3037"/>
    <n v="69844"/>
  </r>
  <r>
    <n v="4749"/>
    <x v="3"/>
    <s v="Female"/>
    <n v="38"/>
    <s v="Bangalore"/>
    <x v="4"/>
    <n v="29945"/>
    <d v="2023-07-14T00:00:00"/>
    <n v="15"/>
    <n v="4"/>
    <n v="2994"/>
    <n v="1497"/>
    <n v="31442"/>
    <n v="1497"/>
    <n v="34436"/>
  </r>
  <r>
    <n v="4750"/>
    <x v="3"/>
    <s v="Female"/>
    <n v="28"/>
    <s v="Chennai"/>
    <x v="3"/>
    <n v="24194"/>
    <d v="2022-10-25T00:00:00"/>
    <n v="13"/>
    <n v="3"/>
    <n v="2419"/>
    <n v="1210"/>
    <n v="25403"/>
    <n v="1210"/>
    <n v="27823"/>
  </r>
  <r>
    <n v="4751"/>
    <x v="7"/>
    <s v="Female"/>
    <n v="31"/>
    <s v="Delhi"/>
    <x v="1"/>
    <n v="28516"/>
    <d v="2022-02-16T00:00:00"/>
    <n v="2"/>
    <n v="1"/>
    <n v="2852"/>
    <n v="1426"/>
    <n v="29942"/>
    <n v="0"/>
    <n v="31368"/>
  </r>
  <r>
    <n v="4752"/>
    <x v="6"/>
    <s v="Male"/>
    <n v="30"/>
    <s v="Chennai"/>
    <x v="3"/>
    <n v="44143"/>
    <d v="2024-05-29T00:00:00"/>
    <n v="6"/>
    <n v="1"/>
    <n v="4414"/>
    <n v="2207"/>
    <n v="46350"/>
    <n v="2207"/>
    <n v="50764"/>
  </r>
  <r>
    <n v="4753"/>
    <x v="3"/>
    <s v="Male"/>
    <n v="59"/>
    <s v="Hyderabad"/>
    <x v="4"/>
    <n v="66935"/>
    <d v="2023-06-15T00:00:00"/>
    <n v="4"/>
    <n v="3"/>
    <n v="6694"/>
    <n v="3347"/>
    <n v="70282"/>
    <n v="0"/>
    <n v="73629"/>
  </r>
  <r>
    <n v="4754"/>
    <x v="1"/>
    <s v="Female"/>
    <n v="33"/>
    <s v="Mumbai"/>
    <x v="1"/>
    <n v="57867"/>
    <d v="2022-03-06T00:00:00"/>
    <n v="11"/>
    <n v="3"/>
    <n v="5787"/>
    <n v="2893"/>
    <n v="60761"/>
    <n v="2893"/>
    <n v="66547"/>
  </r>
  <r>
    <n v="4755"/>
    <x v="9"/>
    <s v="Male"/>
    <n v="35"/>
    <s v="Delhi"/>
    <x v="4"/>
    <n v="55668"/>
    <d v="2023-03-31T00:00:00"/>
    <n v="1"/>
    <n v="4"/>
    <n v="5567"/>
    <n v="2783"/>
    <n v="58452"/>
    <n v="0"/>
    <n v="61235"/>
  </r>
  <r>
    <n v="4756"/>
    <x v="2"/>
    <s v="Male"/>
    <n v="60"/>
    <s v="Delhi"/>
    <x v="0"/>
    <n v="99535"/>
    <d v="2024-07-05T00:00:00"/>
    <n v="7"/>
    <n v="1"/>
    <n v="9954"/>
    <n v="4977"/>
    <n v="104512"/>
    <n v="4977"/>
    <n v="114466"/>
  </r>
  <r>
    <n v="4757"/>
    <x v="1"/>
    <s v="Male"/>
    <n v="59"/>
    <s v="Delhi"/>
    <x v="2"/>
    <n v="43581"/>
    <d v="2024-05-12T00:00:00"/>
    <n v="12"/>
    <n v="4"/>
    <n v="4358"/>
    <n v="2179"/>
    <n v="45760"/>
    <n v="2179"/>
    <n v="50118"/>
  </r>
  <r>
    <n v="4758"/>
    <x v="4"/>
    <s v="Male"/>
    <n v="43"/>
    <s v="Bangalore"/>
    <x v="1"/>
    <n v="59674"/>
    <d v="2023-05-26T00:00:00"/>
    <n v="4"/>
    <n v="1"/>
    <n v="5967"/>
    <n v="2984"/>
    <n v="62657"/>
    <n v="0"/>
    <n v="65641"/>
  </r>
  <r>
    <n v="4759"/>
    <x v="2"/>
    <s v="Male"/>
    <n v="38"/>
    <s v="Chennai"/>
    <x v="0"/>
    <n v="72658"/>
    <d v="2022-09-09T00:00:00"/>
    <n v="9"/>
    <n v="4"/>
    <n v="7266"/>
    <n v="3633"/>
    <n v="76291"/>
    <n v="3633"/>
    <n v="83557"/>
  </r>
  <r>
    <n v="4760"/>
    <x v="8"/>
    <s v="Female"/>
    <n v="28"/>
    <s v="Delhi"/>
    <x v="1"/>
    <n v="82155"/>
    <d v="2024-04-22T00:00:00"/>
    <n v="18"/>
    <n v="1"/>
    <n v="8216"/>
    <n v="4108"/>
    <n v="86263"/>
    <n v="4108"/>
    <n v="94479"/>
  </r>
  <r>
    <n v="4761"/>
    <x v="7"/>
    <s v="Female"/>
    <n v="22"/>
    <s v="Delhi"/>
    <x v="0"/>
    <n v="72544"/>
    <d v="2023-08-06T00:00:00"/>
    <n v="13"/>
    <n v="4"/>
    <n v="7254"/>
    <n v="3627"/>
    <n v="76171"/>
    <n v="3627"/>
    <n v="83425"/>
  </r>
  <r>
    <n v="4762"/>
    <x v="1"/>
    <s v="Female"/>
    <n v="47"/>
    <s v="Delhi"/>
    <x v="3"/>
    <n v="67338"/>
    <d v="2022-11-25T00:00:00"/>
    <n v="4"/>
    <n v="3"/>
    <n v="6734"/>
    <n v="3367"/>
    <n v="70705"/>
    <n v="0"/>
    <n v="74072"/>
  </r>
  <r>
    <n v="4763"/>
    <x v="4"/>
    <s v="Male"/>
    <n v="31"/>
    <s v="Bangalore"/>
    <x v="3"/>
    <n v="59638"/>
    <d v="2023-11-05T00:00:00"/>
    <n v="16"/>
    <n v="3"/>
    <n v="5964"/>
    <n v="2982"/>
    <n v="62620"/>
    <n v="2982"/>
    <n v="68584"/>
  </r>
  <r>
    <n v="4764"/>
    <x v="6"/>
    <s v="Female"/>
    <n v="24"/>
    <s v="Mumbai"/>
    <x v="0"/>
    <n v="97847"/>
    <d v="2022-03-12T00:00:00"/>
    <n v="12"/>
    <n v="2"/>
    <n v="9785"/>
    <n v="4892"/>
    <n v="102740"/>
    <n v="4892"/>
    <n v="112524"/>
  </r>
  <r>
    <n v="4765"/>
    <x v="7"/>
    <s v="Male"/>
    <n v="51"/>
    <s v="Delhi"/>
    <x v="0"/>
    <n v="47215"/>
    <d v="2023-12-06T00:00:00"/>
    <n v="12"/>
    <n v="1"/>
    <n v="4722"/>
    <n v="2361"/>
    <n v="49576"/>
    <n v="2361"/>
    <n v="54298"/>
  </r>
  <r>
    <n v="4766"/>
    <x v="7"/>
    <s v="Male"/>
    <n v="22"/>
    <s v="Mumbai"/>
    <x v="4"/>
    <n v="34827"/>
    <d v="2022-08-29T00:00:00"/>
    <n v="13"/>
    <n v="4"/>
    <n v="3483"/>
    <n v="1741"/>
    <n v="36569"/>
    <n v="1741"/>
    <n v="40051"/>
  </r>
  <r>
    <n v="4767"/>
    <x v="0"/>
    <s v="Male"/>
    <n v="31"/>
    <s v="Delhi"/>
    <x v="3"/>
    <n v="40837"/>
    <d v="2024-04-06T00:00:00"/>
    <n v="12"/>
    <n v="5"/>
    <n v="4084"/>
    <n v="2042"/>
    <n v="42879"/>
    <n v="2042"/>
    <n v="46963"/>
  </r>
  <r>
    <n v="4768"/>
    <x v="3"/>
    <s v="Female"/>
    <n v="42"/>
    <s v="Chennai"/>
    <x v="2"/>
    <n v="24040"/>
    <d v="2024-09-12T00:00:00"/>
    <n v="19"/>
    <n v="4"/>
    <n v="2404"/>
    <n v="1202"/>
    <n v="25242"/>
    <n v="1202"/>
    <n v="27646"/>
  </r>
  <r>
    <n v="4769"/>
    <x v="2"/>
    <s v="Female"/>
    <n v="27"/>
    <s v="Delhi"/>
    <x v="0"/>
    <n v="82245"/>
    <d v="2022-04-14T00:00:00"/>
    <n v="9"/>
    <n v="3"/>
    <n v="8224"/>
    <n v="4112"/>
    <n v="86357"/>
    <n v="4112"/>
    <n v="94581"/>
  </r>
  <r>
    <n v="4770"/>
    <x v="4"/>
    <s v="Female"/>
    <n v="38"/>
    <s v="Mumbai"/>
    <x v="1"/>
    <n v="24604"/>
    <d v="2022-06-11T00:00:00"/>
    <n v="15"/>
    <n v="3"/>
    <n v="2460"/>
    <n v="1230"/>
    <n v="25834"/>
    <n v="1230"/>
    <n v="28294"/>
  </r>
  <r>
    <n v="4771"/>
    <x v="1"/>
    <s v="Female"/>
    <n v="53"/>
    <s v="Delhi"/>
    <x v="4"/>
    <n v="78826"/>
    <d v="2022-11-26T00:00:00"/>
    <n v="10"/>
    <n v="5"/>
    <n v="7883"/>
    <n v="3941"/>
    <n v="82768"/>
    <n v="3941"/>
    <n v="90650"/>
  </r>
  <r>
    <n v="4772"/>
    <x v="1"/>
    <s v="Female"/>
    <n v="55"/>
    <s v="Hyderabad"/>
    <x v="2"/>
    <n v="85468"/>
    <d v="2022-03-16T00:00:00"/>
    <n v="14"/>
    <n v="3"/>
    <n v="8547"/>
    <n v="4273"/>
    <n v="89742"/>
    <n v="4273"/>
    <n v="98288"/>
  </r>
  <r>
    <n v="4773"/>
    <x v="1"/>
    <s v="Female"/>
    <n v="42"/>
    <s v="Chennai"/>
    <x v="0"/>
    <n v="50557"/>
    <d v="2022-12-17T00:00:00"/>
    <n v="10"/>
    <n v="3"/>
    <n v="5056"/>
    <n v="2528"/>
    <n v="53085"/>
    <n v="2528"/>
    <n v="58141"/>
  </r>
  <r>
    <n v="4774"/>
    <x v="5"/>
    <s v="Male"/>
    <n v="48"/>
    <s v="Mumbai"/>
    <x v="1"/>
    <n v="86193"/>
    <d v="2022-06-14T00:00:00"/>
    <n v="2"/>
    <n v="1"/>
    <n v="8619"/>
    <n v="4310"/>
    <n v="90502"/>
    <n v="0"/>
    <n v="94812"/>
  </r>
  <r>
    <n v="4775"/>
    <x v="2"/>
    <s v="Male"/>
    <n v="53"/>
    <s v="Hyderabad"/>
    <x v="4"/>
    <n v="88967"/>
    <d v="2024-02-17T00:00:00"/>
    <n v="9"/>
    <n v="3"/>
    <n v="8897"/>
    <n v="4448"/>
    <n v="93416"/>
    <n v="4448"/>
    <n v="102312"/>
  </r>
  <r>
    <n v="4776"/>
    <x v="3"/>
    <s v="Male"/>
    <n v="57"/>
    <s v="Hyderabad"/>
    <x v="0"/>
    <n v="50740"/>
    <d v="2023-12-04T00:00:00"/>
    <n v="13"/>
    <n v="1"/>
    <n v="5074"/>
    <n v="2537"/>
    <n v="53277"/>
    <n v="2537"/>
    <n v="58351"/>
  </r>
  <r>
    <n v="4777"/>
    <x v="0"/>
    <s v="Male"/>
    <n v="52"/>
    <s v="Mumbai"/>
    <x v="3"/>
    <n v="86488"/>
    <d v="2023-06-28T00:00:00"/>
    <n v="13"/>
    <n v="5"/>
    <n v="8649"/>
    <n v="4324"/>
    <n v="90813"/>
    <n v="4324"/>
    <n v="99461"/>
  </r>
  <r>
    <n v="4778"/>
    <x v="9"/>
    <s v="Female"/>
    <n v="40"/>
    <s v="Bangalore"/>
    <x v="0"/>
    <n v="94198"/>
    <d v="2022-09-12T00:00:00"/>
    <n v="7"/>
    <n v="4"/>
    <n v="9420"/>
    <n v="4710"/>
    <n v="98908"/>
    <n v="4710"/>
    <n v="108328"/>
  </r>
  <r>
    <n v="4779"/>
    <x v="4"/>
    <s v="Male"/>
    <n v="57"/>
    <s v="Delhi"/>
    <x v="0"/>
    <n v="59914"/>
    <d v="2023-01-24T00:00:00"/>
    <n v="10"/>
    <n v="5"/>
    <n v="5991"/>
    <n v="2996"/>
    <n v="62909"/>
    <n v="2996"/>
    <n v="68901"/>
  </r>
  <r>
    <n v="4780"/>
    <x v="5"/>
    <s v="Male"/>
    <n v="45"/>
    <s v="Chennai"/>
    <x v="2"/>
    <n v="99440"/>
    <d v="2024-07-03T00:00:00"/>
    <n v="15"/>
    <n v="1"/>
    <n v="9944"/>
    <n v="4972"/>
    <n v="104412"/>
    <n v="4972"/>
    <n v="114356"/>
  </r>
  <r>
    <n v="4781"/>
    <x v="6"/>
    <s v="Male"/>
    <n v="43"/>
    <s v="Chennai"/>
    <x v="1"/>
    <n v="85749"/>
    <d v="2022-02-16T00:00:00"/>
    <n v="19"/>
    <n v="1"/>
    <n v="8575"/>
    <n v="4287"/>
    <n v="90037"/>
    <n v="4287"/>
    <n v="98611"/>
  </r>
  <r>
    <n v="4782"/>
    <x v="7"/>
    <s v="Male"/>
    <n v="54"/>
    <s v="Delhi"/>
    <x v="0"/>
    <n v="49583"/>
    <d v="2024-02-07T00:00:00"/>
    <n v="9"/>
    <n v="3"/>
    <n v="4958"/>
    <n v="2479"/>
    <n v="52062"/>
    <n v="2479"/>
    <n v="57020"/>
  </r>
  <r>
    <n v="4783"/>
    <x v="9"/>
    <s v="Male"/>
    <n v="46"/>
    <s v="Mumbai"/>
    <x v="0"/>
    <n v="33547"/>
    <d v="2023-03-25T00:00:00"/>
    <n v="17"/>
    <n v="1"/>
    <n v="3355"/>
    <n v="1677"/>
    <n v="35225"/>
    <n v="1677"/>
    <n v="38579"/>
  </r>
  <r>
    <n v="4784"/>
    <x v="8"/>
    <s v="Male"/>
    <n v="24"/>
    <s v="Hyderabad"/>
    <x v="4"/>
    <n v="92081"/>
    <d v="2023-12-26T00:00:00"/>
    <n v="3"/>
    <n v="3"/>
    <n v="9208"/>
    <n v="4604"/>
    <n v="96685"/>
    <n v="0"/>
    <n v="101289"/>
  </r>
  <r>
    <n v="4785"/>
    <x v="3"/>
    <s v="Male"/>
    <n v="39"/>
    <s v="Chennai"/>
    <x v="0"/>
    <n v="54664"/>
    <d v="2024-06-29T00:00:00"/>
    <n v="9"/>
    <n v="5"/>
    <n v="5466"/>
    <n v="2733"/>
    <n v="57397"/>
    <n v="2733"/>
    <n v="62863"/>
  </r>
  <r>
    <n v="4786"/>
    <x v="9"/>
    <s v="Male"/>
    <n v="55"/>
    <s v="Hyderabad"/>
    <x v="1"/>
    <n v="89918"/>
    <d v="2024-06-08T00:00:00"/>
    <n v="11"/>
    <n v="4"/>
    <n v="8992"/>
    <n v="4496"/>
    <n v="94414"/>
    <n v="4496"/>
    <n v="103406"/>
  </r>
  <r>
    <n v="4787"/>
    <x v="5"/>
    <s v="Female"/>
    <n v="45"/>
    <s v="Chennai"/>
    <x v="4"/>
    <n v="51967"/>
    <d v="2023-06-10T00:00:00"/>
    <n v="6"/>
    <n v="4"/>
    <n v="5197"/>
    <n v="2598"/>
    <n v="54566"/>
    <n v="2598"/>
    <n v="59762"/>
  </r>
  <r>
    <n v="4788"/>
    <x v="7"/>
    <s v="Male"/>
    <n v="45"/>
    <s v="Delhi"/>
    <x v="4"/>
    <n v="24014"/>
    <d v="2022-02-14T00:00:00"/>
    <n v="6"/>
    <n v="1"/>
    <n v="2401"/>
    <n v="1201"/>
    <n v="25214"/>
    <n v="1201"/>
    <n v="27616"/>
  </r>
  <r>
    <n v="4789"/>
    <x v="4"/>
    <s v="Male"/>
    <n v="59"/>
    <s v="Chennai"/>
    <x v="4"/>
    <n v="52579"/>
    <d v="2024-04-07T00:00:00"/>
    <n v="16"/>
    <n v="2"/>
    <n v="5258"/>
    <n v="2629"/>
    <n v="55208"/>
    <n v="2629"/>
    <n v="60466"/>
  </r>
  <r>
    <n v="4790"/>
    <x v="3"/>
    <s v="Male"/>
    <n v="29"/>
    <s v="Hyderabad"/>
    <x v="3"/>
    <n v="46431"/>
    <d v="2023-04-27T00:00:00"/>
    <n v="19"/>
    <n v="1"/>
    <n v="4643"/>
    <n v="2322"/>
    <n v="48752"/>
    <n v="2322"/>
    <n v="53396"/>
  </r>
  <r>
    <n v="4791"/>
    <x v="7"/>
    <s v="Male"/>
    <n v="49"/>
    <s v="Chennai"/>
    <x v="4"/>
    <n v="91574"/>
    <d v="2024-03-25T00:00:00"/>
    <n v="19"/>
    <n v="4"/>
    <n v="9157"/>
    <n v="4579"/>
    <n v="96152"/>
    <n v="4579"/>
    <n v="105310"/>
  </r>
  <r>
    <n v="4792"/>
    <x v="9"/>
    <s v="Male"/>
    <n v="52"/>
    <s v="Chennai"/>
    <x v="0"/>
    <n v="47526"/>
    <d v="2022-08-30T00:00:00"/>
    <n v="6"/>
    <n v="2"/>
    <n v="4753"/>
    <n v="2376"/>
    <n v="49903"/>
    <n v="2376"/>
    <n v="54655"/>
  </r>
  <r>
    <n v="4793"/>
    <x v="6"/>
    <s v="Female"/>
    <n v="58"/>
    <s v="Bangalore"/>
    <x v="1"/>
    <n v="33966"/>
    <d v="2022-09-15T00:00:00"/>
    <n v="20"/>
    <n v="2"/>
    <n v="3397"/>
    <n v="1698"/>
    <n v="35665"/>
    <n v="1698"/>
    <n v="39061"/>
  </r>
  <r>
    <n v="4794"/>
    <x v="1"/>
    <s v="Male"/>
    <n v="51"/>
    <s v="Hyderabad"/>
    <x v="3"/>
    <n v="37331"/>
    <d v="2022-08-15T00:00:00"/>
    <n v="17"/>
    <n v="1"/>
    <n v="3733"/>
    <n v="1867"/>
    <n v="39197"/>
    <n v="1867"/>
    <n v="42931"/>
  </r>
  <r>
    <n v="4795"/>
    <x v="8"/>
    <s v="Male"/>
    <n v="23"/>
    <s v="Bangalore"/>
    <x v="4"/>
    <n v="85250"/>
    <d v="2024-08-04T00:00:00"/>
    <n v="6"/>
    <n v="4"/>
    <n v="8525"/>
    <n v="4262"/>
    <n v="89513"/>
    <n v="4262"/>
    <n v="98037"/>
  </r>
  <r>
    <n v="4796"/>
    <x v="4"/>
    <s v="Male"/>
    <n v="57"/>
    <s v="Bangalore"/>
    <x v="2"/>
    <n v="36232"/>
    <d v="2023-12-31T00:00:00"/>
    <n v="18"/>
    <n v="5"/>
    <n v="3623"/>
    <n v="1812"/>
    <n v="38043"/>
    <n v="1812"/>
    <n v="41667"/>
  </r>
  <r>
    <n v="4797"/>
    <x v="2"/>
    <s v="Female"/>
    <n v="58"/>
    <s v="Delhi"/>
    <x v="1"/>
    <n v="45686"/>
    <d v="2023-09-20T00:00:00"/>
    <n v="4"/>
    <n v="3"/>
    <n v="4569"/>
    <n v="2284"/>
    <n v="47971"/>
    <n v="0"/>
    <n v="50255"/>
  </r>
  <r>
    <n v="4798"/>
    <x v="0"/>
    <s v="Male"/>
    <n v="41"/>
    <s v="Hyderabad"/>
    <x v="1"/>
    <n v="56014"/>
    <d v="2023-10-16T00:00:00"/>
    <n v="12"/>
    <n v="1"/>
    <n v="5601"/>
    <n v="2801"/>
    <n v="58814"/>
    <n v="2801"/>
    <n v="64416"/>
  </r>
  <r>
    <n v="4799"/>
    <x v="6"/>
    <s v="Male"/>
    <n v="52"/>
    <s v="Mumbai"/>
    <x v="0"/>
    <n v="64347"/>
    <d v="2022-07-07T00:00:00"/>
    <n v="14"/>
    <n v="3"/>
    <n v="6435"/>
    <n v="3217"/>
    <n v="67565"/>
    <n v="3217"/>
    <n v="73999"/>
  </r>
  <r>
    <n v="4800"/>
    <x v="5"/>
    <s v="Female"/>
    <n v="23"/>
    <s v="Hyderabad"/>
    <x v="2"/>
    <n v="25430"/>
    <d v="2023-12-16T00:00:00"/>
    <n v="17"/>
    <n v="5"/>
    <n v="2543"/>
    <n v="1272"/>
    <n v="26701"/>
    <n v="1272"/>
    <n v="29245"/>
  </r>
  <r>
    <n v="4801"/>
    <x v="1"/>
    <s v="Female"/>
    <n v="52"/>
    <s v="Delhi"/>
    <x v="3"/>
    <n v="70083"/>
    <d v="2022-11-12T00:00:00"/>
    <n v="17"/>
    <n v="1"/>
    <n v="7008"/>
    <n v="3504"/>
    <n v="73587"/>
    <n v="3504"/>
    <n v="80595"/>
  </r>
  <r>
    <n v="4802"/>
    <x v="5"/>
    <s v="Female"/>
    <n v="42"/>
    <s v="Hyderabad"/>
    <x v="0"/>
    <n v="96272"/>
    <d v="2024-03-11T00:00:00"/>
    <n v="11"/>
    <n v="5"/>
    <n v="9627"/>
    <n v="4814"/>
    <n v="101085"/>
    <n v="4814"/>
    <n v="110713"/>
  </r>
  <r>
    <n v="4803"/>
    <x v="4"/>
    <s v="Male"/>
    <n v="27"/>
    <s v="Chennai"/>
    <x v="1"/>
    <n v="81277"/>
    <d v="2023-02-20T00:00:00"/>
    <n v="4"/>
    <n v="2"/>
    <n v="8128"/>
    <n v="4064"/>
    <n v="85341"/>
    <n v="0"/>
    <n v="89405"/>
  </r>
  <r>
    <n v="4804"/>
    <x v="0"/>
    <s v="Male"/>
    <n v="46"/>
    <s v="Mumbai"/>
    <x v="0"/>
    <n v="62618"/>
    <d v="2023-05-02T00:00:00"/>
    <n v="9"/>
    <n v="3"/>
    <n v="6262"/>
    <n v="3131"/>
    <n v="65749"/>
    <n v="3131"/>
    <n v="72011"/>
  </r>
  <r>
    <n v="4805"/>
    <x v="4"/>
    <s v="Male"/>
    <n v="24"/>
    <s v="Mumbai"/>
    <x v="1"/>
    <n v="93926"/>
    <d v="2023-08-10T00:00:00"/>
    <n v="15"/>
    <n v="2"/>
    <n v="9393"/>
    <n v="4696"/>
    <n v="98623"/>
    <n v="4696"/>
    <n v="108015"/>
  </r>
  <r>
    <n v="4806"/>
    <x v="8"/>
    <s v="Female"/>
    <n v="51"/>
    <s v="Delhi"/>
    <x v="0"/>
    <n v="25136"/>
    <d v="2024-02-21T00:00:00"/>
    <n v="14"/>
    <n v="4"/>
    <n v="2514"/>
    <n v="1257"/>
    <n v="26393"/>
    <n v="1257"/>
    <n v="28907"/>
  </r>
  <r>
    <n v="4807"/>
    <x v="4"/>
    <s v="Female"/>
    <n v="41"/>
    <s v="Bangalore"/>
    <x v="1"/>
    <n v="70526"/>
    <d v="2022-09-03T00:00:00"/>
    <n v="10"/>
    <n v="2"/>
    <n v="7053"/>
    <n v="3526"/>
    <n v="74053"/>
    <n v="3526"/>
    <n v="81105"/>
  </r>
  <r>
    <n v="4808"/>
    <x v="7"/>
    <s v="Female"/>
    <n v="47"/>
    <s v="Hyderabad"/>
    <x v="1"/>
    <n v="31362"/>
    <d v="2023-01-23T00:00:00"/>
    <n v="2"/>
    <n v="5"/>
    <n v="3136"/>
    <n v="1568"/>
    <n v="32930"/>
    <n v="0"/>
    <n v="34498"/>
  </r>
  <r>
    <n v="4809"/>
    <x v="0"/>
    <s v="Female"/>
    <n v="25"/>
    <s v="Mumbai"/>
    <x v="1"/>
    <n v="20461"/>
    <d v="2023-03-20T00:00:00"/>
    <n v="6"/>
    <n v="2"/>
    <n v="2046"/>
    <n v="1023"/>
    <n v="21484"/>
    <n v="1023"/>
    <n v="23530"/>
  </r>
  <r>
    <n v="4810"/>
    <x v="6"/>
    <s v="Male"/>
    <n v="40"/>
    <s v="Hyderabad"/>
    <x v="0"/>
    <n v="74380"/>
    <d v="2023-07-12T00:00:00"/>
    <n v="7"/>
    <n v="4"/>
    <n v="7438"/>
    <n v="3719"/>
    <n v="78099"/>
    <n v="3719"/>
    <n v="85537"/>
  </r>
  <r>
    <n v="4811"/>
    <x v="1"/>
    <s v="Female"/>
    <n v="50"/>
    <s v="Hyderabad"/>
    <x v="2"/>
    <n v="54051"/>
    <d v="2022-09-03T00:00:00"/>
    <n v="1"/>
    <n v="3"/>
    <n v="5405"/>
    <n v="2703"/>
    <n v="56753"/>
    <n v="0"/>
    <n v="59456"/>
  </r>
  <r>
    <n v="4812"/>
    <x v="3"/>
    <s v="Female"/>
    <n v="26"/>
    <s v="Hyderabad"/>
    <x v="0"/>
    <n v="69027"/>
    <d v="2022-06-02T00:00:00"/>
    <n v="1"/>
    <n v="2"/>
    <n v="6903"/>
    <n v="3451"/>
    <n v="72479"/>
    <n v="0"/>
    <n v="75930"/>
  </r>
  <r>
    <n v="4813"/>
    <x v="2"/>
    <s v="Female"/>
    <n v="34"/>
    <s v="Delhi"/>
    <x v="4"/>
    <n v="81791"/>
    <d v="2023-10-09T00:00:00"/>
    <n v="8"/>
    <n v="5"/>
    <n v="8179"/>
    <n v="4090"/>
    <n v="85880"/>
    <n v="4090"/>
    <n v="94060"/>
  </r>
  <r>
    <n v="4814"/>
    <x v="9"/>
    <s v="Male"/>
    <n v="46"/>
    <s v="Hyderabad"/>
    <x v="0"/>
    <n v="35587"/>
    <d v="2024-01-31T00:00:00"/>
    <n v="6"/>
    <n v="5"/>
    <n v="3559"/>
    <n v="1779"/>
    <n v="37367"/>
    <n v="1779"/>
    <n v="40925"/>
  </r>
  <r>
    <n v="4815"/>
    <x v="6"/>
    <s v="Female"/>
    <n v="35"/>
    <s v="Hyderabad"/>
    <x v="3"/>
    <n v="63606"/>
    <d v="2023-05-03T00:00:00"/>
    <n v="13"/>
    <n v="3"/>
    <n v="6361"/>
    <n v="3180"/>
    <n v="66787"/>
    <n v="3180"/>
    <n v="73147"/>
  </r>
  <r>
    <n v="4816"/>
    <x v="6"/>
    <s v="Male"/>
    <n v="29"/>
    <s v="Delhi"/>
    <x v="4"/>
    <n v="28835"/>
    <d v="2022-11-10T00:00:00"/>
    <n v="11"/>
    <n v="1"/>
    <n v="2884"/>
    <n v="1442"/>
    <n v="30277"/>
    <n v="1442"/>
    <n v="33161"/>
  </r>
  <r>
    <n v="4817"/>
    <x v="1"/>
    <s v="Female"/>
    <n v="49"/>
    <s v="Bangalore"/>
    <x v="2"/>
    <n v="24128"/>
    <d v="2023-10-26T00:00:00"/>
    <n v="19"/>
    <n v="4"/>
    <n v="2413"/>
    <n v="1206"/>
    <n v="25335"/>
    <n v="1206"/>
    <n v="27747"/>
  </r>
  <r>
    <n v="4818"/>
    <x v="1"/>
    <s v="Female"/>
    <n v="35"/>
    <s v="Hyderabad"/>
    <x v="1"/>
    <n v="26769"/>
    <d v="2022-10-24T00:00:00"/>
    <n v="2"/>
    <n v="4"/>
    <n v="2677"/>
    <n v="1338"/>
    <n v="28108"/>
    <n v="0"/>
    <n v="29446"/>
  </r>
  <r>
    <n v="4819"/>
    <x v="5"/>
    <s v="Female"/>
    <n v="51"/>
    <s v="Mumbai"/>
    <x v="1"/>
    <n v="23602"/>
    <d v="2024-01-14T00:00:00"/>
    <n v="10"/>
    <n v="1"/>
    <n v="2360"/>
    <n v="1180"/>
    <n v="24782"/>
    <n v="1180"/>
    <n v="27142"/>
  </r>
  <r>
    <n v="4820"/>
    <x v="5"/>
    <s v="Male"/>
    <n v="35"/>
    <s v="Chennai"/>
    <x v="3"/>
    <n v="65266"/>
    <d v="2023-02-09T00:00:00"/>
    <n v="1"/>
    <n v="5"/>
    <n v="6527"/>
    <n v="3263"/>
    <n v="68530"/>
    <n v="0"/>
    <n v="71793"/>
  </r>
  <r>
    <n v="4821"/>
    <x v="2"/>
    <s v="Male"/>
    <n v="30"/>
    <s v="Bangalore"/>
    <x v="4"/>
    <n v="39951"/>
    <d v="2023-07-25T00:00:00"/>
    <n v="13"/>
    <n v="1"/>
    <n v="3995"/>
    <n v="1998"/>
    <n v="41948"/>
    <n v="1998"/>
    <n v="45944"/>
  </r>
  <r>
    <n v="4822"/>
    <x v="8"/>
    <s v="Female"/>
    <n v="39"/>
    <s v="Hyderabad"/>
    <x v="1"/>
    <n v="60443"/>
    <d v="2022-03-13T00:00:00"/>
    <n v="14"/>
    <n v="1"/>
    <n v="6044"/>
    <n v="3022"/>
    <n v="63465"/>
    <n v="3022"/>
    <n v="69509"/>
  </r>
  <r>
    <n v="4823"/>
    <x v="7"/>
    <s v="Male"/>
    <n v="39"/>
    <s v="Chennai"/>
    <x v="2"/>
    <n v="89055"/>
    <d v="2024-08-29T00:00:00"/>
    <n v="14"/>
    <n v="3"/>
    <n v="8906"/>
    <n v="4453"/>
    <n v="93508"/>
    <n v="4453"/>
    <n v="102414"/>
  </r>
  <r>
    <n v="4824"/>
    <x v="8"/>
    <s v="Female"/>
    <n v="45"/>
    <s v="Chennai"/>
    <x v="3"/>
    <n v="35499"/>
    <d v="2023-08-20T00:00:00"/>
    <n v="5"/>
    <n v="4"/>
    <n v="3550"/>
    <n v="1775"/>
    <n v="37274"/>
    <n v="0"/>
    <n v="39049"/>
  </r>
  <r>
    <n v="4825"/>
    <x v="7"/>
    <s v="Male"/>
    <n v="39"/>
    <s v="Delhi"/>
    <x v="4"/>
    <n v="97978"/>
    <d v="2022-06-18T00:00:00"/>
    <n v="20"/>
    <n v="3"/>
    <n v="9798"/>
    <n v="4899"/>
    <n v="102877"/>
    <n v="4899"/>
    <n v="112675"/>
  </r>
  <r>
    <n v="4826"/>
    <x v="4"/>
    <s v="Female"/>
    <n v="24"/>
    <s v="Mumbai"/>
    <x v="2"/>
    <n v="75228"/>
    <d v="2022-03-28T00:00:00"/>
    <n v="2"/>
    <n v="5"/>
    <n v="7523"/>
    <n v="3761"/>
    <n v="78990"/>
    <n v="0"/>
    <n v="82751"/>
  </r>
  <r>
    <n v="4827"/>
    <x v="6"/>
    <s v="Male"/>
    <n v="36"/>
    <s v="Hyderabad"/>
    <x v="1"/>
    <n v="46882"/>
    <d v="2023-10-16T00:00:00"/>
    <n v="1"/>
    <n v="2"/>
    <n v="4688"/>
    <n v="2344"/>
    <n v="49226"/>
    <n v="0"/>
    <n v="51570"/>
  </r>
  <r>
    <n v="4828"/>
    <x v="3"/>
    <s v="Female"/>
    <n v="51"/>
    <s v="Chennai"/>
    <x v="3"/>
    <n v="68100"/>
    <d v="2022-04-14T00:00:00"/>
    <n v="17"/>
    <n v="1"/>
    <n v="6810"/>
    <n v="3405"/>
    <n v="71505"/>
    <n v="3405"/>
    <n v="78315"/>
  </r>
  <r>
    <n v="4829"/>
    <x v="8"/>
    <s v="Male"/>
    <n v="34"/>
    <s v="Delhi"/>
    <x v="0"/>
    <n v="23140"/>
    <d v="2022-05-28T00:00:00"/>
    <n v="9"/>
    <n v="1"/>
    <n v="2314"/>
    <n v="1157"/>
    <n v="24297"/>
    <n v="1157"/>
    <n v="26611"/>
  </r>
  <r>
    <n v="4830"/>
    <x v="3"/>
    <s v="Female"/>
    <n v="31"/>
    <s v="Bangalore"/>
    <x v="3"/>
    <n v="47076"/>
    <d v="2022-01-08T00:00:00"/>
    <n v="2"/>
    <n v="5"/>
    <n v="4708"/>
    <n v="2354"/>
    <n v="49430"/>
    <n v="0"/>
    <n v="51784"/>
  </r>
  <r>
    <n v="4831"/>
    <x v="8"/>
    <s v="Male"/>
    <n v="37"/>
    <s v="Mumbai"/>
    <x v="0"/>
    <n v="54000"/>
    <d v="2023-07-01T00:00:00"/>
    <n v="2"/>
    <n v="3"/>
    <n v="5400"/>
    <n v="2700"/>
    <n v="56700"/>
    <n v="0"/>
    <n v="59400"/>
  </r>
  <r>
    <n v="4832"/>
    <x v="1"/>
    <s v="Female"/>
    <n v="25"/>
    <s v="Hyderabad"/>
    <x v="0"/>
    <n v="77207"/>
    <d v="2023-05-06T00:00:00"/>
    <n v="10"/>
    <n v="4"/>
    <n v="7721"/>
    <n v="3860"/>
    <n v="81068"/>
    <n v="3860"/>
    <n v="88788"/>
  </r>
  <r>
    <n v="4833"/>
    <x v="4"/>
    <s v="Male"/>
    <n v="47"/>
    <s v="Bangalore"/>
    <x v="3"/>
    <n v="97481"/>
    <d v="2022-11-12T00:00:00"/>
    <n v="3"/>
    <n v="2"/>
    <n v="9748"/>
    <n v="4874"/>
    <n v="102355"/>
    <n v="0"/>
    <n v="107229"/>
  </r>
  <r>
    <n v="4834"/>
    <x v="2"/>
    <s v="Male"/>
    <n v="55"/>
    <s v="Mumbai"/>
    <x v="0"/>
    <n v="60639"/>
    <d v="2023-12-27T00:00:00"/>
    <n v="11"/>
    <n v="2"/>
    <n v="6064"/>
    <n v="3032"/>
    <n v="63671"/>
    <n v="3032"/>
    <n v="69735"/>
  </r>
  <r>
    <n v="4835"/>
    <x v="0"/>
    <s v="Female"/>
    <n v="51"/>
    <s v="Delhi"/>
    <x v="0"/>
    <n v="32288"/>
    <d v="2024-05-03T00:00:00"/>
    <n v="6"/>
    <n v="2"/>
    <n v="3229"/>
    <n v="1614"/>
    <n v="33903"/>
    <n v="1614"/>
    <n v="37131"/>
  </r>
  <r>
    <n v="4836"/>
    <x v="2"/>
    <s v="Male"/>
    <n v="45"/>
    <s v="Hyderabad"/>
    <x v="2"/>
    <n v="23500"/>
    <d v="2024-06-30T00:00:00"/>
    <n v="9"/>
    <n v="1"/>
    <n v="2350"/>
    <n v="1175"/>
    <n v="24675"/>
    <n v="1175"/>
    <n v="27025"/>
  </r>
  <r>
    <n v="4837"/>
    <x v="3"/>
    <s v="Female"/>
    <n v="47"/>
    <s v="Mumbai"/>
    <x v="1"/>
    <n v="90854"/>
    <d v="2023-09-03T00:00:00"/>
    <n v="9"/>
    <n v="1"/>
    <n v="9085"/>
    <n v="4543"/>
    <n v="95396"/>
    <n v="4543"/>
    <n v="104482"/>
  </r>
  <r>
    <n v="4838"/>
    <x v="8"/>
    <s v="Female"/>
    <n v="38"/>
    <s v="Bangalore"/>
    <x v="3"/>
    <n v="56447"/>
    <d v="2022-06-10T00:00:00"/>
    <n v="20"/>
    <n v="4"/>
    <n v="5645"/>
    <n v="2822"/>
    <n v="59270"/>
    <n v="2822"/>
    <n v="64914"/>
  </r>
  <r>
    <n v="4839"/>
    <x v="3"/>
    <s v="Male"/>
    <n v="26"/>
    <s v="Bangalore"/>
    <x v="2"/>
    <n v="80562"/>
    <d v="2023-08-25T00:00:00"/>
    <n v="5"/>
    <n v="4"/>
    <n v="8056"/>
    <n v="4028"/>
    <n v="84590"/>
    <n v="0"/>
    <n v="88618"/>
  </r>
  <r>
    <n v="4840"/>
    <x v="2"/>
    <s v="Female"/>
    <n v="58"/>
    <s v="Chennai"/>
    <x v="0"/>
    <n v="31703"/>
    <d v="2022-04-21T00:00:00"/>
    <n v="7"/>
    <n v="4"/>
    <n v="3170"/>
    <n v="1585"/>
    <n v="33288"/>
    <n v="1585"/>
    <n v="36458"/>
  </r>
  <r>
    <n v="4841"/>
    <x v="7"/>
    <s v="Male"/>
    <n v="56"/>
    <s v="Mumbai"/>
    <x v="1"/>
    <n v="61912"/>
    <d v="2023-09-07T00:00:00"/>
    <n v="1"/>
    <n v="2"/>
    <n v="6191"/>
    <n v="3096"/>
    <n v="65007"/>
    <n v="0"/>
    <n v="68103"/>
  </r>
  <r>
    <n v="4842"/>
    <x v="7"/>
    <s v="Male"/>
    <n v="33"/>
    <s v="Chennai"/>
    <x v="1"/>
    <n v="64265"/>
    <d v="2024-08-21T00:00:00"/>
    <n v="5"/>
    <n v="4"/>
    <n v="6426"/>
    <n v="3213"/>
    <n v="67478"/>
    <n v="0"/>
    <n v="70691"/>
  </r>
  <r>
    <n v="4843"/>
    <x v="3"/>
    <s v="Male"/>
    <n v="58"/>
    <s v="Mumbai"/>
    <x v="1"/>
    <n v="42339"/>
    <d v="2024-05-17T00:00:00"/>
    <n v="5"/>
    <n v="1"/>
    <n v="4234"/>
    <n v="2117"/>
    <n v="44456"/>
    <n v="0"/>
    <n v="46573"/>
  </r>
  <r>
    <n v="4844"/>
    <x v="6"/>
    <s v="Male"/>
    <n v="45"/>
    <s v="Chennai"/>
    <x v="2"/>
    <n v="51743"/>
    <d v="2022-10-13T00:00:00"/>
    <n v="12"/>
    <n v="5"/>
    <n v="5174"/>
    <n v="2587"/>
    <n v="54330"/>
    <n v="2587"/>
    <n v="59504"/>
  </r>
  <r>
    <n v="4845"/>
    <x v="9"/>
    <s v="Male"/>
    <n v="55"/>
    <s v="Mumbai"/>
    <x v="3"/>
    <n v="39524"/>
    <d v="2023-11-22T00:00:00"/>
    <n v="10"/>
    <n v="2"/>
    <n v="3952"/>
    <n v="1976"/>
    <n v="41500"/>
    <n v="1976"/>
    <n v="45452"/>
  </r>
  <r>
    <n v="4846"/>
    <x v="2"/>
    <s v="Female"/>
    <n v="35"/>
    <s v="Hyderabad"/>
    <x v="1"/>
    <n v="35876"/>
    <d v="2024-01-24T00:00:00"/>
    <n v="18"/>
    <n v="5"/>
    <n v="3588"/>
    <n v="1794"/>
    <n v="37670"/>
    <n v="1794"/>
    <n v="41258"/>
  </r>
  <r>
    <n v="4847"/>
    <x v="1"/>
    <s v="Female"/>
    <n v="24"/>
    <s v="Hyderabad"/>
    <x v="2"/>
    <n v="60076"/>
    <d v="2023-05-06T00:00:00"/>
    <n v="15"/>
    <n v="5"/>
    <n v="6008"/>
    <n v="3004"/>
    <n v="63080"/>
    <n v="3004"/>
    <n v="69088"/>
  </r>
  <r>
    <n v="4848"/>
    <x v="8"/>
    <s v="Male"/>
    <n v="28"/>
    <s v="Chennai"/>
    <x v="1"/>
    <n v="52699"/>
    <d v="2024-08-10T00:00:00"/>
    <n v="16"/>
    <n v="5"/>
    <n v="5270"/>
    <n v="2635"/>
    <n v="55334"/>
    <n v="2635"/>
    <n v="60604"/>
  </r>
  <r>
    <n v="4849"/>
    <x v="8"/>
    <s v="Female"/>
    <n v="58"/>
    <s v="Delhi"/>
    <x v="4"/>
    <n v="75233"/>
    <d v="2023-05-17T00:00:00"/>
    <n v="8"/>
    <n v="2"/>
    <n v="7523"/>
    <n v="3762"/>
    <n v="78994"/>
    <n v="3762"/>
    <n v="86518"/>
  </r>
  <r>
    <n v="4850"/>
    <x v="8"/>
    <s v="Male"/>
    <n v="46"/>
    <s v="Bangalore"/>
    <x v="1"/>
    <n v="82801"/>
    <d v="2023-06-13T00:00:00"/>
    <n v="4"/>
    <n v="5"/>
    <n v="8280"/>
    <n v="4140"/>
    <n v="86941"/>
    <n v="0"/>
    <n v="91081"/>
  </r>
  <r>
    <n v="4851"/>
    <x v="8"/>
    <s v="Female"/>
    <n v="48"/>
    <s v="Delhi"/>
    <x v="4"/>
    <n v="50079"/>
    <d v="2024-01-31T00:00:00"/>
    <n v="19"/>
    <n v="3"/>
    <n v="5008"/>
    <n v="2504"/>
    <n v="52583"/>
    <n v="2504"/>
    <n v="57591"/>
  </r>
  <r>
    <n v="4852"/>
    <x v="8"/>
    <s v="Female"/>
    <n v="33"/>
    <s v="Bangalore"/>
    <x v="3"/>
    <n v="83649"/>
    <d v="2022-10-31T00:00:00"/>
    <n v="12"/>
    <n v="5"/>
    <n v="8365"/>
    <n v="4182"/>
    <n v="87832"/>
    <n v="4182"/>
    <n v="96196"/>
  </r>
  <r>
    <n v="4853"/>
    <x v="7"/>
    <s v="Female"/>
    <n v="49"/>
    <s v="Delhi"/>
    <x v="4"/>
    <n v="96458"/>
    <d v="2022-07-07T00:00:00"/>
    <n v="15"/>
    <n v="3"/>
    <n v="9646"/>
    <n v="4823"/>
    <n v="101281"/>
    <n v="4823"/>
    <n v="110927"/>
  </r>
  <r>
    <n v="4854"/>
    <x v="1"/>
    <s v="Female"/>
    <n v="25"/>
    <s v="Hyderabad"/>
    <x v="2"/>
    <n v="95921"/>
    <d v="2023-02-13T00:00:00"/>
    <n v="5"/>
    <n v="3"/>
    <n v="9592"/>
    <n v="4796"/>
    <n v="100717"/>
    <n v="0"/>
    <n v="105513"/>
  </r>
  <r>
    <n v="4855"/>
    <x v="1"/>
    <s v="Male"/>
    <n v="35"/>
    <s v="Chennai"/>
    <x v="2"/>
    <n v="81135"/>
    <d v="2024-05-08T00:00:00"/>
    <n v="17"/>
    <n v="3"/>
    <n v="8114"/>
    <n v="4057"/>
    <n v="85192"/>
    <n v="4057"/>
    <n v="93306"/>
  </r>
  <r>
    <n v="4856"/>
    <x v="7"/>
    <s v="Female"/>
    <n v="38"/>
    <s v="Delhi"/>
    <x v="3"/>
    <n v="56195"/>
    <d v="2022-09-01T00:00:00"/>
    <n v="4"/>
    <n v="3"/>
    <n v="5620"/>
    <n v="2810"/>
    <n v="59005"/>
    <n v="0"/>
    <n v="61815"/>
  </r>
  <r>
    <n v="4857"/>
    <x v="3"/>
    <s v="Female"/>
    <n v="33"/>
    <s v="Chennai"/>
    <x v="4"/>
    <n v="89256"/>
    <d v="2023-06-19T00:00:00"/>
    <n v="19"/>
    <n v="5"/>
    <n v="8926"/>
    <n v="4463"/>
    <n v="93719"/>
    <n v="4463"/>
    <n v="102645"/>
  </r>
  <r>
    <n v="4858"/>
    <x v="4"/>
    <s v="Male"/>
    <n v="47"/>
    <s v="Mumbai"/>
    <x v="1"/>
    <n v="60073"/>
    <d v="2024-03-01T00:00:00"/>
    <n v="3"/>
    <n v="3"/>
    <n v="6007"/>
    <n v="3004"/>
    <n v="63076"/>
    <n v="0"/>
    <n v="66080"/>
  </r>
  <r>
    <n v="4859"/>
    <x v="6"/>
    <s v="Male"/>
    <n v="34"/>
    <s v="Hyderabad"/>
    <x v="3"/>
    <n v="66960"/>
    <d v="2024-06-01T00:00:00"/>
    <n v="16"/>
    <n v="2"/>
    <n v="6696"/>
    <n v="3348"/>
    <n v="70308"/>
    <n v="3348"/>
    <n v="77004"/>
  </r>
  <r>
    <n v="4860"/>
    <x v="1"/>
    <s v="Female"/>
    <n v="41"/>
    <s v="Chennai"/>
    <x v="1"/>
    <n v="50347"/>
    <d v="2024-07-28T00:00:00"/>
    <n v="18"/>
    <n v="1"/>
    <n v="5035"/>
    <n v="2517"/>
    <n v="52865"/>
    <n v="2517"/>
    <n v="57899"/>
  </r>
  <r>
    <n v="4861"/>
    <x v="0"/>
    <s v="Male"/>
    <n v="32"/>
    <s v="Chennai"/>
    <x v="0"/>
    <n v="42212"/>
    <d v="2022-03-24T00:00:00"/>
    <n v="14"/>
    <n v="1"/>
    <n v="4221"/>
    <n v="2111"/>
    <n v="44322"/>
    <n v="2111"/>
    <n v="48544"/>
  </r>
  <r>
    <n v="4862"/>
    <x v="4"/>
    <s v="Male"/>
    <n v="47"/>
    <s v="Mumbai"/>
    <x v="1"/>
    <n v="94183"/>
    <d v="2023-12-03T00:00:00"/>
    <n v="20"/>
    <n v="5"/>
    <n v="9418"/>
    <n v="4709"/>
    <n v="98892"/>
    <n v="4709"/>
    <n v="108310"/>
  </r>
  <r>
    <n v="4863"/>
    <x v="1"/>
    <s v="Female"/>
    <n v="55"/>
    <s v="Delhi"/>
    <x v="2"/>
    <n v="80546"/>
    <d v="2024-07-01T00:00:00"/>
    <n v="11"/>
    <n v="4"/>
    <n v="8055"/>
    <n v="4027"/>
    <n v="84574"/>
    <n v="4027"/>
    <n v="92628"/>
  </r>
  <r>
    <n v="4864"/>
    <x v="2"/>
    <s v="Male"/>
    <n v="49"/>
    <s v="Bangalore"/>
    <x v="3"/>
    <n v="67883"/>
    <d v="2022-04-08T00:00:00"/>
    <n v="14"/>
    <n v="4"/>
    <n v="6788"/>
    <n v="3394"/>
    <n v="71277"/>
    <n v="3394"/>
    <n v="78065"/>
  </r>
  <r>
    <n v="4865"/>
    <x v="6"/>
    <s v="Female"/>
    <n v="22"/>
    <s v="Chennai"/>
    <x v="2"/>
    <n v="66015"/>
    <d v="2022-01-31T00:00:00"/>
    <n v="6"/>
    <n v="1"/>
    <n v="6602"/>
    <n v="3301"/>
    <n v="69316"/>
    <n v="3301"/>
    <n v="75918"/>
  </r>
  <r>
    <n v="4866"/>
    <x v="9"/>
    <s v="Female"/>
    <n v="43"/>
    <s v="Chennai"/>
    <x v="1"/>
    <n v="28239"/>
    <d v="2023-07-12T00:00:00"/>
    <n v="15"/>
    <n v="3"/>
    <n v="2824"/>
    <n v="1412"/>
    <n v="29651"/>
    <n v="1412"/>
    <n v="32475"/>
  </r>
  <r>
    <n v="4867"/>
    <x v="3"/>
    <s v="Male"/>
    <n v="44"/>
    <s v="Chennai"/>
    <x v="2"/>
    <n v="50912"/>
    <d v="2023-01-29T00:00:00"/>
    <n v="5"/>
    <n v="4"/>
    <n v="5091"/>
    <n v="2546"/>
    <n v="53457"/>
    <n v="0"/>
    <n v="56003"/>
  </r>
  <r>
    <n v="4868"/>
    <x v="9"/>
    <s v="Male"/>
    <n v="22"/>
    <s v="Hyderabad"/>
    <x v="4"/>
    <n v="32399"/>
    <d v="2024-05-10T00:00:00"/>
    <n v="15"/>
    <n v="5"/>
    <n v="3240"/>
    <n v="1620"/>
    <n v="34019"/>
    <n v="1620"/>
    <n v="37259"/>
  </r>
  <r>
    <n v="4869"/>
    <x v="7"/>
    <s v="Female"/>
    <n v="26"/>
    <s v="Delhi"/>
    <x v="1"/>
    <n v="95652"/>
    <d v="2024-02-24T00:00:00"/>
    <n v="2"/>
    <n v="3"/>
    <n v="9565"/>
    <n v="4783"/>
    <n v="100434"/>
    <n v="0"/>
    <n v="105217"/>
  </r>
  <r>
    <n v="4870"/>
    <x v="8"/>
    <s v="Female"/>
    <n v="21"/>
    <s v="Delhi"/>
    <x v="4"/>
    <n v="46564"/>
    <d v="2023-09-22T00:00:00"/>
    <n v="5"/>
    <n v="2"/>
    <n v="4656"/>
    <n v="2328"/>
    <n v="48892"/>
    <n v="0"/>
    <n v="51220"/>
  </r>
  <r>
    <n v="4871"/>
    <x v="2"/>
    <s v="Female"/>
    <n v="36"/>
    <s v="Mumbai"/>
    <x v="2"/>
    <n v="71025"/>
    <d v="2024-04-10T00:00:00"/>
    <n v="19"/>
    <n v="1"/>
    <n v="7102"/>
    <n v="3551"/>
    <n v="74576"/>
    <n v="3551"/>
    <n v="81678"/>
  </r>
  <r>
    <n v="4872"/>
    <x v="5"/>
    <s v="Male"/>
    <n v="49"/>
    <s v="Delhi"/>
    <x v="3"/>
    <n v="85988"/>
    <d v="2024-02-08T00:00:00"/>
    <n v="15"/>
    <n v="4"/>
    <n v="8599"/>
    <n v="4299"/>
    <n v="90288"/>
    <n v="4299"/>
    <n v="98886"/>
  </r>
  <r>
    <n v="4873"/>
    <x v="5"/>
    <s v="Male"/>
    <n v="38"/>
    <s v="Hyderabad"/>
    <x v="3"/>
    <n v="41855"/>
    <d v="2024-09-12T00:00:00"/>
    <n v="6"/>
    <n v="4"/>
    <n v="4186"/>
    <n v="2093"/>
    <n v="43948"/>
    <n v="2093"/>
    <n v="48134"/>
  </r>
  <r>
    <n v="4874"/>
    <x v="3"/>
    <s v="Female"/>
    <n v="55"/>
    <s v="Chennai"/>
    <x v="1"/>
    <n v="47518"/>
    <d v="2024-02-02T00:00:00"/>
    <n v="2"/>
    <n v="5"/>
    <n v="4752"/>
    <n v="2376"/>
    <n v="49894"/>
    <n v="0"/>
    <n v="52270"/>
  </r>
  <r>
    <n v="4875"/>
    <x v="4"/>
    <s v="Male"/>
    <n v="32"/>
    <s v="Mumbai"/>
    <x v="3"/>
    <n v="94279"/>
    <d v="2023-02-11T00:00:00"/>
    <n v="18"/>
    <n v="5"/>
    <n v="9428"/>
    <n v="4714"/>
    <n v="98993"/>
    <n v="4714"/>
    <n v="108421"/>
  </r>
  <r>
    <n v="4876"/>
    <x v="4"/>
    <s v="Female"/>
    <n v="27"/>
    <s v="Hyderabad"/>
    <x v="2"/>
    <n v="91940"/>
    <d v="2024-09-27T00:00:00"/>
    <n v="13"/>
    <n v="1"/>
    <n v="9194"/>
    <n v="4597"/>
    <n v="96537"/>
    <n v="4597"/>
    <n v="105731"/>
  </r>
  <r>
    <n v="4877"/>
    <x v="1"/>
    <s v="Male"/>
    <n v="57"/>
    <s v="Chennai"/>
    <x v="2"/>
    <n v="36590"/>
    <d v="2023-09-19T00:00:00"/>
    <n v="9"/>
    <n v="1"/>
    <n v="3659"/>
    <n v="1830"/>
    <n v="38419"/>
    <n v="1830"/>
    <n v="42079"/>
  </r>
  <r>
    <n v="4878"/>
    <x v="3"/>
    <s v="Male"/>
    <n v="58"/>
    <s v="Delhi"/>
    <x v="4"/>
    <n v="86651"/>
    <d v="2024-07-16T00:00:00"/>
    <n v="14"/>
    <n v="5"/>
    <n v="8665"/>
    <n v="4333"/>
    <n v="90983"/>
    <n v="4333"/>
    <n v="99649"/>
  </r>
  <r>
    <n v="4879"/>
    <x v="3"/>
    <s v="Male"/>
    <n v="30"/>
    <s v="Delhi"/>
    <x v="2"/>
    <n v="54040"/>
    <d v="2024-09-16T00:00:00"/>
    <n v="8"/>
    <n v="3"/>
    <n v="5404"/>
    <n v="2702"/>
    <n v="56742"/>
    <n v="2702"/>
    <n v="62146"/>
  </r>
  <r>
    <n v="4880"/>
    <x v="5"/>
    <s v="Female"/>
    <n v="60"/>
    <s v="Mumbai"/>
    <x v="4"/>
    <n v="64701"/>
    <d v="2022-05-24T00:00:00"/>
    <n v="18"/>
    <n v="3"/>
    <n v="6470"/>
    <n v="3235"/>
    <n v="67936"/>
    <n v="3235"/>
    <n v="74406"/>
  </r>
  <r>
    <n v="4881"/>
    <x v="0"/>
    <s v="Male"/>
    <n v="53"/>
    <s v="Delhi"/>
    <x v="2"/>
    <n v="82002"/>
    <d v="2024-06-02T00:00:00"/>
    <n v="7"/>
    <n v="5"/>
    <n v="8200"/>
    <n v="4100"/>
    <n v="86102"/>
    <n v="4100"/>
    <n v="94302"/>
  </r>
  <r>
    <n v="4882"/>
    <x v="1"/>
    <s v="Female"/>
    <n v="54"/>
    <s v="Bangalore"/>
    <x v="2"/>
    <n v="83514"/>
    <d v="2023-03-20T00:00:00"/>
    <n v="3"/>
    <n v="2"/>
    <n v="8351"/>
    <n v="4176"/>
    <n v="87689"/>
    <n v="0"/>
    <n v="91865"/>
  </r>
  <r>
    <n v="4883"/>
    <x v="5"/>
    <s v="Male"/>
    <n v="48"/>
    <s v="Chennai"/>
    <x v="2"/>
    <n v="43319"/>
    <d v="2022-03-09T00:00:00"/>
    <n v="3"/>
    <n v="3"/>
    <n v="4332"/>
    <n v="2166"/>
    <n v="45485"/>
    <n v="0"/>
    <n v="47651"/>
  </r>
  <r>
    <n v="4884"/>
    <x v="0"/>
    <s v="Female"/>
    <n v="23"/>
    <s v="Delhi"/>
    <x v="3"/>
    <n v="28092"/>
    <d v="2022-02-22T00:00:00"/>
    <n v="8"/>
    <n v="5"/>
    <n v="2809"/>
    <n v="1405"/>
    <n v="29496"/>
    <n v="1405"/>
    <n v="32306"/>
  </r>
  <r>
    <n v="4885"/>
    <x v="0"/>
    <s v="Female"/>
    <n v="34"/>
    <s v="Delhi"/>
    <x v="2"/>
    <n v="97998"/>
    <d v="2024-01-11T00:00:00"/>
    <n v="10"/>
    <n v="4"/>
    <n v="9800"/>
    <n v="4900"/>
    <n v="102898"/>
    <n v="4900"/>
    <n v="112698"/>
  </r>
  <r>
    <n v="4886"/>
    <x v="5"/>
    <s v="Female"/>
    <n v="31"/>
    <s v="Mumbai"/>
    <x v="4"/>
    <n v="21806"/>
    <d v="2022-10-29T00:00:00"/>
    <n v="11"/>
    <n v="2"/>
    <n v="2181"/>
    <n v="1090"/>
    <n v="22897"/>
    <n v="1090"/>
    <n v="25077"/>
  </r>
  <r>
    <n v="4887"/>
    <x v="9"/>
    <s v="Male"/>
    <n v="48"/>
    <s v="Chennai"/>
    <x v="2"/>
    <n v="83791"/>
    <d v="2023-03-05T00:00:00"/>
    <n v="16"/>
    <n v="2"/>
    <n v="8379"/>
    <n v="4190"/>
    <n v="87980"/>
    <n v="4190"/>
    <n v="96360"/>
  </r>
  <r>
    <n v="4888"/>
    <x v="4"/>
    <s v="Male"/>
    <n v="39"/>
    <s v="Bangalore"/>
    <x v="4"/>
    <n v="87771"/>
    <d v="2023-01-05T00:00:00"/>
    <n v="1"/>
    <n v="1"/>
    <n v="8777"/>
    <n v="4389"/>
    <n v="92159"/>
    <n v="0"/>
    <n v="96548"/>
  </r>
  <r>
    <n v="4889"/>
    <x v="4"/>
    <s v="Male"/>
    <n v="25"/>
    <s v="Bangalore"/>
    <x v="1"/>
    <n v="39137"/>
    <d v="2022-12-03T00:00:00"/>
    <n v="7"/>
    <n v="3"/>
    <n v="3914"/>
    <n v="1957"/>
    <n v="41094"/>
    <n v="1957"/>
    <n v="45008"/>
  </r>
  <r>
    <n v="4890"/>
    <x v="4"/>
    <s v="Male"/>
    <n v="46"/>
    <s v="Chennai"/>
    <x v="1"/>
    <n v="66096"/>
    <d v="2024-01-17T00:00:00"/>
    <n v="11"/>
    <n v="4"/>
    <n v="6610"/>
    <n v="3305"/>
    <n v="69401"/>
    <n v="3305"/>
    <n v="76011"/>
  </r>
  <r>
    <n v="4891"/>
    <x v="1"/>
    <s v="Female"/>
    <n v="56"/>
    <s v="Hyderabad"/>
    <x v="0"/>
    <n v="24319"/>
    <d v="2022-08-23T00:00:00"/>
    <n v="16"/>
    <n v="3"/>
    <n v="2432"/>
    <n v="1216"/>
    <n v="25535"/>
    <n v="1216"/>
    <n v="27967"/>
  </r>
  <r>
    <n v="4892"/>
    <x v="8"/>
    <s v="Female"/>
    <n v="52"/>
    <s v="Chennai"/>
    <x v="1"/>
    <n v="77583"/>
    <d v="2022-01-16T00:00:00"/>
    <n v="2"/>
    <n v="1"/>
    <n v="7758"/>
    <n v="3879"/>
    <n v="81462"/>
    <n v="0"/>
    <n v="85341"/>
  </r>
  <r>
    <n v="4893"/>
    <x v="3"/>
    <s v="Female"/>
    <n v="24"/>
    <s v="Delhi"/>
    <x v="4"/>
    <n v="93311"/>
    <d v="2022-06-18T00:00:00"/>
    <n v="10"/>
    <n v="1"/>
    <n v="9331"/>
    <n v="4666"/>
    <n v="97976"/>
    <n v="4666"/>
    <n v="107308"/>
  </r>
  <r>
    <n v="4894"/>
    <x v="3"/>
    <s v="Female"/>
    <n v="38"/>
    <s v="Delhi"/>
    <x v="4"/>
    <n v="97079"/>
    <d v="2023-08-25T00:00:00"/>
    <n v="3"/>
    <n v="3"/>
    <n v="9708"/>
    <n v="4854"/>
    <n v="101933"/>
    <n v="0"/>
    <n v="106787"/>
  </r>
  <r>
    <n v="4895"/>
    <x v="7"/>
    <s v="Male"/>
    <n v="59"/>
    <s v="Hyderabad"/>
    <x v="4"/>
    <n v="42684"/>
    <d v="2023-07-28T00:00:00"/>
    <n v="2"/>
    <n v="1"/>
    <n v="4268"/>
    <n v="2134"/>
    <n v="44818"/>
    <n v="0"/>
    <n v="46952"/>
  </r>
  <r>
    <n v="4896"/>
    <x v="0"/>
    <s v="Female"/>
    <n v="55"/>
    <s v="Delhi"/>
    <x v="3"/>
    <n v="67707"/>
    <d v="2024-05-12T00:00:00"/>
    <n v="1"/>
    <n v="2"/>
    <n v="6771"/>
    <n v="3385"/>
    <n v="71093"/>
    <n v="0"/>
    <n v="74478"/>
  </r>
  <r>
    <n v="4897"/>
    <x v="6"/>
    <s v="Male"/>
    <n v="44"/>
    <s v="Mumbai"/>
    <x v="2"/>
    <n v="29331"/>
    <d v="2023-11-14T00:00:00"/>
    <n v="6"/>
    <n v="3"/>
    <n v="2933"/>
    <n v="1467"/>
    <n v="30797"/>
    <n v="1467"/>
    <n v="33731"/>
  </r>
  <r>
    <n v="4898"/>
    <x v="9"/>
    <s v="Female"/>
    <n v="36"/>
    <s v="Mumbai"/>
    <x v="1"/>
    <n v="70229"/>
    <d v="2022-07-30T00:00:00"/>
    <n v="6"/>
    <n v="5"/>
    <n v="7023"/>
    <n v="3511"/>
    <n v="73741"/>
    <n v="3511"/>
    <n v="80763"/>
  </r>
  <r>
    <n v="4899"/>
    <x v="9"/>
    <s v="Female"/>
    <n v="57"/>
    <s v="Chennai"/>
    <x v="0"/>
    <n v="47198"/>
    <d v="2023-12-30T00:00:00"/>
    <n v="11"/>
    <n v="2"/>
    <n v="4720"/>
    <n v="2360"/>
    <n v="49558"/>
    <n v="2360"/>
    <n v="54278"/>
  </r>
  <r>
    <n v="4900"/>
    <x v="8"/>
    <s v="Male"/>
    <n v="35"/>
    <s v="Bangalore"/>
    <x v="3"/>
    <n v="73403"/>
    <d v="2022-03-20T00:00:00"/>
    <n v="14"/>
    <n v="4"/>
    <n v="7340"/>
    <n v="3670"/>
    <n v="77073"/>
    <n v="3670"/>
    <n v="84413"/>
  </r>
  <r>
    <n v="4901"/>
    <x v="4"/>
    <s v="Male"/>
    <n v="42"/>
    <s v="Bangalore"/>
    <x v="3"/>
    <n v="32143"/>
    <d v="2024-02-03T00:00:00"/>
    <n v="4"/>
    <n v="2"/>
    <n v="3214"/>
    <n v="1607"/>
    <n v="33750"/>
    <n v="0"/>
    <n v="35357"/>
  </r>
  <r>
    <n v="4902"/>
    <x v="2"/>
    <s v="Male"/>
    <n v="60"/>
    <s v="Hyderabad"/>
    <x v="0"/>
    <n v="63491"/>
    <d v="2022-01-05T00:00:00"/>
    <n v="17"/>
    <n v="3"/>
    <n v="6349"/>
    <n v="3175"/>
    <n v="66665"/>
    <n v="3175"/>
    <n v="73015"/>
  </r>
  <r>
    <n v="4903"/>
    <x v="2"/>
    <s v="Male"/>
    <n v="32"/>
    <s v="Bangalore"/>
    <x v="4"/>
    <n v="32669"/>
    <d v="2023-12-09T00:00:00"/>
    <n v="7"/>
    <n v="5"/>
    <n v="3267"/>
    <n v="1633"/>
    <n v="34303"/>
    <n v="1633"/>
    <n v="37569"/>
  </r>
  <r>
    <n v="4904"/>
    <x v="7"/>
    <s v="Male"/>
    <n v="26"/>
    <s v="Mumbai"/>
    <x v="2"/>
    <n v="53637"/>
    <d v="2022-03-12T00:00:00"/>
    <n v="8"/>
    <n v="4"/>
    <n v="5364"/>
    <n v="2682"/>
    <n v="56319"/>
    <n v="2682"/>
    <n v="61683"/>
  </r>
  <r>
    <n v="4905"/>
    <x v="1"/>
    <s v="Male"/>
    <n v="28"/>
    <s v="Mumbai"/>
    <x v="3"/>
    <n v="24955"/>
    <d v="2023-06-26T00:00:00"/>
    <n v="20"/>
    <n v="4"/>
    <n v="2496"/>
    <n v="1248"/>
    <n v="26203"/>
    <n v="1248"/>
    <n v="28699"/>
  </r>
  <r>
    <n v="4906"/>
    <x v="4"/>
    <s v="Female"/>
    <n v="37"/>
    <s v="Delhi"/>
    <x v="4"/>
    <n v="27893"/>
    <d v="2022-01-20T00:00:00"/>
    <n v="11"/>
    <n v="3"/>
    <n v="2789"/>
    <n v="1395"/>
    <n v="29287"/>
    <n v="1395"/>
    <n v="32077"/>
  </r>
  <r>
    <n v="4907"/>
    <x v="5"/>
    <s v="Female"/>
    <n v="33"/>
    <s v="Hyderabad"/>
    <x v="0"/>
    <n v="75775"/>
    <d v="2022-01-08T00:00:00"/>
    <n v="9"/>
    <n v="3"/>
    <n v="7578"/>
    <n v="3789"/>
    <n v="79564"/>
    <n v="3789"/>
    <n v="87142"/>
  </r>
  <r>
    <n v="4908"/>
    <x v="0"/>
    <s v="Male"/>
    <n v="29"/>
    <s v="Bangalore"/>
    <x v="3"/>
    <n v="52010"/>
    <d v="2024-02-02T00:00:00"/>
    <n v="1"/>
    <n v="3"/>
    <n v="5201"/>
    <n v="2600"/>
    <n v="54611"/>
    <n v="0"/>
    <n v="57211"/>
  </r>
  <r>
    <n v="4909"/>
    <x v="3"/>
    <s v="Female"/>
    <n v="32"/>
    <s v="Mumbai"/>
    <x v="2"/>
    <n v="87621"/>
    <d v="2023-02-02T00:00:00"/>
    <n v="14"/>
    <n v="1"/>
    <n v="8762"/>
    <n v="4381"/>
    <n v="92002"/>
    <n v="4381"/>
    <n v="100764"/>
  </r>
  <r>
    <n v="4910"/>
    <x v="2"/>
    <s v="Female"/>
    <n v="44"/>
    <s v="Mumbai"/>
    <x v="2"/>
    <n v="69653"/>
    <d v="2022-01-28T00:00:00"/>
    <n v="4"/>
    <n v="3"/>
    <n v="6965"/>
    <n v="3483"/>
    <n v="73135"/>
    <n v="0"/>
    <n v="76618"/>
  </r>
  <r>
    <n v="4911"/>
    <x v="7"/>
    <s v="Female"/>
    <n v="49"/>
    <s v="Mumbai"/>
    <x v="2"/>
    <n v="57590"/>
    <d v="2024-07-06T00:00:00"/>
    <n v="19"/>
    <n v="5"/>
    <n v="5759"/>
    <n v="2880"/>
    <n v="60469"/>
    <n v="2880"/>
    <n v="66229"/>
  </r>
  <r>
    <n v="4912"/>
    <x v="5"/>
    <s v="Female"/>
    <n v="43"/>
    <s v="Chennai"/>
    <x v="1"/>
    <n v="66471"/>
    <d v="2022-09-15T00:00:00"/>
    <n v="17"/>
    <n v="4"/>
    <n v="6647"/>
    <n v="3324"/>
    <n v="69794"/>
    <n v="3324"/>
    <n v="76442"/>
  </r>
  <r>
    <n v="4913"/>
    <x v="7"/>
    <s v="Male"/>
    <n v="53"/>
    <s v="Delhi"/>
    <x v="4"/>
    <n v="86528"/>
    <d v="2024-09-18T00:00:00"/>
    <n v="13"/>
    <n v="2"/>
    <n v="8653"/>
    <n v="4326"/>
    <n v="90855"/>
    <n v="4326"/>
    <n v="99507"/>
  </r>
  <r>
    <n v="4914"/>
    <x v="3"/>
    <s v="Male"/>
    <n v="22"/>
    <s v="Hyderabad"/>
    <x v="4"/>
    <n v="80292"/>
    <d v="2022-11-30T00:00:00"/>
    <n v="19"/>
    <n v="3"/>
    <n v="8029"/>
    <n v="4015"/>
    <n v="84306"/>
    <n v="4015"/>
    <n v="92336"/>
  </r>
  <r>
    <n v="4915"/>
    <x v="8"/>
    <s v="Female"/>
    <n v="53"/>
    <s v="Delhi"/>
    <x v="1"/>
    <n v="75516"/>
    <d v="2024-06-09T00:00:00"/>
    <n v="9"/>
    <n v="1"/>
    <n v="7552"/>
    <n v="3776"/>
    <n v="79292"/>
    <n v="3776"/>
    <n v="86844"/>
  </r>
  <r>
    <n v="4916"/>
    <x v="9"/>
    <s v="Male"/>
    <n v="26"/>
    <s v="Bangalore"/>
    <x v="2"/>
    <n v="59103"/>
    <d v="2024-07-31T00:00:00"/>
    <n v="2"/>
    <n v="5"/>
    <n v="5910"/>
    <n v="2955"/>
    <n v="62058"/>
    <n v="0"/>
    <n v="65013"/>
  </r>
  <r>
    <n v="4917"/>
    <x v="4"/>
    <s v="Male"/>
    <n v="22"/>
    <s v="Mumbai"/>
    <x v="4"/>
    <n v="96293"/>
    <d v="2023-06-22T00:00:00"/>
    <n v="4"/>
    <n v="3"/>
    <n v="9629"/>
    <n v="4815"/>
    <n v="101107"/>
    <n v="0"/>
    <n v="105922"/>
  </r>
  <r>
    <n v="4918"/>
    <x v="2"/>
    <s v="Male"/>
    <n v="23"/>
    <s v="Delhi"/>
    <x v="3"/>
    <n v="70269"/>
    <d v="2023-05-31T00:00:00"/>
    <n v="8"/>
    <n v="3"/>
    <n v="7027"/>
    <n v="3513"/>
    <n v="73783"/>
    <n v="3513"/>
    <n v="80809"/>
  </r>
  <r>
    <n v="4919"/>
    <x v="1"/>
    <s v="Female"/>
    <n v="34"/>
    <s v="Bangalore"/>
    <x v="3"/>
    <n v="99175"/>
    <d v="2023-01-25T00:00:00"/>
    <n v="2"/>
    <n v="5"/>
    <n v="9918"/>
    <n v="4959"/>
    <n v="104134"/>
    <n v="0"/>
    <n v="109093"/>
  </r>
  <r>
    <n v="4920"/>
    <x v="9"/>
    <s v="Female"/>
    <n v="37"/>
    <s v="Delhi"/>
    <x v="3"/>
    <n v="27156"/>
    <d v="2023-09-18T00:00:00"/>
    <n v="12"/>
    <n v="4"/>
    <n v="2716"/>
    <n v="1358"/>
    <n v="28514"/>
    <n v="1358"/>
    <n v="31230"/>
  </r>
  <r>
    <n v="4921"/>
    <x v="5"/>
    <s v="Male"/>
    <n v="46"/>
    <s v="Chennai"/>
    <x v="2"/>
    <n v="47347"/>
    <d v="2024-05-21T00:00:00"/>
    <n v="11"/>
    <n v="5"/>
    <n v="4735"/>
    <n v="2367"/>
    <n v="49715"/>
    <n v="2367"/>
    <n v="54449"/>
  </r>
  <r>
    <n v="4922"/>
    <x v="9"/>
    <s v="Male"/>
    <n v="44"/>
    <s v="Bangalore"/>
    <x v="0"/>
    <n v="56983"/>
    <d v="2022-04-04T00:00:00"/>
    <n v="11"/>
    <n v="5"/>
    <n v="5698"/>
    <n v="2849"/>
    <n v="59832"/>
    <n v="2849"/>
    <n v="65530"/>
  </r>
  <r>
    <n v="4923"/>
    <x v="5"/>
    <s v="Female"/>
    <n v="44"/>
    <s v="Chennai"/>
    <x v="2"/>
    <n v="22508"/>
    <d v="2024-03-03T00:00:00"/>
    <n v="8"/>
    <n v="4"/>
    <n v="2251"/>
    <n v="1125"/>
    <n v="23634"/>
    <n v="1125"/>
    <n v="25884"/>
  </r>
  <r>
    <n v="4924"/>
    <x v="9"/>
    <s v="Female"/>
    <n v="48"/>
    <s v="Hyderabad"/>
    <x v="3"/>
    <n v="82927"/>
    <d v="2022-08-15T00:00:00"/>
    <n v="9"/>
    <n v="1"/>
    <n v="8293"/>
    <n v="4146"/>
    <n v="87074"/>
    <n v="4146"/>
    <n v="95366"/>
  </r>
  <r>
    <n v="4925"/>
    <x v="1"/>
    <s v="Female"/>
    <n v="25"/>
    <s v="Chennai"/>
    <x v="0"/>
    <n v="45098"/>
    <d v="2022-11-19T00:00:00"/>
    <n v="18"/>
    <n v="2"/>
    <n v="4510"/>
    <n v="2255"/>
    <n v="47353"/>
    <n v="2255"/>
    <n v="51863"/>
  </r>
  <r>
    <n v="4926"/>
    <x v="6"/>
    <s v="Female"/>
    <n v="39"/>
    <s v="Hyderabad"/>
    <x v="4"/>
    <n v="97606"/>
    <d v="2022-12-27T00:00:00"/>
    <n v="15"/>
    <n v="2"/>
    <n v="9761"/>
    <n v="4880"/>
    <n v="102487"/>
    <n v="4880"/>
    <n v="112247"/>
  </r>
  <r>
    <n v="4927"/>
    <x v="9"/>
    <s v="Male"/>
    <n v="53"/>
    <s v="Delhi"/>
    <x v="1"/>
    <n v="21784"/>
    <d v="2023-10-18T00:00:00"/>
    <n v="4"/>
    <n v="2"/>
    <n v="2178"/>
    <n v="1089"/>
    <n v="22873"/>
    <n v="0"/>
    <n v="23962"/>
  </r>
  <r>
    <n v="4928"/>
    <x v="1"/>
    <s v="Female"/>
    <n v="32"/>
    <s v="Mumbai"/>
    <x v="0"/>
    <n v="62591"/>
    <d v="2022-01-19T00:00:00"/>
    <n v="14"/>
    <n v="1"/>
    <n v="6259"/>
    <n v="3130"/>
    <n v="65720"/>
    <n v="3130"/>
    <n v="71980"/>
  </r>
  <r>
    <n v="4929"/>
    <x v="0"/>
    <s v="Female"/>
    <n v="31"/>
    <s v="Mumbai"/>
    <x v="0"/>
    <n v="62896"/>
    <d v="2024-03-22T00:00:00"/>
    <n v="18"/>
    <n v="4"/>
    <n v="6290"/>
    <n v="3145"/>
    <n v="66041"/>
    <n v="3145"/>
    <n v="72331"/>
  </r>
  <r>
    <n v="4930"/>
    <x v="9"/>
    <s v="Male"/>
    <n v="47"/>
    <s v="Bangalore"/>
    <x v="2"/>
    <n v="73176"/>
    <d v="2023-12-14T00:00:00"/>
    <n v="7"/>
    <n v="1"/>
    <n v="7318"/>
    <n v="3659"/>
    <n v="76835"/>
    <n v="3659"/>
    <n v="84153"/>
  </r>
  <r>
    <n v="4931"/>
    <x v="7"/>
    <s v="Female"/>
    <n v="29"/>
    <s v="Mumbai"/>
    <x v="3"/>
    <n v="64987"/>
    <d v="2024-08-23T00:00:00"/>
    <n v="18"/>
    <n v="4"/>
    <n v="6499"/>
    <n v="3249"/>
    <n v="68237"/>
    <n v="3249"/>
    <n v="74735"/>
  </r>
  <r>
    <n v="4932"/>
    <x v="2"/>
    <s v="Male"/>
    <n v="25"/>
    <s v="Hyderabad"/>
    <x v="4"/>
    <n v="37877"/>
    <d v="2022-01-30T00:00:00"/>
    <n v="12"/>
    <n v="4"/>
    <n v="3788"/>
    <n v="1894"/>
    <n v="39771"/>
    <n v="1894"/>
    <n v="43559"/>
  </r>
  <r>
    <n v="4933"/>
    <x v="2"/>
    <s v="Female"/>
    <n v="27"/>
    <s v="Hyderabad"/>
    <x v="1"/>
    <n v="93503"/>
    <d v="2023-10-17T00:00:00"/>
    <n v="1"/>
    <n v="1"/>
    <n v="9350"/>
    <n v="4675"/>
    <n v="98178"/>
    <n v="0"/>
    <n v="102853"/>
  </r>
  <r>
    <n v="4934"/>
    <x v="6"/>
    <s v="Female"/>
    <n v="23"/>
    <s v="Hyderabad"/>
    <x v="0"/>
    <n v="92505"/>
    <d v="2022-09-23T00:00:00"/>
    <n v="11"/>
    <n v="3"/>
    <n v="9250"/>
    <n v="4625"/>
    <n v="97130"/>
    <n v="4625"/>
    <n v="106380"/>
  </r>
  <r>
    <n v="4935"/>
    <x v="4"/>
    <s v="Male"/>
    <n v="42"/>
    <s v="Delhi"/>
    <x v="0"/>
    <n v="74118"/>
    <d v="2022-10-29T00:00:00"/>
    <n v="2"/>
    <n v="2"/>
    <n v="7412"/>
    <n v="3706"/>
    <n v="77824"/>
    <n v="0"/>
    <n v="81530"/>
  </r>
  <r>
    <n v="4936"/>
    <x v="7"/>
    <s v="Female"/>
    <n v="38"/>
    <s v="Mumbai"/>
    <x v="1"/>
    <n v="49625"/>
    <d v="2023-07-17T00:00:00"/>
    <n v="11"/>
    <n v="2"/>
    <n v="4962"/>
    <n v="2481"/>
    <n v="52106"/>
    <n v="2481"/>
    <n v="57068"/>
  </r>
  <r>
    <n v="4937"/>
    <x v="6"/>
    <s v="Male"/>
    <n v="58"/>
    <s v="Delhi"/>
    <x v="1"/>
    <n v="93943"/>
    <d v="2024-06-04T00:00:00"/>
    <n v="9"/>
    <n v="2"/>
    <n v="9394"/>
    <n v="4697"/>
    <n v="98640"/>
    <n v="4697"/>
    <n v="108034"/>
  </r>
  <r>
    <n v="4938"/>
    <x v="5"/>
    <s v="Male"/>
    <n v="37"/>
    <s v="Chennai"/>
    <x v="0"/>
    <n v="56413"/>
    <d v="2024-08-19T00:00:00"/>
    <n v="18"/>
    <n v="3"/>
    <n v="5641"/>
    <n v="2821"/>
    <n v="59233"/>
    <n v="2821"/>
    <n v="64875"/>
  </r>
  <r>
    <n v="4939"/>
    <x v="4"/>
    <s v="Male"/>
    <n v="30"/>
    <s v="Bangalore"/>
    <x v="3"/>
    <n v="62027"/>
    <d v="2022-05-07T00:00:00"/>
    <n v="17"/>
    <n v="3"/>
    <n v="6203"/>
    <n v="3101"/>
    <n v="65129"/>
    <n v="3101"/>
    <n v="71331"/>
  </r>
  <r>
    <n v="4940"/>
    <x v="0"/>
    <s v="Female"/>
    <n v="53"/>
    <s v="Delhi"/>
    <x v="0"/>
    <n v="72314"/>
    <d v="2022-11-01T00:00:00"/>
    <n v="18"/>
    <n v="4"/>
    <n v="7231"/>
    <n v="3616"/>
    <n v="75929"/>
    <n v="3616"/>
    <n v="83161"/>
  </r>
  <r>
    <n v="4941"/>
    <x v="1"/>
    <s v="Male"/>
    <n v="52"/>
    <s v="Bangalore"/>
    <x v="0"/>
    <n v="46753"/>
    <d v="2022-04-27T00:00:00"/>
    <n v="16"/>
    <n v="5"/>
    <n v="4675"/>
    <n v="2338"/>
    <n v="49090"/>
    <n v="2338"/>
    <n v="53766"/>
  </r>
  <r>
    <n v="4942"/>
    <x v="5"/>
    <s v="Male"/>
    <n v="54"/>
    <s v="Chennai"/>
    <x v="1"/>
    <n v="24780"/>
    <d v="2022-11-09T00:00:00"/>
    <n v="6"/>
    <n v="2"/>
    <n v="2478"/>
    <n v="1239"/>
    <n v="26019"/>
    <n v="1239"/>
    <n v="28497"/>
  </r>
  <r>
    <n v="4943"/>
    <x v="8"/>
    <s v="Male"/>
    <n v="49"/>
    <s v="Bangalore"/>
    <x v="3"/>
    <n v="74461"/>
    <d v="2024-06-01T00:00:00"/>
    <n v="16"/>
    <n v="4"/>
    <n v="7446"/>
    <n v="3723"/>
    <n v="78184"/>
    <n v="3723"/>
    <n v="85630"/>
  </r>
  <r>
    <n v="4944"/>
    <x v="6"/>
    <s v="Male"/>
    <n v="49"/>
    <s v="Delhi"/>
    <x v="0"/>
    <n v="82550"/>
    <d v="2024-03-01T00:00:00"/>
    <n v="16"/>
    <n v="3"/>
    <n v="8255"/>
    <n v="4128"/>
    <n v="86677"/>
    <n v="4128"/>
    <n v="94933"/>
  </r>
  <r>
    <n v="4945"/>
    <x v="4"/>
    <s v="Male"/>
    <n v="38"/>
    <s v="Delhi"/>
    <x v="4"/>
    <n v="68444"/>
    <d v="2023-02-06T00:00:00"/>
    <n v="14"/>
    <n v="2"/>
    <n v="6844"/>
    <n v="3422"/>
    <n v="71866"/>
    <n v="3422"/>
    <n v="78710"/>
  </r>
  <r>
    <n v="4946"/>
    <x v="3"/>
    <s v="Female"/>
    <n v="54"/>
    <s v="Mumbai"/>
    <x v="1"/>
    <n v="56958"/>
    <d v="2024-07-13T00:00:00"/>
    <n v="10"/>
    <n v="1"/>
    <n v="5696"/>
    <n v="2848"/>
    <n v="59806"/>
    <n v="2848"/>
    <n v="65502"/>
  </r>
  <r>
    <n v="4947"/>
    <x v="5"/>
    <s v="Female"/>
    <n v="22"/>
    <s v="Bangalore"/>
    <x v="1"/>
    <n v="98788"/>
    <d v="2023-04-18T00:00:00"/>
    <n v="9"/>
    <n v="5"/>
    <n v="9879"/>
    <n v="4939"/>
    <n v="103728"/>
    <n v="4939"/>
    <n v="113606"/>
  </r>
  <r>
    <n v="4948"/>
    <x v="3"/>
    <s v="Male"/>
    <n v="33"/>
    <s v="Delhi"/>
    <x v="2"/>
    <n v="67955"/>
    <d v="2023-01-08T00:00:00"/>
    <n v="7"/>
    <n v="2"/>
    <n v="6796"/>
    <n v="3398"/>
    <n v="71353"/>
    <n v="3398"/>
    <n v="78149"/>
  </r>
  <r>
    <n v="4949"/>
    <x v="0"/>
    <s v="Male"/>
    <n v="32"/>
    <s v="Hyderabad"/>
    <x v="2"/>
    <n v="91250"/>
    <d v="2022-05-28T00:00:00"/>
    <n v="11"/>
    <n v="1"/>
    <n v="9125"/>
    <n v="4562"/>
    <n v="95813"/>
    <n v="4562"/>
    <n v="104937"/>
  </r>
  <r>
    <n v="4950"/>
    <x v="1"/>
    <s v="Female"/>
    <n v="55"/>
    <s v="Hyderabad"/>
    <x v="0"/>
    <n v="69914"/>
    <d v="2023-11-25T00:00:00"/>
    <n v="2"/>
    <n v="4"/>
    <n v="6991"/>
    <n v="3496"/>
    <n v="73409"/>
    <n v="0"/>
    <n v="76905"/>
  </r>
  <r>
    <n v="4951"/>
    <x v="2"/>
    <s v="Female"/>
    <n v="51"/>
    <s v="Chennai"/>
    <x v="2"/>
    <n v="59269"/>
    <d v="2024-06-17T00:00:00"/>
    <n v="20"/>
    <n v="5"/>
    <n v="5927"/>
    <n v="2963"/>
    <n v="62233"/>
    <n v="2963"/>
    <n v="68159"/>
  </r>
  <r>
    <n v="4952"/>
    <x v="1"/>
    <s v="Female"/>
    <n v="36"/>
    <s v="Chennai"/>
    <x v="3"/>
    <n v="65272"/>
    <d v="2024-06-05T00:00:00"/>
    <n v="12"/>
    <n v="1"/>
    <n v="6527"/>
    <n v="3264"/>
    <n v="68535"/>
    <n v="3264"/>
    <n v="75063"/>
  </r>
  <r>
    <n v="4953"/>
    <x v="3"/>
    <s v="Male"/>
    <n v="59"/>
    <s v="Chennai"/>
    <x v="4"/>
    <n v="71008"/>
    <d v="2023-11-23T00:00:00"/>
    <n v="20"/>
    <n v="1"/>
    <n v="7101"/>
    <n v="3550"/>
    <n v="74559"/>
    <n v="3550"/>
    <n v="81659"/>
  </r>
  <r>
    <n v="4954"/>
    <x v="5"/>
    <s v="Male"/>
    <n v="41"/>
    <s v="Mumbai"/>
    <x v="4"/>
    <n v="53612"/>
    <d v="2022-06-16T00:00:00"/>
    <n v="11"/>
    <n v="3"/>
    <n v="5361"/>
    <n v="2681"/>
    <n v="56292"/>
    <n v="2681"/>
    <n v="61654"/>
  </r>
  <r>
    <n v="4955"/>
    <x v="5"/>
    <s v="Male"/>
    <n v="48"/>
    <s v="Bangalore"/>
    <x v="3"/>
    <n v="37061"/>
    <d v="2023-12-25T00:00:00"/>
    <n v="3"/>
    <n v="4"/>
    <n v="3706"/>
    <n v="1853"/>
    <n v="38914"/>
    <n v="0"/>
    <n v="40767"/>
  </r>
  <r>
    <n v="4956"/>
    <x v="1"/>
    <s v="Male"/>
    <n v="23"/>
    <s v="Delhi"/>
    <x v="4"/>
    <n v="98984"/>
    <d v="2022-04-17T00:00:00"/>
    <n v="11"/>
    <n v="5"/>
    <n v="9898"/>
    <n v="4949"/>
    <n v="103933"/>
    <n v="4949"/>
    <n v="113831"/>
  </r>
  <r>
    <n v="4957"/>
    <x v="6"/>
    <s v="Female"/>
    <n v="57"/>
    <s v="Chennai"/>
    <x v="4"/>
    <n v="69038"/>
    <d v="2023-10-07T00:00:00"/>
    <n v="11"/>
    <n v="1"/>
    <n v="6904"/>
    <n v="3452"/>
    <n v="72490"/>
    <n v="3452"/>
    <n v="79394"/>
  </r>
  <r>
    <n v="4958"/>
    <x v="0"/>
    <s v="Female"/>
    <n v="54"/>
    <s v="Delhi"/>
    <x v="3"/>
    <n v="93982"/>
    <d v="2024-08-04T00:00:00"/>
    <n v="17"/>
    <n v="2"/>
    <n v="9398"/>
    <n v="4699"/>
    <n v="98681"/>
    <n v="4699"/>
    <n v="108079"/>
  </r>
  <r>
    <n v="4959"/>
    <x v="8"/>
    <s v="Female"/>
    <n v="57"/>
    <s v="Mumbai"/>
    <x v="2"/>
    <n v="87600"/>
    <d v="2024-09-22T00:00:00"/>
    <n v="11"/>
    <n v="3"/>
    <n v="8760"/>
    <n v="4380"/>
    <n v="91980"/>
    <n v="4380"/>
    <n v="100740"/>
  </r>
  <r>
    <n v="4960"/>
    <x v="7"/>
    <s v="Male"/>
    <n v="29"/>
    <s v="Delhi"/>
    <x v="1"/>
    <n v="84525"/>
    <d v="2022-01-03T00:00:00"/>
    <n v="8"/>
    <n v="3"/>
    <n v="8452"/>
    <n v="4226"/>
    <n v="88751"/>
    <n v="4226"/>
    <n v="97203"/>
  </r>
  <r>
    <n v="4961"/>
    <x v="8"/>
    <s v="Male"/>
    <n v="58"/>
    <s v="Chennai"/>
    <x v="0"/>
    <n v="96852"/>
    <d v="2022-07-29T00:00:00"/>
    <n v="7"/>
    <n v="4"/>
    <n v="9685"/>
    <n v="4843"/>
    <n v="101694"/>
    <n v="4843"/>
    <n v="111380"/>
  </r>
  <r>
    <n v="4962"/>
    <x v="6"/>
    <s v="Female"/>
    <n v="45"/>
    <s v="Chennai"/>
    <x v="3"/>
    <n v="30867"/>
    <d v="2023-08-06T00:00:00"/>
    <n v="16"/>
    <n v="1"/>
    <n v="3087"/>
    <n v="1543"/>
    <n v="32411"/>
    <n v="1543"/>
    <n v="35497"/>
  </r>
  <r>
    <n v="4963"/>
    <x v="2"/>
    <s v="Female"/>
    <n v="54"/>
    <s v="Bangalore"/>
    <x v="3"/>
    <n v="93300"/>
    <d v="2024-02-13T00:00:00"/>
    <n v="6"/>
    <n v="1"/>
    <n v="9330"/>
    <n v="4665"/>
    <n v="97965"/>
    <n v="4665"/>
    <n v="107295"/>
  </r>
  <r>
    <n v="4964"/>
    <x v="0"/>
    <s v="Male"/>
    <n v="29"/>
    <s v="Delhi"/>
    <x v="4"/>
    <n v="90424"/>
    <d v="2022-07-25T00:00:00"/>
    <n v="11"/>
    <n v="3"/>
    <n v="9042"/>
    <n v="4521"/>
    <n v="94945"/>
    <n v="4521"/>
    <n v="103987"/>
  </r>
  <r>
    <n v="4965"/>
    <x v="8"/>
    <s v="Female"/>
    <n v="54"/>
    <s v="Mumbai"/>
    <x v="3"/>
    <n v="82879"/>
    <d v="2023-01-01T00:00:00"/>
    <n v="10"/>
    <n v="3"/>
    <n v="8288"/>
    <n v="4144"/>
    <n v="87023"/>
    <n v="4144"/>
    <n v="95311"/>
  </r>
  <r>
    <n v="4966"/>
    <x v="4"/>
    <s v="Male"/>
    <n v="34"/>
    <s v="Delhi"/>
    <x v="2"/>
    <n v="83378"/>
    <d v="2023-11-04T00:00:00"/>
    <n v="8"/>
    <n v="1"/>
    <n v="8338"/>
    <n v="4169"/>
    <n v="87547"/>
    <n v="4169"/>
    <n v="95885"/>
  </r>
  <r>
    <n v="4967"/>
    <x v="3"/>
    <s v="Female"/>
    <n v="43"/>
    <s v="Chennai"/>
    <x v="2"/>
    <n v="80996"/>
    <d v="2023-07-18T00:00:00"/>
    <n v="11"/>
    <n v="1"/>
    <n v="8100"/>
    <n v="4050"/>
    <n v="85046"/>
    <n v="4050"/>
    <n v="93146"/>
  </r>
  <r>
    <n v="4968"/>
    <x v="0"/>
    <s v="Male"/>
    <n v="47"/>
    <s v="Hyderabad"/>
    <x v="4"/>
    <n v="44486"/>
    <d v="2024-08-06T00:00:00"/>
    <n v="6"/>
    <n v="3"/>
    <n v="4449"/>
    <n v="2224"/>
    <n v="46711"/>
    <n v="2224"/>
    <n v="51159"/>
  </r>
  <r>
    <n v="4969"/>
    <x v="0"/>
    <s v="Female"/>
    <n v="46"/>
    <s v="Delhi"/>
    <x v="3"/>
    <n v="26844"/>
    <d v="2023-12-21T00:00:00"/>
    <n v="18"/>
    <n v="2"/>
    <n v="2684"/>
    <n v="1342"/>
    <n v="28186"/>
    <n v="1342"/>
    <n v="30870"/>
  </r>
  <r>
    <n v="4970"/>
    <x v="4"/>
    <s v="Female"/>
    <n v="45"/>
    <s v="Bangalore"/>
    <x v="0"/>
    <n v="27911"/>
    <d v="2024-07-16T00:00:00"/>
    <n v="7"/>
    <n v="2"/>
    <n v="2791"/>
    <n v="1396"/>
    <n v="29306"/>
    <n v="1396"/>
    <n v="32098"/>
  </r>
  <r>
    <n v="4971"/>
    <x v="6"/>
    <s v="Female"/>
    <n v="58"/>
    <s v="Delhi"/>
    <x v="3"/>
    <n v="89801"/>
    <d v="2022-04-03T00:00:00"/>
    <n v="17"/>
    <n v="5"/>
    <n v="8980"/>
    <n v="4490"/>
    <n v="94291"/>
    <n v="4490"/>
    <n v="103271"/>
  </r>
  <r>
    <n v="4972"/>
    <x v="1"/>
    <s v="Female"/>
    <n v="36"/>
    <s v="Chennai"/>
    <x v="0"/>
    <n v="46213"/>
    <d v="2023-04-01T00:00:00"/>
    <n v="6"/>
    <n v="2"/>
    <n v="4621"/>
    <n v="2311"/>
    <n v="48523"/>
    <n v="2311"/>
    <n v="53145"/>
  </r>
  <r>
    <n v="4973"/>
    <x v="9"/>
    <s v="Male"/>
    <n v="32"/>
    <s v="Chennai"/>
    <x v="3"/>
    <n v="95306"/>
    <d v="2024-06-18T00:00:00"/>
    <n v="14"/>
    <n v="2"/>
    <n v="9531"/>
    <n v="4765"/>
    <n v="100072"/>
    <n v="4765"/>
    <n v="109602"/>
  </r>
  <r>
    <n v="4974"/>
    <x v="8"/>
    <s v="Male"/>
    <n v="40"/>
    <s v="Hyderabad"/>
    <x v="3"/>
    <n v="88083"/>
    <d v="2023-08-10T00:00:00"/>
    <n v="7"/>
    <n v="5"/>
    <n v="8808"/>
    <n v="4404"/>
    <n v="92487"/>
    <n v="4404"/>
    <n v="101295"/>
  </r>
  <r>
    <n v="4975"/>
    <x v="5"/>
    <s v="Male"/>
    <n v="57"/>
    <s v="Delhi"/>
    <x v="1"/>
    <n v="86667"/>
    <d v="2024-03-09T00:00:00"/>
    <n v="16"/>
    <n v="4"/>
    <n v="8667"/>
    <n v="4333"/>
    <n v="91001"/>
    <n v="4333"/>
    <n v="99667"/>
  </r>
  <r>
    <n v="4976"/>
    <x v="2"/>
    <s v="Male"/>
    <n v="53"/>
    <s v="Delhi"/>
    <x v="3"/>
    <n v="31645"/>
    <d v="2022-11-14T00:00:00"/>
    <n v="16"/>
    <n v="5"/>
    <n v="3164"/>
    <n v="1582"/>
    <n v="33227"/>
    <n v="1582"/>
    <n v="36391"/>
  </r>
  <r>
    <n v="4977"/>
    <x v="1"/>
    <s v="Female"/>
    <n v="38"/>
    <s v="Delhi"/>
    <x v="4"/>
    <n v="44785"/>
    <d v="2022-06-02T00:00:00"/>
    <n v="3"/>
    <n v="2"/>
    <n v="4478"/>
    <n v="2239"/>
    <n v="47024"/>
    <n v="0"/>
    <n v="49263"/>
  </r>
  <r>
    <n v="4978"/>
    <x v="7"/>
    <s v="Female"/>
    <n v="55"/>
    <s v="Chennai"/>
    <x v="2"/>
    <n v="40909"/>
    <d v="2022-09-29T00:00:00"/>
    <n v="9"/>
    <n v="4"/>
    <n v="4091"/>
    <n v="2045"/>
    <n v="42955"/>
    <n v="2045"/>
    <n v="47045"/>
  </r>
  <r>
    <n v="4979"/>
    <x v="9"/>
    <s v="Female"/>
    <n v="22"/>
    <s v="Delhi"/>
    <x v="0"/>
    <n v="87526"/>
    <d v="2023-05-08T00:00:00"/>
    <n v="10"/>
    <n v="3"/>
    <n v="8753"/>
    <n v="4376"/>
    <n v="91903"/>
    <n v="4376"/>
    <n v="100655"/>
  </r>
  <r>
    <n v="4980"/>
    <x v="7"/>
    <s v="Male"/>
    <n v="25"/>
    <s v="Mumbai"/>
    <x v="4"/>
    <n v="75270"/>
    <d v="2023-03-06T00:00:00"/>
    <n v="15"/>
    <n v="1"/>
    <n v="7527"/>
    <n v="3764"/>
    <n v="79033"/>
    <n v="3764"/>
    <n v="86561"/>
  </r>
  <r>
    <n v="4981"/>
    <x v="1"/>
    <s v="Male"/>
    <n v="49"/>
    <s v="Bangalore"/>
    <x v="2"/>
    <n v="46125"/>
    <d v="2022-05-21T00:00:00"/>
    <n v="11"/>
    <n v="2"/>
    <n v="4612"/>
    <n v="2306"/>
    <n v="48431"/>
    <n v="2306"/>
    <n v="53043"/>
  </r>
  <r>
    <n v="4982"/>
    <x v="2"/>
    <s v="Female"/>
    <n v="44"/>
    <s v="Bangalore"/>
    <x v="0"/>
    <n v="77883"/>
    <d v="2022-02-25T00:00:00"/>
    <n v="9"/>
    <n v="4"/>
    <n v="7788"/>
    <n v="3894"/>
    <n v="81777"/>
    <n v="3894"/>
    <n v="89565"/>
  </r>
  <r>
    <n v="4983"/>
    <x v="6"/>
    <s v="Female"/>
    <n v="33"/>
    <s v="Chennai"/>
    <x v="4"/>
    <n v="81417"/>
    <d v="2024-03-16T00:00:00"/>
    <n v="11"/>
    <n v="1"/>
    <n v="8142"/>
    <n v="4071"/>
    <n v="85488"/>
    <n v="4071"/>
    <n v="93630"/>
  </r>
  <r>
    <n v="4984"/>
    <x v="4"/>
    <s v="Female"/>
    <n v="49"/>
    <s v="Bangalore"/>
    <x v="4"/>
    <n v="68186"/>
    <d v="2024-09-06T00:00:00"/>
    <n v="17"/>
    <n v="3"/>
    <n v="6819"/>
    <n v="3409"/>
    <n v="71596"/>
    <n v="3409"/>
    <n v="78414"/>
  </r>
  <r>
    <n v="4985"/>
    <x v="0"/>
    <s v="Female"/>
    <n v="60"/>
    <s v="Chennai"/>
    <x v="2"/>
    <n v="96860"/>
    <d v="2023-02-07T00:00:00"/>
    <n v="4"/>
    <n v="5"/>
    <n v="9686"/>
    <n v="4843"/>
    <n v="101703"/>
    <n v="0"/>
    <n v="106546"/>
  </r>
  <r>
    <n v="4986"/>
    <x v="6"/>
    <s v="Female"/>
    <n v="52"/>
    <s v="Mumbai"/>
    <x v="2"/>
    <n v="46775"/>
    <d v="2024-01-10T00:00:00"/>
    <n v="5"/>
    <n v="2"/>
    <n v="4678"/>
    <n v="2339"/>
    <n v="49114"/>
    <n v="0"/>
    <n v="51453"/>
  </r>
  <r>
    <n v="4987"/>
    <x v="4"/>
    <s v="Female"/>
    <n v="46"/>
    <s v="Mumbai"/>
    <x v="1"/>
    <n v="53598"/>
    <d v="2022-02-01T00:00:00"/>
    <n v="8"/>
    <n v="2"/>
    <n v="5360"/>
    <n v="2680"/>
    <n v="56278"/>
    <n v="2680"/>
    <n v="61638"/>
  </r>
  <r>
    <n v="4988"/>
    <x v="7"/>
    <s v="Female"/>
    <n v="22"/>
    <s v="Hyderabad"/>
    <x v="2"/>
    <n v="92133"/>
    <d v="2023-07-27T00:00:00"/>
    <n v="2"/>
    <n v="3"/>
    <n v="9213"/>
    <n v="4607"/>
    <n v="96739"/>
    <n v="0"/>
    <n v="101346"/>
  </r>
  <r>
    <n v="4989"/>
    <x v="8"/>
    <s v="Male"/>
    <n v="53"/>
    <s v="Mumbai"/>
    <x v="0"/>
    <n v="43896"/>
    <d v="2022-09-27T00:00:00"/>
    <n v="18"/>
    <n v="2"/>
    <n v="4390"/>
    <n v="2195"/>
    <n v="46091"/>
    <n v="2195"/>
    <n v="50481"/>
  </r>
  <r>
    <n v="4990"/>
    <x v="7"/>
    <s v="Female"/>
    <n v="47"/>
    <s v="Delhi"/>
    <x v="1"/>
    <n v="85649"/>
    <d v="2024-07-13T00:00:00"/>
    <n v="10"/>
    <n v="5"/>
    <n v="8565"/>
    <n v="4282"/>
    <n v="89932"/>
    <n v="4282"/>
    <n v="98496"/>
  </r>
  <r>
    <n v="4991"/>
    <x v="9"/>
    <s v="Female"/>
    <n v="60"/>
    <s v="Delhi"/>
    <x v="2"/>
    <n v="42330"/>
    <d v="2024-08-22T00:00:00"/>
    <n v="11"/>
    <n v="4"/>
    <n v="4233"/>
    <n v="2116"/>
    <n v="44447"/>
    <n v="2116"/>
    <n v="48679"/>
  </r>
  <r>
    <n v="4992"/>
    <x v="9"/>
    <s v="Female"/>
    <n v="53"/>
    <s v="Chennai"/>
    <x v="0"/>
    <n v="21749"/>
    <d v="2024-05-12T00:00:00"/>
    <n v="19"/>
    <n v="2"/>
    <n v="2175"/>
    <n v="1087"/>
    <n v="22837"/>
    <n v="1087"/>
    <n v="25011"/>
  </r>
  <r>
    <n v="4993"/>
    <x v="8"/>
    <s v="Female"/>
    <n v="60"/>
    <s v="Chennai"/>
    <x v="2"/>
    <n v="21601"/>
    <d v="2024-07-06T00:00:00"/>
    <n v="6"/>
    <n v="3"/>
    <n v="2160"/>
    <n v="1080"/>
    <n v="22681"/>
    <n v="1080"/>
    <n v="24841"/>
  </r>
  <r>
    <n v="4994"/>
    <x v="2"/>
    <s v="Female"/>
    <n v="37"/>
    <s v="Mumbai"/>
    <x v="2"/>
    <n v="46538"/>
    <d v="2024-02-10T00:00:00"/>
    <n v="18"/>
    <n v="3"/>
    <n v="4654"/>
    <n v="2327"/>
    <n v="48865"/>
    <n v="2327"/>
    <n v="53519"/>
  </r>
  <r>
    <n v="4995"/>
    <x v="3"/>
    <s v="Female"/>
    <n v="32"/>
    <s v="Bangalore"/>
    <x v="1"/>
    <n v="40230"/>
    <d v="2023-10-10T00:00:00"/>
    <n v="2"/>
    <n v="2"/>
    <n v="4023"/>
    <n v="2012"/>
    <n v="42241"/>
    <n v="0"/>
    <n v="44253"/>
  </r>
  <r>
    <n v="4996"/>
    <x v="8"/>
    <s v="Male"/>
    <n v="49"/>
    <s v="Bangalore"/>
    <x v="4"/>
    <n v="28627"/>
    <d v="2022-08-30T00:00:00"/>
    <n v="17"/>
    <n v="2"/>
    <n v="2863"/>
    <n v="1431"/>
    <n v="30059"/>
    <n v="1431"/>
    <n v="32921"/>
  </r>
  <r>
    <n v="4997"/>
    <x v="5"/>
    <s v="Female"/>
    <n v="39"/>
    <s v="Chennai"/>
    <x v="0"/>
    <n v="91140"/>
    <d v="2022-09-18T00:00:00"/>
    <n v="3"/>
    <n v="4"/>
    <n v="9114"/>
    <n v="4557"/>
    <n v="95697"/>
    <n v="0"/>
    <n v="100254"/>
  </r>
  <r>
    <n v="4998"/>
    <x v="3"/>
    <s v="Male"/>
    <n v="39"/>
    <s v="Mumbai"/>
    <x v="2"/>
    <n v="26932"/>
    <d v="2022-10-09T00:00:00"/>
    <n v="4"/>
    <n v="1"/>
    <n v="2693"/>
    <n v="1347"/>
    <n v="28278"/>
    <n v="0"/>
    <n v="29625"/>
  </r>
  <r>
    <n v="4999"/>
    <x v="1"/>
    <s v="Male"/>
    <n v="27"/>
    <s v="Chennai"/>
    <x v="0"/>
    <n v="95447"/>
    <d v="2022-05-10T00:00:00"/>
    <n v="6"/>
    <n v="3"/>
    <n v="9545"/>
    <n v="4772"/>
    <n v="100220"/>
    <n v="4772"/>
    <n v="109764"/>
  </r>
  <r>
    <n v="5000"/>
    <x v="1"/>
    <s v="Female"/>
    <n v="59"/>
    <s v="Chennai"/>
    <x v="1"/>
    <n v="54954"/>
    <d v="2023-11-21T00:00:00"/>
    <n v="10"/>
    <n v="4"/>
    <n v="5495"/>
    <n v="2748"/>
    <n v="57701"/>
    <n v="2748"/>
    <n v="6319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3:B9" firstHeaderRow="1" firstDataRow="1" firstDataCol="1"/>
  <pivotFields count="15">
    <pivotField showAll="0"/>
    <pivotField showAll="0">
      <items count="11">
        <item x="2"/>
        <item x="9"/>
        <item x="3"/>
        <item x="4"/>
        <item x="7"/>
        <item x="6"/>
        <item x="8"/>
        <item x="1"/>
        <item x="5"/>
        <item x="0"/>
        <item t="default"/>
      </items>
    </pivotField>
    <pivotField showAll="0"/>
    <pivotField showAll="0"/>
    <pivotField showAll="0"/>
    <pivotField axis="axisRow" showAll="0">
      <items count="6">
        <item x="2"/>
        <item x="4"/>
        <item x="1"/>
        <item x="3"/>
        <item x="0"/>
        <item t="default"/>
      </items>
    </pivotField>
    <pivotField showAll="0"/>
    <pivotField numFmtId="14"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Net_Salary" fld="12" baseField="0" baseItem="0" numFmtId="164"/>
  </dataFields>
  <formats count="39">
    <format dxfId="40">
      <pivotArea field="5" type="button" dataOnly="0" labelOnly="1" outline="0" axis="axisRow" fieldPosition="0"/>
    </format>
    <format dxfId="39">
      <pivotArea dataOnly="0" labelOnly="1" outline="0" axis="axisValues" fieldPosition="0"/>
    </format>
    <format dxfId="38">
      <pivotArea type="all" dataOnly="0" outline="0" fieldPosition="0"/>
    </format>
    <format dxfId="37">
      <pivotArea outline="0" collapsedLevelsAreSubtotals="1" fieldPosition="0"/>
    </format>
    <format dxfId="36">
      <pivotArea field="5" type="button" dataOnly="0" labelOnly="1" outline="0" axis="axisRow" fieldPosition="0"/>
    </format>
    <format dxfId="35">
      <pivotArea dataOnly="0" labelOnly="1" fieldPosition="0">
        <references count="1">
          <reference field="5" count="0"/>
        </references>
      </pivotArea>
    </format>
    <format dxfId="34">
      <pivotArea dataOnly="0" labelOnly="1" grandRow="1" outline="0" fieldPosition="0"/>
    </format>
    <format dxfId="33">
      <pivotArea dataOnly="0" labelOnly="1" outline="0" axis="axisValues" fieldPosition="0"/>
    </format>
    <format dxfId="32">
      <pivotArea type="all" dataOnly="0" outline="0" fieldPosition="0"/>
    </format>
    <format dxfId="31">
      <pivotArea outline="0" collapsedLevelsAreSubtotals="1" fieldPosition="0"/>
    </format>
    <format dxfId="30">
      <pivotArea field="5" type="button" dataOnly="0" labelOnly="1" outline="0" axis="axisRow" fieldPosition="0"/>
    </format>
    <format dxfId="29">
      <pivotArea dataOnly="0" labelOnly="1" fieldPosition="0">
        <references count="1">
          <reference field="5" count="0"/>
        </references>
      </pivotArea>
    </format>
    <format dxfId="28">
      <pivotArea dataOnly="0" labelOnly="1" grandRow="1" outline="0" fieldPosition="0"/>
    </format>
    <format dxfId="27">
      <pivotArea dataOnly="0" labelOnly="1" outline="0" axis="axisValues" fieldPosition="0"/>
    </format>
    <format dxfId="26">
      <pivotArea type="all" dataOnly="0" outline="0" fieldPosition="0"/>
    </format>
    <format dxfId="25">
      <pivotArea outline="0" collapsedLevelsAreSubtotals="1" fieldPosition="0"/>
    </format>
    <format dxfId="24">
      <pivotArea field="5" type="button" dataOnly="0" labelOnly="1" outline="0" axis="axisRow" fieldPosition="0"/>
    </format>
    <format dxfId="23">
      <pivotArea dataOnly="0" labelOnly="1" fieldPosition="0">
        <references count="1">
          <reference field="5" count="0"/>
        </references>
      </pivotArea>
    </format>
    <format dxfId="22">
      <pivotArea dataOnly="0" labelOnly="1" grandRow="1" outline="0" fieldPosition="0"/>
    </format>
    <format dxfId="21">
      <pivotArea dataOnly="0" labelOnly="1" outline="0" axis="axisValues" fieldPosition="0"/>
    </format>
    <format dxfId="20">
      <pivotArea outline="0" collapsedLevelsAreSubtotals="1" fieldPosition="0"/>
    </format>
    <format dxfId="19">
      <pivotArea field="5" type="button" dataOnly="0" labelOnly="1" outline="0" axis="axisRow" fieldPosition="0"/>
    </format>
    <format dxfId="18">
      <pivotArea dataOnly="0" labelOnly="1" outline="0" axis="axisValues" fieldPosition="0"/>
    </format>
    <format dxfId="17">
      <pivotArea field="5" type="button" dataOnly="0" labelOnly="1" outline="0" axis="axisRow" fieldPosition="0"/>
    </format>
    <format dxfId="16">
      <pivotArea dataOnly="0" labelOnly="1" outline="0" axis="axisValues" fieldPosition="0"/>
    </format>
    <format dxfId="15">
      <pivotArea type="all" dataOnly="0" outline="0" fieldPosition="0"/>
    </format>
    <format dxfId="14">
      <pivotArea outline="0" collapsedLevelsAreSubtotals="1" fieldPosition="0"/>
    </format>
    <format dxfId="13">
      <pivotArea field="5" type="button" dataOnly="0" labelOnly="1" outline="0" axis="axisRow" fieldPosition="0"/>
    </format>
    <format dxfId="12">
      <pivotArea dataOnly="0" labelOnly="1" fieldPosition="0">
        <references count="1">
          <reference field="5" count="0"/>
        </references>
      </pivotArea>
    </format>
    <format dxfId="11">
      <pivotArea dataOnly="0" labelOnly="1" grandRow="1" outline="0" fieldPosition="0"/>
    </format>
    <format dxfId="10">
      <pivotArea dataOnly="0" labelOnly="1" outline="0" axis="axisValues" fieldPosition="0"/>
    </format>
    <format dxfId="9">
      <pivotArea dataOnly="0" outline="0" axis="axisValues" fieldPosition="0"/>
    </format>
    <format dxfId="8">
      <pivotArea dataOnly="0" outline="0" axis="axisValues" fieldPosition="0"/>
    </format>
    <format dxfId="7">
      <pivotArea type="all" dataOnly="0" outline="0" fieldPosition="0"/>
    </format>
    <format dxfId="6">
      <pivotArea outline="0" collapsedLevelsAreSubtotals="1" fieldPosition="0"/>
    </format>
    <format dxfId="5">
      <pivotArea field="5" type="button" dataOnly="0" labelOnly="1" outline="0" axis="axisRow" fieldPosition="0"/>
    </format>
    <format dxfId="4">
      <pivotArea dataOnly="0" labelOnly="1" fieldPosition="0">
        <references count="1">
          <reference field="5" count="0"/>
        </references>
      </pivotArea>
    </format>
    <format dxfId="3">
      <pivotArea dataOnly="0" labelOnly="1" grandRow="1" outline="0" fieldPosition="0"/>
    </format>
    <format dxfId="2">
      <pivotArea dataOnly="0" labelOnly="1" outline="0" axis="axisValues" fieldPosition="0"/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2000000}" name="PivotTable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24:B30" firstHeaderRow="1" firstDataRow="1" firstDataCol="1"/>
  <pivotFields count="15">
    <pivotField showAll="0"/>
    <pivotField showAll="0"/>
    <pivotField showAll="0"/>
    <pivotField showAll="0"/>
    <pivotField showAll="0"/>
    <pivotField axis="axisRow" showAll="0">
      <items count="6">
        <item x="2"/>
        <item x="4"/>
        <item x="1"/>
        <item x="3"/>
        <item x="0"/>
        <item t="default"/>
      </items>
    </pivotField>
    <pivotField dataField="1" showAll="0"/>
    <pivotField numFmtId="1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Salary" fld="6" subtotal="average" baseField="5" baseItem="0" numFmtId="164"/>
  </dataFields>
  <formats count="41">
    <format dxfId="81">
      <pivotArea type="all" dataOnly="0" outline="0" fieldPosition="0"/>
    </format>
    <format dxfId="80">
      <pivotArea outline="0" collapsedLevelsAreSubtotals="1" fieldPosition="0"/>
    </format>
    <format dxfId="79">
      <pivotArea field="5" type="button" dataOnly="0" labelOnly="1" outline="0" axis="axisRow" fieldPosition="0"/>
    </format>
    <format dxfId="78">
      <pivotArea dataOnly="0" labelOnly="1" fieldPosition="0">
        <references count="1">
          <reference field="5" count="0"/>
        </references>
      </pivotArea>
    </format>
    <format dxfId="77">
      <pivotArea dataOnly="0" labelOnly="1" grandRow="1" outline="0" fieldPosition="0"/>
    </format>
    <format dxfId="76">
      <pivotArea dataOnly="0" labelOnly="1" outline="0" axis="axisValues" fieldPosition="0"/>
    </format>
    <format dxfId="75">
      <pivotArea type="all" dataOnly="0" outline="0" fieldPosition="0"/>
    </format>
    <format dxfId="74">
      <pivotArea outline="0" collapsedLevelsAreSubtotals="1" fieldPosition="0"/>
    </format>
    <format dxfId="73">
      <pivotArea field="5" type="button" dataOnly="0" labelOnly="1" outline="0" axis="axisRow" fieldPosition="0"/>
    </format>
    <format dxfId="72">
      <pivotArea dataOnly="0" labelOnly="1" fieldPosition="0">
        <references count="1">
          <reference field="5" count="0"/>
        </references>
      </pivotArea>
    </format>
    <format dxfId="71">
      <pivotArea dataOnly="0" labelOnly="1" grandRow="1" outline="0" fieldPosition="0"/>
    </format>
    <format dxfId="70">
      <pivotArea dataOnly="0" labelOnly="1" outline="0" axis="axisValues" fieldPosition="0"/>
    </format>
    <format dxfId="69">
      <pivotArea type="all" dataOnly="0" outline="0" fieldPosition="0"/>
    </format>
    <format dxfId="68">
      <pivotArea outline="0" collapsedLevelsAreSubtotals="1" fieldPosition="0"/>
    </format>
    <format dxfId="67">
      <pivotArea field="5" type="button" dataOnly="0" labelOnly="1" outline="0" axis="axisRow" fieldPosition="0"/>
    </format>
    <format dxfId="66">
      <pivotArea dataOnly="0" labelOnly="1" fieldPosition="0">
        <references count="1">
          <reference field="5" count="0"/>
        </references>
      </pivotArea>
    </format>
    <format dxfId="65">
      <pivotArea dataOnly="0" labelOnly="1" grandRow="1" outline="0" fieldPosition="0"/>
    </format>
    <format dxfId="64">
      <pivotArea dataOnly="0" labelOnly="1" outline="0" axis="axisValues" fieldPosition="0"/>
    </format>
    <format dxfId="63">
      <pivotArea field="5" type="button" dataOnly="0" labelOnly="1" outline="0" axis="axisRow" fieldPosition="0"/>
    </format>
    <format dxfId="62">
      <pivotArea dataOnly="0" labelOnly="1" outline="0" axis="axisValues" fieldPosition="0"/>
    </format>
    <format dxfId="61">
      <pivotArea outline="0" collapsedLevelsAreSubtotals="1" fieldPosition="0"/>
    </format>
    <format dxfId="60">
      <pivotArea field="5" type="button" dataOnly="0" labelOnly="1" outline="0" axis="axisRow" fieldPosition="0"/>
    </format>
    <format dxfId="59">
      <pivotArea dataOnly="0" labelOnly="1" outline="0" axis="axisValues" fieldPosition="0"/>
    </format>
    <format dxfId="58">
      <pivotArea type="all" dataOnly="0" outline="0" fieldPosition="0"/>
    </format>
    <format dxfId="57">
      <pivotArea outline="0" collapsedLevelsAreSubtotals="1" fieldPosition="0"/>
    </format>
    <format dxfId="56">
      <pivotArea field="5" type="button" dataOnly="0" labelOnly="1" outline="0" axis="axisRow" fieldPosition="0"/>
    </format>
    <format dxfId="55">
      <pivotArea dataOnly="0" labelOnly="1" fieldPosition="0">
        <references count="1">
          <reference field="5" count="0"/>
        </references>
      </pivotArea>
    </format>
    <format dxfId="54">
      <pivotArea dataOnly="0" labelOnly="1" grandRow="1" outline="0" fieldPosition="0"/>
    </format>
    <format dxfId="53">
      <pivotArea dataOnly="0" labelOnly="1" outline="0" axis="axisValues" fieldPosition="0"/>
    </format>
    <format dxfId="52">
      <pivotArea type="all" dataOnly="0" outline="0" fieldPosition="0"/>
    </format>
    <format dxfId="51">
      <pivotArea outline="0" collapsedLevelsAreSubtotals="1" fieldPosition="0"/>
    </format>
    <format dxfId="50">
      <pivotArea field="5" type="button" dataOnly="0" labelOnly="1" outline="0" axis="axisRow" fieldPosition="0"/>
    </format>
    <format dxfId="49">
      <pivotArea dataOnly="0" labelOnly="1" fieldPosition="0">
        <references count="1">
          <reference field="5" count="0"/>
        </references>
      </pivotArea>
    </format>
    <format dxfId="48">
      <pivotArea dataOnly="0" labelOnly="1" grandRow="1" outline="0" fieldPosition="0"/>
    </format>
    <format dxfId="47">
      <pivotArea dataOnly="0" labelOnly="1" outline="0" axis="axisValues" fieldPosition="0"/>
    </format>
    <format dxfId="46">
      <pivotArea type="all" dataOnly="0" outline="0" fieldPosition="0"/>
    </format>
    <format dxfId="45">
      <pivotArea outline="0" collapsedLevelsAreSubtotals="1" fieldPosition="0"/>
    </format>
    <format dxfId="44">
      <pivotArea field="5" type="button" dataOnly="0" labelOnly="1" outline="0" axis="axisRow" fieldPosition="0"/>
    </format>
    <format dxfId="43">
      <pivotArea dataOnly="0" labelOnly="1" fieldPosition="0">
        <references count="1">
          <reference field="5" count="0"/>
        </references>
      </pivotArea>
    </format>
    <format dxfId="42">
      <pivotArea dataOnly="0" labelOnly="1" grandRow="1" outline="0" fieldPosition="0"/>
    </format>
    <format dxfId="41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14:B20" firstHeaderRow="1" firstDataRow="1" firstDataCol="1"/>
  <pivotFields count="15">
    <pivotField dataField="1" showAll="0"/>
    <pivotField showAll="0"/>
    <pivotField showAll="0"/>
    <pivotField showAll="0"/>
    <pivotField showAll="0"/>
    <pivotField axis="axisRow" showAll="0">
      <items count="6">
        <item x="2"/>
        <item x="4"/>
        <item x="1"/>
        <item x="3"/>
        <item x="0"/>
        <item t="default"/>
      </items>
    </pivotField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Employee_ID" fld="0" subtotal="count" baseField="5" baseItem="0"/>
  </dataFields>
  <formats count="51">
    <format dxfId="132">
      <pivotArea type="all" dataOnly="0" outline="0" fieldPosition="0"/>
    </format>
    <format dxfId="131">
      <pivotArea outline="0" collapsedLevelsAreSubtotals="1" fieldPosition="0"/>
    </format>
    <format dxfId="130">
      <pivotArea field="5" type="button" dataOnly="0" labelOnly="1" outline="0" axis="axisRow" fieldPosition="0"/>
    </format>
    <format dxfId="129">
      <pivotArea dataOnly="0" labelOnly="1" fieldPosition="0">
        <references count="1">
          <reference field="5" count="0"/>
        </references>
      </pivotArea>
    </format>
    <format dxfId="128">
      <pivotArea dataOnly="0" labelOnly="1" grandRow="1" outline="0" fieldPosition="0"/>
    </format>
    <format dxfId="127">
      <pivotArea dataOnly="0" labelOnly="1" outline="0" axis="axisValues" fieldPosition="0"/>
    </format>
    <format dxfId="126">
      <pivotArea type="all" dataOnly="0" outline="0" fieldPosition="0"/>
    </format>
    <format dxfId="125">
      <pivotArea outline="0" collapsedLevelsAreSubtotals="1" fieldPosition="0"/>
    </format>
    <format dxfId="124">
      <pivotArea field="5" type="button" dataOnly="0" labelOnly="1" outline="0" axis="axisRow" fieldPosition="0"/>
    </format>
    <format dxfId="123">
      <pivotArea dataOnly="0" labelOnly="1" fieldPosition="0">
        <references count="1">
          <reference field="5" count="0"/>
        </references>
      </pivotArea>
    </format>
    <format dxfId="122">
      <pivotArea dataOnly="0" labelOnly="1" grandRow="1" outline="0" fieldPosition="0"/>
    </format>
    <format dxfId="121">
      <pivotArea dataOnly="0" labelOnly="1" outline="0" axis="axisValues" fieldPosition="0"/>
    </format>
    <format dxfId="120">
      <pivotArea type="all" dataOnly="0" outline="0" fieldPosition="0"/>
    </format>
    <format dxfId="119">
      <pivotArea outline="0" collapsedLevelsAreSubtotals="1" fieldPosition="0"/>
    </format>
    <format dxfId="118">
      <pivotArea field="5" type="button" dataOnly="0" labelOnly="1" outline="0" axis="axisRow" fieldPosition="0"/>
    </format>
    <format dxfId="117">
      <pivotArea dataOnly="0" labelOnly="1" fieldPosition="0">
        <references count="1">
          <reference field="5" count="0"/>
        </references>
      </pivotArea>
    </format>
    <format dxfId="116">
      <pivotArea dataOnly="0" labelOnly="1" grandRow="1" outline="0" fieldPosition="0"/>
    </format>
    <format dxfId="115">
      <pivotArea dataOnly="0" labelOnly="1" outline="0" axis="axisValues" fieldPosition="0"/>
    </format>
    <format dxfId="114">
      <pivotArea type="all" dataOnly="0" outline="0" fieldPosition="0"/>
    </format>
    <format dxfId="113">
      <pivotArea outline="0" collapsedLevelsAreSubtotals="1" fieldPosition="0"/>
    </format>
    <format dxfId="112">
      <pivotArea field="5" type="button" dataOnly="0" labelOnly="1" outline="0" axis="axisRow" fieldPosition="0"/>
    </format>
    <format dxfId="111">
      <pivotArea dataOnly="0" labelOnly="1" fieldPosition="0">
        <references count="1">
          <reference field="5" count="0"/>
        </references>
      </pivotArea>
    </format>
    <format dxfId="110">
      <pivotArea dataOnly="0" labelOnly="1" grandRow="1" outline="0" fieldPosition="0"/>
    </format>
    <format dxfId="109">
      <pivotArea dataOnly="0" labelOnly="1" outline="0" axis="axisValues" fieldPosition="0"/>
    </format>
    <format dxfId="108">
      <pivotArea field="5" type="button" dataOnly="0" labelOnly="1" outline="0" axis="axisRow" fieldPosition="0"/>
    </format>
    <format dxfId="107">
      <pivotArea dataOnly="0" labelOnly="1" outline="0" axis="axisValues" fieldPosition="0"/>
    </format>
    <format dxfId="106">
      <pivotArea type="all" dataOnly="0" outline="0" fieldPosition="0"/>
    </format>
    <format dxfId="105">
      <pivotArea outline="0" collapsedLevelsAreSubtotals="1" fieldPosition="0"/>
    </format>
    <format dxfId="104">
      <pivotArea field="5" type="button" dataOnly="0" labelOnly="1" outline="0" axis="axisRow" fieldPosition="0"/>
    </format>
    <format dxfId="103">
      <pivotArea dataOnly="0" labelOnly="1" fieldPosition="0">
        <references count="1">
          <reference field="5" count="0"/>
        </references>
      </pivotArea>
    </format>
    <format dxfId="102">
      <pivotArea dataOnly="0" labelOnly="1" grandRow="1" outline="0" fieldPosition="0"/>
    </format>
    <format dxfId="101">
      <pivotArea dataOnly="0" labelOnly="1" outline="0" axis="axisValues" fieldPosition="0"/>
    </format>
    <format dxfId="100">
      <pivotArea outline="0" collapsedLevelsAreSubtotals="1" fieldPosition="0"/>
    </format>
    <format dxfId="99">
      <pivotArea dataOnly="0" labelOnly="1" outline="0" axis="axisValues" fieldPosition="0"/>
    </format>
    <format dxfId="98">
      <pivotArea outline="0" collapsedLevelsAreSubtotals="1" fieldPosition="0"/>
    </format>
    <format dxfId="97">
      <pivotArea dataOnly="0" labelOnly="1" outline="0" axis="axisValues" fieldPosition="0"/>
    </format>
    <format dxfId="96">
      <pivotArea outline="0" collapsedLevelsAreSubtotals="1" fieldPosition="0"/>
    </format>
    <format dxfId="95">
      <pivotArea dataOnly="0" labelOnly="1" outline="0" axis="axisValues" fieldPosition="0"/>
    </format>
    <format dxfId="94">
      <pivotArea dataOnly="0" labelOnly="1" outline="0" axis="axisValues" fieldPosition="0"/>
    </format>
    <format dxfId="93">
      <pivotArea outline="0" collapsedLevelsAreSubtotals="1" fieldPosition="0"/>
    </format>
    <format dxfId="92">
      <pivotArea dataOnly="0" labelOnly="1" outline="0" axis="axisValues" fieldPosition="0"/>
    </format>
    <format dxfId="91">
      <pivotArea dataOnly="0" labelOnly="1" outline="0" axis="axisValues" fieldPosition="0"/>
    </format>
    <format dxfId="90">
      <pivotArea outline="0" collapsedLevelsAreSubtotals="1" fieldPosition="0"/>
    </format>
    <format dxfId="89">
      <pivotArea dataOnly="0" labelOnly="1" outline="0" axis="axisValues" fieldPosition="0"/>
    </format>
    <format dxfId="88">
      <pivotArea dataOnly="0" labelOnly="1" outline="0" axis="axisValues" fieldPosition="0"/>
    </format>
    <format dxfId="87">
      <pivotArea type="all" dataOnly="0" outline="0" fieldPosition="0"/>
    </format>
    <format dxfId="86">
      <pivotArea outline="0" collapsedLevelsAreSubtotals="1" fieldPosition="0"/>
    </format>
    <format dxfId="85">
      <pivotArea field="5" type="button" dataOnly="0" labelOnly="1" outline="0" axis="axisRow" fieldPosition="0"/>
    </format>
    <format dxfId="84">
      <pivotArea dataOnly="0" labelOnly="1" fieldPosition="0">
        <references count="1">
          <reference field="5" count="0"/>
        </references>
      </pivotArea>
    </format>
    <format dxfId="83">
      <pivotArea dataOnly="0" labelOnly="1" grandRow="1" outline="0" fieldPosition="0"/>
    </format>
    <format dxfId="82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0000000-0016-0000-0000-000000000000}" autoFormatId="16" applyNumberFormats="0" applyBorderFormats="0" applyFontFormats="0" applyPatternFormats="0" applyAlignmentFormats="0" applyWidthHeightFormats="0">
  <queryTableRefresh nextId="16">
    <queryTableFields count="15">
      <queryTableField id="1" name="Employee_ID" tableColumnId="1"/>
      <queryTableField id="2" name="Name" tableColumnId="2"/>
      <queryTableField id="3" name="Gender" tableColumnId="3"/>
      <queryTableField id="4" name="Age" tableColumnId="4"/>
      <queryTableField id="5" name="City" tableColumnId="5"/>
      <queryTableField id="6" name="Department" tableColumnId="6"/>
      <queryTableField id="7" name="Salary" tableColumnId="7"/>
      <queryTableField id="8" name="Joining_Date" tableColumnId="8"/>
      <queryTableField id="9" name="Experience_Years" tableColumnId="9"/>
      <queryTableField id="10" name="Performance_Rating" tableColumnId="10"/>
      <queryTableField id="11" name="Bonus" tableColumnId="11"/>
      <queryTableField id="12" name="Tax" tableColumnId="12"/>
      <queryTableField id="13" name="Net_Salary" tableColumnId="13"/>
      <queryTableField id="14" name="Experience_Bonus" tableColumnId="14"/>
      <queryTableField id="15" name="Gross_Pay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mployee1_sample" displayName="employee1_sample" ref="A1:O5001" tableType="queryTable" totalsRowShown="0">
  <autoFilter ref="A1:O5001" xr:uid="{00000000-0009-0000-0100-000001000000}"/>
  <tableColumns count="15">
    <tableColumn id="1" xr3:uid="{00000000-0010-0000-0000-000001000000}" uniqueName="1" name="Employee_ID" queryTableFieldId="1"/>
    <tableColumn id="2" xr3:uid="{00000000-0010-0000-0000-000002000000}" uniqueName="2" name="Name" queryTableFieldId="2" dataDxfId="143"/>
    <tableColumn id="3" xr3:uid="{00000000-0010-0000-0000-000003000000}" uniqueName="3" name="Gender" queryTableFieldId="3" dataDxfId="142"/>
    <tableColumn id="4" xr3:uid="{00000000-0010-0000-0000-000004000000}" uniqueName="4" name="Age" queryTableFieldId="4"/>
    <tableColumn id="5" xr3:uid="{00000000-0010-0000-0000-000005000000}" uniqueName="5" name="City" queryTableFieldId="5" dataDxfId="141"/>
    <tableColumn id="6" xr3:uid="{00000000-0010-0000-0000-000006000000}" uniqueName="6" name="Department" queryTableFieldId="6" dataDxfId="140"/>
    <tableColumn id="7" xr3:uid="{00000000-0010-0000-0000-000007000000}" uniqueName="7" name="Salary" queryTableFieldId="7"/>
    <tableColumn id="8" xr3:uid="{00000000-0010-0000-0000-000008000000}" uniqueName="8" name="Joining_Date" queryTableFieldId="8" dataDxfId="139"/>
    <tableColumn id="9" xr3:uid="{00000000-0010-0000-0000-000009000000}" uniqueName="9" name="Experience_Years" queryTableFieldId="9"/>
    <tableColumn id="10" xr3:uid="{00000000-0010-0000-0000-00000A000000}" uniqueName="10" name="Performance_Rating" queryTableFieldId="10"/>
    <tableColumn id="11" xr3:uid="{00000000-0010-0000-0000-00000B000000}" uniqueName="11" name="Bonus" queryTableFieldId="11"/>
    <tableColumn id="12" xr3:uid="{00000000-0010-0000-0000-00000C000000}" uniqueName="12" name="Tax" queryTableFieldId="12"/>
    <tableColumn id="13" xr3:uid="{00000000-0010-0000-0000-00000D000000}" uniqueName="13" name="Net_Salary" queryTableFieldId="13"/>
    <tableColumn id="14" xr3:uid="{00000000-0010-0000-0000-00000E000000}" uniqueName="14" name="Experience_Bonus" queryTableFieldId="14"/>
    <tableColumn id="15" xr3:uid="{00000000-0010-0000-0000-00000F000000}" uniqueName="15" name="Gross_Pay" queryTableFieldId="15"/>
  </tableColumns>
  <tableStyleInfo name="TableStyleMedium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e3" displayName="Table3" ref="B17:C25" totalsRowShown="0" headerRowDxfId="138" headerRowBorderDxfId="137" tableBorderDxfId="136" totalsRowBorderDxfId="135">
  <autoFilter ref="B17:C25" xr:uid="{00000000-0009-0000-0100-000003000000}"/>
  <tableColumns count="2">
    <tableColumn id="1" xr3:uid="{00000000-0010-0000-0100-000001000000}" name="Employee Summary" dataDxfId="134"/>
    <tableColumn id="2" xr3:uid="{00000000-0010-0000-0100-000002000000}" name="Details" dataDxfId="13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001"/>
  <sheetViews>
    <sheetView tabSelected="1" workbookViewId="0">
      <selection activeCell="K11" sqref="K11"/>
    </sheetView>
  </sheetViews>
  <sheetFormatPr defaultRowHeight="14.5" x14ac:dyDescent="0.35"/>
  <cols>
    <col min="1" max="1" width="14.08984375" bestFit="1" customWidth="1"/>
    <col min="2" max="2" width="8" bestFit="1" customWidth="1"/>
    <col min="3" max="3" width="9.26953125" bestFit="1" customWidth="1"/>
    <col min="4" max="4" width="6.1796875" bestFit="1" customWidth="1"/>
    <col min="5" max="5" width="10" bestFit="1" customWidth="1"/>
    <col min="6" max="6" width="13.36328125" bestFit="1" customWidth="1"/>
    <col min="7" max="7" width="8.08984375" bestFit="1" customWidth="1"/>
    <col min="8" max="8" width="13.81640625" bestFit="1" customWidth="1"/>
    <col min="9" max="9" width="17.81640625" bestFit="1" customWidth="1"/>
    <col min="10" max="10" width="20.36328125" bestFit="1" customWidth="1"/>
    <col min="11" max="11" width="8.26953125" bestFit="1" customWidth="1"/>
    <col min="12" max="12" width="6" bestFit="1" customWidth="1"/>
    <col min="13" max="13" width="12.08984375" bestFit="1" customWidth="1"/>
    <col min="14" max="14" width="18.453125" bestFit="1" customWidth="1"/>
    <col min="15" max="15" width="11.81640625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32</v>
      </c>
      <c r="L1" t="s">
        <v>33</v>
      </c>
      <c r="M1" t="s">
        <v>34</v>
      </c>
      <c r="N1" t="s">
        <v>35</v>
      </c>
      <c r="O1" t="s">
        <v>36</v>
      </c>
    </row>
    <row r="2" spans="1:15" x14ac:dyDescent="0.35">
      <c r="A2">
        <v>1</v>
      </c>
      <c r="B2" s="2" t="s">
        <v>10</v>
      </c>
      <c r="C2" s="2" t="s">
        <v>11</v>
      </c>
      <c r="D2">
        <v>41</v>
      </c>
      <c r="E2" s="2" t="s">
        <v>12</v>
      </c>
      <c r="F2" s="2" t="s">
        <v>13</v>
      </c>
      <c r="G2">
        <v>78859</v>
      </c>
      <c r="H2" s="1">
        <v>45301</v>
      </c>
      <c r="I2">
        <v>10</v>
      </c>
      <c r="J2">
        <v>5</v>
      </c>
      <c r="K2">
        <v>7886</v>
      </c>
      <c r="L2">
        <v>3943</v>
      </c>
      <c r="M2">
        <v>82802</v>
      </c>
      <c r="N2">
        <v>3943</v>
      </c>
      <c r="O2">
        <v>90688</v>
      </c>
    </row>
    <row r="3" spans="1:15" x14ac:dyDescent="0.35">
      <c r="A3">
        <v>2</v>
      </c>
      <c r="B3" s="2" t="s">
        <v>14</v>
      </c>
      <c r="C3" s="2" t="s">
        <v>15</v>
      </c>
      <c r="D3">
        <v>33</v>
      </c>
      <c r="E3" s="2" t="s">
        <v>16</v>
      </c>
      <c r="F3" s="2" t="s">
        <v>17</v>
      </c>
      <c r="G3">
        <v>90075</v>
      </c>
      <c r="H3" s="1">
        <v>45431</v>
      </c>
      <c r="I3">
        <v>8</v>
      </c>
      <c r="J3">
        <v>4</v>
      </c>
      <c r="K3">
        <v>9008</v>
      </c>
      <c r="L3">
        <v>4504</v>
      </c>
      <c r="M3">
        <v>94579</v>
      </c>
      <c r="N3">
        <v>4504</v>
      </c>
      <c r="O3">
        <v>103587</v>
      </c>
    </row>
    <row r="4" spans="1:15" x14ac:dyDescent="0.35">
      <c r="A4">
        <v>3</v>
      </c>
      <c r="B4" s="2" t="s">
        <v>18</v>
      </c>
      <c r="C4" s="2" t="s">
        <v>11</v>
      </c>
      <c r="D4">
        <v>50</v>
      </c>
      <c r="E4" s="2" t="s">
        <v>16</v>
      </c>
      <c r="F4" s="2" t="s">
        <v>19</v>
      </c>
      <c r="G4">
        <v>97093</v>
      </c>
      <c r="H4" s="1">
        <v>44976</v>
      </c>
      <c r="I4">
        <v>4</v>
      </c>
      <c r="J4">
        <v>1</v>
      </c>
      <c r="K4">
        <v>9709</v>
      </c>
      <c r="L4">
        <v>4855</v>
      </c>
      <c r="M4">
        <v>101947</v>
      </c>
      <c r="N4">
        <v>0</v>
      </c>
      <c r="O4">
        <v>106802</v>
      </c>
    </row>
    <row r="5" spans="1:15" x14ac:dyDescent="0.35">
      <c r="A5">
        <v>4</v>
      </c>
      <c r="B5" s="2" t="s">
        <v>20</v>
      </c>
      <c r="C5" s="2" t="s">
        <v>11</v>
      </c>
      <c r="D5">
        <v>48</v>
      </c>
      <c r="E5" s="2" t="s">
        <v>12</v>
      </c>
      <c r="F5" s="2" t="s">
        <v>21</v>
      </c>
      <c r="G5">
        <v>35515</v>
      </c>
      <c r="H5" s="1">
        <v>45194</v>
      </c>
      <c r="I5">
        <v>10</v>
      </c>
      <c r="J5">
        <v>3</v>
      </c>
      <c r="K5">
        <v>3552</v>
      </c>
      <c r="L5">
        <v>1776</v>
      </c>
      <c r="M5">
        <v>37291</v>
      </c>
      <c r="N5">
        <v>1776</v>
      </c>
      <c r="O5">
        <v>40843</v>
      </c>
    </row>
    <row r="6" spans="1:15" x14ac:dyDescent="0.35">
      <c r="A6">
        <v>5</v>
      </c>
      <c r="B6" s="2" t="s">
        <v>22</v>
      </c>
      <c r="C6" s="2" t="s">
        <v>15</v>
      </c>
      <c r="D6">
        <v>51</v>
      </c>
      <c r="E6" s="2" t="s">
        <v>12</v>
      </c>
      <c r="F6" s="2" t="s">
        <v>25</v>
      </c>
      <c r="G6">
        <v>54443</v>
      </c>
      <c r="H6" s="1">
        <v>44631</v>
      </c>
      <c r="I6">
        <v>12</v>
      </c>
      <c r="J6">
        <v>3</v>
      </c>
      <c r="K6">
        <v>5444</v>
      </c>
      <c r="L6">
        <v>2722</v>
      </c>
      <c r="M6">
        <v>5716500</v>
      </c>
      <c r="N6">
        <v>2722</v>
      </c>
      <c r="O6">
        <v>62609</v>
      </c>
    </row>
    <row r="7" spans="1:15" x14ac:dyDescent="0.35">
      <c r="A7">
        <v>6</v>
      </c>
      <c r="B7" s="2" t="s">
        <v>23</v>
      </c>
      <c r="C7" s="2" t="s">
        <v>15</v>
      </c>
      <c r="D7">
        <v>25</v>
      </c>
      <c r="E7" s="2" t="s">
        <v>24</v>
      </c>
      <c r="F7" s="2" t="s">
        <v>17</v>
      </c>
      <c r="G7">
        <v>93587</v>
      </c>
      <c r="H7" s="1">
        <v>45455</v>
      </c>
      <c r="I7">
        <v>8</v>
      </c>
      <c r="J7">
        <v>3</v>
      </c>
      <c r="K7">
        <v>9359</v>
      </c>
      <c r="L7">
        <v>4679</v>
      </c>
      <c r="M7">
        <v>98267</v>
      </c>
      <c r="N7">
        <v>4679</v>
      </c>
      <c r="O7">
        <v>107625</v>
      </c>
    </row>
    <row r="8" spans="1:15" x14ac:dyDescent="0.35">
      <c r="A8">
        <v>7</v>
      </c>
      <c r="B8" s="2" t="s">
        <v>23</v>
      </c>
      <c r="C8" s="2" t="s">
        <v>11</v>
      </c>
      <c r="D8">
        <v>48</v>
      </c>
      <c r="E8" s="2" t="s">
        <v>12</v>
      </c>
      <c r="F8" s="2" t="s">
        <v>25</v>
      </c>
      <c r="G8">
        <v>77483</v>
      </c>
      <c r="H8" s="1">
        <v>45522</v>
      </c>
      <c r="I8">
        <v>15</v>
      </c>
      <c r="J8">
        <v>1</v>
      </c>
      <c r="K8">
        <v>7748</v>
      </c>
      <c r="L8">
        <v>3874</v>
      </c>
      <c r="M8">
        <v>81357</v>
      </c>
      <c r="N8">
        <v>3874</v>
      </c>
      <c r="O8">
        <v>89105</v>
      </c>
    </row>
    <row r="9" spans="1:15" x14ac:dyDescent="0.35">
      <c r="A9">
        <v>8</v>
      </c>
      <c r="B9" s="2" t="s">
        <v>14</v>
      </c>
      <c r="C9" s="2" t="s">
        <v>15</v>
      </c>
      <c r="D9">
        <v>42</v>
      </c>
      <c r="E9" s="2" t="s">
        <v>16</v>
      </c>
      <c r="F9" s="2" t="s">
        <v>21</v>
      </c>
      <c r="G9">
        <v>77785</v>
      </c>
      <c r="H9" s="1">
        <v>45191</v>
      </c>
      <c r="I9">
        <v>5</v>
      </c>
      <c r="J9">
        <v>4</v>
      </c>
      <c r="K9">
        <v>7778</v>
      </c>
      <c r="L9">
        <v>3889</v>
      </c>
      <c r="M9">
        <v>81674</v>
      </c>
      <c r="N9">
        <v>0</v>
      </c>
      <c r="O9">
        <v>85563</v>
      </c>
    </row>
    <row r="10" spans="1:15" x14ac:dyDescent="0.35">
      <c r="A10">
        <v>9</v>
      </c>
      <c r="B10" s="2" t="s">
        <v>26</v>
      </c>
      <c r="C10" s="2" t="s">
        <v>15</v>
      </c>
      <c r="D10">
        <v>49</v>
      </c>
      <c r="E10" s="2" t="s">
        <v>24</v>
      </c>
      <c r="F10" s="2" t="s">
        <v>25</v>
      </c>
      <c r="G10">
        <v>98970</v>
      </c>
      <c r="H10" s="1">
        <v>45022</v>
      </c>
      <c r="I10">
        <v>11</v>
      </c>
      <c r="J10">
        <v>2</v>
      </c>
      <c r="K10">
        <v>9897</v>
      </c>
      <c r="L10">
        <v>4948</v>
      </c>
      <c r="M10">
        <v>103919</v>
      </c>
      <c r="N10">
        <v>4948</v>
      </c>
      <c r="O10">
        <v>113815</v>
      </c>
    </row>
    <row r="11" spans="1:15" x14ac:dyDescent="0.35">
      <c r="A11">
        <v>10</v>
      </c>
      <c r="B11" s="2" t="s">
        <v>27</v>
      </c>
      <c r="C11" s="2" t="s">
        <v>11</v>
      </c>
      <c r="D11">
        <v>48</v>
      </c>
      <c r="E11" s="2" t="s">
        <v>28</v>
      </c>
      <c r="F11" s="2" t="s">
        <v>25</v>
      </c>
      <c r="G11">
        <v>38645</v>
      </c>
      <c r="H11" s="1">
        <v>45407</v>
      </c>
      <c r="I11">
        <v>16</v>
      </c>
      <c r="J11">
        <v>2</v>
      </c>
      <c r="K11">
        <v>3864</v>
      </c>
      <c r="L11">
        <v>1932</v>
      </c>
      <c r="M11">
        <v>577</v>
      </c>
      <c r="N11">
        <v>1932</v>
      </c>
      <c r="O11">
        <v>44441</v>
      </c>
    </row>
    <row r="12" spans="1:15" x14ac:dyDescent="0.35">
      <c r="A12">
        <v>11</v>
      </c>
      <c r="B12" s="2" t="s">
        <v>27</v>
      </c>
      <c r="C12" s="2" t="s">
        <v>15</v>
      </c>
      <c r="D12">
        <v>48</v>
      </c>
      <c r="E12" s="2" t="s">
        <v>29</v>
      </c>
      <c r="F12" s="2" t="s">
        <v>17</v>
      </c>
      <c r="G12">
        <v>56099</v>
      </c>
      <c r="H12" s="1">
        <v>44790</v>
      </c>
      <c r="I12">
        <v>15</v>
      </c>
      <c r="J12">
        <v>5</v>
      </c>
      <c r="K12">
        <v>5610</v>
      </c>
      <c r="L12">
        <v>2805</v>
      </c>
      <c r="M12">
        <v>58904</v>
      </c>
      <c r="N12">
        <v>2805</v>
      </c>
      <c r="O12">
        <v>64514</v>
      </c>
    </row>
    <row r="13" spans="1:15" x14ac:dyDescent="0.35">
      <c r="A13">
        <v>12</v>
      </c>
      <c r="B13" s="2" t="s">
        <v>26</v>
      </c>
      <c r="C13" s="2" t="s">
        <v>11</v>
      </c>
      <c r="D13">
        <v>32</v>
      </c>
      <c r="E13" s="2" t="s">
        <v>16</v>
      </c>
      <c r="F13" s="2" t="s">
        <v>19</v>
      </c>
      <c r="G13">
        <v>93760</v>
      </c>
      <c r="H13" s="1">
        <v>45167</v>
      </c>
      <c r="I13">
        <v>18</v>
      </c>
      <c r="J13">
        <v>2</v>
      </c>
      <c r="K13">
        <v>9376</v>
      </c>
      <c r="L13">
        <v>4688</v>
      </c>
      <c r="M13">
        <v>98448</v>
      </c>
      <c r="N13">
        <v>4688</v>
      </c>
      <c r="O13">
        <v>107824</v>
      </c>
    </row>
    <row r="14" spans="1:15" x14ac:dyDescent="0.35">
      <c r="A14">
        <v>13</v>
      </c>
      <c r="B14" s="2" t="s">
        <v>18</v>
      </c>
      <c r="C14" s="2" t="s">
        <v>11</v>
      </c>
      <c r="D14">
        <v>39</v>
      </c>
      <c r="E14" s="2" t="s">
        <v>24</v>
      </c>
      <c r="F14" s="2" t="s">
        <v>13</v>
      </c>
      <c r="G14">
        <v>29641</v>
      </c>
      <c r="H14" s="1">
        <v>45118</v>
      </c>
      <c r="I14">
        <v>11</v>
      </c>
      <c r="J14">
        <v>1</v>
      </c>
      <c r="K14">
        <v>2964</v>
      </c>
      <c r="L14">
        <v>1482</v>
      </c>
      <c r="M14">
        <v>31123</v>
      </c>
      <c r="N14">
        <v>1482</v>
      </c>
      <c r="O14">
        <v>34087</v>
      </c>
    </row>
    <row r="15" spans="1:15" x14ac:dyDescent="0.35">
      <c r="A15">
        <v>14</v>
      </c>
      <c r="B15" s="2" t="s">
        <v>14</v>
      </c>
      <c r="C15" s="2" t="s">
        <v>11</v>
      </c>
      <c r="D15">
        <v>45</v>
      </c>
      <c r="E15" s="2" t="s">
        <v>16</v>
      </c>
      <c r="F15" s="2" t="s">
        <v>13</v>
      </c>
      <c r="G15">
        <v>93137</v>
      </c>
      <c r="H15" s="1">
        <v>44819</v>
      </c>
      <c r="I15">
        <v>15</v>
      </c>
      <c r="J15">
        <v>3</v>
      </c>
      <c r="K15">
        <v>9314</v>
      </c>
      <c r="L15">
        <v>4657</v>
      </c>
      <c r="M15">
        <v>97794</v>
      </c>
      <c r="N15">
        <v>4657</v>
      </c>
      <c r="O15">
        <v>107108</v>
      </c>
    </row>
    <row r="16" spans="1:15" x14ac:dyDescent="0.35">
      <c r="A16">
        <v>15</v>
      </c>
      <c r="B16" s="2" t="s">
        <v>10</v>
      </c>
      <c r="C16" s="2" t="s">
        <v>11</v>
      </c>
      <c r="D16">
        <v>32</v>
      </c>
      <c r="E16" s="2" t="s">
        <v>29</v>
      </c>
      <c r="F16" s="2" t="s">
        <v>21</v>
      </c>
      <c r="G16">
        <v>47550</v>
      </c>
      <c r="H16" s="1">
        <v>44934</v>
      </c>
      <c r="I16">
        <v>9</v>
      </c>
      <c r="J16">
        <v>5</v>
      </c>
      <c r="K16">
        <v>4755</v>
      </c>
      <c r="L16">
        <v>2378</v>
      </c>
      <c r="M16">
        <v>49927</v>
      </c>
      <c r="N16">
        <v>2378</v>
      </c>
      <c r="O16">
        <v>54683</v>
      </c>
    </row>
    <row r="17" spans="1:15" x14ac:dyDescent="0.35">
      <c r="A17">
        <v>16</v>
      </c>
      <c r="B17" s="2" t="s">
        <v>18</v>
      </c>
      <c r="C17" s="2" t="s">
        <v>11</v>
      </c>
      <c r="D17">
        <v>57</v>
      </c>
      <c r="E17" s="2" t="s">
        <v>16</v>
      </c>
      <c r="F17" s="2" t="s">
        <v>13</v>
      </c>
      <c r="G17">
        <v>53978</v>
      </c>
      <c r="H17" s="1">
        <v>45269</v>
      </c>
      <c r="I17">
        <v>18</v>
      </c>
      <c r="J17">
        <v>2</v>
      </c>
      <c r="K17">
        <v>5398</v>
      </c>
      <c r="L17">
        <v>2699</v>
      </c>
      <c r="M17">
        <v>56677</v>
      </c>
      <c r="N17">
        <v>2699</v>
      </c>
      <c r="O17">
        <v>62075</v>
      </c>
    </row>
    <row r="18" spans="1:15" x14ac:dyDescent="0.35">
      <c r="A18">
        <v>17</v>
      </c>
      <c r="B18" s="2" t="s">
        <v>30</v>
      </c>
      <c r="C18" s="2" t="s">
        <v>15</v>
      </c>
      <c r="D18">
        <v>46</v>
      </c>
      <c r="E18" s="2" t="s">
        <v>24</v>
      </c>
      <c r="F18" s="2" t="s">
        <v>13</v>
      </c>
      <c r="G18">
        <v>50997</v>
      </c>
      <c r="H18" s="1">
        <v>44868</v>
      </c>
      <c r="I18">
        <v>7</v>
      </c>
      <c r="J18">
        <v>1</v>
      </c>
      <c r="K18">
        <v>5100</v>
      </c>
      <c r="L18">
        <v>2550</v>
      </c>
      <c r="M18">
        <v>53547</v>
      </c>
      <c r="N18">
        <v>2550</v>
      </c>
      <c r="O18">
        <v>58647</v>
      </c>
    </row>
    <row r="19" spans="1:15" x14ac:dyDescent="0.35">
      <c r="A19">
        <v>18</v>
      </c>
      <c r="B19" s="2" t="s">
        <v>30</v>
      </c>
      <c r="C19" s="2" t="s">
        <v>15</v>
      </c>
      <c r="D19">
        <v>34</v>
      </c>
      <c r="E19" s="2" t="s">
        <v>16</v>
      </c>
      <c r="F19" s="2" t="s">
        <v>25</v>
      </c>
      <c r="G19">
        <v>35827</v>
      </c>
      <c r="H19" s="1">
        <v>44871</v>
      </c>
      <c r="I19">
        <v>1</v>
      </c>
      <c r="J19">
        <v>1</v>
      </c>
      <c r="K19">
        <v>3583</v>
      </c>
      <c r="L19">
        <v>1791</v>
      </c>
      <c r="M19">
        <v>37619</v>
      </c>
      <c r="N19">
        <v>0</v>
      </c>
      <c r="O19">
        <v>39410</v>
      </c>
    </row>
    <row r="20" spans="1:15" x14ac:dyDescent="0.35">
      <c r="A20">
        <v>19</v>
      </c>
      <c r="B20" s="2" t="s">
        <v>23</v>
      </c>
      <c r="C20" s="2" t="s">
        <v>11</v>
      </c>
      <c r="D20">
        <v>58</v>
      </c>
      <c r="E20" s="2" t="s">
        <v>16</v>
      </c>
      <c r="F20" s="2" t="s">
        <v>25</v>
      </c>
      <c r="G20">
        <v>55321</v>
      </c>
      <c r="H20" s="1">
        <v>44602</v>
      </c>
      <c r="I20">
        <v>8</v>
      </c>
      <c r="J20">
        <v>3</v>
      </c>
      <c r="K20">
        <v>5532</v>
      </c>
      <c r="L20">
        <v>2766</v>
      </c>
      <c r="M20">
        <v>58087</v>
      </c>
      <c r="N20">
        <v>2766</v>
      </c>
      <c r="O20">
        <v>63619</v>
      </c>
    </row>
    <row r="21" spans="1:15" x14ac:dyDescent="0.35">
      <c r="A21">
        <v>20</v>
      </c>
      <c r="B21" s="2" t="s">
        <v>14</v>
      </c>
      <c r="C21" s="2" t="s">
        <v>11</v>
      </c>
      <c r="D21">
        <v>27</v>
      </c>
      <c r="E21" s="2" t="s">
        <v>29</v>
      </c>
      <c r="F21" s="2" t="s">
        <v>21</v>
      </c>
      <c r="G21">
        <v>86041</v>
      </c>
      <c r="H21" s="1">
        <v>44693</v>
      </c>
      <c r="I21">
        <v>7</v>
      </c>
      <c r="J21">
        <v>5</v>
      </c>
      <c r="K21">
        <v>8604</v>
      </c>
      <c r="L21">
        <v>4302</v>
      </c>
      <c r="M21">
        <v>90343</v>
      </c>
      <c r="N21">
        <v>4302</v>
      </c>
      <c r="O21">
        <v>98947</v>
      </c>
    </row>
    <row r="22" spans="1:15" x14ac:dyDescent="0.35">
      <c r="A22">
        <v>21</v>
      </c>
      <c r="B22" s="2" t="s">
        <v>23</v>
      </c>
      <c r="C22" s="2" t="s">
        <v>11</v>
      </c>
      <c r="D22">
        <v>56</v>
      </c>
      <c r="E22" s="2" t="s">
        <v>16</v>
      </c>
      <c r="F22" s="2" t="s">
        <v>19</v>
      </c>
      <c r="G22">
        <v>37031</v>
      </c>
      <c r="H22" s="1">
        <v>45284</v>
      </c>
      <c r="I22">
        <v>16</v>
      </c>
      <c r="J22">
        <v>3</v>
      </c>
      <c r="K22">
        <v>3703</v>
      </c>
      <c r="L22">
        <v>1852</v>
      </c>
      <c r="M22">
        <v>38882</v>
      </c>
      <c r="N22">
        <v>1852</v>
      </c>
      <c r="O22">
        <v>42586</v>
      </c>
    </row>
    <row r="23" spans="1:15" x14ac:dyDescent="0.35">
      <c r="A23">
        <v>22</v>
      </c>
      <c r="B23" s="2" t="s">
        <v>23</v>
      </c>
      <c r="C23" s="2" t="s">
        <v>15</v>
      </c>
      <c r="D23">
        <v>60</v>
      </c>
      <c r="E23" s="2" t="s">
        <v>24</v>
      </c>
      <c r="F23" s="2" t="s">
        <v>17</v>
      </c>
      <c r="G23">
        <v>78652</v>
      </c>
      <c r="H23" s="1">
        <v>45224</v>
      </c>
      <c r="I23">
        <v>5</v>
      </c>
      <c r="J23">
        <v>2</v>
      </c>
      <c r="K23">
        <v>7865</v>
      </c>
      <c r="L23">
        <v>3933</v>
      </c>
      <c r="M23">
        <v>82584</v>
      </c>
      <c r="N23">
        <v>0</v>
      </c>
      <c r="O23">
        <v>86517</v>
      </c>
    </row>
    <row r="24" spans="1:15" x14ac:dyDescent="0.35">
      <c r="A24">
        <v>23</v>
      </c>
      <c r="B24" s="2" t="s">
        <v>27</v>
      </c>
      <c r="C24" s="2" t="s">
        <v>11</v>
      </c>
      <c r="D24">
        <v>21</v>
      </c>
      <c r="E24" s="2" t="s">
        <v>12</v>
      </c>
      <c r="F24" s="2" t="s">
        <v>25</v>
      </c>
      <c r="G24">
        <v>21855</v>
      </c>
      <c r="H24" s="1">
        <v>44783</v>
      </c>
      <c r="I24">
        <v>12</v>
      </c>
      <c r="J24">
        <v>2</v>
      </c>
      <c r="K24">
        <v>2186</v>
      </c>
      <c r="L24">
        <v>1093</v>
      </c>
      <c r="M24">
        <v>22948</v>
      </c>
      <c r="N24">
        <v>1093</v>
      </c>
      <c r="O24">
        <v>25134</v>
      </c>
    </row>
    <row r="25" spans="1:15" x14ac:dyDescent="0.35">
      <c r="A25">
        <v>24</v>
      </c>
      <c r="B25" s="2" t="s">
        <v>20</v>
      </c>
      <c r="C25" s="2" t="s">
        <v>11</v>
      </c>
      <c r="D25">
        <v>30</v>
      </c>
      <c r="E25" s="2" t="s">
        <v>24</v>
      </c>
      <c r="F25" s="2" t="s">
        <v>13</v>
      </c>
      <c r="G25">
        <v>77252</v>
      </c>
      <c r="H25" s="1">
        <v>45238</v>
      </c>
      <c r="I25">
        <v>14</v>
      </c>
      <c r="J25">
        <v>2</v>
      </c>
      <c r="K25">
        <v>7725</v>
      </c>
      <c r="L25">
        <v>3863</v>
      </c>
      <c r="M25">
        <v>81114</v>
      </c>
      <c r="N25">
        <v>3863</v>
      </c>
      <c r="O25">
        <v>88840</v>
      </c>
    </row>
    <row r="26" spans="1:15" x14ac:dyDescent="0.35">
      <c r="A26">
        <v>25</v>
      </c>
      <c r="B26" s="2" t="s">
        <v>10</v>
      </c>
      <c r="C26" s="2" t="s">
        <v>15</v>
      </c>
      <c r="D26">
        <v>59</v>
      </c>
      <c r="E26" s="2" t="s">
        <v>28</v>
      </c>
      <c r="F26" s="2" t="s">
        <v>19</v>
      </c>
      <c r="G26">
        <v>26445</v>
      </c>
      <c r="H26" s="1">
        <v>44838</v>
      </c>
      <c r="I26">
        <v>6</v>
      </c>
      <c r="J26">
        <v>4</v>
      </c>
      <c r="K26">
        <v>2644</v>
      </c>
      <c r="L26">
        <v>1322</v>
      </c>
      <c r="M26">
        <v>27767</v>
      </c>
      <c r="N26">
        <v>1322</v>
      </c>
      <c r="O26">
        <v>30411</v>
      </c>
    </row>
    <row r="27" spans="1:15" x14ac:dyDescent="0.35">
      <c r="A27">
        <v>26</v>
      </c>
      <c r="B27" s="2" t="s">
        <v>10</v>
      </c>
      <c r="C27" s="2" t="s">
        <v>11</v>
      </c>
      <c r="D27">
        <v>54</v>
      </c>
      <c r="E27" s="2" t="s">
        <v>28</v>
      </c>
      <c r="F27" s="2" t="s">
        <v>21</v>
      </c>
      <c r="G27">
        <v>93187</v>
      </c>
      <c r="H27" s="1">
        <v>45145</v>
      </c>
      <c r="I27">
        <v>13</v>
      </c>
      <c r="J27">
        <v>5</v>
      </c>
      <c r="K27">
        <v>9319</v>
      </c>
      <c r="L27">
        <v>4659</v>
      </c>
      <c r="M27">
        <v>97847</v>
      </c>
      <c r="N27">
        <v>4659</v>
      </c>
      <c r="O27">
        <v>107165</v>
      </c>
    </row>
    <row r="28" spans="1:15" x14ac:dyDescent="0.35">
      <c r="A28">
        <v>27</v>
      </c>
      <c r="B28" s="2" t="s">
        <v>10</v>
      </c>
      <c r="C28" s="2" t="s">
        <v>15</v>
      </c>
      <c r="D28">
        <v>55</v>
      </c>
      <c r="E28" s="2" t="s">
        <v>29</v>
      </c>
      <c r="F28" s="2" t="s">
        <v>17</v>
      </c>
      <c r="G28">
        <v>26465</v>
      </c>
      <c r="H28" s="1">
        <v>44885</v>
      </c>
      <c r="I28">
        <v>16</v>
      </c>
      <c r="J28">
        <v>2</v>
      </c>
      <c r="K28">
        <v>2646</v>
      </c>
      <c r="L28">
        <v>1323</v>
      </c>
      <c r="M28">
        <v>27788</v>
      </c>
      <c r="N28">
        <v>1323</v>
      </c>
      <c r="O28">
        <v>30434</v>
      </c>
    </row>
    <row r="29" spans="1:15" x14ac:dyDescent="0.35">
      <c r="A29">
        <v>28</v>
      </c>
      <c r="B29" s="2" t="s">
        <v>18</v>
      </c>
      <c r="C29" s="2" t="s">
        <v>15</v>
      </c>
      <c r="D29">
        <v>28</v>
      </c>
      <c r="E29" s="2" t="s">
        <v>28</v>
      </c>
      <c r="F29" s="2" t="s">
        <v>21</v>
      </c>
      <c r="G29">
        <v>88873</v>
      </c>
      <c r="H29" s="1">
        <v>44585</v>
      </c>
      <c r="I29">
        <v>15</v>
      </c>
      <c r="J29">
        <v>4</v>
      </c>
      <c r="K29">
        <v>8887</v>
      </c>
      <c r="L29">
        <v>4444</v>
      </c>
      <c r="M29">
        <v>93316</v>
      </c>
      <c r="N29">
        <v>4444</v>
      </c>
      <c r="O29">
        <v>102204</v>
      </c>
    </row>
    <row r="30" spans="1:15" x14ac:dyDescent="0.35">
      <c r="A30">
        <v>29</v>
      </c>
      <c r="B30" s="2" t="s">
        <v>27</v>
      </c>
      <c r="C30" s="2" t="s">
        <v>11</v>
      </c>
      <c r="D30">
        <v>21</v>
      </c>
      <c r="E30" s="2" t="s">
        <v>16</v>
      </c>
      <c r="F30" s="2" t="s">
        <v>19</v>
      </c>
      <c r="G30">
        <v>91664</v>
      </c>
      <c r="H30" s="1">
        <v>44986</v>
      </c>
      <c r="I30">
        <v>4</v>
      </c>
      <c r="J30">
        <v>3</v>
      </c>
      <c r="K30">
        <v>9166</v>
      </c>
      <c r="L30">
        <v>4583</v>
      </c>
      <c r="M30">
        <v>96247</v>
      </c>
      <c r="N30">
        <v>0</v>
      </c>
      <c r="O30">
        <v>100830</v>
      </c>
    </row>
    <row r="31" spans="1:15" x14ac:dyDescent="0.35">
      <c r="A31">
        <v>30</v>
      </c>
      <c r="B31" s="2" t="s">
        <v>20</v>
      </c>
      <c r="C31" s="2" t="s">
        <v>11</v>
      </c>
      <c r="D31">
        <v>55</v>
      </c>
      <c r="E31" s="2" t="s">
        <v>29</v>
      </c>
      <c r="F31" s="2" t="s">
        <v>25</v>
      </c>
      <c r="G31">
        <v>20113</v>
      </c>
      <c r="H31" s="1">
        <v>44769</v>
      </c>
      <c r="I31">
        <v>1</v>
      </c>
      <c r="J31">
        <v>2</v>
      </c>
      <c r="K31">
        <v>2011</v>
      </c>
      <c r="L31">
        <v>1006</v>
      </c>
      <c r="M31">
        <v>21118</v>
      </c>
      <c r="N31">
        <v>0</v>
      </c>
      <c r="O31">
        <v>22124</v>
      </c>
    </row>
    <row r="32" spans="1:15" x14ac:dyDescent="0.35">
      <c r="A32">
        <v>31</v>
      </c>
      <c r="B32" s="2" t="s">
        <v>10</v>
      </c>
      <c r="C32" s="2" t="s">
        <v>15</v>
      </c>
      <c r="D32">
        <v>22</v>
      </c>
      <c r="E32" s="2" t="s">
        <v>16</v>
      </c>
      <c r="F32" s="2" t="s">
        <v>21</v>
      </c>
      <c r="G32">
        <v>26738</v>
      </c>
      <c r="H32" s="1">
        <v>44673</v>
      </c>
      <c r="I32">
        <v>20</v>
      </c>
      <c r="J32">
        <v>4</v>
      </c>
      <c r="K32">
        <v>2674</v>
      </c>
      <c r="L32">
        <v>1337</v>
      </c>
      <c r="M32">
        <v>28075</v>
      </c>
      <c r="N32">
        <v>1337</v>
      </c>
      <c r="O32">
        <v>30749</v>
      </c>
    </row>
    <row r="33" spans="1:15" x14ac:dyDescent="0.35">
      <c r="A33">
        <v>32</v>
      </c>
      <c r="B33" s="2" t="s">
        <v>20</v>
      </c>
      <c r="C33" s="2" t="s">
        <v>15</v>
      </c>
      <c r="D33">
        <v>57</v>
      </c>
      <c r="E33" s="2" t="s">
        <v>28</v>
      </c>
      <c r="F33" s="2" t="s">
        <v>21</v>
      </c>
      <c r="G33">
        <v>74693</v>
      </c>
      <c r="H33" s="1">
        <v>45062</v>
      </c>
      <c r="I33">
        <v>1</v>
      </c>
      <c r="J33">
        <v>2</v>
      </c>
      <c r="K33">
        <v>7469</v>
      </c>
      <c r="L33">
        <v>3735</v>
      </c>
      <c r="M33">
        <v>78427</v>
      </c>
      <c r="N33">
        <v>0</v>
      </c>
      <c r="O33">
        <v>82162</v>
      </c>
    </row>
    <row r="34" spans="1:15" x14ac:dyDescent="0.35">
      <c r="A34">
        <v>33</v>
      </c>
      <c r="B34" s="2" t="s">
        <v>14</v>
      </c>
      <c r="C34" s="2" t="s">
        <v>11</v>
      </c>
      <c r="D34">
        <v>60</v>
      </c>
      <c r="E34" s="2" t="s">
        <v>12</v>
      </c>
      <c r="F34" s="2" t="s">
        <v>13</v>
      </c>
      <c r="G34">
        <v>30077</v>
      </c>
      <c r="H34" s="1">
        <v>45394</v>
      </c>
      <c r="I34">
        <v>11</v>
      </c>
      <c r="J34">
        <v>5</v>
      </c>
      <c r="K34">
        <v>3008</v>
      </c>
      <c r="L34">
        <v>1504</v>
      </c>
      <c r="M34">
        <v>31581</v>
      </c>
      <c r="N34">
        <v>1504</v>
      </c>
      <c r="O34">
        <v>34589</v>
      </c>
    </row>
    <row r="35" spans="1:15" x14ac:dyDescent="0.35">
      <c r="A35">
        <v>34</v>
      </c>
      <c r="B35" s="2" t="s">
        <v>31</v>
      </c>
      <c r="C35" s="2" t="s">
        <v>15</v>
      </c>
      <c r="D35">
        <v>26</v>
      </c>
      <c r="E35" s="2" t="s">
        <v>28</v>
      </c>
      <c r="F35" s="2" t="s">
        <v>21</v>
      </c>
      <c r="G35">
        <v>76594</v>
      </c>
      <c r="H35" s="1">
        <v>44606</v>
      </c>
      <c r="I35">
        <v>19</v>
      </c>
      <c r="J35">
        <v>1</v>
      </c>
      <c r="K35">
        <v>7659</v>
      </c>
      <c r="L35">
        <v>3830</v>
      </c>
      <c r="M35">
        <v>80423</v>
      </c>
      <c r="N35">
        <v>3830</v>
      </c>
      <c r="O35">
        <v>88083</v>
      </c>
    </row>
    <row r="36" spans="1:15" x14ac:dyDescent="0.35">
      <c r="A36">
        <v>35</v>
      </c>
      <c r="B36" s="2" t="s">
        <v>23</v>
      </c>
      <c r="C36" s="2" t="s">
        <v>15</v>
      </c>
      <c r="D36">
        <v>60</v>
      </c>
      <c r="E36" s="2" t="s">
        <v>16</v>
      </c>
      <c r="F36" s="2" t="s">
        <v>25</v>
      </c>
      <c r="G36">
        <v>86942</v>
      </c>
      <c r="H36" s="1">
        <v>45115</v>
      </c>
      <c r="I36">
        <v>7</v>
      </c>
      <c r="J36">
        <v>3</v>
      </c>
      <c r="K36">
        <v>8694</v>
      </c>
      <c r="L36">
        <v>4347</v>
      </c>
      <c r="M36">
        <v>91289</v>
      </c>
      <c r="N36">
        <v>4347</v>
      </c>
      <c r="O36">
        <v>99983</v>
      </c>
    </row>
    <row r="37" spans="1:15" x14ac:dyDescent="0.35">
      <c r="A37">
        <v>36</v>
      </c>
      <c r="B37" s="2" t="s">
        <v>26</v>
      </c>
      <c r="C37" s="2" t="s">
        <v>15</v>
      </c>
      <c r="D37">
        <v>26</v>
      </c>
      <c r="E37" s="2" t="s">
        <v>16</v>
      </c>
      <c r="F37" s="2" t="s">
        <v>21</v>
      </c>
      <c r="G37">
        <v>83990</v>
      </c>
      <c r="H37" s="1">
        <v>45169</v>
      </c>
      <c r="I37">
        <v>1</v>
      </c>
      <c r="J37">
        <v>4</v>
      </c>
      <c r="K37">
        <v>8399</v>
      </c>
      <c r="L37">
        <v>4200</v>
      </c>
      <c r="M37">
        <v>88189</v>
      </c>
      <c r="N37">
        <v>0</v>
      </c>
      <c r="O37">
        <v>92389</v>
      </c>
    </row>
    <row r="38" spans="1:15" x14ac:dyDescent="0.35">
      <c r="A38">
        <v>37</v>
      </c>
      <c r="B38" s="2" t="s">
        <v>22</v>
      </c>
      <c r="C38" s="2" t="s">
        <v>11</v>
      </c>
      <c r="D38">
        <v>54</v>
      </c>
      <c r="E38" s="2" t="s">
        <v>24</v>
      </c>
      <c r="F38" s="2" t="s">
        <v>25</v>
      </c>
      <c r="G38">
        <v>51064</v>
      </c>
      <c r="H38" s="1">
        <v>45322</v>
      </c>
      <c r="I38">
        <v>19</v>
      </c>
      <c r="J38">
        <v>5</v>
      </c>
      <c r="K38">
        <v>5106</v>
      </c>
      <c r="L38">
        <v>2553</v>
      </c>
      <c r="M38">
        <v>53617</v>
      </c>
      <c r="N38">
        <v>2553</v>
      </c>
      <c r="O38">
        <v>58723</v>
      </c>
    </row>
    <row r="39" spans="1:15" x14ac:dyDescent="0.35">
      <c r="A39">
        <v>38</v>
      </c>
      <c r="B39" s="2" t="s">
        <v>18</v>
      </c>
      <c r="C39" s="2" t="s">
        <v>15</v>
      </c>
      <c r="D39">
        <v>27</v>
      </c>
      <c r="E39" s="2" t="s">
        <v>29</v>
      </c>
      <c r="F39" s="2" t="s">
        <v>21</v>
      </c>
      <c r="G39">
        <v>56125</v>
      </c>
      <c r="H39" s="1">
        <v>44726</v>
      </c>
      <c r="I39">
        <v>10</v>
      </c>
      <c r="J39">
        <v>4</v>
      </c>
      <c r="K39">
        <v>5612</v>
      </c>
      <c r="L39">
        <v>2806</v>
      </c>
      <c r="M39">
        <v>58931</v>
      </c>
      <c r="N39">
        <v>2806</v>
      </c>
      <c r="O39">
        <v>64543</v>
      </c>
    </row>
    <row r="40" spans="1:15" x14ac:dyDescent="0.35">
      <c r="A40">
        <v>39</v>
      </c>
      <c r="B40" s="2" t="s">
        <v>10</v>
      </c>
      <c r="C40" s="2" t="s">
        <v>11</v>
      </c>
      <c r="D40">
        <v>25</v>
      </c>
      <c r="E40" s="2" t="s">
        <v>29</v>
      </c>
      <c r="F40" s="2" t="s">
        <v>21</v>
      </c>
      <c r="G40">
        <v>76606</v>
      </c>
      <c r="H40" s="1">
        <v>45324</v>
      </c>
      <c r="I40">
        <v>4</v>
      </c>
      <c r="J40">
        <v>3</v>
      </c>
      <c r="K40">
        <v>7661</v>
      </c>
      <c r="L40">
        <v>3830</v>
      </c>
      <c r="M40">
        <v>80437</v>
      </c>
      <c r="N40">
        <v>0</v>
      </c>
      <c r="O40">
        <v>84267</v>
      </c>
    </row>
    <row r="41" spans="1:15" x14ac:dyDescent="0.35">
      <c r="A41">
        <v>40</v>
      </c>
      <c r="B41" s="2" t="s">
        <v>18</v>
      </c>
      <c r="C41" s="2" t="s">
        <v>15</v>
      </c>
      <c r="D41">
        <v>47</v>
      </c>
      <c r="E41" s="2" t="s">
        <v>12</v>
      </c>
      <c r="F41" s="2" t="s">
        <v>25</v>
      </c>
      <c r="G41">
        <v>86747</v>
      </c>
      <c r="H41" s="1">
        <v>45287</v>
      </c>
      <c r="I41">
        <v>19</v>
      </c>
      <c r="J41">
        <v>3</v>
      </c>
      <c r="K41">
        <v>8675</v>
      </c>
      <c r="L41">
        <v>4337</v>
      </c>
      <c r="M41">
        <v>91085</v>
      </c>
      <c r="N41">
        <v>4337</v>
      </c>
      <c r="O41">
        <v>99759</v>
      </c>
    </row>
    <row r="42" spans="1:15" x14ac:dyDescent="0.35">
      <c r="A42">
        <v>41</v>
      </c>
      <c r="B42" s="2" t="s">
        <v>10</v>
      </c>
      <c r="C42" s="2" t="s">
        <v>15</v>
      </c>
      <c r="D42">
        <v>45</v>
      </c>
      <c r="E42" s="2" t="s">
        <v>12</v>
      </c>
      <c r="F42" s="2" t="s">
        <v>25</v>
      </c>
      <c r="G42">
        <v>85839</v>
      </c>
      <c r="H42" s="1">
        <v>44728</v>
      </c>
      <c r="I42">
        <v>11</v>
      </c>
      <c r="J42">
        <v>5</v>
      </c>
      <c r="K42">
        <v>8584</v>
      </c>
      <c r="L42">
        <v>4292</v>
      </c>
      <c r="M42">
        <v>90131</v>
      </c>
      <c r="N42">
        <v>4292</v>
      </c>
      <c r="O42">
        <v>98715</v>
      </c>
    </row>
    <row r="43" spans="1:15" x14ac:dyDescent="0.35">
      <c r="A43">
        <v>42</v>
      </c>
      <c r="B43" s="2" t="s">
        <v>10</v>
      </c>
      <c r="C43" s="2" t="s">
        <v>15</v>
      </c>
      <c r="D43">
        <v>53</v>
      </c>
      <c r="E43" s="2" t="s">
        <v>12</v>
      </c>
      <c r="F43" s="2" t="s">
        <v>21</v>
      </c>
      <c r="G43">
        <v>33620</v>
      </c>
      <c r="H43" s="1">
        <v>44589</v>
      </c>
      <c r="I43">
        <v>5</v>
      </c>
      <c r="J43">
        <v>1</v>
      </c>
      <c r="K43">
        <v>3362</v>
      </c>
      <c r="L43">
        <v>1681</v>
      </c>
      <c r="M43">
        <v>35301</v>
      </c>
      <c r="N43">
        <v>0</v>
      </c>
      <c r="O43">
        <v>36982</v>
      </c>
    </row>
    <row r="44" spans="1:15" x14ac:dyDescent="0.35">
      <c r="A44">
        <v>43</v>
      </c>
      <c r="B44" s="2" t="s">
        <v>31</v>
      </c>
      <c r="C44" s="2" t="s">
        <v>15</v>
      </c>
      <c r="D44">
        <v>24</v>
      </c>
      <c r="E44" s="2" t="s">
        <v>16</v>
      </c>
      <c r="F44" s="2" t="s">
        <v>13</v>
      </c>
      <c r="G44">
        <v>29461</v>
      </c>
      <c r="H44" s="1">
        <v>45268</v>
      </c>
      <c r="I44">
        <v>19</v>
      </c>
      <c r="J44">
        <v>3</v>
      </c>
      <c r="K44">
        <v>2946</v>
      </c>
      <c r="L44">
        <v>1473</v>
      </c>
      <c r="M44">
        <v>30934</v>
      </c>
      <c r="N44">
        <v>1473</v>
      </c>
      <c r="O44">
        <v>33880</v>
      </c>
    </row>
    <row r="45" spans="1:15" x14ac:dyDescent="0.35">
      <c r="A45">
        <v>44</v>
      </c>
      <c r="B45" s="2" t="s">
        <v>22</v>
      </c>
      <c r="C45" s="2" t="s">
        <v>15</v>
      </c>
      <c r="D45">
        <v>47</v>
      </c>
      <c r="E45" s="2" t="s">
        <v>12</v>
      </c>
      <c r="F45" s="2" t="s">
        <v>17</v>
      </c>
      <c r="G45">
        <v>74866</v>
      </c>
      <c r="H45" s="1">
        <v>45159</v>
      </c>
      <c r="I45">
        <v>4</v>
      </c>
      <c r="J45">
        <v>2</v>
      </c>
      <c r="K45">
        <v>7487</v>
      </c>
      <c r="L45">
        <v>3743</v>
      </c>
      <c r="M45">
        <v>78610</v>
      </c>
      <c r="N45">
        <v>0</v>
      </c>
      <c r="O45">
        <v>82353</v>
      </c>
    </row>
    <row r="46" spans="1:15" x14ac:dyDescent="0.35">
      <c r="A46">
        <v>45</v>
      </c>
      <c r="B46" s="2" t="s">
        <v>20</v>
      </c>
      <c r="C46" s="2" t="s">
        <v>15</v>
      </c>
      <c r="D46">
        <v>49</v>
      </c>
      <c r="E46" s="2" t="s">
        <v>29</v>
      </c>
      <c r="F46" s="2" t="s">
        <v>19</v>
      </c>
      <c r="G46">
        <v>30821</v>
      </c>
      <c r="H46" s="1">
        <v>44903</v>
      </c>
      <c r="I46">
        <v>9</v>
      </c>
      <c r="J46">
        <v>3</v>
      </c>
      <c r="K46">
        <v>3082</v>
      </c>
      <c r="L46">
        <v>1541</v>
      </c>
      <c r="M46">
        <v>32362</v>
      </c>
      <c r="N46">
        <v>1541</v>
      </c>
      <c r="O46">
        <v>35444</v>
      </c>
    </row>
    <row r="47" spans="1:15" x14ac:dyDescent="0.35">
      <c r="A47">
        <v>46</v>
      </c>
      <c r="B47" s="2" t="s">
        <v>23</v>
      </c>
      <c r="C47" s="2" t="s">
        <v>11</v>
      </c>
      <c r="D47">
        <v>34</v>
      </c>
      <c r="E47" s="2" t="s">
        <v>29</v>
      </c>
      <c r="F47" s="2" t="s">
        <v>19</v>
      </c>
      <c r="G47">
        <v>28522</v>
      </c>
      <c r="H47" s="1">
        <v>45234</v>
      </c>
      <c r="I47">
        <v>7</v>
      </c>
      <c r="J47">
        <v>4</v>
      </c>
      <c r="K47">
        <v>2852</v>
      </c>
      <c r="L47">
        <v>1426</v>
      </c>
      <c r="M47">
        <v>29948</v>
      </c>
      <c r="N47">
        <v>1426</v>
      </c>
      <c r="O47">
        <v>32800</v>
      </c>
    </row>
    <row r="48" spans="1:15" x14ac:dyDescent="0.35">
      <c r="A48">
        <v>47</v>
      </c>
      <c r="B48" s="2" t="s">
        <v>23</v>
      </c>
      <c r="C48" s="2" t="s">
        <v>15</v>
      </c>
      <c r="D48">
        <v>22</v>
      </c>
      <c r="E48" s="2" t="s">
        <v>29</v>
      </c>
      <c r="F48" s="2" t="s">
        <v>13</v>
      </c>
      <c r="G48">
        <v>99661</v>
      </c>
      <c r="H48" s="1">
        <v>45155</v>
      </c>
      <c r="I48">
        <v>20</v>
      </c>
      <c r="J48">
        <v>3</v>
      </c>
      <c r="K48">
        <v>9966</v>
      </c>
      <c r="L48">
        <v>4983</v>
      </c>
      <c r="M48">
        <v>104644</v>
      </c>
      <c r="N48">
        <v>4983</v>
      </c>
      <c r="O48">
        <v>114610</v>
      </c>
    </row>
    <row r="49" spans="1:15" x14ac:dyDescent="0.35">
      <c r="A49">
        <v>48</v>
      </c>
      <c r="B49" s="2" t="s">
        <v>10</v>
      </c>
      <c r="C49" s="2" t="s">
        <v>15</v>
      </c>
      <c r="D49">
        <v>56</v>
      </c>
      <c r="E49" s="2" t="s">
        <v>29</v>
      </c>
      <c r="F49" s="2" t="s">
        <v>13</v>
      </c>
      <c r="G49">
        <v>33506</v>
      </c>
      <c r="H49" s="1">
        <v>44986</v>
      </c>
      <c r="I49">
        <v>12</v>
      </c>
      <c r="J49">
        <v>3</v>
      </c>
      <c r="K49">
        <v>3351</v>
      </c>
      <c r="L49">
        <v>1675</v>
      </c>
      <c r="M49">
        <v>35182</v>
      </c>
      <c r="N49">
        <v>1675</v>
      </c>
      <c r="O49">
        <v>38532</v>
      </c>
    </row>
    <row r="50" spans="1:15" x14ac:dyDescent="0.35">
      <c r="A50">
        <v>49</v>
      </c>
      <c r="B50" s="2" t="s">
        <v>30</v>
      </c>
      <c r="C50" s="2" t="s">
        <v>15</v>
      </c>
      <c r="D50">
        <v>40</v>
      </c>
      <c r="E50" s="2" t="s">
        <v>29</v>
      </c>
      <c r="F50" s="2" t="s">
        <v>17</v>
      </c>
      <c r="G50">
        <v>41428</v>
      </c>
      <c r="H50" s="1">
        <v>45396</v>
      </c>
      <c r="I50">
        <v>19</v>
      </c>
      <c r="J50">
        <v>4</v>
      </c>
      <c r="K50">
        <v>4143</v>
      </c>
      <c r="L50">
        <v>2071</v>
      </c>
      <c r="M50">
        <v>43500</v>
      </c>
      <c r="N50">
        <v>2071</v>
      </c>
      <c r="O50">
        <v>47642</v>
      </c>
    </row>
    <row r="51" spans="1:15" x14ac:dyDescent="0.35">
      <c r="A51">
        <v>50</v>
      </c>
      <c r="B51" s="2" t="s">
        <v>30</v>
      </c>
      <c r="C51" s="2" t="s">
        <v>15</v>
      </c>
      <c r="D51">
        <v>53</v>
      </c>
      <c r="E51" s="2" t="s">
        <v>29</v>
      </c>
      <c r="F51" s="2" t="s">
        <v>17</v>
      </c>
      <c r="G51">
        <v>70257</v>
      </c>
      <c r="H51" s="1">
        <v>45212</v>
      </c>
      <c r="I51">
        <v>19</v>
      </c>
      <c r="J51">
        <v>1</v>
      </c>
      <c r="K51">
        <v>7026</v>
      </c>
      <c r="L51">
        <v>3513</v>
      </c>
      <c r="M51">
        <v>73770</v>
      </c>
      <c r="N51">
        <v>3513</v>
      </c>
      <c r="O51">
        <v>80796</v>
      </c>
    </row>
    <row r="52" spans="1:15" x14ac:dyDescent="0.35">
      <c r="A52">
        <v>51</v>
      </c>
      <c r="B52" s="2" t="s">
        <v>30</v>
      </c>
      <c r="C52" s="2" t="s">
        <v>11</v>
      </c>
      <c r="D52">
        <v>42</v>
      </c>
      <c r="E52" s="2" t="s">
        <v>12</v>
      </c>
      <c r="F52" s="2" t="s">
        <v>13</v>
      </c>
      <c r="G52">
        <v>57383</v>
      </c>
      <c r="H52" s="1">
        <v>45192</v>
      </c>
      <c r="I52">
        <v>18</v>
      </c>
      <c r="J52">
        <v>2</v>
      </c>
      <c r="K52">
        <v>5738</v>
      </c>
      <c r="L52">
        <v>2869</v>
      </c>
      <c r="M52">
        <v>60252</v>
      </c>
      <c r="N52">
        <v>2869</v>
      </c>
      <c r="O52">
        <v>65990</v>
      </c>
    </row>
    <row r="53" spans="1:15" x14ac:dyDescent="0.35">
      <c r="A53">
        <v>52</v>
      </c>
      <c r="B53" s="2" t="s">
        <v>23</v>
      </c>
      <c r="C53" s="2" t="s">
        <v>15</v>
      </c>
      <c r="D53">
        <v>47</v>
      </c>
      <c r="E53" s="2" t="s">
        <v>28</v>
      </c>
      <c r="F53" s="2" t="s">
        <v>25</v>
      </c>
      <c r="G53">
        <v>80543</v>
      </c>
      <c r="H53" s="1">
        <v>45230</v>
      </c>
      <c r="I53">
        <v>20</v>
      </c>
      <c r="J53">
        <v>2</v>
      </c>
      <c r="K53">
        <v>8054</v>
      </c>
      <c r="L53">
        <v>4027</v>
      </c>
      <c r="M53">
        <v>84570</v>
      </c>
      <c r="N53">
        <v>4027</v>
      </c>
      <c r="O53">
        <v>92624</v>
      </c>
    </row>
    <row r="54" spans="1:15" x14ac:dyDescent="0.35">
      <c r="A54">
        <v>53</v>
      </c>
      <c r="B54" s="2" t="s">
        <v>30</v>
      </c>
      <c r="C54" s="2" t="s">
        <v>11</v>
      </c>
      <c r="D54">
        <v>28</v>
      </c>
      <c r="E54" s="2" t="s">
        <v>12</v>
      </c>
      <c r="F54" s="2" t="s">
        <v>19</v>
      </c>
      <c r="G54">
        <v>78631</v>
      </c>
      <c r="H54" s="1">
        <v>45040</v>
      </c>
      <c r="I54">
        <v>17</v>
      </c>
      <c r="J54">
        <v>3</v>
      </c>
      <c r="K54">
        <v>7863</v>
      </c>
      <c r="L54">
        <v>3932</v>
      </c>
      <c r="M54">
        <v>82562</v>
      </c>
      <c r="N54">
        <v>3932</v>
      </c>
      <c r="O54">
        <v>90426</v>
      </c>
    </row>
    <row r="55" spans="1:15" x14ac:dyDescent="0.35">
      <c r="A55">
        <v>54</v>
      </c>
      <c r="B55" s="2" t="s">
        <v>20</v>
      </c>
      <c r="C55" s="2" t="s">
        <v>11</v>
      </c>
      <c r="D55">
        <v>35</v>
      </c>
      <c r="E55" s="2" t="s">
        <v>28</v>
      </c>
      <c r="F55" s="2" t="s">
        <v>21</v>
      </c>
      <c r="G55">
        <v>25787</v>
      </c>
      <c r="H55" s="1">
        <v>44787</v>
      </c>
      <c r="I55">
        <v>4</v>
      </c>
      <c r="J55">
        <v>1</v>
      </c>
      <c r="K55">
        <v>2579</v>
      </c>
      <c r="L55">
        <v>1289</v>
      </c>
      <c r="M55">
        <v>27077</v>
      </c>
      <c r="N55">
        <v>0</v>
      </c>
      <c r="O55">
        <v>28366</v>
      </c>
    </row>
    <row r="56" spans="1:15" x14ac:dyDescent="0.35">
      <c r="A56">
        <v>55</v>
      </c>
      <c r="B56" s="2" t="s">
        <v>20</v>
      </c>
      <c r="C56" s="2" t="s">
        <v>11</v>
      </c>
      <c r="D56">
        <v>51</v>
      </c>
      <c r="E56" s="2" t="s">
        <v>12</v>
      </c>
      <c r="F56" s="2" t="s">
        <v>21</v>
      </c>
      <c r="G56">
        <v>67733</v>
      </c>
      <c r="H56" s="1">
        <v>45053</v>
      </c>
      <c r="I56">
        <v>13</v>
      </c>
      <c r="J56">
        <v>4</v>
      </c>
      <c r="K56">
        <v>6773</v>
      </c>
      <c r="L56">
        <v>3387</v>
      </c>
      <c r="M56">
        <v>71119</v>
      </c>
      <c r="N56">
        <v>3387</v>
      </c>
      <c r="O56">
        <v>77893</v>
      </c>
    </row>
    <row r="57" spans="1:15" x14ac:dyDescent="0.35">
      <c r="A57">
        <v>56</v>
      </c>
      <c r="B57" s="2" t="s">
        <v>22</v>
      </c>
      <c r="C57" s="2" t="s">
        <v>15</v>
      </c>
      <c r="D57">
        <v>43</v>
      </c>
      <c r="E57" s="2" t="s">
        <v>29</v>
      </c>
      <c r="F57" s="2" t="s">
        <v>19</v>
      </c>
      <c r="G57">
        <v>91789</v>
      </c>
      <c r="H57" s="1">
        <v>45291</v>
      </c>
      <c r="I57">
        <v>15</v>
      </c>
      <c r="J57">
        <v>5</v>
      </c>
      <c r="K57">
        <v>9179</v>
      </c>
      <c r="L57">
        <v>4589</v>
      </c>
      <c r="M57">
        <v>96379</v>
      </c>
      <c r="N57">
        <v>4589</v>
      </c>
      <c r="O57">
        <v>105557</v>
      </c>
    </row>
    <row r="58" spans="1:15" x14ac:dyDescent="0.35">
      <c r="A58">
        <v>57</v>
      </c>
      <c r="B58" s="2" t="s">
        <v>20</v>
      </c>
      <c r="C58" s="2" t="s">
        <v>11</v>
      </c>
      <c r="D58">
        <v>34</v>
      </c>
      <c r="E58" s="2" t="s">
        <v>16</v>
      </c>
      <c r="F58" s="2" t="s">
        <v>19</v>
      </c>
      <c r="G58">
        <v>75705</v>
      </c>
      <c r="H58" s="1">
        <v>44713</v>
      </c>
      <c r="I58">
        <v>18</v>
      </c>
      <c r="J58">
        <v>2</v>
      </c>
      <c r="K58">
        <v>7570</v>
      </c>
      <c r="L58">
        <v>3785</v>
      </c>
      <c r="M58">
        <v>79490</v>
      </c>
      <c r="N58">
        <v>3785</v>
      </c>
      <c r="O58">
        <v>87060</v>
      </c>
    </row>
    <row r="59" spans="1:15" x14ac:dyDescent="0.35">
      <c r="A59">
        <v>58</v>
      </c>
      <c r="B59" s="2" t="s">
        <v>30</v>
      </c>
      <c r="C59" s="2" t="s">
        <v>11</v>
      </c>
      <c r="D59">
        <v>54</v>
      </c>
      <c r="E59" s="2" t="s">
        <v>29</v>
      </c>
      <c r="F59" s="2" t="s">
        <v>19</v>
      </c>
      <c r="G59">
        <v>48869</v>
      </c>
      <c r="H59" s="1">
        <v>45357</v>
      </c>
      <c r="I59">
        <v>3</v>
      </c>
      <c r="J59">
        <v>4</v>
      </c>
      <c r="K59">
        <v>4887</v>
      </c>
      <c r="L59">
        <v>2443</v>
      </c>
      <c r="M59">
        <v>51313</v>
      </c>
      <c r="N59">
        <v>0</v>
      </c>
      <c r="O59">
        <v>53756</v>
      </c>
    </row>
    <row r="60" spans="1:15" x14ac:dyDescent="0.35">
      <c r="A60">
        <v>59</v>
      </c>
      <c r="B60" s="2" t="s">
        <v>20</v>
      </c>
      <c r="C60" s="2" t="s">
        <v>15</v>
      </c>
      <c r="D60">
        <v>54</v>
      </c>
      <c r="E60" s="2" t="s">
        <v>24</v>
      </c>
      <c r="F60" s="2" t="s">
        <v>17</v>
      </c>
      <c r="G60">
        <v>53572</v>
      </c>
      <c r="H60" s="1">
        <v>44632</v>
      </c>
      <c r="I60">
        <v>6</v>
      </c>
      <c r="J60">
        <v>5</v>
      </c>
      <c r="K60">
        <v>5357</v>
      </c>
      <c r="L60">
        <v>2679</v>
      </c>
      <c r="M60">
        <v>56250</v>
      </c>
      <c r="N60">
        <v>2679</v>
      </c>
      <c r="O60">
        <v>61608</v>
      </c>
    </row>
    <row r="61" spans="1:15" x14ac:dyDescent="0.35">
      <c r="A61">
        <v>60</v>
      </c>
      <c r="B61" s="2" t="s">
        <v>31</v>
      </c>
      <c r="C61" s="2" t="s">
        <v>15</v>
      </c>
      <c r="D61">
        <v>47</v>
      </c>
      <c r="E61" s="2" t="s">
        <v>16</v>
      </c>
      <c r="F61" s="2" t="s">
        <v>21</v>
      </c>
      <c r="G61">
        <v>81225</v>
      </c>
      <c r="H61" s="1">
        <v>45251</v>
      </c>
      <c r="I61">
        <v>18</v>
      </c>
      <c r="J61">
        <v>1</v>
      </c>
      <c r="K61">
        <v>8122</v>
      </c>
      <c r="L61">
        <v>4061</v>
      </c>
      <c r="M61">
        <v>85286</v>
      </c>
      <c r="N61">
        <v>4061</v>
      </c>
      <c r="O61">
        <v>93408</v>
      </c>
    </row>
    <row r="62" spans="1:15" x14ac:dyDescent="0.35">
      <c r="A62">
        <v>61</v>
      </c>
      <c r="B62" s="2" t="s">
        <v>20</v>
      </c>
      <c r="C62" s="2" t="s">
        <v>11</v>
      </c>
      <c r="D62">
        <v>33</v>
      </c>
      <c r="E62" s="2" t="s">
        <v>24</v>
      </c>
      <c r="F62" s="2" t="s">
        <v>21</v>
      </c>
      <c r="G62">
        <v>53157</v>
      </c>
      <c r="H62" s="1">
        <v>44587</v>
      </c>
      <c r="I62">
        <v>9</v>
      </c>
      <c r="J62">
        <v>5</v>
      </c>
      <c r="K62">
        <v>5316</v>
      </c>
      <c r="L62">
        <v>2658</v>
      </c>
      <c r="M62">
        <v>55815</v>
      </c>
      <c r="N62">
        <v>2658</v>
      </c>
      <c r="O62">
        <v>61131</v>
      </c>
    </row>
    <row r="63" spans="1:15" x14ac:dyDescent="0.35">
      <c r="A63">
        <v>62</v>
      </c>
      <c r="B63" s="2" t="s">
        <v>26</v>
      </c>
      <c r="C63" s="2" t="s">
        <v>15</v>
      </c>
      <c r="D63">
        <v>40</v>
      </c>
      <c r="E63" s="2" t="s">
        <v>12</v>
      </c>
      <c r="F63" s="2" t="s">
        <v>21</v>
      </c>
      <c r="G63">
        <v>90753</v>
      </c>
      <c r="H63" s="1">
        <v>44732</v>
      </c>
      <c r="I63">
        <v>17</v>
      </c>
      <c r="J63">
        <v>4</v>
      </c>
      <c r="K63">
        <v>9075</v>
      </c>
      <c r="L63">
        <v>4538</v>
      </c>
      <c r="M63">
        <v>95290</v>
      </c>
      <c r="N63">
        <v>4538</v>
      </c>
      <c r="O63">
        <v>104366</v>
      </c>
    </row>
    <row r="64" spans="1:15" x14ac:dyDescent="0.35">
      <c r="A64">
        <v>63</v>
      </c>
      <c r="B64" s="2" t="s">
        <v>30</v>
      </c>
      <c r="C64" s="2" t="s">
        <v>11</v>
      </c>
      <c r="D64">
        <v>60</v>
      </c>
      <c r="E64" s="2" t="s">
        <v>12</v>
      </c>
      <c r="F64" s="2" t="s">
        <v>17</v>
      </c>
      <c r="G64">
        <v>27169</v>
      </c>
      <c r="H64" s="1">
        <v>44764</v>
      </c>
      <c r="I64">
        <v>9</v>
      </c>
      <c r="J64">
        <v>5</v>
      </c>
      <c r="K64">
        <v>2717</v>
      </c>
      <c r="L64">
        <v>1358</v>
      </c>
      <c r="M64">
        <v>28528</v>
      </c>
      <c r="N64">
        <v>1358</v>
      </c>
      <c r="O64">
        <v>31244</v>
      </c>
    </row>
    <row r="65" spans="1:15" x14ac:dyDescent="0.35">
      <c r="A65">
        <v>64</v>
      </c>
      <c r="B65" s="2" t="s">
        <v>27</v>
      </c>
      <c r="C65" s="2" t="s">
        <v>11</v>
      </c>
      <c r="D65">
        <v>55</v>
      </c>
      <c r="E65" s="2" t="s">
        <v>16</v>
      </c>
      <c r="F65" s="2" t="s">
        <v>25</v>
      </c>
      <c r="G65">
        <v>43815</v>
      </c>
      <c r="H65" s="1">
        <v>45090</v>
      </c>
      <c r="I65">
        <v>19</v>
      </c>
      <c r="J65">
        <v>1</v>
      </c>
      <c r="K65">
        <v>4382</v>
      </c>
      <c r="L65">
        <v>2191</v>
      </c>
      <c r="M65">
        <v>46006</v>
      </c>
      <c r="N65">
        <v>2191</v>
      </c>
      <c r="O65">
        <v>50388</v>
      </c>
    </row>
    <row r="66" spans="1:15" x14ac:dyDescent="0.35">
      <c r="A66">
        <v>65</v>
      </c>
      <c r="B66" s="2" t="s">
        <v>27</v>
      </c>
      <c r="C66" s="2" t="s">
        <v>11</v>
      </c>
      <c r="D66">
        <v>57</v>
      </c>
      <c r="E66" s="2" t="s">
        <v>24</v>
      </c>
      <c r="F66" s="2" t="s">
        <v>19</v>
      </c>
      <c r="G66">
        <v>60366</v>
      </c>
      <c r="H66" s="1">
        <v>44984</v>
      </c>
      <c r="I66">
        <v>18</v>
      </c>
      <c r="J66">
        <v>5</v>
      </c>
      <c r="K66">
        <v>6037</v>
      </c>
      <c r="L66">
        <v>3018</v>
      </c>
      <c r="M66">
        <v>63385</v>
      </c>
      <c r="N66">
        <v>3018</v>
      </c>
      <c r="O66">
        <v>69421</v>
      </c>
    </row>
    <row r="67" spans="1:15" x14ac:dyDescent="0.35">
      <c r="A67">
        <v>66</v>
      </c>
      <c r="B67" s="2" t="s">
        <v>31</v>
      </c>
      <c r="C67" s="2" t="s">
        <v>11</v>
      </c>
      <c r="D67">
        <v>49</v>
      </c>
      <c r="E67" s="2" t="s">
        <v>29</v>
      </c>
      <c r="F67" s="2" t="s">
        <v>25</v>
      </c>
      <c r="G67">
        <v>24342</v>
      </c>
      <c r="H67" s="1">
        <v>44695</v>
      </c>
      <c r="I67">
        <v>18</v>
      </c>
      <c r="J67">
        <v>2</v>
      </c>
      <c r="K67">
        <v>2434</v>
      </c>
      <c r="L67">
        <v>1217</v>
      </c>
      <c r="M67">
        <v>25559</v>
      </c>
      <c r="N67">
        <v>1217</v>
      </c>
      <c r="O67">
        <v>27993</v>
      </c>
    </row>
    <row r="68" spans="1:15" x14ac:dyDescent="0.35">
      <c r="A68">
        <v>67</v>
      </c>
      <c r="B68" s="2" t="s">
        <v>22</v>
      </c>
      <c r="C68" s="2" t="s">
        <v>15</v>
      </c>
      <c r="D68">
        <v>41</v>
      </c>
      <c r="E68" s="2" t="s">
        <v>24</v>
      </c>
      <c r="F68" s="2" t="s">
        <v>21</v>
      </c>
      <c r="G68">
        <v>36297</v>
      </c>
      <c r="H68" s="1">
        <v>45342</v>
      </c>
      <c r="I68">
        <v>16</v>
      </c>
      <c r="J68">
        <v>1</v>
      </c>
      <c r="K68">
        <v>3630</v>
      </c>
      <c r="L68">
        <v>1815</v>
      </c>
      <c r="M68">
        <v>38112</v>
      </c>
      <c r="N68">
        <v>1815</v>
      </c>
      <c r="O68">
        <v>41742</v>
      </c>
    </row>
    <row r="69" spans="1:15" x14ac:dyDescent="0.35">
      <c r="A69">
        <v>68</v>
      </c>
      <c r="B69" s="2" t="s">
        <v>10</v>
      </c>
      <c r="C69" s="2" t="s">
        <v>15</v>
      </c>
      <c r="D69">
        <v>57</v>
      </c>
      <c r="E69" s="2" t="s">
        <v>16</v>
      </c>
      <c r="F69" s="2" t="s">
        <v>17</v>
      </c>
      <c r="G69">
        <v>48221</v>
      </c>
      <c r="H69" s="1">
        <v>45084</v>
      </c>
      <c r="I69">
        <v>7</v>
      </c>
      <c r="J69">
        <v>4</v>
      </c>
      <c r="K69">
        <v>4822</v>
      </c>
      <c r="L69">
        <v>2411</v>
      </c>
      <c r="M69">
        <v>50632</v>
      </c>
      <c r="N69">
        <v>2411</v>
      </c>
      <c r="O69">
        <v>55454</v>
      </c>
    </row>
    <row r="70" spans="1:15" x14ac:dyDescent="0.35">
      <c r="A70">
        <v>69</v>
      </c>
      <c r="B70" s="2" t="s">
        <v>23</v>
      </c>
      <c r="C70" s="2" t="s">
        <v>11</v>
      </c>
      <c r="D70">
        <v>44</v>
      </c>
      <c r="E70" s="2" t="s">
        <v>16</v>
      </c>
      <c r="F70" s="2" t="s">
        <v>17</v>
      </c>
      <c r="G70">
        <v>35639</v>
      </c>
      <c r="H70" s="1">
        <v>45412</v>
      </c>
      <c r="I70">
        <v>14</v>
      </c>
      <c r="J70">
        <v>3</v>
      </c>
      <c r="K70">
        <v>3564</v>
      </c>
      <c r="L70">
        <v>1782</v>
      </c>
      <c r="M70">
        <v>37421</v>
      </c>
      <c r="N70">
        <v>1782</v>
      </c>
      <c r="O70">
        <v>40985</v>
      </c>
    </row>
    <row r="71" spans="1:15" x14ac:dyDescent="0.35">
      <c r="A71">
        <v>70</v>
      </c>
      <c r="B71" s="2" t="s">
        <v>31</v>
      </c>
      <c r="C71" s="2" t="s">
        <v>11</v>
      </c>
      <c r="D71">
        <v>59</v>
      </c>
      <c r="E71" s="2" t="s">
        <v>24</v>
      </c>
      <c r="F71" s="2" t="s">
        <v>25</v>
      </c>
      <c r="G71">
        <v>70038</v>
      </c>
      <c r="H71" s="1">
        <v>45216</v>
      </c>
      <c r="I71">
        <v>14</v>
      </c>
      <c r="J71">
        <v>2</v>
      </c>
      <c r="K71">
        <v>7004</v>
      </c>
      <c r="L71">
        <v>3502</v>
      </c>
      <c r="M71">
        <v>73540</v>
      </c>
      <c r="N71">
        <v>3502</v>
      </c>
      <c r="O71">
        <v>80544</v>
      </c>
    </row>
    <row r="72" spans="1:15" x14ac:dyDescent="0.35">
      <c r="A72">
        <v>71</v>
      </c>
      <c r="B72" s="2" t="s">
        <v>26</v>
      </c>
      <c r="C72" s="2" t="s">
        <v>15</v>
      </c>
      <c r="D72">
        <v>23</v>
      </c>
      <c r="E72" s="2" t="s">
        <v>24</v>
      </c>
      <c r="F72" s="2" t="s">
        <v>25</v>
      </c>
      <c r="G72">
        <v>27460</v>
      </c>
      <c r="H72" s="1">
        <v>45126</v>
      </c>
      <c r="I72">
        <v>16</v>
      </c>
      <c r="J72">
        <v>3</v>
      </c>
      <c r="K72">
        <v>2746</v>
      </c>
      <c r="L72">
        <v>1373</v>
      </c>
      <c r="M72">
        <v>28833</v>
      </c>
      <c r="N72">
        <v>1373</v>
      </c>
      <c r="O72">
        <v>31579</v>
      </c>
    </row>
    <row r="73" spans="1:15" x14ac:dyDescent="0.35">
      <c r="A73">
        <v>72</v>
      </c>
      <c r="B73" s="2" t="s">
        <v>20</v>
      </c>
      <c r="C73" s="2" t="s">
        <v>15</v>
      </c>
      <c r="D73">
        <v>41</v>
      </c>
      <c r="E73" s="2" t="s">
        <v>12</v>
      </c>
      <c r="F73" s="2" t="s">
        <v>21</v>
      </c>
      <c r="G73">
        <v>24011</v>
      </c>
      <c r="H73" s="1">
        <v>44869</v>
      </c>
      <c r="I73">
        <v>19</v>
      </c>
      <c r="J73">
        <v>2</v>
      </c>
      <c r="K73">
        <v>2401</v>
      </c>
      <c r="L73">
        <v>1201</v>
      </c>
      <c r="M73">
        <v>25211</v>
      </c>
      <c r="N73">
        <v>1201</v>
      </c>
      <c r="O73">
        <v>27613</v>
      </c>
    </row>
    <row r="74" spans="1:15" x14ac:dyDescent="0.35">
      <c r="A74">
        <v>73</v>
      </c>
      <c r="B74" s="2" t="s">
        <v>26</v>
      </c>
      <c r="C74" s="2" t="s">
        <v>15</v>
      </c>
      <c r="D74">
        <v>44</v>
      </c>
      <c r="E74" s="2" t="s">
        <v>24</v>
      </c>
      <c r="F74" s="2" t="s">
        <v>19</v>
      </c>
      <c r="G74">
        <v>67601</v>
      </c>
      <c r="H74" s="1">
        <v>44803</v>
      </c>
      <c r="I74">
        <v>6</v>
      </c>
      <c r="J74">
        <v>4</v>
      </c>
      <c r="K74">
        <v>6760</v>
      </c>
      <c r="L74">
        <v>3380</v>
      </c>
      <c r="M74">
        <v>70981</v>
      </c>
      <c r="N74">
        <v>3380</v>
      </c>
      <c r="O74">
        <v>77741</v>
      </c>
    </row>
    <row r="75" spans="1:15" x14ac:dyDescent="0.35">
      <c r="A75">
        <v>74</v>
      </c>
      <c r="B75" s="2" t="s">
        <v>23</v>
      </c>
      <c r="C75" s="2" t="s">
        <v>15</v>
      </c>
      <c r="D75">
        <v>47</v>
      </c>
      <c r="E75" s="2" t="s">
        <v>24</v>
      </c>
      <c r="F75" s="2" t="s">
        <v>21</v>
      </c>
      <c r="G75">
        <v>46886</v>
      </c>
      <c r="H75" s="1">
        <v>45148</v>
      </c>
      <c r="I75">
        <v>16</v>
      </c>
      <c r="J75">
        <v>1</v>
      </c>
      <c r="K75">
        <v>4689</v>
      </c>
      <c r="L75">
        <v>2344</v>
      </c>
      <c r="M75">
        <v>49231</v>
      </c>
      <c r="N75">
        <v>2344</v>
      </c>
      <c r="O75">
        <v>53919</v>
      </c>
    </row>
    <row r="76" spans="1:15" x14ac:dyDescent="0.35">
      <c r="A76">
        <v>75</v>
      </c>
      <c r="B76" s="2" t="s">
        <v>23</v>
      </c>
      <c r="C76" s="2" t="s">
        <v>11</v>
      </c>
      <c r="D76">
        <v>46</v>
      </c>
      <c r="E76" s="2" t="s">
        <v>12</v>
      </c>
      <c r="F76" s="2" t="s">
        <v>19</v>
      </c>
      <c r="G76">
        <v>77394</v>
      </c>
      <c r="H76" s="1">
        <v>45141</v>
      </c>
      <c r="I76">
        <v>6</v>
      </c>
      <c r="J76">
        <v>3</v>
      </c>
      <c r="K76">
        <v>7739</v>
      </c>
      <c r="L76">
        <v>3870</v>
      </c>
      <c r="M76">
        <v>81263</v>
      </c>
      <c r="N76">
        <v>3870</v>
      </c>
      <c r="O76">
        <v>89003</v>
      </c>
    </row>
    <row r="77" spans="1:15" x14ac:dyDescent="0.35">
      <c r="A77">
        <v>76</v>
      </c>
      <c r="B77" s="2" t="s">
        <v>18</v>
      </c>
      <c r="C77" s="2" t="s">
        <v>11</v>
      </c>
      <c r="D77">
        <v>59</v>
      </c>
      <c r="E77" s="2" t="s">
        <v>12</v>
      </c>
      <c r="F77" s="2" t="s">
        <v>25</v>
      </c>
      <c r="G77">
        <v>40540</v>
      </c>
      <c r="H77" s="1">
        <v>44649</v>
      </c>
      <c r="I77">
        <v>20</v>
      </c>
      <c r="J77">
        <v>1</v>
      </c>
      <c r="K77">
        <v>4054</v>
      </c>
      <c r="L77">
        <v>2027</v>
      </c>
      <c r="M77">
        <v>42567</v>
      </c>
      <c r="N77">
        <v>2027</v>
      </c>
      <c r="O77">
        <v>46621</v>
      </c>
    </row>
    <row r="78" spans="1:15" x14ac:dyDescent="0.35">
      <c r="A78">
        <v>77</v>
      </c>
      <c r="B78" s="2" t="s">
        <v>26</v>
      </c>
      <c r="C78" s="2" t="s">
        <v>11</v>
      </c>
      <c r="D78">
        <v>44</v>
      </c>
      <c r="E78" s="2" t="s">
        <v>24</v>
      </c>
      <c r="F78" s="2" t="s">
        <v>25</v>
      </c>
      <c r="G78">
        <v>45206</v>
      </c>
      <c r="H78" s="1">
        <v>45316</v>
      </c>
      <c r="I78">
        <v>1</v>
      </c>
      <c r="J78">
        <v>4</v>
      </c>
      <c r="K78">
        <v>4521</v>
      </c>
      <c r="L78">
        <v>2260</v>
      </c>
      <c r="M78">
        <v>47467</v>
      </c>
      <c r="N78">
        <v>0</v>
      </c>
      <c r="O78">
        <v>49727</v>
      </c>
    </row>
    <row r="79" spans="1:15" x14ac:dyDescent="0.35">
      <c r="A79">
        <v>78</v>
      </c>
      <c r="B79" s="2" t="s">
        <v>26</v>
      </c>
      <c r="C79" s="2" t="s">
        <v>11</v>
      </c>
      <c r="D79">
        <v>29</v>
      </c>
      <c r="E79" s="2" t="s">
        <v>28</v>
      </c>
      <c r="F79" s="2" t="s">
        <v>17</v>
      </c>
      <c r="G79">
        <v>25478</v>
      </c>
      <c r="H79" s="1">
        <v>45319</v>
      </c>
      <c r="I79">
        <v>1</v>
      </c>
      <c r="J79">
        <v>4</v>
      </c>
      <c r="K79">
        <v>2548</v>
      </c>
      <c r="L79">
        <v>1274</v>
      </c>
      <c r="M79">
        <v>26752</v>
      </c>
      <c r="N79">
        <v>0</v>
      </c>
      <c r="O79">
        <v>28026</v>
      </c>
    </row>
    <row r="80" spans="1:15" x14ac:dyDescent="0.35">
      <c r="A80">
        <v>79</v>
      </c>
      <c r="B80" s="2" t="s">
        <v>10</v>
      </c>
      <c r="C80" s="2" t="s">
        <v>15</v>
      </c>
      <c r="D80">
        <v>32</v>
      </c>
      <c r="E80" s="2" t="s">
        <v>12</v>
      </c>
      <c r="F80" s="2" t="s">
        <v>21</v>
      </c>
      <c r="G80">
        <v>50637</v>
      </c>
      <c r="H80" s="1">
        <v>45419</v>
      </c>
      <c r="I80">
        <v>7</v>
      </c>
      <c r="J80">
        <v>1</v>
      </c>
      <c r="K80">
        <v>5064</v>
      </c>
      <c r="L80">
        <v>2532</v>
      </c>
      <c r="M80">
        <v>53169</v>
      </c>
      <c r="N80">
        <v>2532</v>
      </c>
      <c r="O80">
        <v>58233</v>
      </c>
    </row>
    <row r="81" spans="1:15" x14ac:dyDescent="0.35">
      <c r="A81">
        <v>80</v>
      </c>
      <c r="B81" s="2" t="s">
        <v>27</v>
      </c>
      <c r="C81" s="2" t="s">
        <v>15</v>
      </c>
      <c r="D81">
        <v>60</v>
      </c>
      <c r="E81" s="2" t="s">
        <v>29</v>
      </c>
      <c r="F81" s="2" t="s">
        <v>25</v>
      </c>
      <c r="G81">
        <v>92618</v>
      </c>
      <c r="H81" s="1">
        <v>45012</v>
      </c>
      <c r="I81">
        <v>12</v>
      </c>
      <c r="J81">
        <v>4</v>
      </c>
      <c r="K81">
        <v>9262</v>
      </c>
      <c r="L81">
        <v>4631</v>
      </c>
      <c r="M81">
        <v>97249</v>
      </c>
      <c r="N81">
        <v>4631</v>
      </c>
      <c r="O81">
        <v>106511</v>
      </c>
    </row>
    <row r="82" spans="1:15" x14ac:dyDescent="0.35">
      <c r="A82">
        <v>81</v>
      </c>
      <c r="B82" s="2" t="s">
        <v>31</v>
      </c>
      <c r="C82" s="2" t="s">
        <v>15</v>
      </c>
      <c r="D82">
        <v>26</v>
      </c>
      <c r="E82" s="2" t="s">
        <v>28</v>
      </c>
      <c r="F82" s="2" t="s">
        <v>25</v>
      </c>
      <c r="G82">
        <v>78936</v>
      </c>
      <c r="H82" s="1">
        <v>44598</v>
      </c>
      <c r="I82">
        <v>14</v>
      </c>
      <c r="J82">
        <v>5</v>
      </c>
      <c r="K82">
        <v>7894</v>
      </c>
      <c r="L82">
        <v>3947</v>
      </c>
      <c r="M82">
        <v>82883</v>
      </c>
      <c r="N82">
        <v>3947</v>
      </c>
      <c r="O82">
        <v>90777</v>
      </c>
    </row>
    <row r="83" spans="1:15" x14ac:dyDescent="0.35">
      <c r="A83">
        <v>82</v>
      </c>
      <c r="B83" s="2" t="s">
        <v>27</v>
      </c>
      <c r="C83" s="2" t="s">
        <v>15</v>
      </c>
      <c r="D83">
        <v>25</v>
      </c>
      <c r="E83" s="2" t="s">
        <v>12</v>
      </c>
      <c r="F83" s="2" t="s">
        <v>19</v>
      </c>
      <c r="G83">
        <v>73314</v>
      </c>
      <c r="H83" s="1">
        <v>45023</v>
      </c>
      <c r="I83">
        <v>20</v>
      </c>
      <c r="J83">
        <v>5</v>
      </c>
      <c r="K83">
        <v>7331</v>
      </c>
      <c r="L83">
        <v>3666</v>
      </c>
      <c r="M83">
        <v>76979</v>
      </c>
      <c r="N83">
        <v>3666</v>
      </c>
      <c r="O83">
        <v>84311</v>
      </c>
    </row>
    <row r="84" spans="1:15" x14ac:dyDescent="0.35">
      <c r="A84">
        <v>83</v>
      </c>
      <c r="B84" s="2" t="s">
        <v>20</v>
      </c>
      <c r="C84" s="2" t="s">
        <v>15</v>
      </c>
      <c r="D84">
        <v>27</v>
      </c>
      <c r="E84" s="2" t="s">
        <v>24</v>
      </c>
      <c r="F84" s="2" t="s">
        <v>17</v>
      </c>
      <c r="G84">
        <v>35799</v>
      </c>
      <c r="H84" s="1">
        <v>44998</v>
      </c>
      <c r="I84">
        <v>9</v>
      </c>
      <c r="J84">
        <v>2</v>
      </c>
      <c r="K84">
        <v>3580</v>
      </c>
      <c r="L84">
        <v>1790</v>
      </c>
      <c r="M84">
        <v>37589</v>
      </c>
      <c r="N84">
        <v>1790</v>
      </c>
      <c r="O84">
        <v>41169</v>
      </c>
    </row>
    <row r="85" spans="1:15" x14ac:dyDescent="0.35">
      <c r="A85">
        <v>84</v>
      </c>
      <c r="B85" s="2" t="s">
        <v>27</v>
      </c>
      <c r="C85" s="2" t="s">
        <v>11</v>
      </c>
      <c r="D85">
        <v>37</v>
      </c>
      <c r="E85" s="2" t="s">
        <v>28</v>
      </c>
      <c r="F85" s="2" t="s">
        <v>21</v>
      </c>
      <c r="G85">
        <v>23329</v>
      </c>
      <c r="H85" s="1">
        <v>45142</v>
      </c>
      <c r="I85">
        <v>2</v>
      </c>
      <c r="J85">
        <v>2</v>
      </c>
      <c r="K85">
        <v>2333</v>
      </c>
      <c r="L85">
        <v>1166</v>
      </c>
      <c r="M85">
        <v>24496</v>
      </c>
      <c r="N85">
        <v>0</v>
      </c>
      <c r="O85">
        <v>25662</v>
      </c>
    </row>
    <row r="86" spans="1:15" x14ac:dyDescent="0.35">
      <c r="A86">
        <v>85</v>
      </c>
      <c r="B86" s="2" t="s">
        <v>27</v>
      </c>
      <c r="C86" s="2" t="s">
        <v>15</v>
      </c>
      <c r="D86">
        <v>53</v>
      </c>
      <c r="E86" s="2" t="s">
        <v>12</v>
      </c>
      <c r="F86" s="2" t="s">
        <v>17</v>
      </c>
      <c r="G86">
        <v>84446</v>
      </c>
      <c r="H86" s="1">
        <v>45127</v>
      </c>
      <c r="I86">
        <v>14</v>
      </c>
      <c r="J86">
        <v>4</v>
      </c>
      <c r="K86">
        <v>8445</v>
      </c>
      <c r="L86">
        <v>4222</v>
      </c>
      <c r="M86">
        <v>88669</v>
      </c>
      <c r="N86">
        <v>4222</v>
      </c>
      <c r="O86">
        <v>97113</v>
      </c>
    </row>
    <row r="87" spans="1:15" x14ac:dyDescent="0.35">
      <c r="A87">
        <v>86</v>
      </c>
      <c r="B87" s="2" t="s">
        <v>10</v>
      </c>
      <c r="C87" s="2" t="s">
        <v>11</v>
      </c>
      <c r="D87">
        <v>52</v>
      </c>
      <c r="E87" s="2" t="s">
        <v>16</v>
      </c>
      <c r="F87" s="2" t="s">
        <v>17</v>
      </c>
      <c r="G87">
        <v>86876</v>
      </c>
      <c r="H87" s="1">
        <v>44630</v>
      </c>
      <c r="I87">
        <v>17</v>
      </c>
      <c r="J87">
        <v>5</v>
      </c>
      <c r="K87">
        <v>8688</v>
      </c>
      <c r="L87">
        <v>4344</v>
      </c>
      <c r="M87">
        <v>91220</v>
      </c>
      <c r="N87">
        <v>4344</v>
      </c>
      <c r="O87">
        <v>99908</v>
      </c>
    </row>
    <row r="88" spans="1:15" x14ac:dyDescent="0.35">
      <c r="A88">
        <v>87</v>
      </c>
      <c r="B88" s="2" t="s">
        <v>18</v>
      </c>
      <c r="C88" s="2" t="s">
        <v>11</v>
      </c>
      <c r="D88">
        <v>44</v>
      </c>
      <c r="E88" s="2" t="s">
        <v>12</v>
      </c>
      <c r="F88" s="2" t="s">
        <v>17</v>
      </c>
      <c r="G88">
        <v>40441</v>
      </c>
      <c r="H88" s="1">
        <v>44567</v>
      </c>
      <c r="I88">
        <v>10</v>
      </c>
      <c r="J88">
        <v>2</v>
      </c>
      <c r="K88">
        <v>4044</v>
      </c>
      <c r="L88">
        <v>2022</v>
      </c>
      <c r="M88">
        <v>42463</v>
      </c>
      <c r="N88">
        <v>2022</v>
      </c>
      <c r="O88">
        <v>46507</v>
      </c>
    </row>
    <row r="89" spans="1:15" x14ac:dyDescent="0.35">
      <c r="A89">
        <v>88</v>
      </c>
      <c r="B89" s="2" t="s">
        <v>18</v>
      </c>
      <c r="C89" s="2" t="s">
        <v>11</v>
      </c>
      <c r="D89">
        <v>48</v>
      </c>
      <c r="E89" s="2" t="s">
        <v>28</v>
      </c>
      <c r="F89" s="2" t="s">
        <v>21</v>
      </c>
      <c r="G89">
        <v>27813</v>
      </c>
      <c r="H89" s="1">
        <v>44795</v>
      </c>
      <c r="I89">
        <v>3</v>
      </c>
      <c r="J89">
        <v>1</v>
      </c>
      <c r="K89">
        <v>2781</v>
      </c>
      <c r="L89">
        <v>1391</v>
      </c>
      <c r="M89">
        <v>29203</v>
      </c>
      <c r="N89">
        <v>0</v>
      </c>
      <c r="O89">
        <v>30594</v>
      </c>
    </row>
    <row r="90" spans="1:15" x14ac:dyDescent="0.35">
      <c r="A90">
        <v>89</v>
      </c>
      <c r="B90" s="2" t="s">
        <v>27</v>
      </c>
      <c r="C90" s="2" t="s">
        <v>11</v>
      </c>
      <c r="D90">
        <v>25</v>
      </c>
      <c r="E90" s="2" t="s">
        <v>16</v>
      </c>
      <c r="F90" s="2" t="s">
        <v>19</v>
      </c>
      <c r="G90">
        <v>22035</v>
      </c>
      <c r="H90" s="1">
        <v>45186</v>
      </c>
      <c r="I90">
        <v>13</v>
      </c>
      <c r="J90">
        <v>1</v>
      </c>
      <c r="K90">
        <v>2204</v>
      </c>
      <c r="L90">
        <v>1102</v>
      </c>
      <c r="M90">
        <v>23137</v>
      </c>
      <c r="N90">
        <v>1102</v>
      </c>
      <c r="O90">
        <v>25341</v>
      </c>
    </row>
    <row r="91" spans="1:15" x14ac:dyDescent="0.35">
      <c r="A91">
        <v>90</v>
      </c>
      <c r="B91" s="2" t="s">
        <v>31</v>
      </c>
      <c r="C91" s="2" t="s">
        <v>15</v>
      </c>
      <c r="D91">
        <v>46</v>
      </c>
      <c r="E91" s="2" t="s">
        <v>24</v>
      </c>
      <c r="F91" s="2" t="s">
        <v>19</v>
      </c>
      <c r="G91">
        <v>21287</v>
      </c>
      <c r="H91" s="1">
        <v>45227</v>
      </c>
      <c r="I91">
        <v>6</v>
      </c>
      <c r="J91">
        <v>2</v>
      </c>
      <c r="K91">
        <v>2129</v>
      </c>
      <c r="L91">
        <v>1064</v>
      </c>
      <c r="M91">
        <v>22352</v>
      </c>
      <c r="N91">
        <v>1064</v>
      </c>
      <c r="O91">
        <v>24480</v>
      </c>
    </row>
    <row r="92" spans="1:15" x14ac:dyDescent="0.35">
      <c r="A92">
        <v>91</v>
      </c>
      <c r="B92" s="2" t="s">
        <v>10</v>
      </c>
      <c r="C92" s="2" t="s">
        <v>15</v>
      </c>
      <c r="D92">
        <v>43</v>
      </c>
      <c r="E92" s="2" t="s">
        <v>24</v>
      </c>
      <c r="F92" s="2" t="s">
        <v>17</v>
      </c>
      <c r="G92">
        <v>81255</v>
      </c>
      <c r="H92" s="1">
        <v>44997</v>
      </c>
      <c r="I92">
        <v>3</v>
      </c>
      <c r="J92">
        <v>3</v>
      </c>
      <c r="K92">
        <v>8126</v>
      </c>
      <c r="L92">
        <v>4063</v>
      </c>
      <c r="M92">
        <v>85318</v>
      </c>
      <c r="N92">
        <v>0</v>
      </c>
      <c r="O92">
        <v>89381</v>
      </c>
    </row>
    <row r="93" spans="1:15" x14ac:dyDescent="0.35">
      <c r="A93">
        <v>92</v>
      </c>
      <c r="B93" s="2" t="s">
        <v>26</v>
      </c>
      <c r="C93" s="2" t="s">
        <v>15</v>
      </c>
      <c r="D93">
        <v>34</v>
      </c>
      <c r="E93" s="2" t="s">
        <v>28</v>
      </c>
      <c r="F93" s="2" t="s">
        <v>21</v>
      </c>
      <c r="G93">
        <v>49475</v>
      </c>
      <c r="H93" s="1">
        <v>45302</v>
      </c>
      <c r="I93">
        <v>2</v>
      </c>
      <c r="J93">
        <v>1</v>
      </c>
      <c r="K93">
        <v>4948</v>
      </c>
      <c r="L93">
        <v>2474</v>
      </c>
      <c r="M93">
        <v>51949</v>
      </c>
      <c r="N93">
        <v>0</v>
      </c>
      <c r="O93">
        <v>54423</v>
      </c>
    </row>
    <row r="94" spans="1:15" x14ac:dyDescent="0.35">
      <c r="A94">
        <v>93</v>
      </c>
      <c r="B94" s="2" t="s">
        <v>27</v>
      </c>
      <c r="C94" s="2" t="s">
        <v>11</v>
      </c>
      <c r="D94">
        <v>34</v>
      </c>
      <c r="E94" s="2" t="s">
        <v>12</v>
      </c>
      <c r="F94" s="2" t="s">
        <v>21</v>
      </c>
      <c r="G94">
        <v>95256</v>
      </c>
      <c r="H94" s="1">
        <v>44736</v>
      </c>
      <c r="I94">
        <v>14</v>
      </c>
      <c r="J94">
        <v>5</v>
      </c>
      <c r="K94">
        <v>9526</v>
      </c>
      <c r="L94">
        <v>4763</v>
      </c>
      <c r="M94">
        <v>100019</v>
      </c>
      <c r="N94">
        <v>4763</v>
      </c>
      <c r="O94">
        <v>109545</v>
      </c>
    </row>
    <row r="95" spans="1:15" x14ac:dyDescent="0.35">
      <c r="A95">
        <v>94</v>
      </c>
      <c r="B95" s="2" t="s">
        <v>26</v>
      </c>
      <c r="C95" s="2" t="s">
        <v>15</v>
      </c>
      <c r="D95">
        <v>58</v>
      </c>
      <c r="E95" s="2" t="s">
        <v>29</v>
      </c>
      <c r="F95" s="2" t="s">
        <v>21</v>
      </c>
      <c r="G95">
        <v>23180</v>
      </c>
      <c r="H95" s="1">
        <v>45272</v>
      </c>
      <c r="I95">
        <v>18</v>
      </c>
      <c r="J95">
        <v>3</v>
      </c>
      <c r="K95">
        <v>2318</v>
      </c>
      <c r="L95">
        <v>1159</v>
      </c>
      <c r="M95">
        <v>24339</v>
      </c>
      <c r="N95">
        <v>1159</v>
      </c>
      <c r="O95">
        <v>26657</v>
      </c>
    </row>
    <row r="96" spans="1:15" x14ac:dyDescent="0.35">
      <c r="A96">
        <v>95</v>
      </c>
      <c r="B96" s="2" t="s">
        <v>26</v>
      </c>
      <c r="C96" s="2" t="s">
        <v>11</v>
      </c>
      <c r="D96">
        <v>27</v>
      </c>
      <c r="E96" s="2" t="s">
        <v>12</v>
      </c>
      <c r="F96" s="2" t="s">
        <v>19</v>
      </c>
      <c r="G96">
        <v>70731</v>
      </c>
      <c r="H96" s="1">
        <v>44904</v>
      </c>
      <c r="I96">
        <v>17</v>
      </c>
      <c r="J96">
        <v>2</v>
      </c>
      <c r="K96">
        <v>7073</v>
      </c>
      <c r="L96">
        <v>3537</v>
      </c>
      <c r="M96">
        <v>74267</v>
      </c>
      <c r="N96">
        <v>3537</v>
      </c>
      <c r="O96">
        <v>81341</v>
      </c>
    </row>
    <row r="97" spans="1:15" x14ac:dyDescent="0.35">
      <c r="A97">
        <v>96</v>
      </c>
      <c r="B97" s="2" t="s">
        <v>27</v>
      </c>
      <c r="C97" s="2" t="s">
        <v>15</v>
      </c>
      <c r="D97">
        <v>49</v>
      </c>
      <c r="E97" s="2" t="s">
        <v>29</v>
      </c>
      <c r="F97" s="2" t="s">
        <v>17</v>
      </c>
      <c r="G97">
        <v>47146</v>
      </c>
      <c r="H97" s="1">
        <v>45372</v>
      </c>
      <c r="I97">
        <v>13</v>
      </c>
      <c r="J97">
        <v>2</v>
      </c>
      <c r="K97">
        <v>4715</v>
      </c>
      <c r="L97">
        <v>2357</v>
      </c>
      <c r="M97">
        <v>49504</v>
      </c>
      <c r="N97">
        <v>2357</v>
      </c>
      <c r="O97">
        <v>54218</v>
      </c>
    </row>
    <row r="98" spans="1:15" x14ac:dyDescent="0.35">
      <c r="A98">
        <v>97</v>
      </c>
      <c r="B98" s="2" t="s">
        <v>31</v>
      </c>
      <c r="C98" s="2" t="s">
        <v>11</v>
      </c>
      <c r="D98">
        <v>56</v>
      </c>
      <c r="E98" s="2" t="s">
        <v>28</v>
      </c>
      <c r="F98" s="2" t="s">
        <v>19</v>
      </c>
      <c r="G98">
        <v>23261</v>
      </c>
      <c r="H98" s="1">
        <v>44827</v>
      </c>
      <c r="I98">
        <v>10</v>
      </c>
      <c r="J98">
        <v>1</v>
      </c>
      <c r="K98">
        <v>2326</v>
      </c>
      <c r="L98">
        <v>1163</v>
      </c>
      <c r="M98">
        <v>24424</v>
      </c>
      <c r="N98">
        <v>1163</v>
      </c>
      <c r="O98">
        <v>26750</v>
      </c>
    </row>
    <row r="99" spans="1:15" x14ac:dyDescent="0.35">
      <c r="A99">
        <v>98</v>
      </c>
      <c r="B99" s="2" t="s">
        <v>30</v>
      </c>
      <c r="C99" s="2" t="s">
        <v>11</v>
      </c>
      <c r="D99">
        <v>35</v>
      </c>
      <c r="E99" s="2" t="s">
        <v>12</v>
      </c>
      <c r="F99" s="2" t="s">
        <v>13</v>
      </c>
      <c r="G99">
        <v>79202</v>
      </c>
      <c r="H99" s="1">
        <v>45087</v>
      </c>
      <c r="I99">
        <v>4</v>
      </c>
      <c r="J99">
        <v>2</v>
      </c>
      <c r="K99">
        <v>7920</v>
      </c>
      <c r="L99">
        <v>3960</v>
      </c>
      <c r="M99">
        <v>83162</v>
      </c>
      <c r="N99">
        <v>0</v>
      </c>
      <c r="O99">
        <v>87122</v>
      </c>
    </row>
    <row r="100" spans="1:15" x14ac:dyDescent="0.35">
      <c r="A100">
        <v>99</v>
      </c>
      <c r="B100" s="2" t="s">
        <v>14</v>
      </c>
      <c r="C100" s="2" t="s">
        <v>15</v>
      </c>
      <c r="D100">
        <v>35</v>
      </c>
      <c r="E100" s="2" t="s">
        <v>12</v>
      </c>
      <c r="F100" s="2" t="s">
        <v>13</v>
      </c>
      <c r="G100">
        <v>57985</v>
      </c>
      <c r="H100" s="1">
        <v>44925</v>
      </c>
      <c r="I100">
        <v>13</v>
      </c>
      <c r="J100">
        <v>1</v>
      </c>
      <c r="K100">
        <v>5798</v>
      </c>
      <c r="L100">
        <v>2899</v>
      </c>
      <c r="M100">
        <v>60884</v>
      </c>
      <c r="N100">
        <v>2899</v>
      </c>
      <c r="O100">
        <v>66682</v>
      </c>
    </row>
    <row r="101" spans="1:15" x14ac:dyDescent="0.35">
      <c r="A101">
        <v>100</v>
      </c>
      <c r="B101" s="2" t="s">
        <v>10</v>
      </c>
      <c r="C101" s="2" t="s">
        <v>11</v>
      </c>
      <c r="D101">
        <v>60</v>
      </c>
      <c r="E101" s="2" t="s">
        <v>12</v>
      </c>
      <c r="F101" s="2" t="s">
        <v>21</v>
      </c>
      <c r="G101">
        <v>35147</v>
      </c>
      <c r="H101" s="1">
        <v>44896</v>
      </c>
      <c r="I101">
        <v>16</v>
      </c>
      <c r="J101">
        <v>5</v>
      </c>
      <c r="K101">
        <v>3515</v>
      </c>
      <c r="L101">
        <v>1757</v>
      </c>
      <c r="M101">
        <v>36905</v>
      </c>
      <c r="N101">
        <v>1757</v>
      </c>
      <c r="O101">
        <v>40419</v>
      </c>
    </row>
    <row r="102" spans="1:15" x14ac:dyDescent="0.35">
      <c r="A102">
        <v>101</v>
      </c>
      <c r="B102" s="2" t="s">
        <v>18</v>
      </c>
      <c r="C102" s="2" t="s">
        <v>15</v>
      </c>
      <c r="D102">
        <v>27</v>
      </c>
      <c r="E102" s="2" t="s">
        <v>16</v>
      </c>
      <c r="F102" s="2" t="s">
        <v>13</v>
      </c>
      <c r="G102">
        <v>76911</v>
      </c>
      <c r="H102" s="1">
        <v>45392</v>
      </c>
      <c r="I102">
        <v>4</v>
      </c>
      <c r="J102">
        <v>1</v>
      </c>
      <c r="K102">
        <v>7691</v>
      </c>
      <c r="L102">
        <v>3846</v>
      </c>
      <c r="M102">
        <v>80756</v>
      </c>
      <c r="N102">
        <v>0</v>
      </c>
      <c r="O102">
        <v>84602</v>
      </c>
    </row>
    <row r="103" spans="1:15" x14ac:dyDescent="0.35">
      <c r="A103">
        <v>102</v>
      </c>
      <c r="B103" s="2" t="s">
        <v>10</v>
      </c>
      <c r="C103" s="2" t="s">
        <v>15</v>
      </c>
      <c r="D103">
        <v>28</v>
      </c>
      <c r="E103" s="2" t="s">
        <v>28</v>
      </c>
      <c r="F103" s="2" t="s">
        <v>25</v>
      </c>
      <c r="G103">
        <v>32096</v>
      </c>
      <c r="H103" s="1">
        <v>44954</v>
      </c>
      <c r="I103">
        <v>18</v>
      </c>
      <c r="J103">
        <v>1</v>
      </c>
      <c r="K103">
        <v>3210</v>
      </c>
      <c r="L103">
        <v>1605</v>
      </c>
      <c r="M103">
        <v>33701</v>
      </c>
      <c r="N103">
        <v>1605</v>
      </c>
      <c r="O103">
        <v>36911</v>
      </c>
    </row>
    <row r="104" spans="1:15" x14ac:dyDescent="0.35">
      <c r="A104">
        <v>103</v>
      </c>
      <c r="B104" s="2" t="s">
        <v>14</v>
      </c>
      <c r="C104" s="2" t="s">
        <v>15</v>
      </c>
      <c r="D104">
        <v>36</v>
      </c>
      <c r="E104" s="2" t="s">
        <v>29</v>
      </c>
      <c r="F104" s="2" t="s">
        <v>13</v>
      </c>
      <c r="G104">
        <v>39958</v>
      </c>
      <c r="H104" s="1">
        <v>45162</v>
      </c>
      <c r="I104">
        <v>11</v>
      </c>
      <c r="J104">
        <v>4</v>
      </c>
      <c r="K104">
        <v>3996</v>
      </c>
      <c r="L104">
        <v>1998</v>
      </c>
      <c r="M104">
        <v>41956</v>
      </c>
      <c r="N104">
        <v>1998</v>
      </c>
      <c r="O104">
        <v>45952</v>
      </c>
    </row>
    <row r="105" spans="1:15" x14ac:dyDescent="0.35">
      <c r="A105">
        <v>104</v>
      </c>
      <c r="B105" s="2" t="s">
        <v>10</v>
      </c>
      <c r="C105" s="2" t="s">
        <v>15</v>
      </c>
      <c r="D105">
        <v>60</v>
      </c>
      <c r="E105" s="2" t="s">
        <v>24</v>
      </c>
      <c r="F105" s="2" t="s">
        <v>19</v>
      </c>
      <c r="G105">
        <v>74860</v>
      </c>
      <c r="H105" s="1">
        <v>45001</v>
      </c>
      <c r="I105">
        <v>4</v>
      </c>
      <c r="J105">
        <v>4</v>
      </c>
      <c r="K105">
        <v>7486</v>
      </c>
      <c r="L105">
        <v>3743</v>
      </c>
      <c r="M105">
        <v>78603</v>
      </c>
      <c r="N105">
        <v>0</v>
      </c>
      <c r="O105">
        <v>82346</v>
      </c>
    </row>
    <row r="106" spans="1:15" x14ac:dyDescent="0.35">
      <c r="A106">
        <v>105</v>
      </c>
      <c r="B106" s="2" t="s">
        <v>20</v>
      </c>
      <c r="C106" s="2" t="s">
        <v>15</v>
      </c>
      <c r="D106">
        <v>44</v>
      </c>
      <c r="E106" s="2" t="s">
        <v>29</v>
      </c>
      <c r="F106" s="2" t="s">
        <v>13</v>
      </c>
      <c r="G106">
        <v>90439</v>
      </c>
      <c r="H106" s="1">
        <v>44830</v>
      </c>
      <c r="I106">
        <v>17</v>
      </c>
      <c r="J106">
        <v>3</v>
      </c>
      <c r="K106">
        <v>9044</v>
      </c>
      <c r="L106">
        <v>4522</v>
      </c>
      <c r="M106">
        <v>94961</v>
      </c>
      <c r="N106">
        <v>4522</v>
      </c>
      <c r="O106">
        <v>104005</v>
      </c>
    </row>
    <row r="107" spans="1:15" x14ac:dyDescent="0.35">
      <c r="A107">
        <v>106</v>
      </c>
      <c r="B107" s="2" t="s">
        <v>14</v>
      </c>
      <c r="C107" s="2" t="s">
        <v>11</v>
      </c>
      <c r="D107">
        <v>56</v>
      </c>
      <c r="E107" s="2" t="s">
        <v>29</v>
      </c>
      <c r="F107" s="2" t="s">
        <v>17</v>
      </c>
      <c r="G107">
        <v>56738</v>
      </c>
      <c r="H107" s="1">
        <v>44991</v>
      </c>
      <c r="I107">
        <v>3</v>
      </c>
      <c r="J107">
        <v>1</v>
      </c>
      <c r="K107">
        <v>5674</v>
      </c>
      <c r="L107">
        <v>2837</v>
      </c>
      <c r="M107">
        <v>59575</v>
      </c>
      <c r="N107">
        <v>0</v>
      </c>
      <c r="O107">
        <v>62412</v>
      </c>
    </row>
    <row r="108" spans="1:15" x14ac:dyDescent="0.35">
      <c r="A108">
        <v>107</v>
      </c>
      <c r="B108" s="2" t="s">
        <v>30</v>
      </c>
      <c r="C108" s="2" t="s">
        <v>15</v>
      </c>
      <c r="D108">
        <v>30</v>
      </c>
      <c r="E108" s="2" t="s">
        <v>29</v>
      </c>
      <c r="F108" s="2" t="s">
        <v>13</v>
      </c>
      <c r="G108">
        <v>56658</v>
      </c>
      <c r="H108" s="1">
        <v>45128</v>
      </c>
      <c r="I108">
        <v>13</v>
      </c>
      <c r="J108">
        <v>4</v>
      </c>
      <c r="K108">
        <v>5666</v>
      </c>
      <c r="L108">
        <v>2833</v>
      </c>
      <c r="M108">
        <v>59491</v>
      </c>
      <c r="N108">
        <v>2833</v>
      </c>
      <c r="O108">
        <v>65157</v>
      </c>
    </row>
    <row r="109" spans="1:15" x14ac:dyDescent="0.35">
      <c r="A109">
        <v>108</v>
      </c>
      <c r="B109" s="2" t="s">
        <v>23</v>
      </c>
      <c r="C109" s="2" t="s">
        <v>15</v>
      </c>
      <c r="D109">
        <v>34</v>
      </c>
      <c r="E109" s="2" t="s">
        <v>24</v>
      </c>
      <c r="F109" s="2" t="s">
        <v>19</v>
      </c>
      <c r="G109">
        <v>86273</v>
      </c>
      <c r="H109" s="1">
        <v>44890</v>
      </c>
      <c r="I109">
        <v>8</v>
      </c>
      <c r="J109">
        <v>3</v>
      </c>
      <c r="K109">
        <v>8627</v>
      </c>
      <c r="L109">
        <v>4314</v>
      </c>
      <c r="M109">
        <v>90586</v>
      </c>
      <c r="N109">
        <v>4314</v>
      </c>
      <c r="O109">
        <v>99214</v>
      </c>
    </row>
    <row r="110" spans="1:15" x14ac:dyDescent="0.35">
      <c r="A110">
        <v>109</v>
      </c>
      <c r="B110" s="2" t="s">
        <v>10</v>
      </c>
      <c r="C110" s="2" t="s">
        <v>15</v>
      </c>
      <c r="D110">
        <v>31</v>
      </c>
      <c r="E110" s="2" t="s">
        <v>12</v>
      </c>
      <c r="F110" s="2" t="s">
        <v>21</v>
      </c>
      <c r="G110">
        <v>27499</v>
      </c>
      <c r="H110" s="1">
        <v>45167</v>
      </c>
      <c r="I110">
        <v>13</v>
      </c>
      <c r="J110">
        <v>1</v>
      </c>
      <c r="K110">
        <v>2750</v>
      </c>
      <c r="L110">
        <v>1375</v>
      </c>
      <c r="M110">
        <v>28874</v>
      </c>
      <c r="N110">
        <v>1375</v>
      </c>
      <c r="O110">
        <v>31624</v>
      </c>
    </row>
    <row r="111" spans="1:15" x14ac:dyDescent="0.35">
      <c r="A111">
        <v>110</v>
      </c>
      <c r="B111" s="2" t="s">
        <v>10</v>
      </c>
      <c r="C111" s="2" t="s">
        <v>11</v>
      </c>
      <c r="D111">
        <v>27</v>
      </c>
      <c r="E111" s="2" t="s">
        <v>29</v>
      </c>
      <c r="F111" s="2" t="s">
        <v>17</v>
      </c>
      <c r="G111">
        <v>36252</v>
      </c>
      <c r="H111" s="1">
        <v>45030</v>
      </c>
      <c r="I111">
        <v>1</v>
      </c>
      <c r="J111">
        <v>2</v>
      </c>
      <c r="K111">
        <v>3625</v>
      </c>
      <c r="L111">
        <v>1813</v>
      </c>
      <c r="M111">
        <v>38064</v>
      </c>
      <c r="N111">
        <v>0</v>
      </c>
      <c r="O111">
        <v>39877</v>
      </c>
    </row>
    <row r="112" spans="1:15" x14ac:dyDescent="0.35">
      <c r="A112">
        <v>111</v>
      </c>
      <c r="B112" s="2" t="s">
        <v>14</v>
      </c>
      <c r="C112" s="2" t="s">
        <v>15</v>
      </c>
      <c r="D112">
        <v>26</v>
      </c>
      <c r="E112" s="2" t="s">
        <v>24</v>
      </c>
      <c r="F112" s="2" t="s">
        <v>17</v>
      </c>
      <c r="G112">
        <v>82014</v>
      </c>
      <c r="H112" s="1">
        <v>45211</v>
      </c>
      <c r="I112">
        <v>18</v>
      </c>
      <c r="J112">
        <v>2</v>
      </c>
      <c r="K112">
        <v>8201</v>
      </c>
      <c r="L112">
        <v>4101</v>
      </c>
      <c r="M112">
        <v>86114</v>
      </c>
      <c r="N112">
        <v>4101</v>
      </c>
      <c r="O112">
        <v>94316</v>
      </c>
    </row>
    <row r="113" spans="1:15" x14ac:dyDescent="0.35">
      <c r="A113">
        <v>112</v>
      </c>
      <c r="B113" s="2" t="s">
        <v>10</v>
      </c>
      <c r="C113" s="2" t="s">
        <v>15</v>
      </c>
      <c r="D113">
        <v>59</v>
      </c>
      <c r="E113" s="2" t="s">
        <v>24</v>
      </c>
      <c r="F113" s="2" t="s">
        <v>25</v>
      </c>
      <c r="G113">
        <v>59048</v>
      </c>
      <c r="H113" s="1">
        <v>45335</v>
      </c>
      <c r="I113">
        <v>2</v>
      </c>
      <c r="J113">
        <v>4</v>
      </c>
      <c r="K113">
        <v>5905</v>
      </c>
      <c r="L113">
        <v>2952</v>
      </c>
      <c r="M113">
        <v>62001</v>
      </c>
      <c r="N113">
        <v>0</v>
      </c>
      <c r="O113">
        <v>64953</v>
      </c>
    </row>
    <row r="114" spans="1:15" x14ac:dyDescent="0.35">
      <c r="A114">
        <v>113</v>
      </c>
      <c r="B114" s="2" t="s">
        <v>30</v>
      </c>
      <c r="C114" s="2" t="s">
        <v>15</v>
      </c>
      <c r="D114">
        <v>22</v>
      </c>
      <c r="E114" s="2" t="s">
        <v>28</v>
      </c>
      <c r="F114" s="2" t="s">
        <v>13</v>
      </c>
      <c r="G114">
        <v>41360</v>
      </c>
      <c r="H114" s="1">
        <v>44627</v>
      </c>
      <c r="I114">
        <v>5</v>
      </c>
      <c r="J114">
        <v>2</v>
      </c>
      <c r="K114">
        <v>4136</v>
      </c>
      <c r="L114">
        <v>2068</v>
      </c>
      <c r="M114">
        <v>43428</v>
      </c>
      <c r="N114">
        <v>0</v>
      </c>
      <c r="O114">
        <v>45496</v>
      </c>
    </row>
    <row r="115" spans="1:15" x14ac:dyDescent="0.35">
      <c r="A115">
        <v>114</v>
      </c>
      <c r="B115" s="2" t="s">
        <v>18</v>
      </c>
      <c r="C115" s="2" t="s">
        <v>15</v>
      </c>
      <c r="D115">
        <v>48</v>
      </c>
      <c r="E115" s="2" t="s">
        <v>28</v>
      </c>
      <c r="F115" s="2" t="s">
        <v>25</v>
      </c>
      <c r="G115">
        <v>85137</v>
      </c>
      <c r="H115" s="1">
        <v>44616</v>
      </c>
      <c r="I115">
        <v>8</v>
      </c>
      <c r="J115">
        <v>2</v>
      </c>
      <c r="K115">
        <v>8514</v>
      </c>
      <c r="L115">
        <v>4257</v>
      </c>
      <c r="M115">
        <v>89394</v>
      </c>
      <c r="N115">
        <v>4257</v>
      </c>
      <c r="O115">
        <v>97908</v>
      </c>
    </row>
    <row r="116" spans="1:15" x14ac:dyDescent="0.35">
      <c r="A116">
        <v>115</v>
      </c>
      <c r="B116" s="2" t="s">
        <v>22</v>
      </c>
      <c r="C116" s="2" t="s">
        <v>15</v>
      </c>
      <c r="D116">
        <v>39</v>
      </c>
      <c r="E116" s="2" t="s">
        <v>28</v>
      </c>
      <c r="F116" s="2" t="s">
        <v>21</v>
      </c>
      <c r="G116">
        <v>58351</v>
      </c>
      <c r="H116" s="1">
        <v>45470</v>
      </c>
      <c r="I116">
        <v>18</v>
      </c>
      <c r="J116">
        <v>4</v>
      </c>
      <c r="K116">
        <v>5835</v>
      </c>
      <c r="L116">
        <v>2918</v>
      </c>
      <c r="M116">
        <v>61268</v>
      </c>
      <c r="N116">
        <v>2918</v>
      </c>
      <c r="O116">
        <v>67104</v>
      </c>
    </row>
    <row r="117" spans="1:15" x14ac:dyDescent="0.35">
      <c r="A117">
        <v>116</v>
      </c>
      <c r="B117" s="2" t="s">
        <v>27</v>
      </c>
      <c r="C117" s="2" t="s">
        <v>15</v>
      </c>
      <c r="D117">
        <v>38</v>
      </c>
      <c r="E117" s="2" t="s">
        <v>12</v>
      </c>
      <c r="F117" s="2" t="s">
        <v>13</v>
      </c>
      <c r="G117">
        <v>20592</v>
      </c>
      <c r="H117" s="1">
        <v>44833</v>
      </c>
      <c r="I117">
        <v>18</v>
      </c>
      <c r="J117">
        <v>1</v>
      </c>
      <c r="K117">
        <v>2059</v>
      </c>
      <c r="L117">
        <v>1030</v>
      </c>
      <c r="M117">
        <v>21621</v>
      </c>
      <c r="N117">
        <v>1030</v>
      </c>
      <c r="O117">
        <v>23681</v>
      </c>
    </row>
    <row r="118" spans="1:15" x14ac:dyDescent="0.35">
      <c r="A118">
        <v>117</v>
      </c>
      <c r="B118" s="2" t="s">
        <v>30</v>
      </c>
      <c r="C118" s="2" t="s">
        <v>11</v>
      </c>
      <c r="D118">
        <v>53</v>
      </c>
      <c r="E118" s="2" t="s">
        <v>12</v>
      </c>
      <c r="F118" s="2" t="s">
        <v>19</v>
      </c>
      <c r="G118">
        <v>76316</v>
      </c>
      <c r="H118" s="1">
        <v>45348</v>
      </c>
      <c r="I118">
        <v>12</v>
      </c>
      <c r="J118">
        <v>5</v>
      </c>
      <c r="K118">
        <v>7632</v>
      </c>
      <c r="L118">
        <v>3816</v>
      </c>
      <c r="M118">
        <v>80132</v>
      </c>
      <c r="N118">
        <v>3816</v>
      </c>
      <c r="O118">
        <v>87764</v>
      </c>
    </row>
    <row r="119" spans="1:15" x14ac:dyDescent="0.35">
      <c r="A119">
        <v>118</v>
      </c>
      <c r="B119" s="2" t="s">
        <v>18</v>
      </c>
      <c r="C119" s="2" t="s">
        <v>11</v>
      </c>
      <c r="D119">
        <v>42</v>
      </c>
      <c r="E119" s="2" t="s">
        <v>29</v>
      </c>
      <c r="F119" s="2" t="s">
        <v>17</v>
      </c>
      <c r="G119">
        <v>78065</v>
      </c>
      <c r="H119" s="1">
        <v>44761</v>
      </c>
      <c r="I119">
        <v>2</v>
      </c>
      <c r="J119">
        <v>5</v>
      </c>
      <c r="K119">
        <v>7806</v>
      </c>
      <c r="L119">
        <v>3903</v>
      </c>
      <c r="M119">
        <v>81968</v>
      </c>
      <c r="N119">
        <v>0</v>
      </c>
      <c r="O119">
        <v>85871</v>
      </c>
    </row>
    <row r="120" spans="1:15" x14ac:dyDescent="0.35">
      <c r="A120">
        <v>119</v>
      </c>
      <c r="B120" s="2" t="s">
        <v>27</v>
      </c>
      <c r="C120" s="2" t="s">
        <v>15</v>
      </c>
      <c r="D120">
        <v>22</v>
      </c>
      <c r="E120" s="2" t="s">
        <v>28</v>
      </c>
      <c r="F120" s="2" t="s">
        <v>25</v>
      </c>
      <c r="G120">
        <v>30581</v>
      </c>
      <c r="H120" s="1">
        <v>44934</v>
      </c>
      <c r="I120">
        <v>14</v>
      </c>
      <c r="J120">
        <v>2</v>
      </c>
      <c r="K120">
        <v>3058</v>
      </c>
      <c r="L120">
        <v>1529</v>
      </c>
      <c r="M120">
        <v>32110</v>
      </c>
      <c r="N120">
        <v>1529</v>
      </c>
      <c r="O120">
        <v>35168</v>
      </c>
    </row>
    <row r="121" spans="1:15" x14ac:dyDescent="0.35">
      <c r="A121">
        <v>120</v>
      </c>
      <c r="B121" s="2" t="s">
        <v>30</v>
      </c>
      <c r="C121" s="2" t="s">
        <v>11</v>
      </c>
      <c r="D121">
        <v>51</v>
      </c>
      <c r="E121" s="2" t="s">
        <v>29</v>
      </c>
      <c r="F121" s="2" t="s">
        <v>25</v>
      </c>
      <c r="G121">
        <v>92396</v>
      </c>
      <c r="H121" s="1">
        <v>45479</v>
      </c>
      <c r="I121">
        <v>2</v>
      </c>
      <c r="J121">
        <v>4</v>
      </c>
      <c r="K121">
        <v>9240</v>
      </c>
      <c r="L121">
        <v>4620</v>
      </c>
      <c r="M121">
        <v>97016</v>
      </c>
      <c r="N121">
        <v>0</v>
      </c>
      <c r="O121">
        <v>101636</v>
      </c>
    </row>
    <row r="122" spans="1:15" x14ac:dyDescent="0.35">
      <c r="A122">
        <v>121</v>
      </c>
      <c r="B122" s="2" t="s">
        <v>30</v>
      </c>
      <c r="C122" s="2" t="s">
        <v>15</v>
      </c>
      <c r="D122">
        <v>31</v>
      </c>
      <c r="E122" s="2" t="s">
        <v>24</v>
      </c>
      <c r="F122" s="2" t="s">
        <v>19</v>
      </c>
      <c r="G122">
        <v>98347</v>
      </c>
      <c r="H122" s="1">
        <v>45034</v>
      </c>
      <c r="I122">
        <v>8</v>
      </c>
      <c r="J122">
        <v>5</v>
      </c>
      <c r="K122">
        <v>9835</v>
      </c>
      <c r="L122">
        <v>4917</v>
      </c>
      <c r="M122">
        <v>103265</v>
      </c>
      <c r="N122">
        <v>4917</v>
      </c>
      <c r="O122">
        <v>113099</v>
      </c>
    </row>
    <row r="123" spans="1:15" x14ac:dyDescent="0.35">
      <c r="A123">
        <v>122</v>
      </c>
      <c r="B123" s="2" t="s">
        <v>27</v>
      </c>
      <c r="C123" s="2" t="s">
        <v>11</v>
      </c>
      <c r="D123">
        <v>57</v>
      </c>
      <c r="E123" s="2" t="s">
        <v>24</v>
      </c>
      <c r="F123" s="2" t="s">
        <v>17</v>
      </c>
      <c r="G123">
        <v>53883</v>
      </c>
      <c r="H123" s="1">
        <v>45170</v>
      </c>
      <c r="I123">
        <v>17</v>
      </c>
      <c r="J123">
        <v>3</v>
      </c>
      <c r="K123">
        <v>5388</v>
      </c>
      <c r="L123">
        <v>2694</v>
      </c>
      <c r="M123">
        <v>56577</v>
      </c>
      <c r="N123">
        <v>2694</v>
      </c>
      <c r="O123">
        <v>61965</v>
      </c>
    </row>
    <row r="124" spans="1:15" x14ac:dyDescent="0.35">
      <c r="A124">
        <v>123</v>
      </c>
      <c r="B124" s="2" t="s">
        <v>26</v>
      </c>
      <c r="C124" s="2" t="s">
        <v>11</v>
      </c>
      <c r="D124">
        <v>57</v>
      </c>
      <c r="E124" s="2" t="s">
        <v>12</v>
      </c>
      <c r="F124" s="2" t="s">
        <v>25</v>
      </c>
      <c r="G124">
        <v>52260</v>
      </c>
      <c r="H124" s="1">
        <v>45276</v>
      </c>
      <c r="I124">
        <v>4</v>
      </c>
      <c r="J124">
        <v>1</v>
      </c>
      <c r="K124">
        <v>5226</v>
      </c>
      <c r="L124">
        <v>2613</v>
      </c>
      <c r="M124">
        <v>54873</v>
      </c>
      <c r="N124">
        <v>0</v>
      </c>
      <c r="O124">
        <v>57486</v>
      </c>
    </row>
    <row r="125" spans="1:15" x14ac:dyDescent="0.35">
      <c r="A125">
        <v>124</v>
      </c>
      <c r="B125" s="2" t="s">
        <v>30</v>
      </c>
      <c r="C125" s="2" t="s">
        <v>11</v>
      </c>
      <c r="D125">
        <v>52</v>
      </c>
      <c r="E125" s="2" t="s">
        <v>16</v>
      </c>
      <c r="F125" s="2" t="s">
        <v>21</v>
      </c>
      <c r="G125">
        <v>49464</v>
      </c>
      <c r="H125" s="1">
        <v>45076</v>
      </c>
      <c r="I125">
        <v>15</v>
      </c>
      <c r="J125">
        <v>5</v>
      </c>
      <c r="K125">
        <v>4946</v>
      </c>
      <c r="L125">
        <v>2473</v>
      </c>
      <c r="M125">
        <v>51937</v>
      </c>
      <c r="N125">
        <v>2473</v>
      </c>
      <c r="O125">
        <v>56883</v>
      </c>
    </row>
    <row r="126" spans="1:15" x14ac:dyDescent="0.35">
      <c r="A126">
        <v>125</v>
      </c>
      <c r="B126" s="2" t="s">
        <v>20</v>
      </c>
      <c r="C126" s="2" t="s">
        <v>15</v>
      </c>
      <c r="D126">
        <v>35</v>
      </c>
      <c r="E126" s="2" t="s">
        <v>29</v>
      </c>
      <c r="F126" s="2" t="s">
        <v>17</v>
      </c>
      <c r="G126">
        <v>92514</v>
      </c>
      <c r="H126" s="1">
        <v>45407</v>
      </c>
      <c r="I126">
        <v>4</v>
      </c>
      <c r="J126">
        <v>1</v>
      </c>
      <c r="K126">
        <v>9251</v>
      </c>
      <c r="L126">
        <v>4626</v>
      </c>
      <c r="M126">
        <v>97139</v>
      </c>
      <c r="N126">
        <v>0</v>
      </c>
      <c r="O126">
        <v>101765</v>
      </c>
    </row>
    <row r="127" spans="1:15" x14ac:dyDescent="0.35">
      <c r="A127">
        <v>126</v>
      </c>
      <c r="B127" s="2" t="s">
        <v>30</v>
      </c>
      <c r="C127" s="2" t="s">
        <v>11</v>
      </c>
      <c r="D127">
        <v>40</v>
      </c>
      <c r="E127" s="2" t="s">
        <v>12</v>
      </c>
      <c r="F127" s="2" t="s">
        <v>17</v>
      </c>
      <c r="G127">
        <v>75156</v>
      </c>
      <c r="H127" s="1">
        <v>45367</v>
      </c>
      <c r="I127">
        <v>12</v>
      </c>
      <c r="J127">
        <v>5</v>
      </c>
      <c r="K127">
        <v>7516</v>
      </c>
      <c r="L127">
        <v>3758</v>
      </c>
      <c r="M127">
        <v>78914</v>
      </c>
      <c r="N127">
        <v>3758</v>
      </c>
      <c r="O127">
        <v>86430</v>
      </c>
    </row>
    <row r="128" spans="1:15" x14ac:dyDescent="0.35">
      <c r="A128">
        <v>127</v>
      </c>
      <c r="B128" s="2" t="s">
        <v>20</v>
      </c>
      <c r="C128" s="2" t="s">
        <v>15</v>
      </c>
      <c r="D128">
        <v>40</v>
      </c>
      <c r="E128" s="2" t="s">
        <v>16</v>
      </c>
      <c r="F128" s="2" t="s">
        <v>25</v>
      </c>
      <c r="G128">
        <v>24523</v>
      </c>
      <c r="H128" s="1">
        <v>45431</v>
      </c>
      <c r="I128">
        <v>16</v>
      </c>
      <c r="J128">
        <v>1</v>
      </c>
      <c r="K128">
        <v>2452</v>
      </c>
      <c r="L128">
        <v>1226</v>
      </c>
      <c r="M128">
        <v>25749</v>
      </c>
      <c r="N128">
        <v>1226</v>
      </c>
      <c r="O128">
        <v>28201</v>
      </c>
    </row>
    <row r="129" spans="1:15" x14ac:dyDescent="0.35">
      <c r="A129">
        <v>128</v>
      </c>
      <c r="B129" s="2" t="s">
        <v>26</v>
      </c>
      <c r="C129" s="2" t="s">
        <v>15</v>
      </c>
      <c r="D129">
        <v>29</v>
      </c>
      <c r="E129" s="2" t="s">
        <v>16</v>
      </c>
      <c r="F129" s="2" t="s">
        <v>17</v>
      </c>
      <c r="G129">
        <v>58868</v>
      </c>
      <c r="H129" s="1">
        <v>45228</v>
      </c>
      <c r="I129">
        <v>17</v>
      </c>
      <c r="J129">
        <v>5</v>
      </c>
      <c r="K129">
        <v>5887</v>
      </c>
      <c r="L129">
        <v>2943</v>
      </c>
      <c r="M129">
        <v>61812</v>
      </c>
      <c r="N129">
        <v>2943</v>
      </c>
      <c r="O129">
        <v>67698</v>
      </c>
    </row>
    <row r="130" spans="1:15" x14ac:dyDescent="0.35">
      <c r="A130">
        <v>129</v>
      </c>
      <c r="B130" s="2" t="s">
        <v>30</v>
      </c>
      <c r="C130" s="2" t="s">
        <v>15</v>
      </c>
      <c r="D130">
        <v>39</v>
      </c>
      <c r="E130" s="2" t="s">
        <v>12</v>
      </c>
      <c r="F130" s="2" t="s">
        <v>19</v>
      </c>
      <c r="G130">
        <v>23647</v>
      </c>
      <c r="H130" s="1">
        <v>45089</v>
      </c>
      <c r="I130">
        <v>1</v>
      </c>
      <c r="J130">
        <v>5</v>
      </c>
      <c r="K130">
        <v>2365</v>
      </c>
      <c r="L130">
        <v>1182</v>
      </c>
      <c r="M130">
        <v>24830</v>
      </c>
      <c r="N130">
        <v>0</v>
      </c>
      <c r="O130">
        <v>26012</v>
      </c>
    </row>
    <row r="131" spans="1:15" x14ac:dyDescent="0.35">
      <c r="A131">
        <v>130</v>
      </c>
      <c r="B131" s="2" t="s">
        <v>26</v>
      </c>
      <c r="C131" s="2" t="s">
        <v>11</v>
      </c>
      <c r="D131">
        <v>36</v>
      </c>
      <c r="E131" s="2" t="s">
        <v>29</v>
      </c>
      <c r="F131" s="2" t="s">
        <v>19</v>
      </c>
      <c r="G131">
        <v>48071</v>
      </c>
      <c r="H131" s="1">
        <v>45039</v>
      </c>
      <c r="I131">
        <v>6</v>
      </c>
      <c r="J131">
        <v>2</v>
      </c>
      <c r="K131">
        <v>4807</v>
      </c>
      <c r="L131">
        <v>2404</v>
      </c>
      <c r="M131">
        <v>50474</v>
      </c>
      <c r="N131">
        <v>2404</v>
      </c>
      <c r="O131">
        <v>55282</v>
      </c>
    </row>
    <row r="132" spans="1:15" x14ac:dyDescent="0.35">
      <c r="A132">
        <v>131</v>
      </c>
      <c r="B132" s="2" t="s">
        <v>10</v>
      </c>
      <c r="C132" s="2" t="s">
        <v>11</v>
      </c>
      <c r="D132">
        <v>56</v>
      </c>
      <c r="E132" s="2" t="s">
        <v>29</v>
      </c>
      <c r="F132" s="2" t="s">
        <v>17</v>
      </c>
      <c r="G132">
        <v>38983</v>
      </c>
      <c r="H132" s="1">
        <v>44876</v>
      </c>
      <c r="I132">
        <v>10</v>
      </c>
      <c r="J132">
        <v>5</v>
      </c>
      <c r="K132">
        <v>3898</v>
      </c>
      <c r="L132">
        <v>1949</v>
      </c>
      <c r="M132">
        <v>40932</v>
      </c>
      <c r="N132">
        <v>1949</v>
      </c>
      <c r="O132">
        <v>44830</v>
      </c>
    </row>
    <row r="133" spans="1:15" x14ac:dyDescent="0.35">
      <c r="A133">
        <v>132</v>
      </c>
      <c r="B133" s="2" t="s">
        <v>30</v>
      </c>
      <c r="C133" s="2" t="s">
        <v>15</v>
      </c>
      <c r="D133">
        <v>49</v>
      </c>
      <c r="E133" s="2" t="s">
        <v>28</v>
      </c>
      <c r="F133" s="2" t="s">
        <v>19</v>
      </c>
      <c r="G133">
        <v>48324</v>
      </c>
      <c r="H133" s="1">
        <v>44984</v>
      </c>
      <c r="I133">
        <v>16</v>
      </c>
      <c r="J133">
        <v>3</v>
      </c>
      <c r="K133">
        <v>4832</v>
      </c>
      <c r="L133">
        <v>2416</v>
      </c>
      <c r="M133">
        <v>50740</v>
      </c>
      <c r="N133">
        <v>2416</v>
      </c>
      <c r="O133">
        <v>55572</v>
      </c>
    </row>
    <row r="134" spans="1:15" x14ac:dyDescent="0.35">
      <c r="A134">
        <v>133</v>
      </c>
      <c r="B134" s="2" t="s">
        <v>10</v>
      </c>
      <c r="C134" s="2" t="s">
        <v>11</v>
      </c>
      <c r="D134">
        <v>24</v>
      </c>
      <c r="E134" s="2" t="s">
        <v>24</v>
      </c>
      <c r="F134" s="2" t="s">
        <v>25</v>
      </c>
      <c r="G134">
        <v>82301</v>
      </c>
      <c r="H134" s="1">
        <v>45030</v>
      </c>
      <c r="I134">
        <v>4</v>
      </c>
      <c r="J134">
        <v>1</v>
      </c>
      <c r="K134">
        <v>8230</v>
      </c>
      <c r="L134">
        <v>4115</v>
      </c>
      <c r="M134">
        <v>86416</v>
      </c>
      <c r="N134">
        <v>0</v>
      </c>
      <c r="O134">
        <v>90531</v>
      </c>
    </row>
    <row r="135" spans="1:15" x14ac:dyDescent="0.35">
      <c r="A135">
        <v>134</v>
      </c>
      <c r="B135" s="2" t="s">
        <v>20</v>
      </c>
      <c r="C135" s="2" t="s">
        <v>15</v>
      </c>
      <c r="D135">
        <v>35</v>
      </c>
      <c r="E135" s="2" t="s">
        <v>12</v>
      </c>
      <c r="F135" s="2" t="s">
        <v>19</v>
      </c>
      <c r="G135">
        <v>41760</v>
      </c>
      <c r="H135" s="1">
        <v>44856</v>
      </c>
      <c r="I135">
        <v>9</v>
      </c>
      <c r="J135">
        <v>3</v>
      </c>
      <c r="K135">
        <v>4176</v>
      </c>
      <c r="L135">
        <v>2088</v>
      </c>
      <c r="M135">
        <v>43848</v>
      </c>
      <c r="N135">
        <v>2088</v>
      </c>
      <c r="O135">
        <v>48024</v>
      </c>
    </row>
    <row r="136" spans="1:15" x14ac:dyDescent="0.35">
      <c r="A136">
        <v>135</v>
      </c>
      <c r="B136" s="2" t="s">
        <v>31</v>
      </c>
      <c r="C136" s="2" t="s">
        <v>11</v>
      </c>
      <c r="D136">
        <v>44</v>
      </c>
      <c r="E136" s="2" t="s">
        <v>29</v>
      </c>
      <c r="F136" s="2" t="s">
        <v>17</v>
      </c>
      <c r="G136">
        <v>69776</v>
      </c>
      <c r="H136" s="1">
        <v>45467</v>
      </c>
      <c r="I136">
        <v>5</v>
      </c>
      <c r="J136">
        <v>5</v>
      </c>
      <c r="K136">
        <v>6978</v>
      </c>
      <c r="L136">
        <v>3489</v>
      </c>
      <c r="M136">
        <v>73265</v>
      </c>
      <c r="N136">
        <v>0</v>
      </c>
      <c r="O136">
        <v>76754</v>
      </c>
    </row>
    <row r="137" spans="1:15" x14ac:dyDescent="0.35">
      <c r="A137">
        <v>136</v>
      </c>
      <c r="B137" s="2" t="s">
        <v>31</v>
      </c>
      <c r="C137" s="2" t="s">
        <v>11</v>
      </c>
      <c r="D137">
        <v>60</v>
      </c>
      <c r="E137" s="2" t="s">
        <v>28</v>
      </c>
      <c r="F137" s="2" t="s">
        <v>17</v>
      </c>
      <c r="G137">
        <v>54774</v>
      </c>
      <c r="H137" s="1">
        <v>45124</v>
      </c>
      <c r="I137">
        <v>6</v>
      </c>
      <c r="J137">
        <v>2</v>
      </c>
      <c r="K137">
        <v>5477</v>
      </c>
      <c r="L137">
        <v>2739</v>
      </c>
      <c r="M137">
        <v>57512</v>
      </c>
      <c r="N137">
        <v>2739</v>
      </c>
      <c r="O137">
        <v>62990</v>
      </c>
    </row>
    <row r="138" spans="1:15" x14ac:dyDescent="0.35">
      <c r="A138">
        <v>137</v>
      </c>
      <c r="B138" s="2" t="s">
        <v>20</v>
      </c>
      <c r="C138" s="2" t="s">
        <v>15</v>
      </c>
      <c r="D138">
        <v>46</v>
      </c>
      <c r="E138" s="2" t="s">
        <v>16</v>
      </c>
      <c r="F138" s="2" t="s">
        <v>21</v>
      </c>
      <c r="G138">
        <v>24255</v>
      </c>
      <c r="H138" s="1">
        <v>44714</v>
      </c>
      <c r="I138">
        <v>9</v>
      </c>
      <c r="J138">
        <v>1</v>
      </c>
      <c r="K138">
        <v>2426</v>
      </c>
      <c r="L138">
        <v>1213</v>
      </c>
      <c r="M138">
        <v>25468</v>
      </c>
      <c r="N138">
        <v>1213</v>
      </c>
      <c r="O138">
        <v>27894</v>
      </c>
    </row>
    <row r="139" spans="1:15" x14ac:dyDescent="0.35">
      <c r="A139">
        <v>138</v>
      </c>
      <c r="B139" s="2" t="s">
        <v>10</v>
      </c>
      <c r="C139" s="2" t="s">
        <v>15</v>
      </c>
      <c r="D139">
        <v>34</v>
      </c>
      <c r="E139" s="2" t="s">
        <v>24</v>
      </c>
      <c r="F139" s="2" t="s">
        <v>21</v>
      </c>
      <c r="G139">
        <v>77612</v>
      </c>
      <c r="H139" s="1">
        <v>45008</v>
      </c>
      <c r="I139">
        <v>17</v>
      </c>
      <c r="J139">
        <v>4</v>
      </c>
      <c r="K139">
        <v>7761</v>
      </c>
      <c r="L139">
        <v>3881</v>
      </c>
      <c r="M139">
        <v>81492</v>
      </c>
      <c r="N139">
        <v>3881</v>
      </c>
      <c r="O139">
        <v>89254</v>
      </c>
    </row>
    <row r="140" spans="1:15" x14ac:dyDescent="0.35">
      <c r="A140">
        <v>139</v>
      </c>
      <c r="B140" s="2" t="s">
        <v>26</v>
      </c>
      <c r="C140" s="2" t="s">
        <v>15</v>
      </c>
      <c r="D140">
        <v>50</v>
      </c>
      <c r="E140" s="2" t="s">
        <v>24</v>
      </c>
      <c r="F140" s="2" t="s">
        <v>17</v>
      </c>
      <c r="G140">
        <v>55565</v>
      </c>
      <c r="H140" s="1">
        <v>45282</v>
      </c>
      <c r="I140">
        <v>11</v>
      </c>
      <c r="J140">
        <v>3</v>
      </c>
      <c r="K140">
        <v>5556</v>
      </c>
      <c r="L140">
        <v>2778</v>
      </c>
      <c r="M140">
        <v>58343</v>
      </c>
      <c r="N140">
        <v>2778</v>
      </c>
      <c r="O140">
        <v>63899</v>
      </c>
    </row>
    <row r="141" spans="1:15" x14ac:dyDescent="0.35">
      <c r="A141">
        <v>140</v>
      </c>
      <c r="B141" s="2" t="s">
        <v>26</v>
      </c>
      <c r="C141" s="2" t="s">
        <v>15</v>
      </c>
      <c r="D141">
        <v>34</v>
      </c>
      <c r="E141" s="2" t="s">
        <v>16</v>
      </c>
      <c r="F141" s="2" t="s">
        <v>25</v>
      </c>
      <c r="G141">
        <v>22029</v>
      </c>
      <c r="H141" s="1">
        <v>45448</v>
      </c>
      <c r="I141">
        <v>19</v>
      </c>
      <c r="J141">
        <v>4</v>
      </c>
      <c r="K141">
        <v>2203</v>
      </c>
      <c r="L141">
        <v>1101</v>
      </c>
      <c r="M141">
        <v>23131</v>
      </c>
      <c r="N141">
        <v>1101</v>
      </c>
      <c r="O141">
        <v>25333</v>
      </c>
    </row>
    <row r="142" spans="1:15" x14ac:dyDescent="0.35">
      <c r="A142">
        <v>141</v>
      </c>
      <c r="B142" s="2" t="s">
        <v>26</v>
      </c>
      <c r="C142" s="2" t="s">
        <v>15</v>
      </c>
      <c r="D142">
        <v>38</v>
      </c>
      <c r="E142" s="2" t="s">
        <v>29</v>
      </c>
      <c r="F142" s="2" t="s">
        <v>13</v>
      </c>
      <c r="G142">
        <v>70911</v>
      </c>
      <c r="H142" s="1">
        <v>45333</v>
      </c>
      <c r="I142">
        <v>4</v>
      </c>
      <c r="J142">
        <v>2</v>
      </c>
      <c r="K142">
        <v>7091</v>
      </c>
      <c r="L142">
        <v>3546</v>
      </c>
      <c r="M142">
        <v>74456</v>
      </c>
      <c r="N142">
        <v>0</v>
      </c>
      <c r="O142">
        <v>78002</v>
      </c>
    </row>
    <row r="143" spans="1:15" x14ac:dyDescent="0.35">
      <c r="A143">
        <v>142</v>
      </c>
      <c r="B143" s="2" t="s">
        <v>14</v>
      </c>
      <c r="C143" s="2" t="s">
        <v>15</v>
      </c>
      <c r="D143">
        <v>54</v>
      </c>
      <c r="E143" s="2" t="s">
        <v>24</v>
      </c>
      <c r="F143" s="2" t="s">
        <v>13</v>
      </c>
      <c r="G143">
        <v>90673</v>
      </c>
      <c r="H143" s="1">
        <v>45469</v>
      </c>
      <c r="I143">
        <v>18</v>
      </c>
      <c r="J143">
        <v>4</v>
      </c>
      <c r="K143">
        <v>9067</v>
      </c>
      <c r="L143">
        <v>4534</v>
      </c>
      <c r="M143">
        <v>95206</v>
      </c>
      <c r="N143">
        <v>4534</v>
      </c>
      <c r="O143">
        <v>104274</v>
      </c>
    </row>
    <row r="144" spans="1:15" x14ac:dyDescent="0.35">
      <c r="A144">
        <v>143</v>
      </c>
      <c r="B144" s="2" t="s">
        <v>26</v>
      </c>
      <c r="C144" s="2" t="s">
        <v>15</v>
      </c>
      <c r="D144">
        <v>22</v>
      </c>
      <c r="E144" s="2" t="s">
        <v>28</v>
      </c>
      <c r="F144" s="2" t="s">
        <v>25</v>
      </c>
      <c r="G144">
        <v>44554</v>
      </c>
      <c r="H144" s="1">
        <v>44855</v>
      </c>
      <c r="I144">
        <v>16</v>
      </c>
      <c r="J144">
        <v>5</v>
      </c>
      <c r="K144">
        <v>4455</v>
      </c>
      <c r="L144">
        <v>2228</v>
      </c>
      <c r="M144">
        <v>46781</v>
      </c>
      <c r="N144">
        <v>2228</v>
      </c>
      <c r="O144">
        <v>51237</v>
      </c>
    </row>
    <row r="145" spans="1:15" x14ac:dyDescent="0.35">
      <c r="A145">
        <v>144</v>
      </c>
      <c r="B145" s="2" t="s">
        <v>27</v>
      </c>
      <c r="C145" s="2" t="s">
        <v>15</v>
      </c>
      <c r="D145">
        <v>49</v>
      </c>
      <c r="E145" s="2" t="s">
        <v>12</v>
      </c>
      <c r="F145" s="2" t="s">
        <v>21</v>
      </c>
      <c r="G145">
        <v>37431</v>
      </c>
      <c r="H145" s="1">
        <v>44579</v>
      </c>
      <c r="I145">
        <v>1</v>
      </c>
      <c r="J145">
        <v>4</v>
      </c>
      <c r="K145">
        <v>3743</v>
      </c>
      <c r="L145">
        <v>1872</v>
      </c>
      <c r="M145">
        <v>39302</v>
      </c>
      <c r="N145">
        <v>0</v>
      </c>
      <c r="O145">
        <v>41174</v>
      </c>
    </row>
    <row r="146" spans="1:15" x14ac:dyDescent="0.35">
      <c r="A146">
        <v>145</v>
      </c>
      <c r="B146" s="2" t="s">
        <v>27</v>
      </c>
      <c r="C146" s="2" t="s">
        <v>15</v>
      </c>
      <c r="D146">
        <v>60</v>
      </c>
      <c r="E146" s="2" t="s">
        <v>29</v>
      </c>
      <c r="F146" s="2" t="s">
        <v>13</v>
      </c>
      <c r="G146">
        <v>43985</v>
      </c>
      <c r="H146" s="1">
        <v>44589</v>
      </c>
      <c r="I146">
        <v>13</v>
      </c>
      <c r="J146">
        <v>1</v>
      </c>
      <c r="K146">
        <v>4398</v>
      </c>
      <c r="L146">
        <v>2199</v>
      </c>
      <c r="M146">
        <v>46184</v>
      </c>
      <c r="N146">
        <v>2199</v>
      </c>
      <c r="O146">
        <v>50582</v>
      </c>
    </row>
    <row r="147" spans="1:15" x14ac:dyDescent="0.35">
      <c r="A147">
        <v>146</v>
      </c>
      <c r="B147" s="2" t="s">
        <v>20</v>
      </c>
      <c r="C147" s="2" t="s">
        <v>11</v>
      </c>
      <c r="D147">
        <v>24</v>
      </c>
      <c r="E147" s="2" t="s">
        <v>28</v>
      </c>
      <c r="F147" s="2" t="s">
        <v>25</v>
      </c>
      <c r="G147">
        <v>67768</v>
      </c>
      <c r="H147" s="1">
        <v>45289</v>
      </c>
      <c r="I147">
        <v>17</v>
      </c>
      <c r="J147">
        <v>5</v>
      </c>
      <c r="K147">
        <v>6777</v>
      </c>
      <c r="L147">
        <v>3388</v>
      </c>
      <c r="M147">
        <v>71157</v>
      </c>
      <c r="N147">
        <v>3388</v>
      </c>
      <c r="O147">
        <v>77933</v>
      </c>
    </row>
    <row r="148" spans="1:15" x14ac:dyDescent="0.35">
      <c r="A148">
        <v>147</v>
      </c>
      <c r="B148" s="2" t="s">
        <v>14</v>
      </c>
      <c r="C148" s="2" t="s">
        <v>11</v>
      </c>
      <c r="D148">
        <v>38</v>
      </c>
      <c r="E148" s="2" t="s">
        <v>12</v>
      </c>
      <c r="F148" s="2" t="s">
        <v>19</v>
      </c>
      <c r="G148">
        <v>31685</v>
      </c>
      <c r="H148" s="1">
        <v>45344</v>
      </c>
      <c r="I148">
        <v>12</v>
      </c>
      <c r="J148">
        <v>1</v>
      </c>
      <c r="K148">
        <v>3168</v>
      </c>
      <c r="L148">
        <v>1584</v>
      </c>
      <c r="M148">
        <v>33269</v>
      </c>
      <c r="N148">
        <v>1584</v>
      </c>
      <c r="O148">
        <v>36437</v>
      </c>
    </row>
    <row r="149" spans="1:15" x14ac:dyDescent="0.35">
      <c r="A149">
        <v>148</v>
      </c>
      <c r="B149" s="2" t="s">
        <v>23</v>
      </c>
      <c r="C149" s="2" t="s">
        <v>11</v>
      </c>
      <c r="D149">
        <v>26</v>
      </c>
      <c r="E149" s="2" t="s">
        <v>12</v>
      </c>
      <c r="F149" s="2" t="s">
        <v>21</v>
      </c>
      <c r="G149">
        <v>73803</v>
      </c>
      <c r="H149" s="1">
        <v>45193</v>
      </c>
      <c r="I149">
        <v>5</v>
      </c>
      <c r="J149">
        <v>5</v>
      </c>
      <c r="K149">
        <v>7380</v>
      </c>
      <c r="L149">
        <v>3690</v>
      </c>
      <c r="M149">
        <v>77493</v>
      </c>
      <c r="N149">
        <v>0</v>
      </c>
      <c r="O149">
        <v>81183</v>
      </c>
    </row>
    <row r="150" spans="1:15" x14ac:dyDescent="0.35">
      <c r="A150">
        <v>149</v>
      </c>
      <c r="B150" s="2" t="s">
        <v>23</v>
      </c>
      <c r="C150" s="2" t="s">
        <v>15</v>
      </c>
      <c r="D150">
        <v>24</v>
      </c>
      <c r="E150" s="2" t="s">
        <v>12</v>
      </c>
      <c r="F150" s="2" t="s">
        <v>17</v>
      </c>
      <c r="G150">
        <v>78224</v>
      </c>
      <c r="H150" s="1">
        <v>45154</v>
      </c>
      <c r="I150">
        <v>6</v>
      </c>
      <c r="J150">
        <v>2</v>
      </c>
      <c r="K150">
        <v>7822</v>
      </c>
      <c r="L150">
        <v>3911</v>
      </c>
      <c r="M150">
        <v>82135</v>
      </c>
      <c r="N150">
        <v>3911</v>
      </c>
      <c r="O150">
        <v>89957</v>
      </c>
    </row>
    <row r="151" spans="1:15" x14ac:dyDescent="0.35">
      <c r="A151">
        <v>150</v>
      </c>
      <c r="B151" s="2" t="s">
        <v>10</v>
      </c>
      <c r="C151" s="2" t="s">
        <v>15</v>
      </c>
      <c r="D151">
        <v>34</v>
      </c>
      <c r="E151" s="2" t="s">
        <v>28</v>
      </c>
      <c r="F151" s="2" t="s">
        <v>19</v>
      </c>
      <c r="G151">
        <v>92680</v>
      </c>
      <c r="H151" s="1">
        <v>45365</v>
      </c>
      <c r="I151">
        <v>4</v>
      </c>
      <c r="J151">
        <v>2</v>
      </c>
      <c r="K151">
        <v>9268</v>
      </c>
      <c r="L151">
        <v>4634</v>
      </c>
      <c r="M151">
        <v>97314</v>
      </c>
      <c r="N151">
        <v>0</v>
      </c>
      <c r="O151">
        <v>101948</v>
      </c>
    </row>
    <row r="152" spans="1:15" x14ac:dyDescent="0.35">
      <c r="A152">
        <v>151</v>
      </c>
      <c r="B152" s="2" t="s">
        <v>10</v>
      </c>
      <c r="C152" s="2" t="s">
        <v>15</v>
      </c>
      <c r="D152">
        <v>55</v>
      </c>
      <c r="E152" s="2" t="s">
        <v>28</v>
      </c>
      <c r="F152" s="2" t="s">
        <v>21</v>
      </c>
      <c r="G152">
        <v>84233</v>
      </c>
      <c r="H152" s="1">
        <v>45228</v>
      </c>
      <c r="I152">
        <v>13</v>
      </c>
      <c r="J152">
        <v>4</v>
      </c>
      <c r="K152">
        <v>8423</v>
      </c>
      <c r="L152">
        <v>4212</v>
      </c>
      <c r="M152">
        <v>88444</v>
      </c>
      <c r="N152">
        <v>4212</v>
      </c>
      <c r="O152">
        <v>96868</v>
      </c>
    </row>
    <row r="153" spans="1:15" x14ac:dyDescent="0.35">
      <c r="A153">
        <v>152</v>
      </c>
      <c r="B153" s="2" t="s">
        <v>26</v>
      </c>
      <c r="C153" s="2" t="s">
        <v>11</v>
      </c>
      <c r="D153">
        <v>26</v>
      </c>
      <c r="E153" s="2" t="s">
        <v>28</v>
      </c>
      <c r="F153" s="2" t="s">
        <v>17</v>
      </c>
      <c r="G153">
        <v>55216</v>
      </c>
      <c r="H153" s="1">
        <v>44818</v>
      </c>
      <c r="I153">
        <v>4</v>
      </c>
      <c r="J153">
        <v>4</v>
      </c>
      <c r="K153">
        <v>5522</v>
      </c>
      <c r="L153">
        <v>2761</v>
      </c>
      <c r="M153">
        <v>57977</v>
      </c>
      <c r="N153">
        <v>0</v>
      </c>
      <c r="O153">
        <v>60738</v>
      </c>
    </row>
    <row r="154" spans="1:15" x14ac:dyDescent="0.35">
      <c r="A154">
        <v>153</v>
      </c>
      <c r="B154" s="2" t="s">
        <v>10</v>
      </c>
      <c r="C154" s="2" t="s">
        <v>11</v>
      </c>
      <c r="D154">
        <v>33</v>
      </c>
      <c r="E154" s="2" t="s">
        <v>24</v>
      </c>
      <c r="F154" s="2" t="s">
        <v>13</v>
      </c>
      <c r="G154">
        <v>34706</v>
      </c>
      <c r="H154" s="1">
        <v>45039</v>
      </c>
      <c r="I154">
        <v>17</v>
      </c>
      <c r="J154">
        <v>5</v>
      </c>
      <c r="K154">
        <v>3471</v>
      </c>
      <c r="L154">
        <v>1735</v>
      </c>
      <c r="M154">
        <v>36442</v>
      </c>
      <c r="N154">
        <v>1735</v>
      </c>
      <c r="O154">
        <v>39912</v>
      </c>
    </row>
    <row r="155" spans="1:15" x14ac:dyDescent="0.35">
      <c r="A155">
        <v>154</v>
      </c>
      <c r="B155" s="2" t="s">
        <v>20</v>
      </c>
      <c r="C155" s="2" t="s">
        <v>15</v>
      </c>
      <c r="D155">
        <v>40</v>
      </c>
      <c r="E155" s="2" t="s">
        <v>24</v>
      </c>
      <c r="F155" s="2" t="s">
        <v>17</v>
      </c>
      <c r="G155">
        <v>34394</v>
      </c>
      <c r="H155" s="1">
        <v>45274</v>
      </c>
      <c r="I155">
        <v>18</v>
      </c>
      <c r="J155">
        <v>3</v>
      </c>
      <c r="K155">
        <v>3439</v>
      </c>
      <c r="L155">
        <v>1720</v>
      </c>
      <c r="M155">
        <v>36113</v>
      </c>
      <c r="N155">
        <v>1720</v>
      </c>
      <c r="O155">
        <v>39553</v>
      </c>
    </row>
    <row r="156" spans="1:15" x14ac:dyDescent="0.35">
      <c r="A156">
        <v>155</v>
      </c>
      <c r="B156" s="2" t="s">
        <v>26</v>
      </c>
      <c r="C156" s="2" t="s">
        <v>11</v>
      </c>
      <c r="D156">
        <v>60</v>
      </c>
      <c r="E156" s="2" t="s">
        <v>24</v>
      </c>
      <c r="F156" s="2" t="s">
        <v>17</v>
      </c>
      <c r="G156">
        <v>47641</v>
      </c>
      <c r="H156" s="1">
        <v>44718</v>
      </c>
      <c r="I156">
        <v>12</v>
      </c>
      <c r="J156">
        <v>3</v>
      </c>
      <c r="K156">
        <v>4764</v>
      </c>
      <c r="L156">
        <v>2382</v>
      </c>
      <c r="M156">
        <v>50023</v>
      </c>
      <c r="N156">
        <v>2382</v>
      </c>
      <c r="O156">
        <v>54787</v>
      </c>
    </row>
    <row r="157" spans="1:15" x14ac:dyDescent="0.35">
      <c r="A157">
        <v>156</v>
      </c>
      <c r="B157" s="2" t="s">
        <v>31</v>
      </c>
      <c r="C157" s="2" t="s">
        <v>15</v>
      </c>
      <c r="D157">
        <v>35</v>
      </c>
      <c r="E157" s="2" t="s">
        <v>24</v>
      </c>
      <c r="F157" s="2" t="s">
        <v>19</v>
      </c>
      <c r="G157">
        <v>89853</v>
      </c>
      <c r="H157" s="1">
        <v>45021</v>
      </c>
      <c r="I157">
        <v>19</v>
      </c>
      <c r="J157">
        <v>5</v>
      </c>
      <c r="K157">
        <v>8985</v>
      </c>
      <c r="L157">
        <v>4493</v>
      </c>
      <c r="M157">
        <v>94345</v>
      </c>
      <c r="N157">
        <v>4493</v>
      </c>
      <c r="O157">
        <v>103331</v>
      </c>
    </row>
    <row r="158" spans="1:15" x14ac:dyDescent="0.35">
      <c r="A158">
        <v>157</v>
      </c>
      <c r="B158" s="2" t="s">
        <v>10</v>
      </c>
      <c r="C158" s="2" t="s">
        <v>11</v>
      </c>
      <c r="D158">
        <v>23</v>
      </c>
      <c r="E158" s="2" t="s">
        <v>28</v>
      </c>
      <c r="F158" s="2" t="s">
        <v>21</v>
      </c>
      <c r="G158">
        <v>31373</v>
      </c>
      <c r="H158" s="1">
        <v>45190</v>
      </c>
      <c r="I158">
        <v>16</v>
      </c>
      <c r="J158">
        <v>2</v>
      </c>
      <c r="K158">
        <v>3137</v>
      </c>
      <c r="L158">
        <v>1569</v>
      </c>
      <c r="M158">
        <v>32941</v>
      </c>
      <c r="N158">
        <v>1569</v>
      </c>
      <c r="O158">
        <v>36079</v>
      </c>
    </row>
    <row r="159" spans="1:15" x14ac:dyDescent="0.35">
      <c r="A159">
        <v>158</v>
      </c>
      <c r="B159" s="2" t="s">
        <v>30</v>
      </c>
      <c r="C159" s="2" t="s">
        <v>15</v>
      </c>
      <c r="D159">
        <v>48</v>
      </c>
      <c r="E159" s="2" t="s">
        <v>16</v>
      </c>
      <c r="F159" s="2" t="s">
        <v>25</v>
      </c>
      <c r="G159">
        <v>77101</v>
      </c>
      <c r="H159" s="1">
        <v>45100</v>
      </c>
      <c r="I159">
        <v>12</v>
      </c>
      <c r="J159">
        <v>5</v>
      </c>
      <c r="K159">
        <v>7710</v>
      </c>
      <c r="L159">
        <v>3855</v>
      </c>
      <c r="M159">
        <v>80956</v>
      </c>
      <c r="N159">
        <v>3855</v>
      </c>
      <c r="O159">
        <v>88666</v>
      </c>
    </row>
    <row r="160" spans="1:15" x14ac:dyDescent="0.35">
      <c r="A160">
        <v>159</v>
      </c>
      <c r="B160" s="2" t="s">
        <v>23</v>
      </c>
      <c r="C160" s="2" t="s">
        <v>15</v>
      </c>
      <c r="D160">
        <v>29</v>
      </c>
      <c r="E160" s="2" t="s">
        <v>12</v>
      </c>
      <c r="F160" s="2" t="s">
        <v>13</v>
      </c>
      <c r="G160">
        <v>39892</v>
      </c>
      <c r="H160" s="1">
        <v>44634</v>
      </c>
      <c r="I160">
        <v>17</v>
      </c>
      <c r="J160">
        <v>4</v>
      </c>
      <c r="K160">
        <v>3989</v>
      </c>
      <c r="L160">
        <v>1995</v>
      </c>
      <c r="M160">
        <v>41886</v>
      </c>
      <c r="N160">
        <v>1995</v>
      </c>
      <c r="O160">
        <v>45876</v>
      </c>
    </row>
    <row r="161" spans="1:15" x14ac:dyDescent="0.35">
      <c r="A161">
        <v>160</v>
      </c>
      <c r="B161" s="2" t="s">
        <v>31</v>
      </c>
      <c r="C161" s="2" t="s">
        <v>11</v>
      </c>
      <c r="D161">
        <v>56</v>
      </c>
      <c r="E161" s="2" t="s">
        <v>29</v>
      </c>
      <c r="F161" s="2" t="s">
        <v>17</v>
      </c>
      <c r="G161">
        <v>79910</v>
      </c>
      <c r="H161" s="1">
        <v>45423</v>
      </c>
      <c r="I161">
        <v>5</v>
      </c>
      <c r="J161">
        <v>3</v>
      </c>
      <c r="K161">
        <v>7991</v>
      </c>
      <c r="L161">
        <v>3996</v>
      </c>
      <c r="M161">
        <v>83905</v>
      </c>
      <c r="N161">
        <v>0</v>
      </c>
      <c r="O161">
        <v>87901</v>
      </c>
    </row>
    <row r="162" spans="1:15" x14ac:dyDescent="0.35">
      <c r="A162">
        <v>161</v>
      </c>
      <c r="B162" s="2" t="s">
        <v>31</v>
      </c>
      <c r="C162" s="2" t="s">
        <v>15</v>
      </c>
      <c r="D162">
        <v>40</v>
      </c>
      <c r="E162" s="2" t="s">
        <v>29</v>
      </c>
      <c r="F162" s="2" t="s">
        <v>25</v>
      </c>
      <c r="G162">
        <v>22403</v>
      </c>
      <c r="H162" s="1">
        <v>45201</v>
      </c>
      <c r="I162">
        <v>8</v>
      </c>
      <c r="J162">
        <v>5</v>
      </c>
      <c r="K162">
        <v>2240</v>
      </c>
      <c r="L162">
        <v>1120</v>
      </c>
      <c r="M162">
        <v>23523</v>
      </c>
      <c r="N162">
        <v>1120</v>
      </c>
      <c r="O162">
        <v>25763</v>
      </c>
    </row>
    <row r="163" spans="1:15" x14ac:dyDescent="0.35">
      <c r="A163">
        <v>162</v>
      </c>
      <c r="B163" s="2" t="s">
        <v>30</v>
      </c>
      <c r="C163" s="2" t="s">
        <v>15</v>
      </c>
      <c r="D163">
        <v>51</v>
      </c>
      <c r="E163" s="2" t="s">
        <v>16</v>
      </c>
      <c r="F163" s="2" t="s">
        <v>25</v>
      </c>
      <c r="G163">
        <v>53631</v>
      </c>
      <c r="H163" s="1">
        <v>44973</v>
      </c>
      <c r="I163">
        <v>8</v>
      </c>
      <c r="J163">
        <v>5</v>
      </c>
      <c r="K163">
        <v>5363</v>
      </c>
      <c r="L163">
        <v>2682</v>
      </c>
      <c r="M163">
        <v>56312</v>
      </c>
      <c r="N163">
        <v>2682</v>
      </c>
      <c r="O163">
        <v>61676</v>
      </c>
    </row>
    <row r="164" spans="1:15" x14ac:dyDescent="0.35">
      <c r="A164">
        <v>163</v>
      </c>
      <c r="B164" s="2" t="s">
        <v>10</v>
      </c>
      <c r="C164" s="2" t="s">
        <v>15</v>
      </c>
      <c r="D164">
        <v>29</v>
      </c>
      <c r="E164" s="2" t="s">
        <v>29</v>
      </c>
      <c r="F164" s="2" t="s">
        <v>19</v>
      </c>
      <c r="G164">
        <v>42930</v>
      </c>
      <c r="H164" s="1">
        <v>45300</v>
      </c>
      <c r="I164">
        <v>11</v>
      </c>
      <c r="J164">
        <v>1</v>
      </c>
      <c r="K164">
        <v>4293</v>
      </c>
      <c r="L164">
        <v>2146</v>
      </c>
      <c r="M164">
        <v>45077</v>
      </c>
      <c r="N164">
        <v>2146</v>
      </c>
      <c r="O164">
        <v>49369</v>
      </c>
    </row>
    <row r="165" spans="1:15" x14ac:dyDescent="0.35">
      <c r="A165">
        <v>164</v>
      </c>
      <c r="B165" s="2" t="s">
        <v>22</v>
      </c>
      <c r="C165" s="2" t="s">
        <v>11</v>
      </c>
      <c r="D165">
        <v>60</v>
      </c>
      <c r="E165" s="2" t="s">
        <v>29</v>
      </c>
      <c r="F165" s="2" t="s">
        <v>19</v>
      </c>
      <c r="G165">
        <v>38509</v>
      </c>
      <c r="H165" s="1">
        <v>45022</v>
      </c>
      <c r="I165">
        <v>11</v>
      </c>
      <c r="J165">
        <v>4</v>
      </c>
      <c r="K165">
        <v>3851</v>
      </c>
      <c r="L165">
        <v>1925</v>
      </c>
      <c r="M165">
        <v>40435</v>
      </c>
      <c r="N165">
        <v>1925</v>
      </c>
      <c r="O165">
        <v>44285</v>
      </c>
    </row>
    <row r="166" spans="1:15" x14ac:dyDescent="0.35">
      <c r="A166">
        <v>165</v>
      </c>
      <c r="B166" s="2" t="s">
        <v>10</v>
      </c>
      <c r="C166" s="2" t="s">
        <v>15</v>
      </c>
      <c r="D166">
        <v>33</v>
      </c>
      <c r="E166" s="2" t="s">
        <v>29</v>
      </c>
      <c r="F166" s="2" t="s">
        <v>17</v>
      </c>
      <c r="G166">
        <v>88764</v>
      </c>
      <c r="H166" s="1">
        <v>44977</v>
      </c>
      <c r="I166">
        <v>16</v>
      </c>
      <c r="J166">
        <v>1</v>
      </c>
      <c r="K166">
        <v>8876</v>
      </c>
      <c r="L166">
        <v>4438</v>
      </c>
      <c r="M166">
        <v>93202</v>
      </c>
      <c r="N166">
        <v>4438</v>
      </c>
      <c r="O166">
        <v>102078</v>
      </c>
    </row>
    <row r="167" spans="1:15" x14ac:dyDescent="0.35">
      <c r="A167">
        <v>166</v>
      </c>
      <c r="B167" s="2" t="s">
        <v>22</v>
      </c>
      <c r="C167" s="2" t="s">
        <v>15</v>
      </c>
      <c r="D167">
        <v>42</v>
      </c>
      <c r="E167" s="2" t="s">
        <v>24</v>
      </c>
      <c r="F167" s="2" t="s">
        <v>13</v>
      </c>
      <c r="G167">
        <v>53332</v>
      </c>
      <c r="H167" s="1">
        <v>44758</v>
      </c>
      <c r="I167">
        <v>7</v>
      </c>
      <c r="J167">
        <v>3</v>
      </c>
      <c r="K167">
        <v>5333</v>
      </c>
      <c r="L167">
        <v>2667</v>
      </c>
      <c r="M167">
        <v>55998</v>
      </c>
      <c r="N167">
        <v>2667</v>
      </c>
      <c r="O167">
        <v>61332</v>
      </c>
    </row>
    <row r="168" spans="1:15" x14ac:dyDescent="0.35">
      <c r="A168">
        <v>167</v>
      </c>
      <c r="B168" s="2" t="s">
        <v>23</v>
      </c>
      <c r="C168" s="2" t="s">
        <v>11</v>
      </c>
      <c r="D168">
        <v>45</v>
      </c>
      <c r="E168" s="2" t="s">
        <v>28</v>
      </c>
      <c r="F168" s="2" t="s">
        <v>17</v>
      </c>
      <c r="G168">
        <v>91411</v>
      </c>
      <c r="H168" s="1">
        <v>45125</v>
      </c>
      <c r="I168">
        <v>2</v>
      </c>
      <c r="J168">
        <v>1</v>
      </c>
      <c r="K168">
        <v>9141</v>
      </c>
      <c r="L168">
        <v>4571</v>
      </c>
      <c r="M168">
        <v>95981</v>
      </c>
      <c r="N168">
        <v>0</v>
      </c>
      <c r="O168">
        <v>100552</v>
      </c>
    </row>
    <row r="169" spans="1:15" x14ac:dyDescent="0.35">
      <c r="A169">
        <v>168</v>
      </c>
      <c r="B169" s="2" t="s">
        <v>14</v>
      </c>
      <c r="C169" s="2" t="s">
        <v>11</v>
      </c>
      <c r="D169">
        <v>30</v>
      </c>
      <c r="E169" s="2" t="s">
        <v>28</v>
      </c>
      <c r="F169" s="2" t="s">
        <v>21</v>
      </c>
      <c r="G169">
        <v>68770</v>
      </c>
      <c r="H169" s="1">
        <v>45462</v>
      </c>
      <c r="I169">
        <v>16</v>
      </c>
      <c r="J169">
        <v>2</v>
      </c>
      <c r="K169">
        <v>6877</v>
      </c>
      <c r="L169">
        <v>3438</v>
      </c>
      <c r="M169">
        <v>72209</v>
      </c>
      <c r="N169">
        <v>3438</v>
      </c>
      <c r="O169">
        <v>79085</v>
      </c>
    </row>
    <row r="170" spans="1:15" x14ac:dyDescent="0.35">
      <c r="A170">
        <v>169</v>
      </c>
      <c r="B170" s="2" t="s">
        <v>10</v>
      </c>
      <c r="C170" s="2" t="s">
        <v>11</v>
      </c>
      <c r="D170">
        <v>45</v>
      </c>
      <c r="E170" s="2" t="s">
        <v>24</v>
      </c>
      <c r="F170" s="2" t="s">
        <v>19</v>
      </c>
      <c r="G170">
        <v>52750</v>
      </c>
      <c r="H170" s="1">
        <v>45445</v>
      </c>
      <c r="I170">
        <v>14</v>
      </c>
      <c r="J170">
        <v>1</v>
      </c>
      <c r="K170">
        <v>5275</v>
      </c>
      <c r="L170">
        <v>2638</v>
      </c>
      <c r="M170">
        <v>55387</v>
      </c>
      <c r="N170">
        <v>2638</v>
      </c>
      <c r="O170">
        <v>60663</v>
      </c>
    </row>
    <row r="171" spans="1:15" x14ac:dyDescent="0.35">
      <c r="A171">
        <v>170</v>
      </c>
      <c r="B171" s="2" t="s">
        <v>14</v>
      </c>
      <c r="C171" s="2" t="s">
        <v>15</v>
      </c>
      <c r="D171">
        <v>55</v>
      </c>
      <c r="E171" s="2" t="s">
        <v>16</v>
      </c>
      <c r="F171" s="2" t="s">
        <v>13</v>
      </c>
      <c r="G171">
        <v>73358</v>
      </c>
      <c r="H171" s="1">
        <v>45037</v>
      </c>
      <c r="I171">
        <v>18</v>
      </c>
      <c r="J171">
        <v>5</v>
      </c>
      <c r="K171">
        <v>7336</v>
      </c>
      <c r="L171">
        <v>3668</v>
      </c>
      <c r="M171">
        <v>77026</v>
      </c>
      <c r="N171">
        <v>3668</v>
      </c>
      <c r="O171">
        <v>84362</v>
      </c>
    </row>
    <row r="172" spans="1:15" x14ac:dyDescent="0.35">
      <c r="A172">
        <v>171</v>
      </c>
      <c r="B172" s="2" t="s">
        <v>27</v>
      </c>
      <c r="C172" s="2" t="s">
        <v>11</v>
      </c>
      <c r="D172">
        <v>53</v>
      </c>
      <c r="E172" s="2" t="s">
        <v>24</v>
      </c>
      <c r="F172" s="2" t="s">
        <v>25</v>
      </c>
      <c r="G172">
        <v>63542</v>
      </c>
      <c r="H172" s="1">
        <v>44814</v>
      </c>
      <c r="I172">
        <v>14</v>
      </c>
      <c r="J172">
        <v>4</v>
      </c>
      <c r="K172">
        <v>6354</v>
      </c>
      <c r="L172">
        <v>3177</v>
      </c>
      <c r="M172">
        <v>66719</v>
      </c>
      <c r="N172">
        <v>3177</v>
      </c>
      <c r="O172">
        <v>73073</v>
      </c>
    </row>
    <row r="173" spans="1:15" x14ac:dyDescent="0.35">
      <c r="A173">
        <v>172</v>
      </c>
      <c r="B173" s="2" t="s">
        <v>31</v>
      </c>
      <c r="C173" s="2" t="s">
        <v>15</v>
      </c>
      <c r="D173">
        <v>58</v>
      </c>
      <c r="E173" s="2" t="s">
        <v>29</v>
      </c>
      <c r="F173" s="2" t="s">
        <v>19</v>
      </c>
      <c r="G173">
        <v>86552</v>
      </c>
      <c r="H173" s="1">
        <v>45442</v>
      </c>
      <c r="I173">
        <v>14</v>
      </c>
      <c r="J173">
        <v>1</v>
      </c>
      <c r="K173">
        <v>8655</v>
      </c>
      <c r="L173">
        <v>4328</v>
      </c>
      <c r="M173">
        <v>90879</v>
      </c>
      <c r="N173">
        <v>4328</v>
      </c>
      <c r="O173">
        <v>99535</v>
      </c>
    </row>
    <row r="174" spans="1:15" x14ac:dyDescent="0.35">
      <c r="A174">
        <v>173</v>
      </c>
      <c r="B174" s="2" t="s">
        <v>26</v>
      </c>
      <c r="C174" s="2" t="s">
        <v>15</v>
      </c>
      <c r="D174">
        <v>43</v>
      </c>
      <c r="E174" s="2" t="s">
        <v>12</v>
      </c>
      <c r="F174" s="2" t="s">
        <v>17</v>
      </c>
      <c r="G174">
        <v>88354</v>
      </c>
      <c r="H174" s="1">
        <v>44880</v>
      </c>
      <c r="I174">
        <v>1</v>
      </c>
      <c r="J174">
        <v>5</v>
      </c>
      <c r="K174">
        <v>8835</v>
      </c>
      <c r="L174">
        <v>4418</v>
      </c>
      <c r="M174">
        <v>92771</v>
      </c>
      <c r="N174">
        <v>0</v>
      </c>
      <c r="O174">
        <v>97189</v>
      </c>
    </row>
    <row r="175" spans="1:15" x14ac:dyDescent="0.35">
      <c r="A175">
        <v>174</v>
      </c>
      <c r="B175" s="2" t="s">
        <v>26</v>
      </c>
      <c r="C175" s="2" t="s">
        <v>11</v>
      </c>
      <c r="D175">
        <v>30</v>
      </c>
      <c r="E175" s="2" t="s">
        <v>12</v>
      </c>
      <c r="F175" s="2" t="s">
        <v>17</v>
      </c>
      <c r="G175">
        <v>65576</v>
      </c>
      <c r="H175" s="1">
        <v>45244</v>
      </c>
      <c r="I175">
        <v>20</v>
      </c>
      <c r="J175">
        <v>3</v>
      </c>
      <c r="K175">
        <v>6558</v>
      </c>
      <c r="L175">
        <v>3279</v>
      </c>
      <c r="M175">
        <v>68855</v>
      </c>
      <c r="N175">
        <v>3279</v>
      </c>
      <c r="O175">
        <v>75413</v>
      </c>
    </row>
    <row r="176" spans="1:15" x14ac:dyDescent="0.35">
      <c r="A176">
        <v>175</v>
      </c>
      <c r="B176" s="2" t="s">
        <v>23</v>
      </c>
      <c r="C176" s="2" t="s">
        <v>15</v>
      </c>
      <c r="D176">
        <v>55</v>
      </c>
      <c r="E176" s="2" t="s">
        <v>24</v>
      </c>
      <c r="F176" s="2" t="s">
        <v>13</v>
      </c>
      <c r="G176">
        <v>59483</v>
      </c>
      <c r="H176" s="1">
        <v>45465</v>
      </c>
      <c r="I176">
        <v>17</v>
      </c>
      <c r="J176">
        <v>5</v>
      </c>
      <c r="K176">
        <v>5948</v>
      </c>
      <c r="L176">
        <v>2974</v>
      </c>
      <c r="M176">
        <v>62457</v>
      </c>
      <c r="N176">
        <v>2974</v>
      </c>
      <c r="O176">
        <v>68405</v>
      </c>
    </row>
    <row r="177" spans="1:15" x14ac:dyDescent="0.35">
      <c r="A177">
        <v>176</v>
      </c>
      <c r="B177" s="2" t="s">
        <v>10</v>
      </c>
      <c r="C177" s="2" t="s">
        <v>11</v>
      </c>
      <c r="D177">
        <v>32</v>
      </c>
      <c r="E177" s="2" t="s">
        <v>28</v>
      </c>
      <c r="F177" s="2" t="s">
        <v>19</v>
      </c>
      <c r="G177">
        <v>21684</v>
      </c>
      <c r="H177" s="1">
        <v>44805</v>
      </c>
      <c r="I177">
        <v>10</v>
      </c>
      <c r="J177">
        <v>3</v>
      </c>
      <c r="K177">
        <v>2168</v>
      </c>
      <c r="L177">
        <v>1084</v>
      </c>
      <c r="M177">
        <v>22768</v>
      </c>
      <c r="N177">
        <v>1084</v>
      </c>
      <c r="O177">
        <v>24936</v>
      </c>
    </row>
    <row r="178" spans="1:15" x14ac:dyDescent="0.35">
      <c r="A178">
        <v>177</v>
      </c>
      <c r="B178" s="2" t="s">
        <v>30</v>
      </c>
      <c r="C178" s="2" t="s">
        <v>11</v>
      </c>
      <c r="D178">
        <v>55</v>
      </c>
      <c r="E178" s="2" t="s">
        <v>28</v>
      </c>
      <c r="F178" s="2" t="s">
        <v>17</v>
      </c>
      <c r="G178">
        <v>44289</v>
      </c>
      <c r="H178" s="1">
        <v>45536</v>
      </c>
      <c r="I178">
        <v>17</v>
      </c>
      <c r="J178">
        <v>3</v>
      </c>
      <c r="K178">
        <v>4429</v>
      </c>
      <c r="L178">
        <v>2214</v>
      </c>
      <c r="M178">
        <v>46504</v>
      </c>
      <c r="N178">
        <v>2214</v>
      </c>
      <c r="O178">
        <v>50932</v>
      </c>
    </row>
    <row r="179" spans="1:15" x14ac:dyDescent="0.35">
      <c r="A179">
        <v>178</v>
      </c>
      <c r="B179" s="2" t="s">
        <v>23</v>
      </c>
      <c r="C179" s="2" t="s">
        <v>11</v>
      </c>
      <c r="D179">
        <v>44</v>
      </c>
      <c r="E179" s="2" t="s">
        <v>29</v>
      </c>
      <c r="F179" s="2" t="s">
        <v>13</v>
      </c>
      <c r="G179">
        <v>79398</v>
      </c>
      <c r="H179" s="1">
        <v>44856</v>
      </c>
      <c r="I179">
        <v>12</v>
      </c>
      <c r="J179">
        <v>2</v>
      </c>
      <c r="K179">
        <v>7940</v>
      </c>
      <c r="L179">
        <v>3970</v>
      </c>
      <c r="M179">
        <v>83368</v>
      </c>
      <c r="N179">
        <v>3970</v>
      </c>
      <c r="O179">
        <v>91308</v>
      </c>
    </row>
    <row r="180" spans="1:15" x14ac:dyDescent="0.35">
      <c r="A180">
        <v>179</v>
      </c>
      <c r="B180" s="2" t="s">
        <v>30</v>
      </c>
      <c r="C180" s="2" t="s">
        <v>11</v>
      </c>
      <c r="D180">
        <v>41</v>
      </c>
      <c r="E180" s="2" t="s">
        <v>24</v>
      </c>
      <c r="F180" s="2" t="s">
        <v>19</v>
      </c>
      <c r="G180">
        <v>27104</v>
      </c>
      <c r="H180" s="1">
        <v>45426</v>
      </c>
      <c r="I180">
        <v>10</v>
      </c>
      <c r="J180">
        <v>4</v>
      </c>
      <c r="K180">
        <v>2710</v>
      </c>
      <c r="L180">
        <v>1355</v>
      </c>
      <c r="M180">
        <v>28459</v>
      </c>
      <c r="N180">
        <v>1355</v>
      </c>
      <c r="O180">
        <v>31169</v>
      </c>
    </row>
    <row r="181" spans="1:15" x14ac:dyDescent="0.35">
      <c r="A181">
        <v>180</v>
      </c>
      <c r="B181" s="2" t="s">
        <v>18</v>
      </c>
      <c r="C181" s="2" t="s">
        <v>15</v>
      </c>
      <c r="D181">
        <v>56</v>
      </c>
      <c r="E181" s="2" t="s">
        <v>29</v>
      </c>
      <c r="F181" s="2" t="s">
        <v>19</v>
      </c>
      <c r="G181">
        <v>27481</v>
      </c>
      <c r="H181" s="1">
        <v>44813</v>
      </c>
      <c r="I181">
        <v>19</v>
      </c>
      <c r="J181">
        <v>5</v>
      </c>
      <c r="K181">
        <v>2748</v>
      </c>
      <c r="L181">
        <v>1374</v>
      </c>
      <c r="M181">
        <v>28855</v>
      </c>
      <c r="N181">
        <v>1374</v>
      </c>
      <c r="O181">
        <v>31603</v>
      </c>
    </row>
    <row r="182" spans="1:15" x14ac:dyDescent="0.35">
      <c r="A182">
        <v>181</v>
      </c>
      <c r="B182" s="2" t="s">
        <v>18</v>
      </c>
      <c r="C182" s="2" t="s">
        <v>11</v>
      </c>
      <c r="D182">
        <v>53</v>
      </c>
      <c r="E182" s="2" t="s">
        <v>29</v>
      </c>
      <c r="F182" s="2" t="s">
        <v>21</v>
      </c>
      <c r="G182">
        <v>80810</v>
      </c>
      <c r="H182" s="1">
        <v>44675</v>
      </c>
      <c r="I182">
        <v>4</v>
      </c>
      <c r="J182">
        <v>1</v>
      </c>
      <c r="K182">
        <v>8081</v>
      </c>
      <c r="L182">
        <v>4040</v>
      </c>
      <c r="M182">
        <v>84851</v>
      </c>
      <c r="N182">
        <v>0</v>
      </c>
      <c r="O182">
        <v>88891</v>
      </c>
    </row>
    <row r="183" spans="1:15" x14ac:dyDescent="0.35">
      <c r="A183">
        <v>182</v>
      </c>
      <c r="B183" s="2" t="s">
        <v>14</v>
      </c>
      <c r="C183" s="2" t="s">
        <v>11</v>
      </c>
      <c r="D183">
        <v>36</v>
      </c>
      <c r="E183" s="2" t="s">
        <v>29</v>
      </c>
      <c r="F183" s="2" t="s">
        <v>21</v>
      </c>
      <c r="G183">
        <v>94873</v>
      </c>
      <c r="H183" s="1">
        <v>45451</v>
      </c>
      <c r="I183">
        <v>15</v>
      </c>
      <c r="J183">
        <v>2</v>
      </c>
      <c r="K183">
        <v>9487</v>
      </c>
      <c r="L183">
        <v>4744</v>
      </c>
      <c r="M183">
        <v>99616</v>
      </c>
      <c r="N183">
        <v>4744</v>
      </c>
      <c r="O183">
        <v>109104</v>
      </c>
    </row>
    <row r="184" spans="1:15" x14ac:dyDescent="0.35">
      <c r="A184">
        <v>183</v>
      </c>
      <c r="B184" s="2" t="s">
        <v>23</v>
      </c>
      <c r="C184" s="2" t="s">
        <v>11</v>
      </c>
      <c r="D184">
        <v>32</v>
      </c>
      <c r="E184" s="2" t="s">
        <v>16</v>
      </c>
      <c r="F184" s="2" t="s">
        <v>21</v>
      </c>
      <c r="G184">
        <v>42075</v>
      </c>
      <c r="H184" s="1">
        <v>45426</v>
      </c>
      <c r="I184">
        <v>5</v>
      </c>
      <c r="J184">
        <v>1</v>
      </c>
      <c r="K184">
        <v>4208</v>
      </c>
      <c r="L184">
        <v>2104</v>
      </c>
      <c r="M184">
        <v>44179</v>
      </c>
      <c r="N184">
        <v>0</v>
      </c>
      <c r="O184">
        <v>46283</v>
      </c>
    </row>
    <row r="185" spans="1:15" x14ac:dyDescent="0.35">
      <c r="A185">
        <v>184</v>
      </c>
      <c r="B185" s="2" t="s">
        <v>14</v>
      </c>
      <c r="C185" s="2" t="s">
        <v>15</v>
      </c>
      <c r="D185">
        <v>60</v>
      </c>
      <c r="E185" s="2" t="s">
        <v>12</v>
      </c>
      <c r="F185" s="2" t="s">
        <v>25</v>
      </c>
      <c r="G185">
        <v>64236</v>
      </c>
      <c r="H185" s="1">
        <v>45004</v>
      </c>
      <c r="I185">
        <v>9</v>
      </c>
      <c r="J185">
        <v>2</v>
      </c>
      <c r="K185">
        <v>6424</v>
      </c>
      <c r="L185">
        <v>3212</v>
      </c>
      <c r="M185">
        <v>67448</v>
      </c>
      <c r="N185">
        <v>3212</v>
      </c>
      <c r="O185">
        <v>73872</v>
      </c>
    </row>
    <row r="186" spans="1:15" x14ac:dyDescent="0.35">
      <c r="A186">
        <v>185</v>
      </c>
      <c r="B186" s="2" t="s">
        <v>30</v>
      </c>
      <c r="C186" s="2" t="s">
        <v>11</v>
      </c>
      <c r="D186">
        <v>33</v>
      </c>
      <c r="E186" s="2" t="s">
        <v>28</v>
      </c>
      <c r="F186" s="2" t="s">
        <v>19</v>
      </c>
      <c r="G186">
        <v>81205</v>
      </c>
      <c r="H186" s="1">
        <v>45477</v>
      </c>
      <c r="I186">
        <v>13</v>
      </c>
      <c r="J186">
        <v>5</v>
      </c>
      <c r="K186">
        <v>8120</v>
      </c>
      <c r="L186">
        <v>4060</v>
      </c>
      <c r="M186">
        <v>85265</v>
      </c>
      <c r="N186">
        <v>4060</v>
      </c>
      <c r="O186">
        <v>93385</v>
      </c>
    </row>
    <row r="187" spans="1:15" x14ac:dyDescent="0.35">
      <c r="A187">
        <v>186</v>
      </c>
      <c r="B187" s="2" t="s">
        <v>10</v>
      </c>
      <c r="C187" s="2" t="s">
        <v>11</v>
      </c>
      <c r="D187">
        <v>46</v>
      </c>
      <c r="E187" s="2" t="s">
        <v>12</v>
      </c>
      <c r="F187" s="2" t="s">
        <v>17</v>
      </c>
      <c r="G187">
        <v>75571</v>
      </c>
      <c r="H187" s="1">
        <v>44742</v>
      </c>
      <c r="I187">
        <v>19</v>
      </c>
      <c r="J187">
        <v>3</v>
      </c>
      <c r="K187">
        <v>7557</v>
      </c>
      <c r="L187">
        <v>3779</v>
      </c>
      <c r="M187">
        <v>79349</v>
      </c>
      <c r="N187">
        <v>3779</v>
      </c>
      <c r="O187">
        <v>86907</v>
      </c>
    </row>
    <row r="188" spans="1:15" x14ac:dyDescent="0.35">
      <c r="A188">
        <v>187</v>
      </c>
      <c r="B188" s="2" t="s">
        <v>31</v>
      </c>
      <c r="C188" s="2" t="s">
        <v>15</v>
      </c>
      <c r="D188">
        <v>56</v>
      </c>
      <c r="E188" s="2" t="s">
        <v>28</v>
      </c>
      <c r="F188" s="2" t="s">
        <v>21</v>
      </c>
      <c r="G188">
        <v>56155</v>
      </c>
      <c r="H188" s="1">
        <v>45323</v>
      </c>
      <c r="I188">
        <v>2</v>
      </c>
      <c r="J188">
        <v>4</v>
      </c>
      <c r="K188">
        <v>5616</v>
      </c>
      <c r="L188">
        <v>2808</v>
      </c>
      <c r="M188">
        <v>58963</v>
      </c>
      <c r="N188">
        <v>0</v>
      </c>
      <c r="O188">
        <v>61771</v>
      </c>
    </row>
    <row r="189" spans="1:15" x14ac:dyDescent="0.35">
      <c r="A189">
        <v>188</v>
      </c>
      <c r="B189" s="2" t="s">
        <v>26</v>
      </c>
      <c r="C189" s="2" t="s">
        <v>11</v>
      </c>
      <c r="D189">
        <v>50</v>
      </c>
      <c r="E189" s="2" t="s">
        <v>29</v>
      </c>
      <c r="F189" s="2" t="s">
        <v>17</v>
      </c>
      <c r="G189">
        <v>39989</v>
      </c>
      <c r="H189" s="1">
        <v>45474</v>
      </c>
      <c r="I189">
        <v>6</v>
      </c>
      <c r="J189">
        <v>5</v>
      </c>
      <c r="K189">
        <v>3999</v>
      </c>
      <c r="L189">
        <v>1999</v>
      </c>
      <c r="M189">
        <v>41989</v>
      </c>
      <c r="N189">
        <v>1999</v>
      </c>
      <c r="O189">
        <v>45987</v>
      </c>
    </row>
    <row r="190" spans="1:15" x14ac:dyDescent="0.35">
      <c r="A190">
        <v>189</v>
      </c>
      <c r="B190" s="2" t="s">
        <v>18</v>
      </c>
      <c r="C190" s="2" t="s">
        <v>15</v>
      </c>
      <c r="D190">
        <v>24</v>
      </c>
      <c r="E190" s="2" t="s">
        <v>28</v>
      </c>
      <c r="F190" s="2" t="s">
        <v>13</v>
      </c>
      <c r="G190">
        <v>23423</v>
      </c>
      <c r="H190" s="1">
        <v>45204</v>
      </c>
      <c r="I190">
        <v>5</v>
      </c>
      <c r="J190">
        <v>1</v>
      </c>
      <c r="K190">
        <v>2342</v>
      </c>
      <c r="L190">
        <v>1171</v>
      </c>
      <c r="M190">
        <v>24594</v>
      </c>
      <c r="N190">
        <v>0</v>
      </c>
      <c r="O190">
        <v>25765</v>
      </c>
    </row>
    <row r="191" spans="1:15" x14ac:dyDescent="0.35">
      <c r="A191">
        <v>190</v>
      </c>
      <c r="B191" s="2" t="s">
        <v>31</v>
      </c>
      <c r="C191" s="2" t="s">
        <v>15</v>
      </c>
      <c r="D191">
        <v>24</v>
      </c>
      <c r="E191" s="2" t="s">
        <v>24</v>
      </c>
      <c r="F191" s="2" t="s">
        <v>13</v>
      </c>
      <c r="G191">
        <v>53868</v>
      </c>
      <c r="H191" s="1">
        <v>44807</v>
      </c>
      <c r="I191">
        <v>17</v>
      </c>
      <c r="J191">
        <v>1</v>
      </c>
      <c r="K191">
        <v>5387</v>
      </c>
      <c r="L191">
        <v>2693</v>
      </c>
      <c r="M191">
        <v>56562</v>
      </c>
      <c r="N191">
        <v>2693</v>
      </c>
      <c r="O191">
        <v>61948</v>
      </c>
    </row>
    <row r="192" spans="1:15" x14ac:dyDescent="0.35">
      <c r="A192">
        <v>191</v>
      </c>
      <c r="B192" s="2" t="s">
        <v>14</v>
      </c>
      <c r="C192" s="2" t="s">
        <v>11</v>
      </c>
      <c r="D192">
        <v>28</v>
      </c>
      <c r="E192" s="2" t="s">
        <v>28</v>
      </c>
      <c r="F192" s="2" t="s">
        <v>19</v>
      </c>
      <c r="G192">
        <v>50800</v>
      </c>
      <c r="H192" s="1">
        <v>45554</v>
      </c>
      <c r="I192">
        <v>13</v>
      </c>
      <c r="J192">
        <v>5</v>
      </c>
      <c r="K192">
        <v>5080</v>
      </c>
      <c r="L192">
        <v>2540</v>
      </c>
      <c r="M192">
        <v>53340</v>
      </c>
      <c r="N192">
        <v>2540</v>
      </c>
      <c r="O192">
        <v>58420</v>
      </c>
    </row>
    <row r="193" spans="1:15" x14ac:dyDescent="0.35">
      <c r="A193">
        <v>192</v>
      </c>
      <c r="B193" s="2" t="s">
        <v>14</v>
      </c>
      <c r="C193" s="2" t="s">
        <v>15</v>
      </c>
      <c r="D193">
        <v>38</v>
      </c>
      <c r="E193" s="2" t="s">
        <v>28</v>
      </c>
      <c r="F193" s="2" t="s">
        <v>19</v>
      </c>
      <c r="G193">
        <v>71601</v>
      </c>
      <c r="H193" s="1">
        <v>44899</v>
      </c>
      <c r="I193">
        <v>1</v>
      </c>
      <c r="J193">
        <v>5</v>
      </c>
      <c r="K193">
        <v>7160</v>
      </c>
      <c r="L193">
        <v>3580</v>
      </c>
      <c r="M193">
        <v>75181</v>
      </c>
      <c r="N193">
        <v>0</v>
      </c>
      <c r="O193">
        <v>78761</v>
      </c>
    </row>
    <row r="194" spans="1:15" x14ac:dyDescent="0.35">
      <c r="A194">
        <v>193</v>
      </c>
      <c r="B194" s="2" t="s">
        <v>30</v>
      </c>
      <c r="C194" s="2" t="s">
        <v>15</v>
      </c>
      <c r="D194">
        <v>36</v>
      </c>
      <c r="E194" s="2" t="s">
        <v>12</v>
      </c>
      <c r="F194" s="2" t="s">
        <v>25</v>
      </c>
      <c r="G194">
        <v>82894</v>
      </c>
      <c r="H194" s="1">
        <v>44920</v>
      </c>
      <c r="I194">
        <v>3</v>
      </c>
      <c r="J194">
        <v>4</v>
      </c>
      <c r="K194">
        <v>8289</v>
      </c>
      <c r="L194">
        <v>4145</v>
      </c>
      <c r="M194">
        <v>87038</v>
      </c>
      <c r="N194">
        <v>0</v>
      </c>
      <c r="O194">
        <v>91183</v>
      </c>
    </row>
    <row r="195" spans="1:15" x14ac:dyDescent="0.35">
      <c r="A195">
        <v>194</v>
      </c>
      <c r="B195" s="2" t="s">
        <v>22</v>
      </c>
      <c r="C195" s="2" t="s">
        <v>15</v>
      </c>
      <c r="D195">
        <v>34</v>
      </c>
      <c r="E195" s="2" t="s">
        <v>12</v>
      </c>
      <c r="F195" s="2" t="s">
        <v>17</v>
      </c>
      <c r="G195">
        <v>81139</v>
      </c>
      <c r="H195" s="1">
        <v>44936</v>
      </c>
      <c r="I195">
        <v>7</v>
      </c>
      <c r="J195">
        <v>1</v>
      </c>
      <c r="K195">
        <v>8114</v>
      </c>
      <c r="L195">
        <v>4057</v>
      </c>
      <c r="M195">
        <v>85196</v>
      </c>
      <c r="N195">
        <v>4057</v>
      </c>
      <c r="O195">
        <v>93310</v>
      </c>
    </row>
    <row r="196" spans="1:15" x14ac:dyDescent="0.35">
      <c r="A196">
        <v>195</v>
      </c>
      <c r="B196" s="2" t="s">
        <v>22</v>
      </c>
      <c r="C196" s="2" t="s">
        <v>15</v>
      </c>
      <c r="D196">
        <v>24</v>
      </c>
      <c r="E196" s="2" t="s">
        <v>12</v>
      </c>
      <c r="F196" s="2" t="s">
        <v>17</v>
      </c>
      <c r="G196">
        <v>23767</v>
      </c>
      <c r="H196" s="1">
        <v>44920</v>
      </c>
      <c r="I196">
        <v>7</v>
      </c>
      <c r="J196">
        <v>4</v>
      </c>
      <c r="K196">
        <v>2377</v>
      </c>
      <c r="L196">
        <v>1188</v>
      </c>
      <c r="M196">
        <v>24956</v>
      </c>
      <c r="N196">
        <v>1188</v>
      </c>
      <c r="O196">
        <v>27332</v>
      </c>
    </row>
    <row r="197" spans="1:15" x14ac:dyDescent="0.35">
      <c r="A197">
        <v>196</v>
      </c>
      <c r="B197" s="2" t="s">
        <v>27</v>
      </c>
      <c r="C197" s="2" t="s">
        <v>15</v>
      </c>
      <c r="D197">
        <v>36</v>
      </c>
      <c r="E197" s="2" t="s">
        <v>24</v>
      </c>
      <c r="F197" s="2" t="s">
        <v>19</v>
      </c>
      <c r="G197">
        <v>28649</v>
      </c>
      <c r="H197" s="1">
        <v>44714</v>
      </c>
      <c r="I197">
        <v>18</v>
      </c>
      <c r="J197">
        <v>3</v>
      </c>
      <c r="K197">
        <v>2865</v>
      </c>
      <c r="L197">
        <v>1432</v>
      </c>
      <c r="M197">
        <v>30082</v>
      </c>
      <c r="N197">
        <v>1432</v>
      </c>
      <c r="O197">
        <v>32946</v>
      </c>
    </row>
    <row r="198" spans="1:15" x14ac:dyDescent="0.35">
      <c r="A198">
        <v>197</v>
      </c>
      <c r="B198" s="2" t="s">
        <v>10</v>
      </c>
      <c r="C198" s="2" t="s">
        <v>11</v>
      </c>
      <c r="D198">
        <v>59</v>
      </c>
      <c r="E198" s="2" t="s">
        <v>24</v>
      </c>
      <c r="F198" s="2" t="s">
        <v>25</v>
      </c>
      <c r="G198">
        <v>27167</v>
      </c>
      <c r="H198" s="1">
        <v>44829</v>
      </c>
      <c r="I198">
        <v>16</v>
      </c>
      <c r="J198">
        <v>4</v>
      </c>
      <c r="K198">
        <v>2717</v>
      </c>
      <c r="L198">
        <v>1358</v>
      </c>
      <c r="M198">
        <v>28526</v>
      </c>
      <c r="N198">
        <v>1358</v>
      </c>
      <c r="O198">
        <v>31242</v>
      </c>
    </row>
    <row r="199" spans="1:15" x14ac:dyDescent="0.35">
      <c r="A199">
        <v>198</v>
      </c>
      <c r="B199" s="2" t="s">
        <v>20</v>
      </c>
      <c r="C199" s="2" t="s">
        <v>11</v>
      </c>
      <c r="D199">
        <v>55</v>
      </c>
      <c r="E199" s="2" t="s">
        <v>24</v>
      </c>
      <c r="F199" s="2" t="s">
        <v>21</v>
      </c>
      <c r="G199">
        <v>20350</v>
      </c>
      <c r="H199" s="1">
        <v>45546</v>
      </c>
      <c r="I199">
        <v>4</v>
      </c>
      <c r="J199">
        <v>4</v>
      </c>
      <c r="K199">
        <v>2035</v>
      </c>
      <c r="L199">
        <v>1018</v>
      </c>
      <c r="M199">
        <v>21367</v>
      </c>
      <c r="N199">
        <v>0</v>
      </c>
      <c r="O199">
        <v>22385</v>
      </c>
    </row>
    <row r="200" spans="1:15" x14ac:dyDescent="0.35">
      <c r="A200">
        <v>199</v>
      </c>
      <c r="B200" s="2" t="s">
        <v>20</v>
      </c>
      <c r="C200" s="2" t="s">
        <v>11</v>
      </c>
      <c r="D200">
        <v>33</v>
      </c>
      <c r="E200" s="2" t="s">
        <v>24</v>
      </c>
      <c r="F200" s="2" t="s">
        <v>19</v>
      </c>
      <c r="G200">
        <v>94079</v>
      </c>
      <c r="H200" s="1">
        <v>45009</v>
      </c>
      <c r="I200">
        <v>14</v>
      </c>
      <c r="J200">
        <v>4</v>
      </c>
      <c r="K200">
        <v>9408</v>
      </c>
      <c r="L200">
        <v>4704</v>
      </c>
      <c r="M200">
        <v>98783</v>
      </c>
      <c r="N200">
        <v>4704</v>
      </c>
      <c r="O200">
        <v>108191</v>
      </c>
    </row>
    <row r="201" spans="1:15" x14ac:dyDescent="0.35">
      <c r="A201">
        <v>200</v>
      </c>
      <c r="B201" s="2" t="s">
        <v>10</v>
      </c>
      <c r="C201" s="2" t="s">
        <v>11</v>
      </c>
      <c r="D201">
        <v>38</v>
      </c>
      <c r="E201" s="2" t="s">
        <v>16</v>
      </c>
      <c r="F201" s="2" t="s">
        <v>13</v>
      </c>
      <c r="G201">
        <v>37381</v>
      </c>
      <c r="H201" s="1">
        <v>45269</v>
      </c>
      <c r="I201">
        <v>4</v>
      </c>
      <c r="J201">
        <v>4</v>
      </c>
      <c r="K201">
        <v>3738</v>
      </c>
      <c r="L201">
        <v>1869</v>
      </c>
      <c r="M201">
        <v>39250</v>
      </c>
      <c r="N201">
        <v>0</v>
      </c>
      <c r="O201">
        <v>41119</v>
      </c>
    </row>
    <row r="202" spans="1:15" x14ac:dyDescent="0.35">
      <c r="A202">
        <v>201</v>
      </c>
      <c r="B202" s="2" t="s">
        <v>10</v>
      </c>
      <c r="C202" s="2" t="s">
        <v>15</v>
      </c>
      <c r="D202">
        <v>51</v>
      </c>
      <c r="E202" s="2" t="s">
        <v>28</v>
      </c>
      <c r="F202" s="2" t="s">
        <v>21</v>
      </c>
      <c r="G202">
        <v>84260</v>
      </c>
      <c r="H202" s="1">
        <v>45143</v>
      </c>
      <c r="I202">
        <v>11</v>
      </c>
      <c r="J202">
        <v>4</v>
      </c>
      <c r="K202">
        <v>8426</v>
      </c>
      <c r="L202">
        <v>4213</v>
      </c>
      <c r="M202">
        <v>88473</v>
      </c>
      <c r="N202">
        <v>4213</v>
      </c>
      <c r="O202">
        <v>96899</v>
      </c>
    </row>
    <row r="203" spans="1:15" x14ac:dyDescent="0.35">
      <c r="A203">
        <v>202</v>
      </c>
      <c r="B203" s="2" t="s">
        <v>18</v>
      </c>
      <c r="C203" s="2" t="s">
        <v>15</v>
      </c>
      <c r="D203">
        <v>52</v>
      </c>
      <c r="E203" s="2" t="s">
        <v>28</v>
      </c>
      <c r="F203" s="2" t="s">
        <v>19</v>
      </c>
      <c r="G203">
        <v>86975</v>
      </c>
      <c r="H203" s="1">
        <v>44757</v>
      </c>
      <c r="I203">
        <v>9</v>
      </c>
      <c r="J203">
        <v>1</v>
      </c>
      <c r="K203">
        <v>8698</v>
      </c>
      <c r="L203">
        <v>4349</v>
      </c>
      <c r="M203">
        <v>91324</v>
      </c>
      <c r="N203">
        <v>4349</v>
      </c>
      <c r="O203">
        <v>100022</v>
      </c>
    </row>
    <row r="204" spans="1:15" x14ac:dyDescent="0.35">
      <c r="A204">
        <v>203</v>
      </c>
      <c r="B204" s="2" t="s">
        <v>20</v>
      </c>
      <c r="C204" s="2" t="s">
        <v>15</v>
      </c>
      <c r="D204">
        <v>47</v>
      </c>
      <c r="E204" s="2" t="s">
        <v>28</v>
      </c>
      <c r="F204" s="2" t="s">
        <v>17</v>
      </c>
      <c r="G204">
        <v>98011</v>
      </c>
      <c r="H204" s="1">
        <v>45116</v>
      </c>
      <c r="I204">
        <v>12</v>
      </c>
      <c r="J204">
        <v>5</v>
      </c>
      <c r="K204">
        <v>9801</v>
      </c>
      <c r="L204">
        <v>4901</v>
      </c>
      <c r="M204">
        <v>102911</v>
      </c>
      <c r="N204">
        <v>4901</v>
      </c>
      <c r="O204">
        <v>112713</v>
      </c>
    </row>
    <row r="205" spans="1:15" x14ac:dyDescent="0.35">
      <c r="A205">
        <v>204</v>
      </c>
      <c r="B205" s="2" t="s">
        <v>22</v>
      </c>
      <c r="C205" s="2" t="s">
        <v>15</v>
      </c>
      <c r="D205">
        <v>49</v>
      </c>
      <c r="E205" s="2" t="s">
        <v>12</v>
      </c>
      <c r="F205" s="2" t="s">
        <v>19</v>
      </c>
      <c r="G205">
        <v>74706</v>
      </c>
      <c r="H205" s="1">
        <v>44869</v>
      </c>
      <c r="I205">
        <v>16</v>
      </c>
      <c r="J205">
        <v>4</v>
      </c>
      <c r="K205">
        <v>7471</v>
      </c>
      <c r="L205">
        <v>3735</v>
      </c>
      <c r="M205">
        <v>78442</v>
      </c>
      <c r="N205">
        <v>3735</v>
      </c>
      <c r="O205">
        <v>85912</v>
      </c>
    </row>
    <row r="206" spans="1:15" x14ac:dyDescent="0.35">
      <c r="A206">
        <v>205</v>
      </c>
      <c r="B206" s="2" t="s">
        <v>31</v>
      </c>
      <c r="C206" s="2" t="s">
        <v>11</v>
      </c>
      <c r="D206">
        <v>36</v>
      </c>
      <c r="E206" s="2" t="s">
        <v>24</v>
      </c>
      <c r="F206" s="2" t="s">
        <v>17</v>
      </c>
      <c r="G206">
        <v>96260</v>
      </c>
      <c r="H206" s="1">
        <v>45553</v>
      </c>
      <c r="I206">
        <v>1</v>
      </c>
      <c r="J206">
        <v>4</v>
      </c>
      <c r="K206">
        <v>9626</v>
      </c>
      <c r="L206">
        <v>4813</v>
      </c>
      <c r="M206">
        <v>101073</v>
      </c>
      <c r="N206">
        <v>0</v>
      </c>
      <c r="O206">
        <v>105886</v>
      </c>
    </row>
    <row r="207" spans="1:15" x14ac:dyDescent="0.35">
      <c r="A207">
        <v>206</v>
      </c>
      <c r="B207" s="2" t="s">
        <v>18</v>
      </c>
      <c r="C207" s="2" t="s">
        <v>15</v>
      </c>
      <c r="D207">
        <v>51</v>
      </c>
      <c r="E207" s="2" t="s">
        <v>24</v>
      </c>
      <c r="F207" s="2" t="s">
        <v>25</v>
      </c>
      <c r="G207">
        <v>29275</v>
      </c>
      <c r="H207" s="1">
        <v>45386</v>
      </c>
      <c r="I207">
        <v>16</v>
      </c>
      <c r="J207">
        <v>3</v>
      </c>
      <c r="K207">
        <v>2928</v>
      </c>
      <c r="L207">
        <v>1464</v>
      </c>
      <c r="M207">
        <v>30739</v>
      </c>
      <c r="N207">
        <v>1464</v>
      </c>
      <c r="O207">
        <v>33667</v>
      </c>
    </row>
    <row r="208" spans="1:15" x14ac:dyDescent="0.35">
      <c r="A208">
        <v>207</v>
      </c>
      <c r="B208" s="2" t="s">
        <v>22</v>
      </c>
      <c r="C208" s="2" t="s">
        <v>11</v>
      </c>
      <c r="D208">
        <v>24</v>
      </c>
      <c r="E208" s="2" t="s">
        <v>24</v>
      </c>
      <c r="F208" s="2" t="s">
        <v>21</v>
      </c>
      <c r="G208">
        <v>77541</v>
      </c>
      <c r="H208" s="1">
        <v>44917</v>
      </c>
      <c r="I208">
        <v>16</v>
      </c>
      <c r="J208">
        <v>3</v>
      </c>
      <c r="K208">
        <v>7754</v>
      </c>
      <c r="L208">
        <v>3877</v>
      </c>
      <c r="M208">
        <v>81418</v>
      </c>
      <c r="N208">
        <v>3877</v>
      </c>
      <c r="O208">
        <v>89172</v>
      </c>
    </row>
    <row r="209" spans="1:15" x14ac:dyDescent="0.35">
      <c r="A209">
        <v>208</v>
      </c>
      <c r="B209" s="2" t="s">
        <v>20</v>
      </c>
      <c r="C209" s="2" t="s">
        <v>15</v>
      </c>
      <c r="D209">
        <v>39</v>
      </c>
      <c r="E209" s="2" t="s">
        <v>24</v>
      </c>
      <c r="F209" s="2" t="s">
        <v>13</v>
      </c>
      <c r="G209">
        <v>68505</v>
      </c>
      <c r="H209" s="1">
        <v>44717</v>
      </c>
      <c r="I209">
        <v>16</v>
      </c>
      <c r="J209">
        <v>5</v>
      </c>
      <c r="K209">
        <v>6850</v>
      </c>
      <c r="L209">
        <v>3425</v>
      </c>
      <c r="M209">
        <v>71930</v>
      </c>
      <c r="N209">
        <v>3425</v>
      </c>
      <c r="O209">
        <v>78780</v>
      </c>
    </row>
    <row r="210" spans="1:15" x14ac:dyDescent="0.35">
      <c r="A210">
        <v>209</v>
      </c>
      <c r="B210" s="2" t="s">
        <v>10</v>
      </c>
      <c r="C210" s="2" t="s">
        <v>15</v>
      </c>
      <c r="D210">
        <v>27</v>
      </c>
      <c r="E210" s="2" t="s">
        <v>16</v>
      </c>
      <c r="F210" s="2" t="s">
        <v>25</v>
      </c>
      <c r="G210">
        <v>98066</v>
      </c>
      <c r="H210" s="1">
        <v>44754</v>
      </c>
      <c r="I210">
        <v>3</v>
      </c>
      <c r="J210">
        <v>2</v>
      </c>
      <c r="K210">
        <v>9807</v>
      </c>
      <c r="L210">
        <v>4903</v>
      </c>
      <c r="M210">
        <v>102970</v>
      </c>
      <c r="N210">
        <v>0</v>
      </c>
      <c r="O210">
        <v>107873</v>
      </c>
    </row>
    <row r="211" spans="1:15" x14ac:dyDescent="0.35">
      <c r="A211">
        <v>210</v>
      </c>
      <c r="B211" s="2" t="s">
        <v>14</v>
      </c>
      <c r="C211" s="2" t="s">
        <v>11</v>
      </c>
      <c r="D211">
        <v>22</v>
      </c>
      <c r="E211" s="2" t="s">
        <v>12</v>
      </c>
      <c r="F211" s="2" t="s">
        <v>21</v>
      </c>
      <c r="G211">
        <v>79600</v>
      </c>
      <c r="H211" s="1">
        <v>44836</v>
      </c>
      <c r="I211">
        <v>19</v>
      </c>
      <c r="J211">
        <v>5</v>
      </c>
      <c r="K211">
        <v>7960</v>
      </c>
      <c r="L211">
        <v>3980</v>
      </c>
      <c r="M211">
        <v>83580</v>
      </c>
      <c r="N211">
        <v>3980</v>
      </c>
      <c r="O211">
        <v>91540</v>
      </c>
    </row>
    <row r="212" spans="1:15" x14ac:dyDescent="0.35">
      <c r="A212">
        <v>211</v>
      </c>
      <c r="B212" s="2" t="s">
        <v>23</v>
      </c>
      <c r="C212" s="2" t="s">
        <v>15</v>
      </c>
      <c r="D212">
        <v>44</v>
      </c>
      <c r="E212" s="2" t="s">
        <v>12</v>
      </c>
      <c r="F212" s="2" t="s">
        <v>19</v>
      </c>
      <c r="G212">
        <v>88082</v>
      </c>
      <c r="H212" s="1">
        <v>45378</v>
      </c>
      <c r="I212">
        <v>11</v>
      </c>
      <c r="J212">
        <v>5</v>
      </c>
      <c r="K212">
        <v>8808</v>
      </c>
      <c r="L212">
        <v>4404</v>
      </c>
      <c r="M212">
        <v>92486</v>
      </c>
      <c r="N212">
        <v>4404</v>
      </c>
      <c r="O212">
        <v>101294</v>
      </c>
    </row>
    <row r="213" spans="1:15" x14ac:dyDescent="0.35">
      <c r="A213">
        <v>212</v>
      </c>
      <c r="B213" s="2" t="s">
        <v>23</v>
      </c>
      <c r="C213" s="2" t="s">
        <v>11</v>
      </c>
      <c r="D213">
        <v>24</v>
      </c>
      <c r="E213" s="2" t="s">
        <v>12</v>
      </c>
      <c r="F213" s="2" t="s">
        <v>13</v>
      </c>
      <c r="G213">
        <v>89679</v>
      </c>
      <c r="H213" s="1">
        <v>44666</v>
      </c>
      <c r="I213">
        <v>6</v>
      </c>
      <c r="J213">
        <v>2</v>
      </c>
      <c r="K213">
        <v>8968</v>
      </c>
      <c r="L213">
        <v>4484</v>
      </c>
      <c r="M213">
        <v>94163</v>
      </c>
      <c r="N213">
        <v>4484</v>
      </c>
      <c r="O213">
        <v>103131</v>
      </c>
    </row>
    <row r="214" spans="1:15" x14ac:dyDescent="0.35">
      <c r="A214">
        <v>213</v>
      </c>
      <c r="B214" s="2" t="s">
        <v>10</v>
      </c>
      <c r="C214" s="2" t="s">
        <v>15</v>
      </c>
      <c r="D214">
        <v>28</v>
      </c>
      <c r="E214" s="2" t="s">
        <v>12</v>
      </c>
      <c r="F214" s="2" t="s">
        <v>25</v>
      </c>
      <c r="G214">
        <v>91815</v>
      </c>
      <c r="H214" s="1">
        <v>45004</v>
      </c>
      <c r="I214">
        <v>9</v>
      </c>
      <c r="J214">
        <v>3</v>
      </c>
      <c r="K214">
        <v>9182</v>
      </c>
      <c r="L214">
        <v>4591</v>
      </c>
      <c r="M214">
        <v>96406</v>
      </c>
      <c r="N214">
        <v>4591</v>
      </c>
      <c r="O214">
        <v>105588</v>
      </c>
    </row>
    <row r="215" spans="1:15" x14ac:dyDescent="0.35">
      <c r="A215">
        <v>214</v>
      </c>
      <c r="B215" s="2" t="s">
        <v>26</v>
      </c>
      <c r="C215" s="2" t="s">
        <v>11</v>
      </c>
      <c r="D215">
        <v>47</v>
      </c>
      <c r="E215" s="2" t="s">
        <v>29</v>
      </c>
      <c r="F215" s="2" t="s">
        <v>19</v>
      </c>
      <c r="G215">
        <v>90463</v>
      </c>
      <c r="H215" s="1">
        <v>44668</v>
      </c>
      <c r="I215">
        <v>8</v>
      </c>
      <c r="J215">
        <v>1</v>
      </c>
      <c r="K215">
        <v>9046</v>
      </c>
      <c r="L215">
        <v>4523</v>
      </c>
      <c r="M215">
        <v>94986</v>
      </c>
      <c r="N215">
        <v>4523</v>
      </c>
      <c r="O215">
        <v>104032</v>
      </c>
    </row>
    <row r="216" spans="1:15" x14ac:dyDescent="0.35">
      <c r="A216">
        <v>215</v>
      </c>
      <c r="B216" s="2" t="s">
        <v>30</v>
      </c>
      <c r="C216" s="2" t="s">
        <v>11</v>
      </c>
      <c r="D216">
        <v>25</v>
      </c>
      <c r="E216" s="2" t="s">
        <v>28</v>
      </c>
      <c r="F216" s="2" t="s">
        <v>17</v>
      </c>
      <c r="G216">
        <v>78567</v>
      </c>
      <c r="H216" s="1">
        <v>44889</v>
      </c>
      <c r="I216">
        <v>8</v>
      </c>
      <c r="J216">
        <v>1</v>
      </c>
      <c r="K216">
        <v>7857</v>
      </c>
      <c r="L216">
        <v>3928</v>
      </c>
      <c r="M216">
        <v>82496</v>
      </c>
      <c r="N216">
        <v>3928</v>
      </c>
      <c r="O216">
        <v>90352</v>
      </c>
    </row>
    <row r="217" spans="1:15" x14ac:dyDescent="0.35">
      <c r="A217">
        <v>216</v>
      </c>
      <c r="B217" s="2" t="s">
        <v>14</v>
      </c>
      <c r="C217" s="2" t="s">
        <v>15</v>
      </c>
      <c r="D217">
        <v>54</v>
      </c>
      <c r="E217" s="2" t="s">
        <v>29</v>
      </c>
      <c r="F217" s="2" t="s">
        <v>17</v>
      </c>
      <c r="G217">
        <v>95538</v>
      </c>
      <c r="H217" s="1">
        <v>44738</v>
      </c>
      <c r="I217">
        <v>7</v>
      </c>
      <c r="J217">
        <v>4</v>
      </c>
      <c r="K217">
        <v>9554</v>
      </c>
      <c r="L217">
        <v>4777</v>
      </c>
      <c r="M217">
        <v>100315</v>
      </c>
      <c r="N217">
        <v>4777</v>
      </c>
      <c r="O217">
        <v>109869</v>
      </c>
    </row>
    <row r="218" spans="1:15" x14ac:dyDescent="0.35">
      <c r="A218">
        <v>217</v>
      </c>
      <c r="B218" s="2" t="s">
        <v>23</v>
      </c>
      <c r="C218" s="2" t="s">
        <v>11</v>
      </c>
      <c r="D218">
        <v>37</v>
      </c>
      <c r="E218" s="2" t="s">
        <v>12</v>
      </c>
      <c r="F218" s="2" t="s">
        <v>17</v>
      </c>
      <c r="G218">
        <v>36945</v>
      </c>
      <c r="H218" s="1">
        <v>45310</v>
      </c>
      <c r="I218">
        <v>12</v>
      </c>
      <c r="J218">
        <v>3</v>
      </c>
      <c r="K218">
        <v>3694</v>
      </c>
      <c r="L218">
        <v>1847</v>
      </c>
      <c r="M218">
        <v>38792</v>
      </c>
      <c r="N218">
        <v>1847</v>
      </c>
      <c r="O218">
        <v>42486</v>
      </c>
    </row>
    <row r="219" spans="1:15" x14ac:dyDescent="0.35">
      <c r="A219">
        <v>218</v>
      </c>
      <c r="B219" s="2" t="s">
        <v>30</v>
      </c>
      <c r="C219" s="2" t="s">
        <v>15</v>
      </c>
      <c r="D219">
        <v>26</v>
      </c>
      <c r="E219" s="2" t="s">
        <v>28</v>
      </c>
      <c r="F219" s="2" t="s">
        <v>13</v>
      </c>
      <c r="G219">
        <v>50755</v>
      </c>
      <c r="H219" s="1">
        <v>45220</v>
      </c>
      <c r="I219">
        <v>18</v>
      </c>
      <c r="J219">
        <v>5</v>
      </c>
      <c r="K219">
        <v>5076</v>
      </c>
      <c r="L219">
        <v>2538</v>
      </c>
      <c r="M219">
        <v>53293</v>
      </c>
      <c r="N219">
        <v>2538</v>
      </c>
      <c r="O219">
        <v>58369</v>
      </c>
    </row>
    <row r="220" spans="1:15" x14ac:dyDescent="0.35">
      <c r="A220">
        <v>219</v>
      </c>
      <c r="B220" s="2" t="s">
        <v>23</v>
      </c>
      <c r="C220" s="2" t="s">
        <v>11</v>
      </c>
      <c r="D220">
        <v>60</v>
      </c>
      <c r="E220" s="2" t="s">
        <v>16</v>
      </c>
      <c r="F220" s="2" t="s">
        <v>17</v>
      </c>
      <c r="G220">
        <v>35163</v>
      </c>
      <c r="H220" s="1">
        <v>45020</v>
      </c>
      <c r="I220">
        <v>17</v>
      </c>
      <c r="J220">
        <v>3</v>
      </c>
      <c r="K220">
        <v>3516</v>
      </c>
      <c r="L220">
        <v>1758</v>
      </c>
      <c r="M220">
        <v>36921</v>
      </c>
      <c r="N220">
        <v>1758</v>
      </c>
      <c r="O220">
        <v>40437</v>
      </c>
    </row>
    <row r="221" spans="1:15" x14ac:dyDescent="0.35">
      <c r="A221">
        <v>220</v>
      </c>
      <c r="B221" s="2" t="s">
        <v>26</v>
      </c>
      <c r="C221" s="2" t="s">
        <v>11</v>
      </c>
      <c r="D221">
        <v>43</v>
      </c>
      <c r="E221" s="2" t="s">
        <v>28</v>
      </c>
      <c r="F221" s="2" t="s">
        <v>25</v>
      </c>
      <c r="G221">
        <v>68989</v>
      </c>
      <c r="H221" s="1">
        <v>44609</v>
      </c>
      <c r="I221">
        <v>2</v>
      </c>
      <c r="J221">
        <v>4</v>
      </c>
      <c r="K221">
        <v>6899</v>
      </c>
      <c r="L221">
        <v>3449</v>
      </c>
      <c r="M221">
        <v>72439</v>
      </c>
      <c r="N221">
        <v>0</v>
      </c>
      <c r="O221">
        <v>75888</v>
      </c>
    </row>
    <row r="222" spans="1:15" x14ac:dyDescent="0.35">
      <c r="A222">
        <v>221</v>
      </c>
      <c r="B222" s="2" t="s">
        <v>31</v>
      </c>
      <c r="C222" s="2" t="s">
        <v>15</v>
      </c>
      <c r="D222">
        <v>45</v>
      </c>
      <c r="E222" s="2" t="s">
        <v>28</v>
      </c>
      <c r="F222" s="2" t="s">
        <v>13</v>
      </c>
      <c r="G222">
        <v>28098</v>
      </c>
      <c r="H222" s="1">
        <v>45199</v>
      </c>
      <c r="I222">
        <v>17</v>
      </c>
      <c r="J222">
        <v>5</v>
      </c>
      <c r="K222">
        <v>2810</v>
      </c>
      <c r="L222">
        <v>1405</v>
      </c>
      <c r="M222">
        <v>29503</v>
      </c>
      <c r="N222">
        <v>1405</v>
      </c>
      <c r="O222">
        <v>32313</v>
      </c>
    </row>
    <row r="223" spans="1:15" x14ac:dyDescent="0.35">
      <c r="A223">
        <v>222</v>
      </c>
      <c r="B223" s="2" t="s">
        <v>26</v>
      </c>
      <c r="C223" s="2" t="s">
        <v>15</v>
      </c>
      <c r="D223">
        <v>43</v>
      </c>
      <c r="E223" s="2" t="s">
        <v>16</v>
      </c>
      <c r="F223" s="2" t="s">
        <v>17</v>
      </c>
      <c r="G223">
        <v>26541</v>
      </c>
      <c r="H223" s="1">
        <v>44880</v>
      </c>
      <c r="I223">
        <v>15</v>
      </c>
      <c r="J223">
        <v>5</v>
      </c>
      <c r="K223">
        <v>2654</v>
      </c>
      <c r="L223">
        <v>1327</v>
      </c>
      <c r="M223">
        <v>27868</v>
      </c>
      <c r="N223">
        <v>1327</v>
      </c>
      <c r="O223">
        <v>30522</v>
      </c>
    </row>
    <row r="224" spans="1:15" x14ac:dyDescent="0.35">
      <c r="A224">
        <v>223</v>
      </c>
      <c r="B224" s="2" t="s">
        <v>14</v>
      </c>
      <c r="C224" s="2" t="s">
        <v>11</v>
      </c>
      <c r="D224">
        <v>41</v>
      </c>
      <c r="E224" s="2" t="s">
        <v>24</v>
      </c>
      <c r="F224" s="2" t="s">
        <v>19</v>
      </c>
      <c r="G224">
        <v>61019</v>
      </c>
      <c r="H224" s="1">
        <v>45235</v>
      </c>
      <c r="I224">
        <v>1</v>
      </c>
      <c r="J224">
        <v>1</v>
      </c>
      <c r="K224">
        <v>6102</v>
      </c>
      <c r="L224">
        <v>3051</v>
      </c>
      <c r="M224">
        <v>64070</v>
      </c>
      <c r="N224">
        <v>0</v>
      </c>
      <c r="O224">
        <v>67121</v>
      </c>
    </row>
    <row r="225" spans="1:15" x14ac:dyDescent="0.35">
      <c r="A225">
        <v>224</v>
      </c>
      <c r="B225" s="2" t="s">
        <v>14</v>
      </c>
      <c r="C225" s="2" t="s">
        <v>15</v>
      </c>
      <c r="D225">
        <v>23</v>
      </c>
      <c r="E225" s="2" t="s">
        <v>24</v>
      </c>
      <c r="F225" s="2" t="s">
        <v>25</v>
      </c>
      <c r="G225">
        <v>26521</v>
      </c>
      <c r="H225" s="1">
        <v>44814</v>
      </c>
      <c r="I225">
        <v>18</v>
      </c>
      <c r="J225">
        <v>5</v>
      </c>
      <c r="K225">
        <v>2652</v>
      </c>
      <c r="L225">
        <v>1326</v>
      </c>
      <c r="M225">
        <v>27847</v>
      </c>
      <c r="N225">
        <v>1326</v>
      </c>
      <c r="O225">
        <v>30499</v>
      </c>
    </row>
    <row r="226" spans="1:15" x14ac:dyDescent="0.35">
      <c r="A226">
        <v>225</v>
      </c>
      <c r="B226" s="2" t="s">
        <v>20</v>
      </c>
      <c r="C226" s="2" t="s">
        <v>15</v>
      </c>
      <c r="D226">
        <v>57</v>
      </c>
      <c r="E226" s="2" t="s">
        <v>28</v>
      </c>
      <c r="F226" s="2" t="s">
        <v>13</v>
      </c>
      <c r="G226">
        <v>24040</v>
      </c>
      <c r="H226" s="1">
        <v>45069</v>
      </c>
      <c r="I226">
        <v>6</v>
      </c>
      <c r="J226">
        <v>1</v>
      </c>
      <c r="K226">
        <v>2404</v>
      </c>
      <c r="L226">
        <v>1202</v>
      </c>
      <c r="M226">
        <v>25242</v>
      </c>
      <c r="N226">
        <v>1202</v>
      </c>
      <c r="O226">
        <v>27646</v>
      </c>
    </row>
    <row r="227" spans="1:15" x14ac:dyDescent="0.35">
      <c r="A227">
        <v>226</v>
      </c>
      <c r="B227" s="2" t="s">
        <v>10</v>
      </c>
      <c r="C227" s="2" t="s">
        <v>15</v>
      </c>
      <c r="D227">
        <v>45</v>
      </c>
      <c r="E227" s="2" t="s">
        <v>16</v>
      </c>
      <c r="F227" s="2" t="s">
        <v>19</v>
      </c>
      <c r="G227">
        <v>22557</v>
      </c>
      <c r="H227" s="1">
        <v>44879</v>
      </c>
      <c r="I227">
        <v>8</v>
      </c>
      <c r="J227">
        <v>2</v>
      </c>
      <c r="K227">
        <v>2256</v>
      </c>
      <c r="L227">
        <v>1128</v>
      </c>
      <c r="M227">
        <v>23685</v>
      </c>
      <c r="N227">
        <v>1128</v>
      </c>
      <c r="O227">
        <v>25941</v>
      </c>
    </row>
    <row r="228" spans="1:15" x14ac:dyDescent="0.35">
      <c r="A228">
        <v>227</v>
      </c>
      <c r="B228" s="2" t="s">
        <v>20</v>
      </c>
      <c r="C228" s="2" t="s">
        <v>11</v>
      </c>
      <c r="D228">
        <v>35</v>
      </c>
      <c r="E228" s="2" t="s">
        <v>12</v>
      </c>
      <c r="F228" s="2" t="s">
        <v>19</v>
      </c>
      <c r="G228">
        <v>99638</v>
      </c>
      <c r="H228" s="1">
        <v>45327</v>
      </c>
      <c r="I228">
        <v>13</v>
      </c>
      <c r="J228">
        <v>5</v>
      </c>
      <c r="K228">
        <v>9964</v>
      </c>
      <c r="L228">
        <v>4982</v>
      </c>
      <c r="M228">
        <v>104620</v>
      </c>
      <c r="N228">
        <v>4982</v>
      </c>
      <c r="O228">
        <v>114584</v>
      </c>
    </row>
    <row r="229" spans="1:15" x14ac:dyDescent="0.35">
      <c r="A229">
        <v>228</v>
      </c>
      <c r="B229" s="2" t="s">
        <v>14</v>
      </c>
      <c r="C229" s="2" t="s">
        <v>11</v>
      </c>
      <c r="D229">
        <v>29</v>
      </c>
      <c r="E229" s="2" t="s">
        <v>28</v>
      </c>
      <c r="F229" s="2" t="s">
        <v>21</v>
      </c>
      <c r="G229">
        <v>25710</v>
      </c>
      <c r="H229" s="1">
        <v>44779</v>
      </c>
      <c r="I229">
        <v>9</v>
      </c>
      <c r="J229">
        <v>3</v>
      </c>
      <c r="K229">
        <v>2571</v>
      </c>
      <c r="L229">
        <v>1286</v>
      </c>
      <c r="M229">
        <v>26995</v>
      </c>
      <c r="N229">
        <v>1286</v>
      </c>
      <c r="O229">
        <v>29567</v>
      </c>
    </row>
    <row r="230" spans="1:15" x14ac:dyDescent="0.35">
      <c r="A230">
        <v>229</v>
      </c>
      <c r="B230" s="2" t="s">
        <v>27</v>
      </c>
      <c r="C230" s="2" t="s">
        <v>15</v>
      </c>
      <c r="D230">
        <v>24</v>
      </c>
      <c r="E230" s="2" t="s">
        <v>29</v>
      </c>
      <c r="F230" s="2" t="s">
        <v>25</v>
      </c>
      <c r="G230">
        <v>59078</v>
      </c>
      <c r="H230" s="1">
        <v>45246</v>
      </c>
      <c r="I230">
        <v>9</v>
      </c>
      <c r="J230">
        <v>2</v>
      </c>
      <c r="K230">
        <v>5908</v>
      </c>
      <c r="L230">
        <v>2954</v>
      </c>
      <c r="M230">
        <v>62032</v>
      </c>
      <c r="N230">
        <v>2954</v>
      </c>
      <c r="O230">
        <v>67940</v>
      </c>
    </row>
    <row r="231" spans="1:15" x14ac:dyDescent="0.35">
      <c r="A231">
        <v>230</v>
      </c>
      <c r="B231" s="2" t="s">
        <v>27</v>
      </c>
      <c r="C231" s="2" t="s">
        <v>15</v>
      </c>
      <c r="D231">
        <v>58</v>
      </c>
      <c r="E231" s="2" t="s">
        <v>29</v>
      </c>
      <c r="F231" s="2" t="s">
        <v>25</v>
      </c>
      <c r="G231">
        <v>60541</v>
      </c>
      <c r="H231" s="1">
        <v>45269</v>
      </c>
      <c r="I231">
        <v>12</v>
      </c>
      <c r="J231">
        <v>3</v>
      </c>
      <c r="K231">
        <v>6054</v>
      </c>
      <c r="L231">
        <v>3027</v>
      </c>
      <c r="M231">
        <v>63568</v>
      </c>
      <c r="N231">
        <v>3027</v>
      </c>
      <c r="O231">
        <v>69622</v>
      </c>
    </row>
    <row r="232" spans="1:15" x14ac:dyDescent="0.35">
      <c r="A232">
        <v>231</v>
      </c>
      <c r="B232" s="2" t="s">
        <v>26</v>
      </c>
      <c r="C232" s="2" t="s">
        <v>15</v>
      </c>
      <c r="D232">
        <v>25</v>
      </c>
      <c r="E232" s="2" t="s">
        <v>29</v>
      </c>
      <c r="F232" s="2" t="s">
        <v>13</v>
      </c>
      <c r="G232">
        <v>85950</v>
      </c>
      <c r="H232" s="1">
        <v>44835</v>
      </c>
      <c r="I232">
        <v>7</v>
      </c>
      <c r="J232">
        <v>5</v>
      </c>
      <c r="K232">
        <v>8595</v>
      </c>
      <c r="L232">
        <v>4298</v>
      </c>
      <c r="M232">
        <v>90247</v>
      </c>
      <c r="N232">
        <v>4298</v>
      </c>
      <c r="O232">
        <v>98843</v>
      </c>
    </row>
    <row r="233" spans="1:15" x14ac:dyDescent="0.35">
      <c r="A233">
        <v>232</v>
      </c>
      <c r="B233" s="2" t="s">
        <v>31</v>
      </c>
      <c r="C233" s="2" t="s">
        <v>11</v>
      </c>
      <c r="D233">
        <v>43</v>
      </c>
      <c r="E233" s="2" t="s">
        <v>16</v>
      </c>
      <c r="F233" s="2" t="s">
        <v>17</v>
      </c>
      <c r="G233">
        <v>80184</v>
      </c>
      <c r="H233" s="1">
        <v>45068</v>
      </c>
      <c r="I233">
        <v>9</v>
      </c>
      <c r="J233">
        <v>1</v>
      </c>
      <c r="K233">
        <v>8018</v>
      </c>
      <c r="L233">
        <v>4009</v>
      </c>
      <c r="M233">
        <v>84193</v>
      </c>
      <c r="N233">
        <v>4009</v>
      </c>
      <c r="O233">
        <v>92211</v>
      </c>
    </row>
    <row r="234" spans="1:15" x14ac:dyDescent="0.35">
      <c r="A234">
        <v>233</v>
      </c>
      <c r="B234" s="2" t="s">
        <v>23</v>
      </c>
      <c r="C234" s="2" t="s">
        <v>11</v>
      </c>
      <c r="D234">
        <v>54</v>
      </c>
      <c r="E234" s="2" t="s">
        <v>16</v>
      </c>
      <c r="F234" s="2" t="s">
        <v>13</v>
      </c>
      <c r="G234">
        <v>42306</v>
      </c>
      <c r="H234" s="1">
        <v>45048</v>
      </c>
      <c r="I234">
        <v>4</v>
      </c>
      <c r="J234">
        <v>3</v>
      </c>
      <c r="K234">
        <v>4231</v>
      </c>
      <c r="L234">
        <v>2115</v>
      </c>
      <c r="M234">
        <v>44422</v>
      </c>
      <c r="N234">
        <v>0</v>
      </c>
      <c r="O234">
        <v>46537</v>
      </c>
    </row>
    <row r="235" spans="1:15" x14ac:dyDescent="0.35">
      <c r="A235">
        <v>234</v>
      </c>
      <c r="B235" s="2" t="s">
        <v>18</v>
      </c>
      <c r="C235" s="2" t="s">
        <v>11</v>
      </c>
      <c r="D235">
        <v>46</v>
      </c>
      <c r="E235" s="2" t="s">
        <v>24</v>
      </c>
      <c r="F235" s="2" t="s">
        <v>19</v>
      </c>
      <c r="G235">
        <v>44442</v>
      </c>
      <c r="H235" s="1">
        <v>44864</v>
      </c>
      <c r="I235">
        <v>18</v>
      </c>
      <c r="J235">
        <v>2</v>
      </c>
      <c r="K235">
        <v>4444</v>
      </c>
      <c r="L235">
        <v>2222</v>
      </c>
      <c r="M235">
        <v>46664</v>
      </c>
      <c r="N235">
        <v>2222</v>
      </c>
      <c r="O235">
        <v>51108</v>
      </c>
    </row>
    <row r="236" spans="1:15" x14ac:dyDescent="0.35">
      <c r="A236">
        <v>235</v>
      </c>
      <c r="B236" s="2" t="s">
        <v>20</v>
      </c>
      <c r="C236" s="2" t="s">
        <v>15</v>
      </c>
      <c r="D236">
        <v>43</v>
      </c>
      <c r="E236" s="2" t="s">
        <v>28</v>
      </c>
      <c r="F236" s="2" t="s">
        <v>17</v>
      </c>
      <c r="G236">
        <v>23112</v>
      </c>
      <c r="H236" s="1">
        <v>44578</v>
      </c>
      <c r="I236">
        <v>16</v>
      </c>
      <c r="J236">
        <v>3</v>
      </c>
      <c r="K236">
        <v>2311</v>
      </c>
      <c r="L236">
        <v>1156</v>
      </c>
      <c r="M236">
        <v>24267</v>
      </c>
      <c r="N236">
        <v>1156</v>
      </c>
      <c r="O236">
        <v>26579</v>
      </c>
    </row>
    <row r="237" spans="1:15" x14ac:dyDescent="0.35">
      <c r="A237">
        <v>236</v>
      </c>
      <c r="B237" s="2" t="s">
        <v>26</v>
      </c>
      <c r="C237" s="2" t="s">
        <v>15</v>
      </c>
      <c r="D237">
        <v>54</v>
      </c>
      <c r="E237" s="2" t="s">
        <v>24</v>
      </c>
      <c r="F237" s="2" t="s">
        <v>13</v>
      </c>
      <c r="G237">
        <v>49875</v>
      </c>
      <c r="H237" s="1">
        <v>44785</v>
      </c>
      <c r="I237">
        <v>10</v>
      </c>
      <c r="J237">
        <v>5</v>
      </c>
      <c r="K237">
        <v>4988</v>
      </c>
      <c r="L237">
        <v>2494</v>
      </c>
      <c r="M237">
        <v>52369</v>
      </c>
      <c r="N237">
        <v>2494</v>
      </c>
      <c r="O237">
        <v>57357</v>
      </c>
    </row>
    <row r="238" spans="1:15" x14ac:dyDescent="0.35">
      <c r="A238">
        <v>237</v>
      </c>
      <c r="B238" s="2" t="s">
        <v>22</v>
      </c>
      <c r="C238" s="2" t="s">
        <v>11</v>
      </c>
      <c r="D238">
        <v>36</v>
      </c>
      <c r="E238" s="2" t="s">
        <v>24</v>
      </c>
      <c r="F238" s="2" t="s">
        <v>13</v>
      </c>
      <c r="G238">
        <v>71058</v>
      </c>
      <c r="H238" s="1">
        <v>44642</v>
      </c>
      <c r="I238">
        <v>8</v>
      </c>
      <c r="J238">
        <v>4</v>
      </c>
      <c r="K238">
        <v>7106</v>
      </c>
      <c r="L238">
        <v>3553</v>
      </c>
      <c r="M238">
        <v>74611</v>
      </c>
      <c r="N238">
        <v>3553</v>
      </c>
      <c r="O238">
        <v>81717</v>
      </c>
    </row>
    <row r="239" spans="1:15" x14ac:dyDescent="0.35">
      <c r="A239">
        <v>238</v>
      </c>
      <c r="B239" s="2" t="s">
        <v>20</v>
      </c>
      <c r="C239" s="2" t="s">
        <v>11</v>
      </c>
      <c r="D239">
        <v>59</v>
      </c>
      <c r="E239" s="2" t="s">
        <v>12</v>
      </c>
      <c r="F239" s="2" t="s">
        <v>21</v>
      </c>
      <c r="G239">
        <v>83759</v>
      </c>
      <c r="H239" s="1">
        <v>44794</v>
      </c>
      <c r="I239">
        <v>8</v>
      </c>
      <c r="J239">
        <v>5</v>
      </c>
      <c r="K239">
        <v>8376</v>
      </c>
      <c r="L239">
        <v>4188</v>
      </c>
      <c r="M239">
        <v>87947</v>
      </c>
      <c r="N239">
        <v>4188</v>
      </c>
      <c r="O239">
        <v>96323</v>
      </c>
    </row>
    <row r="240" spans="1:15" x14ac:dyDescent="0.35">
      <c r="A240">
        <v>239</v>
      </c>
      <c r="B240" s="2" t="s">
        <v>20</v>
      </c>
      <c r="C240" s="2" t="s">
        <v>15</v>
      </c>
      <c r="D240">
        <v>42</v>
      </c>
      <c r="E240" s="2" t="s">
        <v>29</v>
      </c>
      <c r="F240" s="2" t="s">
        <v>17</v>
      </c>
      <c r="G240">
        <v>86709</v>
      </c>
      <c r="H240" s="1">
        <v>44721</v>
      </c>
      <c r="I240">
        <v>1</v>
      </c>
      <c r="J240">
        <v>4</v>
      </c>
      <c r="K240">
        <v>8671</v>
      </c>
      <c r="L240">
        <v>4335</v>
      </c>
      <c r="M240">
        <v>91045</v>
      </c>
      <c r="N240">
        <v>0</v>
      </c>
      <c r="O240">
        <v>95380</v>
      </c>
    </row>
    <row r="241" spans="1:15" x14ac:dyDescent="0.35">
      <c r="A241">
        <v>240</v>
      </c>
      <c r="B241" s="2" t="s">
        <v>30</v>
      </c>
      <c r="C241" s="2" t="s">
        <v>11</v>
      </c>
      <c r="D241">
        <v>44</v>
      </c>
      <c r="E241" s="2" t="s">
        <v>24</v>
      </c>
      <c r="F241" s="2" t="s">
        <v>19</v>
      </c>
      <c r="G241">
        <v>89358</v>
      </c>
      <c r="H241" s="1">
        <v>45072</v>
      </c>
      <c r="I241">
        <v>16</v>
      </c>
      <c r="J241">
        <v>5</v>
      </c>
      <c r="K241">
        <v>8936</v>
      </c>
      <c r="L241">
        <v>4468</v>
      </c>
      <c r="M241">
        <v>93826</v>
      </c>
      <c r="N241">
        <v>4468</v>
      </c>
      <c r="O241">
        <v>102762</v>
      </c>
    </row>
    <row r="242" spans="1:15" x14ac:dyDescent="0.35">
      <c r="A242">
        <v>241</v>
      </c>
      <c r="B242" s="2" t="s">
        <v>26</v>
      </c>
      <c r="C242" s="2" t="s">
        <v>15</v>
      </c>
      <c r="D242">
        <v>53</v>
      </c>
      <c r="E242" s="2" t="s">
        <v>24</v>
      </c>
      <c r="F242" s="2" t="s">
        <v>13</v>
      </c>
      <c r="G242">
        <v>75566</v>
      </c>
      <c r="H242" s="1">
        <v>45001</v>
      </c>
      <c r="I242">
        <v>19</v>
      </c>
      <c r="J242">
        <v>3</v>
      </c>
      <c r="K242">
        <v>7557</v>
      </c>
      <c r="L242">
        <v>3778</v>
      </c>
      <c r="M242">
        <v>79345</v>
      </c>
      <c r="N242">
        <v>3778</v>
      </c>
      <c r="O242">
        <v>86901</v>
      </c>
    </row>
    <row r="243" spans="1:15" x14ac:dyDescent="0.35">
      <c r="A243">
        <v>242</v>
      </c>
      <c r="B243" s="2" t="s">
        <v>31</v>
      </c>
      <c r="C243" s="2" t="s">
        <v>11</v>
      </c>
      <c r="D243">
        <v>50</v>
      </c>
      <c r="E243" s="2" t="s">
        <v>29</v>
      </c>
      <c r="F243" s="2" t="s">
        <v>25</v>
      </c>
      <c r="G243">
        <v>60081</v>
      </c>
      <c r="H243" s="1">
        <v>45520</v>
      </c>
      <c r="I243">
        <v>9</v>
      </c>
      <c r="J243">
        <v>3</v>
      </c>
      <c r="K243">
        <v>6008</v>
      </c>
      <c r="L243">
        <v>3004</v>
      </c>
      <c r="M243">
        <v>63085</v>
      </c>
      <c r="N243">
        <v>3004</v>
      </c>
      <c r="O243">
        <v>69093</v>
      </c>
    </row>
    <row r="244" spans="1:15" x14ac:dyDescent="0.35">
      <c r="A244">
        <v>243</v>
      </c>
      <c r="B244" s="2" t="s">
        <v>10</v>
      </c>
      <c r="C244" s="2" t="s">
        <v>11</v>
      </c>
      <c r="D244">
        <v>37</v>
      </c>
      <c r="E244" s="2" t="s">
        <v>12</v>
      </c>
      <c r="F244" s="2" t="s">
        <v>17</v>
      </c>
      <c r="G244">
        <v>93487</v>
      </c>
      <c r="H244" s="1">
        <v>44657</v>
      </c>
      <c r="I244">
        <v>11</v>
      </c>
      <c r="J244">
        <v>1</v>
      </c>
      <c r="K244">
        <v>9349</v>
      </c>
      <c r="L244">
        <v>4674</v>
      </c>
      <c r="M244">
        <v>98162</v>
      </c>
      <c r="N244">
        <v>4674</v>
      </c>
      <c r="O244">
        <v>107510</v>
      </c>
    </row>
    <row r="245" spans="1:15" x14ac:dyDescent="0.35">
      <c r="A245">
        <v>244</v>
      </c>
      <c r="B245" s="2" t="s">
        <v>14</v>
      </c>
      <c r="C245" s="2" t="s">
        <v>15</v>
      </c>
      <c r="D245">
        <v>44</v>
      </c>
      <c r="E245" s="2" t="s">
        <v>29</v>
      </c>
      <c r="F245" s="2" t="s">
        <v>17</v>
      </c>
      <c r="G245">
        <v>28764</v>
      </c>
      <c r="H245" s="1">
        <v>44730</v>
      </c>
      <c r="I245">
        <v>14</v>
      </c>
      <c r="J245">
        <v>1</v>
      </c>
      <c r="K245">
        <v>2876</v>
      </c>
      <c r="L245">
        <v>1438</v>
      </c>
      <c r="M245">
        <v>30202</v>
      </c>
      <c r="N245">
        <v>1438</v>
      </c>
      <c r="O245">
        <v>33078</v>
      </c>
    </row>
    <row r="246" spans="1:15" x14ac:dyDescent="0.35">
      <c r="A246">
        <v>245</v>
      </c>
      <c r="B246" s="2" t="s">
        <v>26</v>
      </c>
      <c r="C246" s="2" t="s">
        <v>15</v>
      </c>
      <c r="D246">
        <v>59</v>
      </c>
      <c r="E246" s="2" t="s">
        <v>28</v>
      </c>
      <c r="F246" s="2" t="s">
        <v>13</v>
      </c>
      <c r="G246">
        <v>27980</v>
      </c>
      <c r="H246" s="1">
        <v>45212</v>
      </c>
      <c r="I246">
        <v>4</v>
      </c>
      <c r="J246">
        <v>3</v>
      </c>
      <c r="K246">
        <v>2798</v>
      </c>
      <c r="L246">
        <v>1399</v>
      </c>
      <c r="M246">
        <v>29379</v>
      </c>
      <c r="N246">
        <v>0</v>
      </c>
      <c r="O246">
        <v>30778</v>
      </c>
    </row>
    <row r="247" spans="1:15" x14ac:dyDescent="0.35">
      <c r="A247">
        <v>246</v>
      </c>
      <c r="B247" s="2" t="s">
        <v>31</v>
      </c>
      <c r="C247" s="2" t="s">
        <v>15</v>
      </c>
      <c r="D247">
        <v>42</v>
      </c>
      <c r="E247" s="2" t="s">
        <v>12</v>
      </c>
      <c r="F247" s="2" t="s">
        <v>17</v>
      </c>
      <c r="G247">
        <v>56592</v>
      </c>
      <c r="H247" s="1">
        <v>45367</v>
      </c>
      <c r="I247">
        <v>1</v>
      </c>
      <c r="J247">
        <v>2</v>
      </c>
      <c r="K247">
        <v>5659</v>
      </c>
      <c r="L247">
        <v>2830</v>
      </c>
      <c r="M247">
        <v>59421</v>
      </c>
      <c r="N247">
        <v>0</v>
      </c>
      <c r="O247">
        <v>62251</v>
      </c>
    </row>
    <row r="248" spans="1:15" x14ac:dyDescent="0.35">
      <c r="A248">
        <v>247</v>
      </c>
      <c r="B248" s="2" t="s">
        <v>30</v>
      </c>
      <c r="C248" s="2" t="s">
        <v>15</v>
      </c>
      <c r="D248">
        <v>59</v>
      </c>
      <c r="E248" s="2" t="s">
        <v>24</v>
      </c>
      <c r="F248" s="2" t="s">
        <v>25</v>
      </c>
      <c r="G248">
        <v>66244</v>
      </c>
      <c r="H248" s="1">
        <v>45542</v>
      </c>
      <c r="I248">
        <v>12</v>
      </c>
      <c r="J248">
        <v>4</v>
      </c>
      <c r="K248">
        <v>6624</v>
      </c>
      <c r="L248">
        <v>3312</v>
      </c>
      <c r="M248">
        <v>69556</v>
      </c>
      <c r="N248">
        <v>3312</v>
      </c>
      <c r="O248">
        <v>76180</v>
      </c>
    </row>
    <row r="249" spans="1:15" x14ac:dyDescent="0.35">
      <c r="A249">
        <v>248</v>
      </c>
      <c r="B249" s="2" t="s">
        <v>27</v>
      </c>
      <c r="C249" s="2" t="s">
        <v>15</v>
      </c>
      <c r="D249">
        <v>58</v>
      </c>
      <c r="E249" s="2" t="s">
        <v>16</v>
      </c>
      <c r="F249" s="2" t="s">
        <v>21</v>
      </c>
      <c r="G249">
        <v>37394</v>
      </c>
      <c r="H249" s="1">
        <v>45438</v>
      </c>
      <c r="I249">
        <v>17</v>
      </c>
      <c r="J249">
        <v>4</v>
      </c>
      <c r="K249">
        <v>3739</v>
      </c>
      <c r="L249">
        <v>1870</v>
      </c>
      <c r="M249">
        <v>39263</v>
      </c>
      <c r="N249">
        <v>1870</v>
      </c>
      <c r="O249">
        <v>43003</v>
      </c>
    </row>
    <row r="250" spans="1:15" x14ac:dyDescent="0.35">
      <c r="A250">
        <v>249</v>
      </c>
      <c r="B250" s="2" t="s">
        <v>20</v>
      </c>
      <c r="C250" s="2" t="s">
        <v>11</v>
      </c>
      <c r="D250">
        <v>48</v>
      </c>
      <c r="E250" s="2" t="s">
        <v>12</v>
      </c>
      <c r="F250" s="2" t="s">
        <v>13</v>
      </c>
      <c r="G250">
        <v>62308</v>
      </c>
      <c r="H250" s="1">
        <v>44750</v>
      </c>
      <c r="I250">
        <v>4</v>
      </c>
      <c r="J250">
        <v>3</v>
      </c>
      <c r="K250">
        <v>6231</v>
      </c>
      <c r="L250">
        <v>3115</v>
      </c>
      <c r="M250">
        <v>65424</v>
      </c>
      <c r="N250">
        <v>0</v>
      </c>
      <c r="O250">
        <v>68539</v>
      </c>
    </row>
    <row r="251" spans="1:15" x14ac:dyDescent="0.35">
      <c r="A251">
        <v>250</v>
      </c>
      <c r="B251" s="2" t="s">
        <v>31</v>
      </c>
      <c r="C251" s="2" t="s">
        <v>15</v>
      </c>
      <c r="D251">
        <v>28</v>
      </c>
      <c r="E251" s="2" t="s">
        <v>12</v>
      </c>
      <c r="F251" s="2" t="s">
        <v>25</v>
      </c>
      <c r="G251">
        <v>45035</v>
      </c>
      <c r="H251" s="1">
        <v>45518</v>
      </c>
      <c r="I251">
        <v>18</v>
      </c>
      <c r="J251">
        <v>1</v>
      </c>
      <c r="K251">
        <v>4504</v>
      </c>
      <c r="L251">
        <v>2252</v>
      </c>
      <c r="M251">
        <v>47287</v>
      </c>
      <c r="N251">
        <v>2252</v>
      </c>
      <c r="O251">
        <v>51791</v>
      </c>
    </row>
    <row r="252" spans="1:15" x14ac:dyDescent="0.35">
      <c r="A252">
        <v>251</v>
      </c>
      <c r="B252" s="2" t="s">
        <v>14</v>
      </c>
      <c r="C252" s="2" t="s">
        <v>11</v>
      </c>
      <c r="D252">
        <v>46</v>
      </c>
      <c r="E252" s="2" t="s">
        <v>28</v>
      </c>
      <c r="F252" s="2" t="s">
        <v>17</v>
      </c>
      <c r="G252">
        <v>91821</v>
      </c>
      <c r="H252" s="1">
        <v>45508</v>
      </c>
      <c r="I252">
        <v>4</v>
      </c>
      <c r="J252">
        <v>5</v>
      </c>
      <c r="K252">
        <v>9182</v>
      </c>
      <c r="L252">
        <v>4591</v>
      </c>
      <c r="M252">
        <v>96412</v>
      </c>
      <c r="N252">
        <v>0</v>
      </c>
      <c r="O252">
        <v>101003</v>
      </c>
    </row>
    <row r="253" spans="1:15" x14ac:dyDescent="0.35">
      <c r="A253">
        <v>252</v>
      </c>
      <c r="B253" s="2" t="s">
        <v>23</v>
      </c>
      <c r="C253" s="2" t="s">
        <v>11</v>
      </c>
      <c r="D253">
        <v>47</v>
      </c>
      <c r="E253" s="2" t="s">
        <v>28</v>
      </c>
      <c r="F253" s="2" t="s">
        <v>17</v>
      </c>
      <c r="G253">
        <v>45361</v>
      </c>
      <c r="H253" s="1">
        <v>44963</v>
      </c>
      <c r="I253">
        <v>8</v>
      </c>
      <c r="J253">
        <v>1</v>
      </c>
      <c r="K253">
        <v>4536</v>
      </c>
      <c r="L253">
        <v>2268</v>
      </c>
      <c r="M253">
        <v>47629</v>
      </c>
      <c r="N253">
        <v>2268</v>
      </c>
      <c r="O253">
        <v>52165</v>
      </c>
    </row>
    <row r="254" spans="1:15" x14ac:dyDescent="0.35">
      <c r="A254">
        <v>253</v>
      </c>
      <c r="B254" s="2" t="s">
        <v>18</v>
      </c>
      <c r="C254" s="2" t="s">
        <v>11</v>
      </c>
      <c r="D254">
        <v>22</v>
      </c>
      <c r="E254" s="2" t="s">
        <v>16</v>
      </c>
      <c r="F254" s="2" t="s">
        <v>21</v>
      </c>
      <c r="G254">
        <v>78329</v>
      </c>
      <c r="H254" s="1">
        <v>45466</v>
      </c>
      <c r="I254">
        <v>19</v>
      </c>
      <c r="J254">
        <v>3</v>
      </c>
      <c r="K254">
        <v>7833</v>
      </c>
      <c r="L254">
        <v>3916</v>
      </c>
      <c r="M254">
        <v>82246</v>
      </c>
      <c r="N254">
        <v>3916</v>
      </c>
      <c r="O254">
        <v>90078</v>
      </c>
    </row>
    <row r="255" spans="1:15" x14ac:dyDescent="0.35">
      <c r="A255">
        <v>254</v>
      </c>
      <c r="B255" s="2" t="s">
        <v>31</v>
      </c>
      <c r="C255" s="2" t="s">
        <v>15</v>
      </c>
      <c r="D255">
        <v>56</v>
      </c>
      <c r="E255" s="2" t="s">
        <v>29</v>
      </c>
      <c r="F255" s="2" t="s">
        <v>25</v>
      </c>
      <c r="G255">
        <v>32823</v>
      </c>
      <c r="H255" s="1">
        <v>45304</v>
      </c>
      <c r="I255">
        <v>14</v>
      </c>
      <c r="J255">
        <v>3</v>
      </c>
      <c r="K255">
        <v>3282</v>
      </c>
      <c r="L255">
        <v>1641</v>
      </c>
      <c r="M255">
        <v>34464</v>
      </c>
      <c r="N255">
        <v>1641</v>
      </c>
      <c r="O255">
        <v>37746</v>
      </c>
    </row>
    <row r="256" spans="1:15" x14ac:dyDescent="0.35">
      <c r="A256">
        <v>255</v>
      </c>
      <c r="B256" s="2" t="s">
        <v>26</v>
      </c>
      <c r="C256" s="2" t="s">
        <v>11</v>
      </c>
      <c r="D256">
        <v>24</v>
      </c>
      <c r="E256" s="2" t="s">
        <v>12</v>
      </c>
      <c r="F256" s="2" t="s">
        <v>21</v>
      </c>
      <c r="G256">
        <v>83100</v>
      </c>
      <c r="H256" s="1">
        <v>44982</v>
      </c>
      <c r="I256">
        <v>12</v>
      </c>
      <c r="J256">
        <v>2</v>
      </c>
      <c r="K256">
        <v>8310</v>
      </c>
      <c r="L256">
        <v>4155</v>
      </c>
      <c r="M256">
        <v>87255</v>
      </c>
      <c r="N256">
        <v>4155</v>
      </c>
      <c r="O256">
        <v>95565</v>
      </c>
    </row>
    <row r="257" spans="1:15" x14ac:dyDescent="0.35">
      <c r="A257">
        <v>256</v>
      </c>
      <c r="B257" s="2" t="s">
        <v>30</v>
      </c>
      <c r="C257" s="2" t="s">
        <v>11</v>
      </c>
      <c r="D257">
        <v>50</v>
      </c>
      <c r="E257" s="2" t="s">
        <v>28</v>
      </c>
      <c r="F257" s="2" t="s">
        <v>21</v>
      </c>
      <c r="G257">
        <v>57207</v>
      </c>
      <c r="H257" s="1">
        <v>44619</v>
      </c>
      <c r="I257">
        <v>5</v>
      </c>
      <c r="J257">
        <v>4</v>
      </c>
      <c r="K257">
        <v>5721</v>
      </c>
      <c r="L257">
        <v>2860</v>
      </c>
      <c r="M257">
        <v>60068</v>
      </c>
      <c r="N257">
        <v>0</v>
      </c>
      <c r="O257">
        <v>62928</v>
      </c>
    </row>
    <row r="258" spans="1:15" x14ac:dyDescent="0.35">
      <c r="A258">
        <v>257</v>
      </c>
      <c r="B258" s="2" t="s">
        <v>23</v>
      </c>
      <c r="C258" s="2" t="s">
        <v>15</v>
      </c>
      <c r="D258">
        <v>27</v>
      </c>
      <c r="E258" s="2" t="s">
        <v>29</v>
      </c>
      <c r="F258" s="2" t="s">
        <v>13</v>
      </c>
      <c r="G258">
        <v>43960</v>
      </c>
      <c r="H258" s="1">
        <v>44639</v>
      </c>
      <c r="I258">
        <v>3</v>
      </c>
      <c r="J258">
        <v>1</v>
      </c>
      <c r="K258">
        <v>4396</v>
      </c>
      <c r="L258">
        <v>2198</v>
      </c>
      <c r="M258">
        <v>46158</v>
      </c>
      <c r="N258">
        <v>0</v>
      </c>
      <c r="O258">
        <v>48356</v>
      </c>
    </row>
    <row r="259" spans="1:15" x14ac:dyDescent="0.35">
      <c r="A259">
        <v>258</v>
      </c>
      <c r="B259" s="2" t="s">
        <v>30</v>
      </c>
      <c r="C259" s="2" t="s">
        <v>15</v>
      </c>
      <c r="D259">
        <v>59</v>
      </c>
      <c r="E259" s="2" t="s">
        <v>29</v>
      </c>
      <c r="F259" s="2" t="s">
        <v>13</v>
      </c>
      <c r="G259">
        <v>90018</v>
      </c>
      <c r="H259" s="1">
        <v>44913</v>
      </c>
      <c r="I259">
        <v>6</v>
      </c>
      <c r="J259">
        <v>1</v>
      </c>
      <c r="K259">
        <v>9002</v>
      </c>
      <c r="L259">
        <v>4501</v>
      </c>
      <c r="M259">
        <v>94519</v>
      </c>
      <c r="N259">
        <v>4501</v>
      </c>
      <c r="O259">
        <v>103521</v>
      </c>
    </row>
    <row r="260" spans="1:15" x14ac:dyDescent="0.35">
      <c r="A260">
        <v>259</v>
      </c>
      <c r="B260" s="2" t="s">
        <v>22</v>
      </c>
      <c r="C260" s="2" t="s">
        <v>11</v>
      </c>
      <c r="D260">
        <v>46</v>
      </c>
      <c r="E260" s="2" t="s">
        <v>16</v>
      </c>
      <c r="F260" s="2" t="s">
        <v>17</v>
      </c>
      <c r="G260">
        <v>94684</v>
      </c>
      <c r="H260" s="1">
        <v>44952</v>
      </c>
      <c r="I260">
        <v>20</v>
      </c>
      <c r="J260">
        <v>1</v>
      </c>
      <c r="K260">
        <v>9468</v>
      </c>
      <c r="L260">
        <v>4734</v>
      </c>
      <c r="M260">
        <v>99418</v>
      </c>
      <c r="N260">
        <v>4734</v>
      </c>
      <c r="O260">
        <v>108886</v>
      </c>
    </row>
    <row r="261" spans="1:15" x14ac:dyDescent="0.35">
      <c r="A261">
        <v>260</v>
      </c>
      <c r="B261" s="2" t="s">
        <v>30</v>
      </c>
      <c r="C261" s="2" t="s">
        <v>15</v>
      </c>
      <c r="D261">
        <v>48</v>
      </c>
      <c r="E261" s="2" t="s">
        <v>29</v>
      </c>
      <c r="F261" s="2" t="s">
        <v>13</v>
      </c>
      <c r="G261">
        <v>73525</v>
      </c>
      <c r="H261" s="1">
        <v>45046</v>
      </c>
      <c r="I261">
        <v>12</v>
      </c>
      <c r="J261">
        <v>5</v>
      </c>
      <c r="K261">
        <v>7352</v>
      </c>
      <c r="L261">
        <v>3676</v>
      </c>
      <c r="M261">
        <v>77201</v>
      </c>
      <c r="N261">
        <v>3676</v>
      </c>
      <c r="O261">
        <v>84553</v>
      </c>
    </row>
    <row r="262" spans="1:15" x14ac:dyDescent="0.35">
      <c r="A262">
        <v>261</v>
      </c>
      <c r="B262" s="2" t="s">
        <v>22</v>
      </c>
      <c r="C262" s="2" t="s">
        <v>11</v>
      </c>
      <c r="D262">
        <v>42</v>
      </c>
      <c r="E262" s="2" t="s">
        <v>16</v>
      </c>
      <c r="F262" s="2" t="s">
        <v>17</v>
      </c>
      <c r="G262">
        <v>57655</v>
      </c>
      <c r="H262" s="1">
        <v>44794</v>
      </c>
      <c r="I262">
        <v>19</v>
      </c>
      <c r="J262">
        <v>3</v>
      </c>
      <c r="K262">
        <v>5766</v>
      </c>
      <c r="L262">
        <v>2883</v>
      </c>
      <c r="M262">
        <v>60538</v>
      </c>
      <c r="N262">
        <v>2883</v>
      </c>
      <c r="O262">
        <v>66304</v>
      </c>
    </row>
    <row r="263" spans="1:15" x14ac:dyDescent="0.35">
      <c r="A263">
        <v>262</v>
      </c>
      <c r="B263" s="2" t="s">
        <v>10</v>
      </c>
      <c r="C263" s="2" t="s">
        <v>11</v>
      </c>
      <c r="D263">
        <v>55</v>
      </c>
      <c r="E263" s="2" t="s">
        <v>16</v>
      </c>
      <c r="F263" s="2" t="s">
        <v>21</v>
      </c>
      <c r="G263">
        <v>91427</v>
      </c>
      <c r="H263" s="1">
        <v>45407</v>
      </c>
      <c r="I263">
        <v>19</v>
      </c>
      <c r="J263">
        <v>4</v>
      </c>
      <c r="K263">
        <v>9143</v>
      </c>
      <c r="L263">
        <v>4571</v>
      </c>
      <c r="M263">
        <v>95999</v>
      </c>
      <c r="N263">
        <v>4571</v>
      </c>
      <c r="O263">
        <v>105141</v>
      </c>
    </row>
    <row r="264" spans="1:15" x14ac:dyDescent="0.35">
      <c r="A264">
        <v>263</v>
      </c>
      <c r="B264" s="2" t="s">
        <v>23</v>
      </c>
      <c r="C264" s="2" t="s">
        <v>11</v>
      </c>
      <c r="D264">
        <v>49</v>
      </c>
      <c r="E264" s="2" t="s">
        <v>16</v>
      </c>
      <c r="F264" s="2" t="s">
        <v>17</v>
      </c>
      <c r="G264">
        <v>79652</v>
      </c>
      <c r="H264" s="1">
        <v>45342</v>
      </c>
      <c r="I264">
        <v>10</v>
      </c>
      <c r="J264">
        <v>1</v>
      </c>
      <c r="K264">
        <v>7965</v>
      </c>
      <c r="L264">
        <v>3983</v>
      </c>
      <c r="M264">
        <v>83634</v>
      </c>
      <c r="N264">
        <v>3983</v>
      </c>
      <c r="O264">
        <v>91600</v>
      </c>
    </row>
    <row r="265" spans="1:15" x14ac:dyDescent="0.35">
      <c r="A265">
        <v>264</v>
      </c>
      <c r="B265" s="2" t="s">
        <v>22</v>
      </c>
      <c r="C265" s="2" t="s">
        <v>15</v>
      </c>
      <c r="D265">
        <v>35</v>
      </c>
      <c r="E265" s="2" t="s">
        <v>29</v>
      </c>
      <c r="F265" s="2" t="s">
        <v>25</v>
      </c>
      <c r="G265">
        <v>84528</v>
      </c>
      <c r="H265" s="1">
        <v>44824</v>
      </c>
      <c r="I265">
        <v>15</v>
      </c>
      <c r="J265">
        <v>5</v>
      </c>
      <c r="K265">
        <v>8453</v>
      </c>
      <c r="L265">
        <v>4226</v>
      </c>
      <c r="M265">
        <v>88755</v>
      </c>
      <c r="N265">
        <v>4226</v>
      </c>
      <c r="O265">
        <v>97207</v>
      </c>
    </row>
    <row r="266" spans="1:15" x14ac:dyDescent="0.35">
      <c r="A266">
        <v>265</v>
      </c>
      <c r="B266" s="2" t="s">
        <v>20</v>
      </c>
      <c r="C266" s="2" t="s">
        <v>11</v>
      </c>
      <c r="D266">
        <v>36</v>
      </c>
      <c r="E266" s="2" t="s">
        <v>24</v>
      </c>
      <c r="F266" s="2" t="s">
        <v>21</v>
      </c>
      <c r="G266">
        <v>71000</v>
      </c>
      <c r="H266" s="1">
        <v>44720</v>
      </c>
      <c r="I266">
        <v>2</v>
      </c>
      <c r="J266">
        <v>4</v>
      </c>
      <c r="K266">
        <v>7100</v>
      </c>
      <c r="L266">
        <v>3550</v>
      </c>
      <c r="M266">
        <v>74550</v>
      </c>
      <c r="N266">
        <v>0</v>
      </c>
      <c r="O266">
        <v>78100</v>
      </c>
    </row>
    <row r="267" spans="1:15" x14ac:dyDescent="0.35">
      <c r="A267">
        <v>266</v>
      </c>
      <c r="B267" s="2" t="s">
        <v>14</v>
      </c>
      <c r="C267" s="2" t="s">
        <v>11</v>
      </c>
      <c r="D267">
        <v>44</v>
      </c>
      <c r="E267" s="2" t="s">
        <v>16</v>
      </c>
      <c r="F267" s="2" t="s">
        <v>21</v>
      </c>
      <c r="G267">
        <v>60903</v>
      </c>
      <c r="H267" s="1">
        <v>45346</v>
      </c>
      <c r="I267">
        <v>8</v>
      </c>
      <c r="J267">
        <v>5</v>
      </c>
      <c r="K267">
        <v>6090</v>
      </c>
      <c r="L267">
        <v>3045</v>
      </c>
      <c r="M267">
        <v>63948</v>
      </c>
      <c r="N267">
        <v>3045</v>
      </c>
      <c r="O267">
        <v>70038</v>
      </c>
    </row>
    <row r="268" spans="1:15" x14ac:dyDescent="0.35">
      <c r="A268">
        <v>267</v>
      </c>
      <c r="B268" s="2" t="s">
        <v>22</v>
      </c>
      <c r="C268" s="2" t="s">
        <v>15</v>
      </c>
      <c r="D268">
        <v>55</v>
      </c>
      <c r="E268" s="2" t="s">
        <v>16</v>
      </c>
      <c r="F268" s="2" t="s">
        <v>19</v>
      </c>
      <c r="G268">
        <v>20793</v>
      </c>
      <c r="H268" s="1">
        <v>44622</v>
      </c>
      <c r="I268">
        <v>19</v>
      </c>
      <c r="J268">
        <v>5</v>
      </c>
      <c r="K268">
        <v>2079</v>
      </c>
      <c r="L268">
        <v>1040</v>
      </c>
      <c r="M268">
        <v>21832</v>
      </c>
      <c r="N268">
        <v>1040</v>
      </c>
      <c r="O268">
        <v>23912</v>
      </c>
    </row>
    <row r="269" spans="1:15" x14ac:dyDescent="0.35">
      <c r="A269">
        <v>268</v>
      </c>
      <c r="B269" s="2" t="s">
        <v>31</v>
      </c>
      <c r="C269" s="2" t="s">
        <v>11</v>
      </c>
      <c r="D269">
        <v>55</v>
      </c>
      <c r="E269" s="2" t="s">
        <v>16</v>
      </c>
      <c r="F269" s="2" t="s">
        <v>21</v>
      </c>
      <c r="G269">
        <v>53628</v>
      </c>
      <c r="H269" s="1">
        <v>45270</v>
      </c>
      <c r="I269">
        <v>16</v>
      </c>
      <c r="J269">
        <v>1</v>
      </c>
      <c r="K269">
        <v>5363</v>
      </c>
      <c r="L269">
        <v>2681</v>
      </c>
      <c r="M269">
        <v>56310</v>
      </c>
      <c r="N269">
        <v>2681</v>
      </c>
      <c r="O269">
        <v>61672</v>
      </c>
    </row>
    <row r="270" spans="1:15" x14ac:dyDescent="0.35">
      <c r="A270">
        <v>269</v>
      </c>
      <c r="B270" s="2" t="s">
        <v>23</v>
      </c>
      <c r="C270" s="2" t="s">
        <v>11</v>
      </c>
      <c r="D270">
        <v>46</v>
      </c>
      <c r="E270" s="2" t="s">
        <v>24</v>
      </c>
      <c r="F270" s="2" t="s">
        <v>13</v>
      </c>
      <c r="G270">
        <v>57526</v>
      </c>
      <c r="H270" s="1">
        <v>44572</v>
      </c>
      <c r="I270">
        <v>10</v>
      </c>
      <c r="J270">
        <v>5</v>
      </c>
      <c r="K270">
        <v>5753</v>
      </c>
      <c r="L270">
        <v>2876</v>
      </c>
      <c r="M270">
        <v>60403</v>
      </c>
      <c r="N270">
        <v>2876</v>
      </c>
      <c r="O270">
        <v>66155</v>
      </c>
    </row>
    <row r="271" spans="1:15" x14ac:dyDescent="0.35">
      <c r="A271">
        <v>270</v>
      </c>
      <c r="B271" s="2" t="s">
        <v>31</v>
      </c>
      <c r="C271" s="2" t="s">
        <v>15</v>
      </c>
      <c r="D271">
        <v>26</v>
      </c>
      <c r="E271" s="2" t="s">
        <v>12</v>
      </c>
      <c r="F271" s="2" t="s">
        <v>17</v>
      </c>
      <c r="G271">
        <v>60074</v>
      </c>
      <c r="H271" s="1">
        <v>45263</v>
      </c>
      <c r="I271">
        <v>6</v>
      </c>
      <c r="J271">
        <v>2</v>
      </c>
      <c r="K271">
        <v>6007</v>
      </c>
      <c r="L271">
        <v>3004</v>
      </c>
      <c r="M271">
        <v>63077</v>
      </c>
      <c r="N271">
        <v>3004</v>
      </c>
      <c r="O271">
        <v>69085</v>
      </c>
    </row>
    <row r="272" spans="1:15" x14ac:dyDescent="0.35">
      <c r="A272">
        <v>271</v>
      </c>
      <c r="B272" s="2" t="s">
        <v>26</v>
      </c>
      <c r="C272" s="2" t="s">
        <v>11</v>
      </c>
      <c r="D272">
        <v>58</v>
      </c>
      <c r="E272" s="2" t="s">
        <v>29</v>
      </c>
      <c r="F272" s="2" t="s">
        <v>17</v>
      </c>
      <c r="G272">
        <v>30995</v>
      </c>
      <c r="H272" s="1">
        <v>45391</v>
      </c>
      <c r="I272">
        <v>8</v>
      </c>
      <c r="J272">
        <v>5</v>
      </c>
      <c r="K272">
        <v>3100</v>
      </c>
      <c r="L272">
        <v>1550</v>
      </c>
      <c r="M272">
        <v>32545</v>
      </c>
      <c r="N272">
        <v>1550</v>
      </c>
      <c r="O272">
        <v>35645</v>
      </c>
    </row>
    <row r="273" spans="1:15" x14ac:dyDescent="0.35">
      <c r="A273">
        <v>272</v>
      </c>
      <c r="B273" s="2" t="s">
        <v>30</v>
      </c>
      <c r="C273" s="2" t="s">
        <v>11</v>
      </c>
      <c r="D273">
        <v>50</v>
      </c>
      <c r="E273" s="2" t="s">
        <v>16</v>
      </c>
      <c r="F273" s="2" t="s">
        <v>19</v>
      </c>
      <c r="G273">
        <v>53883</v>
      </c>
      <c r="H273" s="1">
        <v>44641</v>
      </c>
      <c r="I273">
        <v>15</v>
      </c>
      <c r="J273">
        <v>4</v>
      </c>
      <c r="K273">
        <v>5388</v>
      </c>
      <c r="L273">
        <v>2694</v>
      </c>
      <c r="M273">
        <v>56577</v>
      </c>
      <c r="N273">
        <v>2694</v>
      </c>
      <c r="O273">
        <v>61965</v>
      </c>
    </row>
    <row r="274" spans="1:15" x14ac:dyDescent="0.35">
      <c r="A274">
        <v>273</v>
      </c>
      <c r="B274" s="2" t="s">
        <v>27</v>
      </c>
      <c r="C274" s="2" t="s">
        <v>15</v>
      </c>
      <c r="D274">
        <v>25</v>
      </c>
      <c r="E274" s="2" t="s">
        <v>12</v>
      </c>
      <c r="F274" s="2" t="s">
        <v>25</v>
      </c>
      <c r="G274">
        <v>76016</v>
      </c>
      <c r="H274" s="1">
        <v>44939</v>
      </c>
      <c r="I274">
        <v>6</v>
      </c>
      <c r="J274">
        <v>5</v>
      </c>
      <c r="K274">
        <v>7602</v>
      </c>
      <c r="L274">
        <v>3801</v>
      </c>
      <c r="M274">
        <v>79817</v>
      </c>
      <c r="N274">
        <v>3801</v>
      </c>
      <c r="O274">
        <v>87419</v>
      </c>
    </row>
    <row r="275" spans="1:15" x14ac:dyDescent="0.35">
      <c r="A275">
        <v>274</v>
      </c>
      <c r="B275" s="2" t="s">
        <v>22</v>
      </c>
      <c r="C275" s="2" t="s">
        <v>15</v>
      </c>
      <c r="D275">
        <v>30</v>
      </c>
      <c r="E275" s="2" t="s">
        <v>29</v>
      </c>
      <c r="F275" s="2" t="s">
        <v>13</v>
      </c>
      <c r="G275">
        <v>86597</v>
      </c>
      <c r="H275" s="1">
        <v>45305</v>
      </c>
      <c r="I275">
        <v>2</v>
      </c>
      <c r="J275">
        <v>1</v>
      </c>
      <c r="K275">
        <v>8660</v>
      </c>
      <c r="L275">
        <v>4330</v>
      </c>
      <c r="M275">
        <v>90927</v>
      </c>
      <c r="N275">
        <v>0</v>
      </c>
      <c r="O275">
        <v>95257</v>
      </c>
    </row>
    <row r="276" spans="1:15" x14ac:dyDescent="0.35">
      <c r="A276">
        <v>275</v>
      </c>
      <c r="B276" s="2" t="s">
        <v>31</v>
      </c>
      <c r="C276" s="2" t="s">
        <v>11</v>
      </c>
      <c r="D276">
        <v>21</v>
      </c>
      <c r="E276" s="2" t="s">
        <v>28</v>
      </c>
      <c r="F276" s="2" t="s">
        <v>17</v>
      </c>
      <c r="G276">
        <v>77341</v>
      </c>
      <c r="H276" s="1">
        <v>44698</v>
      </c>
      <c r="I276">
        <v>10</v>
      </c>
      <c r="J276">
        <v>4</v>
      </c>
      <c r="K276">
        <v>7734</v>
      </c>
      <c r="L276">
        <v>3867</v>
      </c>
      <c r="M276">
        <v>81208</v>
      </c>
      <c r="N276">
        <v>3867</v>
      </c>
      <c r="O276">
        <v>88942</v>
      </c>
    </row>
    <row r="277" spans="1:15" x14ac:dyDescent="0.35">
      <c r="A277">
        <v>276</v>
      </c>
      <c r="B277" s="2" t="s">
        <v>31</v>
      </c>
      <c r="C277" s="2" t="s">
        <v>15</v>
      </c>
      <c r="D277">
        <v>50</v>
      </c>
      <c r="E277" s="2" t="s">
        <v>12</v>
      </c>
      <c r="F277" s="2" t="s">
        <v>17</v>
      </c>
      <c r="G277">
        <v>91636</v>
      </c>
      <c r="H277" s="1">
        <v>45019</v>
      </c>
      <c r="I277">
        <v>1</v>
      </c>
      <c r="J277">
        <v>1</v>
      </c>
      <c r="K277">
        <v>9164</v>
      </c>
      <c r="L277">
        <v>4582</v>
      </c>
      <c r="M277">
        <v>96218</v>
      </c>
      <c r="N277">
        <v>0</v>
      </c>
      <c r="O277">
        <v>100800</v>
      </c>
    </row>
    <row r="278" spans="1:15" x14ac:dyDescent="0.35">
      <c r="A278">
        <v>277</v>
      </c>
      <c r="B278" s="2" t="s">
        <v>30</v>
      </c>
      <c r="C278" s="2" t="s">
        <v>11</v>
      </c>
      <c r="D278">
        <v>33</v>
      </c>
      <c r="E278" s="2" t="s">
        <v>16</v>
      </c>
      <c r="F278" s="2" t="s">
        <v>19</v>
      </c>
      <c r="G278">
        <v>25558</v>
      </c>
      <c r="H278" s="1">
        <v>44562</v>
      </c>
      <c r="I278">
        <v>8</v>
      </c>
      <c r="J278">
        <v>5</v>
      </c>
      <c r="K278">
        <v>2556</v>
      </c>
      <c r="L278">
        <v>1278</v>
      </c>
      <c r="M278">
        <v>26836</v>
      </c>
      <c r="N278">
        <v>1278</v>
      </c>
      <c r="O278">
        <v>29392</v>
      </c>
    </row>
    <row r="279" spans="1:15" x14ac:dyDescent="0.35">
      <c r="A279">
        <v>278</v>
      </c>
      <c r="B279" s="2" t="s">
        <v>18</v>
      </c>
      <c r="C279" s="2" t="s">
        <v>11</v>
      </c>
      <c r="D279">
        <v>50</v>
      </c>
      <c r="E279" s="2" t="s">
        <v>12</v>
      </c>
      <c r="F279" s="2" t="s">
        <v>19</v>
      </c>
      <c r="G279">
        <v>52656</v>
      </c>
      <c r="H279" s="1">
        <v>45525</v>
      </c>
      <c r="I279">
        <v>19</v>
      </c>
      <c r="J279">
        <v>1</v>
      </c>
      <c r="K279">
        <v>5266</v>
      </c>
      <c r="L279">
        <v>2633</v>
      </c>
      <c r="M279">
        <v>55289</v>
      </c>
      <c r="N279">
        <v>2633</v>
      </c>
      <c r="O279">
        <v>60555</v>
      </c>
    </row>
    <row r="280" spans="1:15" x14ac:dyDescent="0.35">
      <c r="A280">
        <v>279</v>
      </c>
      <c r="B280" s="2" t="s">
        <v>22</v>
      </c>
      <c r="C280" s="2" t="s">
        <v>15</v>
      </c>
      <c r="D280">
        <v>37</v>
      </c>
      <c r="E280" s="2" t="s">
        <v>29</v>
      </c>
      <c r="F280" s="2" t="s">
        <v>21</v>
      </c>
      <c r="G280">
        <v>27388</v>
      </c>
      <c r="H280" s="1">
        <v>45307</v>
      </c>
      <c r="I280">
        <v>6</v>
      </c>
      <c r="J280">
        <v>3</v>
      </c>
      <c r="K280">
        <v>2739</v>
      </c>
      <c r="L280">
        <v>1369</v>
      </c>
      <c r="M280">
        <v>28758</v>
      </c>
      <c r="N280">
        <v>1369</v>
      </c>
      <c r="O280">
        <v>31496</v>
      </c>
    </row>
    <row r="281" spans="1:15" x14ac:dyDescent="0.35">
      <c r="A281">
        <v>280</v>
      </c>
      <c r="B281" s="2" t="s">
        <v>30</v>
      </c>
      <c r="C281" s="2" t="s">
        <v>11</v>
      </c>
      <c r="D281">
        <v>55</v>
      </c>
      <c r="E281" s="2" t="s">
        <v>28</v>
      </c>
      <c r="F281" s="2" t="s">
        <v>19</v>
      </c>
      <c r="G281">
        <v>90080</v>
      </c>
      <c r="H281" s="1">
        <v>45284</v>
      </c>
      <c r="I281">
        <v>8</v>
      </c>
      <c r="J281">
        <v>3</v>
      </c>
      <c r="K281">
        <v>9008</v>
      </c>
      <c r="L281">
        <v>4504</v>
      </c>
      <c r="M281">
        <v>94584</v>
      </c>
      <c r="N281">
        <v>4504</v>
      </c>
      <c r="O281">
        <v>103592</v>
      </c>
    </row>
    <row r="282" spans="1:15" x14ac:dyDescent="0.35">
      <c r="A282">
        <v>281</v>
      </c>
      <c r="B282" s="2" t="s">
        <v>14</v>
      </c>
      <c r="C282" s="2" t="s">
        <v>11</v>
      </c>
      <c r="D282">
        <v>51</v>
      </c>
      <c r="E282" s="2" t="s">
        <v>29</v>
      </c>
      <c r="F282" s="2" t="s">
        <v>21</v>
      </c>
      <c r="G282">
        <v>49134</v>
      </c>
      <c r="H282" s="1">
        <v>44577</v>
      </c>
      <c r="I282">
        <v>16</v>
      </c>
      <c r="J282">
        <v>3</v>
      </c>
      <c r="K282">
        <v>4913</v>
      </c>
      <c r="L282">
        <v>2457</v>
      </c>
      <c r="M282">
        <v>51590</v>
      </c>
      <c r="N282">
        <v>2457</v>
      </c>
      <c r="O282">
        <v>56504</v>
      </c>
    </row>
    <row r="283" spans="1:15" x14ac:dyDescent="0.35">
      <c r="A283">
        <v>282</v>
      </c>
      <c r="B283" s="2" t="s">
        <v>18</v>
      </c>
      <c r="C283" s="2" t="s">
        <v>15</v>
      </c>
      <c r="D283">
        <v>44</v>
      </c>
      <c r="E283" s="2" t="s">
        <v>24</v>
      </c>
      <c r="F283" s="2" t="s">
        <v>19</v>
      </c>
      <c r="G283">
        <v>92842</v>
      </c>
      <c r="H283" s="1">
        <v>45384</v>
      </c>
      <c r="I283">
        <v>17</v>
      </c>
      <c r="J283">
        <v>2</v>
      </c>
      <c r="K283">
        <v>9284</v>
      </c>
      <c r="L283">
        <v>4642</v>
      </c>
      <c r="M283">
        <v>97484</v>
      </c>
      <c r="N283">
        <v>4642</v>
      </c>
      <c r="O283">
        <v>106768</v>
      </c>
    </row>
    <row r="284" spans="1:15" x14ac:dyDescent="0.35">
      <c r="A284">
        <v>283</v>
      </c>
      <c r="B284" s="2" t="s">
        <v>23</v>
      </c>
      <c r="C284" s="2" t="s">
        <v>11</v>
      </c>
      <c r="D284">
        <v>36</v>
      </c>
      <c r="E284" s="2" t="s">
        <v>28</v>
      </c>
      <c r="F284" s="2" t="s">
        <v>25</v>
      </c>
      <c r="G284">
        <v>38657</v>
      </c>
      <c r="H284" s="1">
        <v>44564</v>
      </c>
      <c r="I284">
        <v>9</v>
      </c>
      <c r="J284">
        <v>3</v>
      </c>
      <c r="K284">
        <v>3866</v>
      </c>
      <c r="L284">
        <v>1933</v>
      </c>
      <c r="M284">
        <v>40590</v>
      </c>
      <c r="N284">
        <v>1933</v>
      </c>
      <c r="O284">
        <v>44456</v>
      </c>
    </row>
    <row r="285" spans="1:15" x14ac:dyDescent="0.35">
      <c r="A285">
        <v>284</v>
      </c>
      <c r="B285" s="2" t="s">
        <v>27</v>
      </c>
      <c r="C285" s="2" t="s">
        <v>15</v>
      </c>
      <c r="D285">
        <v>27</v>
      </c>
      <c r="E285" s="2" t="s">
        <v>16</v>
      </c>
      <c r="F285" s="2" t="s">
        <v>19</v>
      </c>
      <c r="G285">
        <v>76635</v>
      </c>
      <c r="H285" s="1">
        <v>45513</v>
      </c>
      <c r="I285">
        <v>12</v>
      </c>
      <c r="J285">
        <v>2</v>
      </c>
      <c r="K285">
        <v>7664</v>
      </c>
      <c r="L285">
        <v>3832</v>
      </c>
      <c r="M285">
        <v>80467</v>
      </c>
      <c r="N285">
        <v>3832</v>
      </c>
      <c r="O285">
        <v>88131</v>
      </c>
    </row>
    <row r="286" spans="1:15" x14ac:dyDescent="0.35">
      <c r="A286">
        <v>285</v>
      </c>
      <c r="B286" s="2" t="s">
        <v>18</v>
      </c>
      <c r="C286" s="2" t="s">
        <v>11</v>
      </c>
      <c r="D286">
        <v>36</v>
      </c>
      <c r="E286" s="2" t="s">
        <v>24</v>
      </c>
      <c r="F286" s="2" t="s">
        <v>25</v>
      </c>
      <c r="G286">
        <v>93913</v>
      </c>
      <c r="H286" s="1">
        <v>45155</v>
      </c>
      <c r="I286">
        <v>5</v>
      </c>
      <c r="J286">
        <v>4</v>
      </c>
      <c r="K286">
        <v>9391</v>
      </c>
      <c r="L286">
        <v>4696</v>
      </c>
      <c r="M286">
        <v>98608</v>
      </c>
      <c r="N286">
        <v>0</v>
      </c>
      <c r="O286">
        <v>103304</v>
      </c>
    </row>
    <row r="287" spans="1:15" x14ac:dyDescent="0.35">
      <c r="A287">
        <v>286</v>
      </c>
      <c r="B287" s="2" t="s">
        <v>31</v>
      </c>
      <c r="C287" s="2" t="s">
        <v>11</v>
      </c>
      <c r="D287">
        <v>53</v>
      </c>
      <c r="E287" s="2" t="s">
        <v>28</v>
      </c>
      <c r="F287" s="2" t="s">
        <v>21</v>
      </c>
      <c r="G287">
        <v>25841</v>
      </c>
      <c r="H287" s="1">
        <v>45225</v>
      </c>
      <c r="I287">
        <v>14</v>
      </c>
      <c r="J287">
        <v>4</v>
      </c>
      <c r="K287">
        <v>2584</v>
      </c>
      <c r="L287">
        <v>1292</v>
      </c>
      <c r="M287">
        <v>27133</v>
      </c>
      <c r="N287">
        <v>1292</v>
      </c>
      <c r="O287">
        <v>29717</v>
      </c>
    </row>
    <row r="288" spans="1:15" x14ac:dyDescent="0.35">
      <c r="A288">
        <v>287</v>
      </c>
      <c r="B288" s="2" t="s">
        <v>14</v>
      </c>
      <c r="C288" s="2" t="s">
        <v>11</v>
      </c>
      <c r="D288">
        <v>23</v>
      </c>
      <c r="E288" s="2" t="s">
        <v>28</v>
      </c>
      <c r="F288" s="2" t="s">
        <v>25</v>
      </c>
      <c r="G288">
        <v>46482</v>
      </c>
      <c r="H288" s="1">
        <v>45553</v>
      </c>
      <c r="I288">
        <v>16</v>
      </c>
      <c r="J288">
        <v>3</v>
      </c>
      <c r="K288">
        <v>4648</v>
      </c>
      <c r="L288">
        <v>2324</v>
      </c>
      <c r="M288">
        <v>48806</v>
      </c>
      <c r="N288">
        <v>2324</v>
      </c>
      <c r="O288">
        <v>53454</v>
      </c>
    </row>
    <row r="289" spans="1:15" x14ac:dyDescent="0.35">
      <c r="A289">
        <v>288</v>
      </c>
      <c r="B289" s="2" t="s">
        <v>31</v>
      </c>
      <c r="C289" s="2" t="s">
        <v>15</v>
      </c>
      <c r="D289">
        <v>24</v>
      </c>
      <c r="E289" s="2" t="s">
        <v>16</v>
      </c>
      <c r="F289" s="2" t="s">
        <v>21</v>
      </c>
      <c r="G289">
        <v>41176</v>
      </c>
      <c r="H289" s="1">
        <v>45133</v>
      </c>
      <c r="I289">
        <v>10</v>
      </c>
      <c r="J289">
        <v>2</v>
      </c>
      <c r="K289">
        <v>4118</v>
      </c>
      <c r="L289">
        <v>2059</v>
      </c>
      <c r="M289">
        <v>43235</v>
      </c>
      <c r="N289">
        <v>2059</v>
      </c>
      <c r="O289">
        <v>47353</v>
      </c>
    </row>
    <row r="290" spans="1:15" x14ac:dyDescent="0.35">
      <c r="A290">
        <v>289</v>
      </c>
      <c r="B290" s="2" t="s">
        <v>14</v>
      </c>
      <c r="C290" s="2" t="s">
        <v>11</v>
      </c>
      <c r="D290">
        <v>35</v>
      </c>
      <c r="E290" s="2" t="s">
        <v>16</v>
      </c>
      <c r="F290" s="2" t="s">
        <v>25</v>
      </c>
      <c r="G290">
        <v>89209</v>
      </c>
      <c r="H290" s="1">
        <v>44668</v>
      </c>
      <c r="I290">
        <v>5</v>
      </c>
      <c r="J290">
        <v>5</v>
      </c>
      <c r="K290">
        <v>8921</v>
      </c>
      <c r="L290">
        <v>4460</v>
      </c>
      <c r="M290">
        <v>93670</v>
      </c>
      <c r="N290">
        <v>0</v>
      </c>
      <c r="O290">
        <v>98130</v>
      </c>
    </row>
    <row r="291" spans="1:15" x14ac:dyDescent="0.35">
      <c r="A291">
        <v>290</v>
      </c>
      <c r="B291" s="2" t="s">
        <v>31</v>
      </c>
      <c r="C291" s="2" t="s">
        <v>15</v>
      </c>
      <c r="D291">
        <v>56</v>
      </c>
      <c r="E291" s="2" t="s">
        <v>29</v>
      </c>
      <c r="F291" s="2" t="s">
        <v>25</v>
      </c>
      <c r="G291">
        <v>51194</v>
      </c>
      <c r="H291" s="1">
        <v>45112</v>
      </c>
      <c r="I291">
        <v>10</v>
      </c>
      <c r="J291">
        <v>5</v>
      </c>
      <c r="K291">
        <v>5119</v>
      </c>
      <c r="L291">
        <v>2560</v>
      </c>
      <c r="M291">
        <v>53753</v>
      </c>
      <c r="N291">
        <v>2560</v>
      </c>
      <c r="O291">
        <v>58873</v>
      </c>
    </row>
    <row r="292" spans="1:15" x14ac:dyDescent="0.35">
      <c r="A292">
        <v>291</v>
      </c>
      <c r="B292" s="2" t="s">
        <v>20</v>
      </c>
      <c r="C292" s="2" t="s">
        <v>15</v>
      </c>
      <c r="D292">
        <v>28</v>
      </c>
      <c r="E292" s="2" t="s">
        <v>12</v>
      </c>
      <c r="F292" s="2" t="s">
        <v>13</v>
      </c>
      <c r="G292">
        <v>67782</v>
      </c>
      <c r="H292" s="1">
        <v>44720</v>
      </c>
      <c r="I292">
        <v>13</v>
      </c>
      <c r="J292">
        <v>4</v>
      </c>
      <c r="K292">
        <v>6778</v>
      </c>
      <c r="L292">
        <v>3389</v>
      </c>
      <c r="M292">
        <v>71171</v>
      </c>
      <c r="N292">
        <v>3389</v>
      </c>
      <c r="O292">
        <v>77949</v>
      </c>
    </row>
    <row r="293" spans="1:15" x14ac:dyDescent="0.35">
      <c r="A293">
        <v>292</v>
      </c>
      <c r="B293" s="2" t="s">
        <v>23</v>
      </c>
      <c r="C293" s="2" t="s">
        <v>11</v>
      </c>
      <c r="D293">
        <v>38</v>
      </c>
      <c r="E293" s="2" t="s">
        <v>29</v>
      </c>
      <c r="F293" s="2" t="s">
        <v>17</v>
      </c>
      <c r="G293">
        <v>31299</v>
      </c>
      <c r="H293" s="1">
        <v>45420</v>
      </c>
      <c r="I293">
        <v>17</v>
      </c>
      <c r="J293">
        <v>3</v>
      </c>
      <c r="K293">
        <v>3130</v>
      </c>
      <c r="L293">
        <v>1565</v>
      </c>
      <c r="M293">
        <v>32864</v>
      </c>
      <c r="N293">
        <v>1565</v>
      </c>
      <c r="O293">
        <v>35994</v>
      </c>
    </row>
    <row r="294" spans="1:15" x14ac:dyDescent="0.35">
      <c r="A294">
        <v>293</v>
      </c>
      <c r="B294" s="2" t="s">
        <v>10</v>
      </c>
      <c r="C294" s="2" t="s">
        <v>15</v>
      </c>
      <c r="D294">
        <v>40</v>
      </c>
      <c r="E294" s="2" t="s">
        <v>24</v>
      </c>
      <c r="F294" s="2" t="s">
        <v>19</v>
      </c>
      <c r="G294">
        <v>35871</v>
      </c>
      <c r="H294" s="1">
        <v>44727</v>
      </c>
      <c r="I294">
        <v>18</v>
      </c>
      <c r="J294">
        <v>2</v>
      </c>
      <c r="K294">
        <v>3587</v>
      </c>
      <c r="L294">
        <v>1794</v>
      </c>
      <c r="M294">
        <v>37664</v>
      </c>
      <c r="N294">
        <v>1794</v>
      </c>
      <c r="O294">
        <v>41252</v>
      </c>
    </row>
    <row r="295" spans="1:15" x14ac:dyDescent="0.35">
      <c r="A295">
        <v>294</v>
      </c>
      <c r="B295" s="2" t="s">
        <v>30</v>
      </c>
      <c r="C295" s="2" t="s">
        <v>15</v>
      </c>
      <c r="D295">
        <v>25</v>
      </c>
      <c r="E295" s="2" t="s">
        <v>24</v>
      </c>
      <c r="F295" s="2" t="s">
        <v>13</v>
      </c>
      <c r="G295">
        <v>42145</v>
      </c>
      <c r="H295" s="1">
        <v>44731</v>
      </c>
      <c r="I295">
        <v>7</v>
      </c>
      <c r="J295">
        <v>1</v>
      </c>
      <c r="K295">
        <v>4214</v>
      </c>
      <c r="L295">
        <v>2107</v>
      </c>
      <c r="M295">
        <v>44252</v>
      </c>
      <c r="N295">
        <v>2107</v>
      </c>
      <c r="O295">
        <v>48466</v>
      </c>
    </row>
    <row r="296" spans="1:15" x14ac:dyDescent="0.35">
      <c r="A296">
        <v>295</v>
      </c>
      <c r="B296" s="2" t="s">
        <v>20</v>
      </c>
      <c r="C296" s="2" t="s">
        <v>11</v>
      </c>
      <c r="D296">
        <v>45</v>
      </c>
      <c r="E296" s="2" t="s">
        <v>28</v>
      </c>
      <c r="F296" s="2" t="s">
        <v>13</v>
      </c>
      <c r="G296">
        <v>69259</v>
      </c>
      <c r="H296" s="1">
        <v>44979</v>
      </c>
      <c r="I296">
        <v>6</v>
      </c>
      <c r="J296">
        <v>4</v>
      </c>
      <c r="K296">
        <v>6926</v>
      </c>
      <c r="L296">
        <v>3463</v>
      </c>
      <c r="M296">
        <v>72722</v>
      </c>
      <c r="N296">
        <v>3463</v>
      </c>
      <c r="O296">
        <v>79648</v>
      </c>
    </row>
    <row r="297" spans="1:15" x14ac:dyDescent="0.35">
      <c r="A297">
        <v>296</v>
      </c>
      <c r="B297" s="2" t="s">
        <v>30</v>
      </c>
      <c r="C297" s="2" t="s">
        <v>11</v>
      </c>
      <c r="D297">
        <v>53</v>
      </c>
      <c r="E297" s="2" t="s">
        <v>29</v>
      </c>
      <c r="F297" s="2" t="s">
        <v>19</v>
      </c>
      <c r="G297">
        <v>79121</v>
      </c>
      <c r="H297" s="1">
        <v>45558</v>
      </c>
      <c r="I297">
        <v>14</v>
      </c>
      <c r="J297">
        <v>1</v>
      </c>
      <c r="K297">
        <v>7912</v>
      </c>
      <c r="L297">
        <v>3956</v>
      </c>
      <c r="M297">
        <v>83077</v>
      </c>
      <c r="N297">
        <v>3956</v>
      </c>
      <c r="O297">
        <v>90989</v>
      </c>
    </row>
    <row r="298" spans="1:15" x14ac:dyDescent="0.35">
      <c r="A298">
        <v>297</v>
      </c>
      <c r="B298" s="2" t="s">
        <v>30</v>
      </c>
      <c r="C298" s="2" t="s">
        <v>11</v>
      </c>
      <c r="D298">
        <v>26</v>
      </c>
      <c r="E298" s="2" t="s">
        <v>12</v>
      </c>
      <c r="F298" s="2" t="s">
        <v>19</v>
      </c>
      <c r="G298">
        <v>34276</v>
      </c>
      <c r="H298" s="1">
        <v>44975</v>
      </c>
      <c r="I298">
        <v>1</v>
      </c>
      <c r="J298">
        <v>1</v>
      </c>
      <c r="K298">
        <v>3428</v>
      </c>
      <c r="L298">
        <v>1714</v>
      </c>
      <c r="M298">
        <v>35990</v>
      </c>
      <c r="N298">
        <v>0</v>
      </c>
      <c r="O298">
        <v>37704</v>
      </c>
    </row>
    <row r="299" spans="1:15" x14ac:dyDescent="0.35">
      <c r="A299">
        <v>298</v>
      </c>
      <c r="B299" s="2" t="s">
        <v>30</v>
      </c>
      <c r="C299" s="2" t="s">
        <v>11</v>
      </c>
      <c r="D299">
        <v>57</v>
      </c>
      <c r="E299" s="2" t="s">
        <v>29</v>
      </c>
      <c r="F299" s="2" t="s">
        <v>19</v>
      </c>
      <c r="G299">
        <v>51080</v>
      </c>
      <c r="H299" s="1">
        <v>44771</v>
      </c>
      <c r="I299">
        <v>7</v>
      </c>
      <c r="J299">
        <v>1</v>
      </c>
      <c r="K299">
        <v>5108</v>
      </c>
      <c r="L299">
        <v>2554</v>
      </c>
      <c r="M299">
        <v>53634</v>
      </c>
      <c r="N299">
        <v>2554</v>
      </c>
      <c r="O299">
        <v>58742</v>
      </c>
    </row>
    <row r="300" spans="1:15" x14ac:dyDescent="0.35">
      <c r="A300">
        <v>299</v>
      </c>
      <c r="B300" s="2" t="s">
        <v>23</v>
      </c>
      <c r="C300" s="2" t="s">
        <v>15</v>
      </c>
      <c r="D300">
        <v>31</v>
      </c>
      <c r="E300" s="2" t="s">
        <v>28</v>
      </c>
      <c r="F300" s="2" t="s">
        <v>17</v>
      </c>
      <c r="G300">
        <v>58213</v>
      </c>
      <c r="H300" s="1">
        <v>45162</v>
      </c>
      <c r="I300">
        <v>17</v>
      </c>
      <c r="J300">
        <v>2</v>
      </c>
      <c r="K300">
        <v>5821</v>
      </c>
      <c r="L300">
        <v>2911</v>
      </c>
      <c r="M300">
        <v>61123</v>
      </c>
      <c r="N300">
        <v>2911</v>
      </c>
      <c r="O300">
        <v>66945</v>
      </c>
    </row>
    <row r="301" spans="1:15" x14ac:dyDescent="0.35">
      <c r="A301">
        <v>300</v>
      </c>
      <c r="B301" s="2" t="s">
        <v>10</v>
      </c>
      <c r="C301" s="2" t="s">
        <v>11</v>
      </c>
      <c r="D301">
        <v>51</v>
      </c>
      <c r="E301" s="2" t="s">
        <v>29</v>
      </c>
      <c r="F301" s="2" t="s">
        <v>19</v>
      </c>
      <c r="G301">
        <v>75891</v>
      </c>
      <c r="H301" s="1">
        <v>44676</v>
      </c>
      <c r="I301">
        <v>1</v>
      </c>
      <c r="J301">
        <v>2</v>
      </c>
      <c r="K301">
        <v>7589</v>
      </c>
      <c r="L301">
        <v>3795</v>
      </c>
      <c r="M301">
        <v>79685</v>
      </c>
      <c r="N301">
        <v>0</v>
      </c>
      <c r="O301">
        <v>83480</v>
      </c>
    </row>
    <row r="302" spans="1:15" x14ac:dyDescent="0.35">
      <c r="A302">
        <v>301</v>
      </c>
      <c r="B302" s="2" t="s">
        <v>10</v>
      </c>
      <c r="C302" s="2" t="s">
        <v>15</v>
      </c>
      <c r="D302">
        <v>50</v>
      </c>
      <c r="E302" s="2" t="s">
        <v>16</v>
      </c>
      <c r="F302" s="2" t="s">
        <v>13</v>
      </c>
      <c r="G302">
        <v>68166</v>
      </c>
      <c r="H302" s="1">
        <v>45289</v>
      </c>
      <c r="I302">
        <v>18</v>
      </c>
      <c r="J302">
        <v>2</v>
      </c>
      <c r="K302">
        <v>6817</v>
      </c>
      <c r="L302">
        <v>3408</v>
      </c>
      <c r="M302">
        <v>71575</v>
      </c>
      <c r="N302">
        <v>3408</v>
      </c>
      <c r="O302">
        <v>78391</v>
      </c>
    </row>
    <row r="303" spans="1:15" x14ac:dyDescent="0.35">
      <c r="A303">
        <v>302</v>
      </c>
      <c r="B303" s="2" t="s">
        <v>20</v>
      </c>
      <c r="C303" s="2" t="s">
        <v>15</v>
      </c>
      <c r="D303">
        <v>29</v>
      </c>
      <c r="E303" s="2" t="s">
        <v>12</v>
      </c>
      <c r="F303" s="2" t="s">
        <v>13</v>
      </c>
      <c r="G303">
        <v>32928</v>
      </c>
      <c r="H303" s="1">
        <v>45243</v>
      </c>
      <c r="I303">
        <v>4</v>
      </c>
      <c r="J303">
        <v>4</v>
      </c>
      <c r="K303">
        <v>3293</v>
      </c>
      <c r="L303">
        <v>1646</v>
      </c>
      <c r="M303">
        <v>34575</v>
      </c>
      <c r="N303">
        <v>0</v>
      </c>
      <c r="O303">
        <v>36221</v>
      </c>
    </row>
    <row r="304" spans="1:15" x14ac:dyDescent="0.35">
      <c r="A304">
        <v>303</v>
      </c>
      <c r="B304" s="2" t="s">
        <v>20</v>
      </c>
      <c r="C304" s="2" t="s">
        <v>15</v>
      </c>
      <c r="D304">
        <v>30</v>
      </c>
      <c r="E304" s="2" t="s">
        <v>24</v>
      </c>
      <c r="F304" s="2" t="s">
        <v>19</v>
      </c>
      <c r="G304">
        <v>79689</v>
      </c>
      <c r="H304" s="1">
        <v>44718</v>
      </c>
      <c r="I304">
        <v>19</v>
      </c>
      <c r="J304">
        <v>2</v>
      </c>
      <c r="K304">
        <v>7969</v>
      </c>
      <c r="L304">
        <v>3984</v>
      </c>
      <c r="M304">
        <v>83674</v>
      </c>
      <c r="N304">
        <v>3984</v>
      </c>
      <c r="O304">
        <v>91642</v>
      </c>
    </row>
    <row r="305" spans="1:15" x14ac:dyDescent="0.35">
      <c r="A305">
        <v>304</v>
      </c>
      <c r="B305" s="2" t="s">
        <v>22</v>
      </c>
      <c r="C305" s="2" t="s">
        <v>15</v>
      </c>
      <c r="D305">
        <v>31</v>
      </c>
      <c r="E305" s="2" t="s">
        <v>12</v>
      </c>
      <c r="F305" s="2" t="s">
        <v>13</v>
      </c>
      <c r="G305">
        <v>67154</v>
      </c>
      <c r="H305" s="1">
        <v>44853</v>
      </c>
      <c r="I305">
        <v>2</v>
      </c>
      <c r="J305">
        <v>3</v>
      </c>
      <c r="K305">
        <v>6715</v>
      </c>
      <c r="L305">
        <v>3358</v>
      </c>
      <c r="M305">
        <v>70511</v>
      </c>
      <c r="N305">
        <v>0</v>
      </c>
      <c r="O305">
        <v>73869</v>
      </c>
    </row>
    <row r="306" spans="1:15" x14ac:dyDescent="0.35">
      <c r="A306">
        <v>305</v>
      </c>
      <c r="B306" s="2" t="s">
        <v>14</v>
      </c>
      <c r="C306" s="2" t="s">
        <v>11</v>
      </c>
      <c r="D306">
        <v>36</v>
      </c>
      <c r="E306" s="2" t="s">
        <v>24</v>
      </c>
      <c r="F306" s="2" t="s">
        <v>21</v>
      </c>
      <c r="G306">
        <v>26459</v>
      </c>
      <c r="H306" s="1">
        <v>45359</v>
      </c>
      <c r="I306">
        <v>18</v>
      </c>
      <c r="J306">
        <v>2</v>
      </c>
      <c r="K306">
        <v>2646</v>
      </c>
      <c r="L306">
        <v>1323</v>
      </c>
      <c r="M306">
        <v>27782</v>
      </c>
      <c r="N306">
        <v>1323</v>
      </c>
      <c r="O306">
        <v>30428</v>
      </c>
    </row>
    <row r="307" spans="1:15" x14ac:dyDescent="0.35">
      <c r="A307">
        <v>306</v>
      </c>
      <c r="B307" s="2" t="s">
        <v>31</v>
      </c>
      <c r="C307" s="2" t="s">
        <v>11</v>
      </c>
      <c r="D307">
        <v>24</v>
      </c>
      <c r="E307" s="2" t="s">
        <v>16</v>
      </c>
      <c r="F307" s="2" t="s">
        <v>19</v>
      </c>
      <c r="G307">
        <v>32441</v>
      </c>
      <c r="H307" s="1">
        <v>45513</v>
      </c>
      <c r="I307">
        <v>18</v>
      </c>
      <c r="J307">
        <v>2</v>
      </c>
      <c r="K307">
        <v>3244</v>
      </c>
      <c r="L307">
        <v>1622</v>
      </c>
      <c r="M307">
        <v>34063</v>
      </c>
      <c r="N307">
        <v>1622</v>
      </c>
      <c r="O307">
        <v>37307</v>
      </c>
    </row>
    <row r="308" spans="1:15" x14ac:dyDescent="0.35">
      <c r="A308">
        <v>307</v>
      </c>
      <c r="B308" s="2" t="s">
        <v>26</v>
      </c>
      <c r="C308" s="2" t="s">
        <v>11</v>
      </c>
      <c r="D308">
        <v>51</v>
      </c>
      <c r="E308" s="2" t="s">
        <v>29</v>
      </c>
      <c r="F308" s="2" t="s">
        <v>17</v>
      </c>
      <c r="G308">
        <v>69494</v>
      </c>
      <c r="H308" s="1">
        <v>44757</v>
      </c>
      <c r="I308">
        <v>15</v>
      </c>
      <c r="J308">
        <v>1</v>
      </c>
      <c r="K308">
        <v>6949</v>
      </c>
      <c r="L308">
        <v>3475</v>
      </c>
      <c r="M308">
        <v>72968</v>
      </c>
      <c r="N308">
        <v>3475</v>
      </c>
      <c r="O308">
        <v>79918</v>
      </c>
    </row>
    <row r="309" spans="1:15" x14ac:dyDescent="0.35">
      <c r="A309">
        <v>308</v>
      </c>
      <c r="B309" s="2" t="s">
        <v>18</v>
      </c>
      <c r="C309" s="2" t="s">
        <v>15</v>
      </c>
      <c r="D309">
        <v>44</v>
      </c>
      <c r="E309" s="2" t="s">
        <v>28</v>
      </c>
      <c r="F309" s="2" t="s">
        <v>19</v>
      </c>
      <c r="G309">
        <v>45156</v>
      </c>
      <c r="H309" s="1">
        <v>44753</v>
      </c>
      <c r="I309">
        <v>19</v>
      </c>
      <c r="J309">
        <v>2</v>
      </c>
      <c r="K309">
        <v>4516</v>
      </c>
      <c r="L309">
        <v>2258</v>
      </c>
      <c r="M309">
        <v>47414</v>
      </c>
      <c r="N309">
        <v>2258</v>
      </c>
      <c r="O309">
        <v>51930</v>
      </c>
    </row>
    <row r="310" spans="1:15" x14ac:dyDescent="0.35">
      <c r="A310">
        <v>309</v>
      </c>
      <c r="B310" s="2" t="s">
        <v>27</v>
      </c>
      <c r="C310" s="2" t="s">
        <v>15</v>
      </c>
      <c r="D310">
        <v>58</v>
      </c>
      <c r="E310" s="2" t="s">
        <v>24</v>
      </c>
      <c r="F310" s="2" t="s">
        <v>25</v>
      </c>
      <c r="G310">
        <v>40198</v>
      </c>
      <c r="H310" s="1">
        <v>45027</v>
      </c>
      <c r="I310">
        <v>13</v>
      </c>
      <c r="J310">
        <v>1</v>
      </c>
      <c r="K310">
        <v>4020</v>
      </c>
      <c r="L310">
        <v>2010</v>
      </c>
      <c r="M310">
        <v>42208</v>
      </c>
      <c r="N310">
        <v>2010</v>
      </c>
      <c r="O310">
        <v>46228</v>
      </c>
    </row>
    <row r="311" spans="1:15" x14ac:dyDescent="0.35">
      <c r="A311">
        <v>310</v>
      </c>
      <c r="B311" s="2" t="s">
        <v>20</v>
      </c>
      <c r="C311" s="2" t="s">
        <v>15</v>
      </c>
      <c r="D311">
        <v>38</v>
      </c>
      <c r="E311" s="2" t="s">
        <v>28</v>
      </c>
      <c r="F311" s="2" t="s">
        <v>17</v>
      </c>
      <c r="G311">
        <v>51894</v>
      </c>
      <c r="H311" s="1">
        <v>44978</v>
      </c>
      <c r="I311">
        <v>13</v>
      </c>
      <c r="J311">
        <v>4</v>
      </c>
      <c r="K311">
        <v>5189</v>
      </c>
      <c r="L311">
        <v>2595</v>
      </c>
      <c r="M311">
        <v>54488</v>
      </c>
      <c r="N311">
        <v>2595</v>
      </c>
      <c r="O311">
        <v>59678</v>
      </c>
    </row>
    <row r="312" spans="1:15" x14ac:dyDescent="0.35">
      <c r="A312">
        <v>311</v>
      </c>
      <c r="B312" s="2" t="s">
        <v>22</v>
      </c>
      <c r="C312" s="2" t="s">
        <v>11</v>
      </c>
      <c r="D312">
        <v>32</v>
      </c>
      <c r="E312" s="2" t="s">
        <v>12</v>
      </c>
      <c r="F312" s="2" t="s">
        <v>19</v>
      </c>
      <c r="G312">
        <v>52591</v>
      </c>
      <c r="H312" s="1">
        <v>45267</v>
      </c>
      <c r="I312">
        <v>3</v>
      </c>
      <c r="J312">
        <v>2</v>
      </c>
      <c r="K312">
        <v>5259</v>
      </c>
      <c r="L312">
        <v>2630</v>
      </c>
      <c r="M312">
        <v>55220</v>
      </c>
      <c r="N312">
        <v>0</v>
      </c>
      <c r="O312">
        <v>57850</v>
      </c>
    </row>
    <row r="313" spans="1:15" x14ac:dyDescent="0.35">
      <c r="A313">
        <v>312</v>
      </c>
      <c r="B313" s="2" t="s">
        <v>18</v>
      </c>
      <c r="C313" s="2" t="s">
        <v>15</v>
      </c>
      <c r="D313">
        <v>27</v>
      </c>
      <c r="E313" s="2" t="s">
        <v>16</v>
      </c>
      <c r="F313" s="2" t="s">
        <v>17</v>
      </c>
      <c r="G313">
        <v>98024</v>
      </c>
      <c r="H313" s="1">
        <v>45157</v>
      </c>
      <c r="I313">
        <v>18</v>
      </c>
      <c r="J313">
        <v>5</v>
      </c>
      <c r="K313">
        <v>9802</v>
      </c>
      <c r="L313">
        <v>4901</v>
      </c>
      <c r="M313">
        <v>102925</v>
      </c>
      <c r="N313">
        <v>4901</v>
      </c>
      <c r="O313">
        <v>112727</v>
      </c>
    </row>
    <row r="314" spans="1:15" x14ac:dyDescent="0.35">
      <c r="A314">
        <v>313</v>
      </c>
      <c r="B314" s="2" t="s">
        <v>22</v>
      </c>
      <c r="C314" s="2" t="s">
        <v>11</v>
      </c>
      <c r="D314">
        <v>56</v>
      </c>
      <c r="E314" s="2" t="s">
        <v>24</v>
      </c>
      <c r="F314" s="2" t="s">
        <v>25</v>
      </c>
      <c r="G314">
        <v>86486</v>
      </c>
      <c r="H314" s="1">
        <v>45559</v>
      </c>
      <c r="I314">
        <v>6</v>
      </c>
      <c r="J314">
        <v>5</v>
      </c>
      <c r="K314">
        <v>8649</v>
      </c>
      <c r="L314">
        <v>4324</v>
      </c>
      <c r="M314">
        <v>90811</v>
      </c>
      <c r="N314">
        <v>4324</v>
      </c>
      <c r="O314">
        <v>99459</v>
      </c>
    </row>
    <row r="315" spans="1:15" x14ac:dyDescent="0.35">
      <c r="A315">
        <v>314</v>
      </c>
      <c r="B315" s="2" t="s">
        <v>30</v>
      </c>
      <c r="C315" s="2" t="s">
        <v>11</v>
      </c>
      <c r="D315">
        <v>44</v>
      </c>
      <c r="E315" s="2" t="s">
        <v>16</v>
      </c>
      <c r="F315" s="2" t="s">
        <v>19</v>
      </c>
      <c r="G315">
        <v>62215</v>
      </c>
      <c r="H315" s="1">
        <v>45003</v>
      </c>
      <c r="I315">
        <v>15</v>
      </c>
      <c r="J315">
        <v>2</v>
      </c>
      <c r="K315">
        <v>6222</v>
      </c>
      <c r="L315">
        <v>3111</v>
      </c>
      <c r="M315">
        <v>65326</v>
      </c>
      <c r="N315">
        <v>3111</v>
      </c>
      <c r="O315">
        <v>71548</v>
      </c>
    </row>
    <row r="316" spans="1:15" x14ac:dyDescent="0.35">
      <c r="A316">
        <v>315</v>
      </c>
      <c r="B316" s="2" t="s">
        <v>27</v>
      </c>
      <c r="C316" s="2" t="s">
        <v>11</v>
      </c>
      <c r="D316">
        <v>53</v>
      </c>
      <c r="E316" s="2" t="s">
        <v>29</v>
      </c>
      <c r="F316" s="2" t="s">
        <v>19</v>
      </c>
      <c r="G316">
        <v>21713</v>
      </c>
      <c r="H316" s="1">
        <v>45008</v>
      </c>
      <c r="I316">
        <v>12</v>
      </c>
      <c r="J316">
        <v>4</v>
      </c>
      <c r="K316">
        <v>2171</v>
      </c>
      <c r="L316">
        <v>1086</v>
      </c>
      <c r="M316">
        <v>22798</v>
      </c>
      <c r="N316">
        <v>1086</v>
      </c>
      <c r="O316">
        <v>24970</v>
      </c>
    </row>
    <row r="317" spans="1:15" x14ac:dyDescent="0.35">
      <c r="A317">
        <v>316</v>
      </c>
      <c r="B317" s="2" t="s">
        <v>18</v>
      </c>
      <c r="C317" s="2" t="s">
        <v>11</v>
      </c>
      <c r="D317">
        <v>55</v>
      </c>
      <c r="E317" s="2" t="s">
        <v>29</v>
      </c>
      <c r="F317" s="2" t="s">
        <v>13</v>
      </c>
      <c r="G317">
        <v>70200</v>
      </c>
      <c r="H317" s="1">
        <v>45197</v>
      </c>
      <c r="I317">
        <v>15</v>
      </c>
      <c r="J317">
        <v>2</v>
      </c>
      <c r="K317">
        <v>7020</v>
      </c>
      <c r="L317">
        <v>3510</v>
      </c>
      <c r="M317">
        <v>73710</v>
      </c>
      <c r="N317">
        <v>3510</v>
      </c>
      <c r="O317">
        <v>80730</v>
      </c>
    </row>
    <row r="318" spans="1:15" x14ac:dyDescent="0.35">
      <c r="A318">
        <v>317</v>
      </c>
      <c r="B318" s="2" t="s">
        <v>10</v>
      </c>
      <c r="C318" s="2" t="s">
        <v>15</v>
      </c>
      <c r="D318">
        <v>54</v>
      </c>
      <c r="E318" s="2" t="s">
        <v>16</v>
      </c>
      <c r="F318" s="2" t="s">
        <v>13</v>
      </c>
      <c r="G318">
        <v>77429</v>
      </c>
      <c r="H318" s="1">
        <v>44784</v>
      </c>
      <c r="I318">
        <v>18</v>
      </c>
      <c r="J318">
        <v>3</v>
      </c>
      <c r="K318">
        <v>7743</v>
      </c>
      <c r="L318">
        <v>3871</v>
      </c>
      <c r="M318">
        <v>81301</v>
      </c>
      <c r="N318">
        <v>3871</v>
      </c>
      <c r="O318">
        <v>89043</v>
      </c>
    </row>
    <row r="319" spans="1:15" x14ac:dyDescent="0.35">
      <c r="A319">
        <v>318</v>
      </c>
      <c r="B319" s="2" t="s">
        <v>31</v>
      </c>
      <c r="C319" s="2" t="s">
        <v>15</v>
      </c>
      <c r="D319">
        <v>26</v>
      </c>
      <c r="E319" s="2" t="s">
        <v>24</v>
      </c>
      <c r="F319" s="2" t="s">
        <v>13</v>
      </c>
      <c r="G319">
        <v>92199</v>
      </c>
      <c r="H319" s="1">
        <v>44678</v>
      </c>
      <c r="I319">
        <v>2</v>
      </c>
      <c r="J319">
        <v>1</v>
      </c>
      <c r="K319">
        <v>9220</v>
      </c>
      <c r="L319">
        <v>4610</v>
      </c>
      <c r="M319">
        <v>96809</v>
      </c>
      <c r="N319">
        <v>0</v>
      </c>
      <c r="O319">
        <v>101419</v>
      </c>
    </row>
    <row r="320" spans="1:15" x14ac:dyDescent="0.35">
      <c r="A320">
        <v>319</v>
      </c>
      <c r="B320" s="2" t="s">
        <v>23</v>
      </c>
      <c r="C320" s="2" t="s">
        <v>11</v>
      </c>
      <c r="D320">
        <v>32</v>
      </c>
      <c r="E320" s="2" t="s">
        <v>24</v>
      </c>
      <c r="F320" s="2" t="s">
        <v>21</v>
      </c>
      <c r="G320">
        <v>20523</v>
      </c>
      <c r="H320" s="1">
        <v>45044</v>
      </c>
      <c r="I320">
        <v>18</v>
      </c>
      <c r="J320">
        <v>2</v>
      </c>
      <c r="K320">
        <v>2052</v>
      </c>
      <c r="L320">
        <v>1026</v>
      </c>
      <c r="M320">
        <v>21549</v>
      </c>
      <c r="N320">
        <v>1026</v>
      </c>
      <c r="O320">
        <v>23601</v>
      </c>
    </row>
    <row r="321" spans="1:15" x14ac:dyDescent="0.35">
      <c r="A321">
        <v>320</v>
      </c>
      <c r="B321" s="2" t="s">
        <v>20</v>
      </c>
      <c r="C321" s="2" t="s">
        <v>11</v>
      </c>
      <c r="D321">
        <v>22</v>
      </c>
      <c r="E321" s="2" t="s">
        <v>28</v>
      </c>
      <c r="F321" s="2" t="s">
        <v>19</v>
      </c>
      <c r="G321">
        <v>79751</v>
      </c>
      <c r="H321" s="1">
        <v>45121</v>
      </c>
      <c r="I321">
        <v>1</v>
      </c>
      <c r="J321">
        <v>4</v>
      </c>
      <c r="K321">
        <v>7975</v>
      </c>
      <c r="L321">
        <v>3988</v>
      </c>
      <c r="M321">
        <v>83738</v>
      </c>
      <c r="N321">
        <v>0</v>
      </c>
      <c r="O321">
        <v>87726</v>
      </c>
    </row>
    <row r="322" spans="1:15" x14ac:dyDescent="0.35">
      <c r="A322">
        <v>321</v>
      </c>
      <c r="B322" s="2" t="s">
        <v>22</v>
      </c>
      <c r="C322" s="2" t="s">
        <v>11</v>
      </c>
      <c r="D322">
        <v>41</v>
      </c>
      <c r="E322" s="2" t="s">
        <v>16</v>
      </c>
      <c r="F322" s="2" t="s">
        <v>21</v>
      </c>
      <c r="G322">
        <v>35633</v>
      </c>
      <c r="H322" s="1">
        <v>44907</v>
      </c>
      <c r="I322">
        <v>11</v>
      </c>
      <c r="J322">
        <v>2</v>
      </c>
      <c r="K322">
        <v>3563</v>
      </c>
      <c r="L322">
        <v>1782</v>
      </c>
      <c r="M322">
        <v>37414</v>
      </c>
      <c r="N322">
        <v>1782</v>
      </c>
      <c r="O322">
        <v>40978</v>
      </c>
    </row>
    <row r="323" spans="1:15" x14ac:dyDescent="0.35">
      <c r="A323">
        <v>322</v>
      </c>
      <c r="B323" s="2" t="s">
        <v>27</v>
      </c>
      <c r="C323" s="2" t="s">
        <v>11</v>
      </c>
      <c r="D323">
        <v>41</v>
      </c>
      <c r="E323" s="2" t="s">
        <v>29</v>
      </c>
      <c r="F323" s="2" t="s">
        <v>17</v>
      </c>
      <c r="G323">
        <v>91507</v>
      </c>
      <c r="H323" s="1">
        <v>44962</v>
      </c>
      <c r="I323">
        <v>8</v>
      </c>
      <c r="J323">
        <v>2</v>
      </c>
      <c r="K323">
        <v>9151</v>
      </c>
      <c r="L323">
        <v>4575</v>
      </c>
      <c r="M323">
        <v>96083</v>
      </c>
      <c r="N323">
        <v>4575</v>
      </c>
      <c r="O323">
        <v>105233</v>
      </c>
    </row>
    <row r="324" spans="1:15" x14ac:dyDescent="0.35">
      <c r="A324">
        <v>323</v>
      </c>
      <c r="B324" s="2" t="s">
        <v>30</v>
      </c>
      <c r="C324" s="2" t="s">
        <v>11</v>
      </c>
      <c r="D324">
        <v>31</v>
      </c>
      <c r="E324" s="2" t="s">
        <v>16</v>
      </c>
      <c r="F324" s="2" t="s">
        <v>21</v>
      </c>
      <c r="G324">
        <v>43868</v>
      </c>
      <c r="H324" s="1">
        <v>45463</v>
      </c>
      <c r="I324">
        <v>14</v>
      </c>
      <c r="J324">
        <v>3</v>
      </c>
      <c r="K324">
        <v>4387</v>
      </c>
      <c r="L324">
        <v>2193</v>
      </c>
      <c r="M324">
        <v>46062</v>
      </c>
      <c r="N324">
        <v>2193</v>
      </c>
      <c r="O324">
        <v>50448</v>
      </c>
    </row>
    <row r="325" spans="1:15" x14ac:dyDescent="0.35">
      <c r="A325">
        <v>324</v>
      </c>
      <c r="B325" s="2" t="s">
        <v>23</v>
      </c>
      <c r="C325" s="2" t="s">
        <v>11</v>
      </c>
      <c r="D325">
        <v>38</v>
      </c>
      <c r="E325" s="2" t="s">
        <v>12</v>
      </c>
      <c r="F325" s="2" t="s">
        <v>19</v>
      </c>
      <c r="G325">
        <v>77142</v>
      </c>
      <c r="H325" s="1">
        <v>45004</v>
      </c>
      <c r="I325">
        <v>16</v>
      </c>
      <c r="J325">
        <v>3</v>
      </c>
      <c r="K325">
        <v>7714</v>
      </c>
      <c r="L325">
        <v>3857</v>
      </c>
      <c r="M325">
        <v>80999</v>
      </c>
      <c r="N325">
        <v>3857</v>
      </c>
      <c r="O325">
        <v>88713</v>
      </c>
    </row>
    <row r="326" spans="1:15" x14ac:dyDescent="0.35">
      <c r="A326">
        <v>325</v>
      </c>
      <c r="B326" s="2" t="s">
        <v>26</v>
      </c>
      <c r="C326" s="2" t="s">
        <v>15</v>
      </c>
      <c r="D326">
        <v>28</v>
      </c>
      <c r="E326" s="2" t="s">
        <v>29</v>
      </c>
      <c r="F326" s="2" t="s">
        <v>21</v>
      </c>
      <c r="G326">
        <v>40804</v>
      </c>
      <c r="H326" s="1">
        <v>44995</v>
      </c>
      <c r="I326">
        <v>17</v>
      </c>
      <c r="J326">
        <v>5</v>
      </c>
      <c r="K326">
        <v>4080</v>
      </c>
      <c r="L326">
        <v>2040</v>
      </c>
      <c r="M326">
        <v>42844</v>
      </c>
      <c r="N326">
        <v>2040</v>
      </c>
      <c r="O326">
        <v>46924</v>
      </c>
    </row>
    <row r="327" spans="1:15" x14ac:dyDescent="0.35">
      <c r="A327">
        <v>326</v>
      </c>
      <c r="B327" s="2" t="s">
        <v>20</v>
      </c>
      <c r="C327" s="2" t="s">
        <v>15</v>
      </c>
      <c r="D327">
        <v>34</v>
      </c>
      <c r="E327" s="2" t="s">
        <v>24</v>
      </c>
      <c r="F327" s="2" t="s">
        <v>17</v>
      </c>
      <c r="G327">
        <v>37128</v>
      </c>
      <c r="H327" s="1">
        <v>44805</v>
      </c>
      <c r="I327">
        <v>5</v>
      </c>
      <c r="J327">
        <v>4</v>
      </c>
      <c r="K327">
        <v>3713</v>
      </c>
      <c r="L327">
        <v>1856</v>
      </c>
      <c r="M327">
        <v>38985</v>
      </c>
      <c r="N327">
        <v>0</v>
      </c>
      <c r="O327">
        <v>40841</v>
      </c>
    </row>
    <row r="328" spans="1:15" x14ac:dyDescent="0.35">
      <c r="A328">
        <v>327</v>
      </c>
      <c r="B328" s="2" t="s">
        <v>30</v>
      </c>
      <c r="C328" s="2" t="s">
        <v>11</v>
      </c>
      <c r="D328">
        <v>41</v>
      </c>
      <c r="E328" s="2" t="s">
        <v>12</v>
      </c>
      <c r="F328" s="2" t="s">
        <v>21</v>
      </c>
      <c r="G328">
        <v>86010</v>
      </c>
      <c r="H328" s="1">
        <v>44806</v>
      </c>
      <c r="I328">
        <v>8</v>
      </c>
      <c r="J328">
        <v>1</v>
      </c>
      <c r="K328">
        <v>8601</v>
      </c>
      <c r="L328">
        <v>4300</v>
      </c>
      <c r="M328">
        <v>90311</v>
      </c>
      <c r="N328">
        <v>4300</v>
      </c>
      <c r="O328">
        <v>98911</v>
      </c>
    </row>
    <row r="329" spans="1:15" x14ac:dyDescent="0.35">
      <c r="A329">
        <v>328</v>
      </c>
      <c r="B329" s="2" t="s">
        <v>27</v>
      </c>
      <c r="C329" s="2" t="s">
        <v>15</v>
      </c>
      <c r="D329">
        <v>42</v>
      </c>
      <c r="E329" s="2" t="s">
        <v>24</v>
      </c>
      <c r="F329" s="2" t="s">
        <v>25</v>
      </c>
      <c r="G329">
        <v>91352</v>
      </c>
      <c r="H329" s="1">
        <v>45063</v>
      </c>
      <c r="I329">
        <v>8</v>
      </c>
      <c r="J329">
        <v>2</v>
      </c>
      <c r="K329">
        <v>9135</v>
      </c>
      <c r="L329">
        <v>4568</v>
      </c>
      <c r="M329">
        <v>95919</v>
      </c>
      <c r="N329">
        <v>4568</v>
      </c>
      <c r="O329">
        <v>105055</v>
      </c>
    </row>
    <row r="330" spans="1:15" x14ac:dyDescent="0.35">
      <c r="A330">
        <v>329</v>
      </c>
      <c r="B330" s="2" t="s">
        <v>22</v>
      </c>
      <c r="C330" s="2" t="s">
        <v>11</v>
      </c>
      <c r="D330">
        <v>30</v>
      </c>
      <c r="E330" s="2" t="s">
        <v>24</v>
      </c>
      <c r="F330" s="2" t="s">
        <v>21</v>
      </c>
      <c r="G330">
        <v>58609</v>
      </c>
      <c r="H330" s="1">
        <v>44634</v>
      </c>
      <c r="I330">
        <v>11</v>
      </c>
      <c r="J330">
        <v>2</v>
      </c>
      <c r="K330">
        <v>5861</v>
      </c>
      <c r="L330">
        <v>2930</v>
      </c>
      <c r="M330">
        <v>61540</v>
      </c>
      <c r="N330">
        <v>2930</v>
      </c>
      <c r="O330">
        <v>67400</v>
      </c>
    </row>
    <row r="331" spans="1:15" x14ac:dyDescent="0.35">
      <c r="A331">
        <v>330</v>
      </c>
      <c r="B331" s="2" t="s">
        <v>26</v>
      </c>
      <c r="C331" s="2" t="s">
        <v>15</v>
      </c>
      <c r="D331">
        <v>36</v>
      </c>
      <c r="E331" s="2" t="s">
        <v>24</v>
      </c>
      <c r="F331" s="2" t="s">
        <v>25</v>
      </c>
      <c r="G331">
        <v>36307</v>
      </c>
      <c r="H331" s="1">
        <v>45212</v>
      </c>
      <c r="I331">
        <v>16</v>
      </c>
      <c r="J331">
        <v>3</v>
      </c>
      <c r="K331">
        <v>3631</v>
      </c>
      <c r="L331">
        <v>1815</v>
      </c>
      <c r="M331">
        <v>38123</v>
      </c>
      <c r="N331">
        <v>1815</v>
      </c>
      <c r="O331">
        <v>41753</v>
      </c>
    </row>
    <row r="332" spans="1:15" x14ac:dyDescent="0.35">
      <c r="A332">
        <v>331</v>
      </c>
      <c r="B332" s="2" t="s">
        <v>30</v>
      </c>
      <c r="C332" s="2" t="s">
        <v>15</v>
      </c>
      <c r="D332">
        <v>57</v>
      </c>
      <c r="E332" s="2" t="s">
        <v>28</v>
      </c>
      <c r="F332" s="2" t="s">
        <v>17</v>
      </c>
      <c r="G332">
        <v>96386</v>
      </c>
      <c r="H332" s="1">
        <v>44699</v>
      </c>
      <c r="I332">
        <v>1</v>
      </c>
      <c r="J332">
        <v>5</v>
      </c>
      <c r="K332">
        <v>9639</v>
      </c>
      <c r="L332">
        <v>4819</v>
      </c>
      <c r="M332">
        <v>101206</v>
      </c>
      <c r="N332">
        <v>0</v>
      </c>
      <c r="O332">
        <v>106025</v>
      </c>
    </row>
    <row r="333" spans="1:15" x14ac:dyDescent="0.35">
      <c r="A333">
        <v>332</v>
      </c>
      <c r="B333" s="2" t="s">
        <v>23</v>
      </c>
      <c r="C333" s="2" t="s">
        <v>11</v>
      </c>
      <c r="D333">
        <v>54</v>
      </c>
      <c r="E333" s="2" t="s">
        <v>28</v>
      </c>
      <c r="F333" s="2" t="s">
        <v>25</v>
      </c>
      <c r="G333">
        <v>68851</v>
      </c>
      <c r="H333" s="1">
        <v>45080</v>
      </c>
      <c r="I333">
        <v>12</v>
      </c>
      <c r="J333">
        <v>5</v>
      </c>
      <c r="K333">
        <v>6885</v>
      </c>
      <c r="L333">
        <v>3443</v>
      </c>
      <c r="M333">
        <v>72293</v>
      </c>
      <c r="N333">
        <v>3443</v>
      </c>
      <c r="O333">
        <v>79179</v>
      </c>
    </row>
    <row r="334" spans="1:15" x14ac:dyDescent="0.35">
      <c r="A334">
        <v>333</v>
      </c>
      <c r="B334" s="2" t="s">
        <v>14</v>
      </c>
      <c r="C334" s="2" t="s">
        <v>11</v>
      </c>
      <c r="D334">
        <v>30</v>
      </c>
      <c r="E334" s="2" t="s">
        <v>28</v>
      </c>
      <c r="F334" s="2" t="s">
        <v>19</v>
      </c>
      <c r="G334">
        <v>40438</v>
      </c>
      <c r="H334" s="1">
        <v>45407</v>
      </c>
      <c r="I334">
        <v>11</v>
      </c>
      <c r="J334">
        <v>1</v>
      </c>
      <c r="K334">
        <v>4044</v>
      </c>
      <c r="L334">
        <v>2022</v>
      </c>
      <c r="M334">
        <v>42460</v>
      </c>
      <c r="N334">
        <v>2022</v>
      </c>
      <c r="O334">
        <v>46504</v>
      </c>
    </row>
    <row r="335" spans="1:15" x14ac:dyDescent="0.35">
      <c r="A335">
        <v>334</v>
      </c>
      <c r="B335" s="2" t="s">
        <v>14</v>
      </c>
      <c r="C335" s="2" t="s">
        <v>15</v>
      </c>
      <c r="D335">
        <v>36</v>
      </c>
      <c r="E335" s="2" t="s">
        <v>24</v>
      </c>
      <c r="F335" s="2" t="s">
        <v>21</v>
      </c>
      <c r="G335">
        <v>78076</v>
      </c>
      <c r="H335" s="1">
        <v>44977</v>
      </c>
      <c r="I335">
        <v>6</v>
      </c>
      <c r="J335">
        <v>1</v>
      </c>
      <c r="K335">
        <v>7808</v>
      </c>
      <c r="L335">
        <v>3904</v>
      </c>
      <c r="M335">
        <v>81980</v>
      </c>
      <c r="N335">
        <v>3904</v>
      </c>
      <c r="O335">
        <v>89788</v>
      </c>
    </row>
    <row r="336" spans="1:15" x14ac:dyDescent="0.35">
      <c r="A336">
        <v>335</v>
      </c>
      <c r="B336" s="2" t="s">
        <v>31</v>
      </c>
      <c r="C336" s="2" t="s">
        <v>15</v>
      </c>
      <c r="D336">
        <v>50</v>
      </c>
      <c r="E336" s="2" t="s">
        <v>12</v>
      </c>
      <c r="F336" s="2" t="s">
        <v>25</v>
      </c>
      <c r="G336">
        <v>98780</v>
      </c>
      <c r="H336" s="1">
        <v>45078</v>
      </c>
      <c r="I336">
        <v>15</v>
      </c>
      <c r="J336">
        <v>1</v>
      </c>
      <c r="K336">
        <v>9878</v>
      </c>
      <c r="L336">
        <v>4939</v>
      </c>
      <c r="M336">
        <v>103719</v>
      </c>
      <c r="N336">
        <v>4939</v>
      </c>
      <c r="O336">
        <v>113597</v>
      </c>
    </row>
    <row r="337" spans="1:15" x14ac:dyDescent="0.35">
      <c r="A337">
        <v>336</v>
      </c>
      <c r="B337" s="2" t="s">
        <v>31</v>
      </c>
      <c r="C337" s="2" t="s">
        <v>11</v>
      </c>
      <c r="D337">
        <v>31</v>
      </c>
      <c r="E337" s="2" t="s">
        <v>24</v>
      </c>
      <c r="F337" s="2" t="s">
        <v>13</v>
      </c>
      <c r="G337">
        <v>96450</v>
      </c>
      <c r="H337" s="1">
        <v>45138</v>
      </c>
      <c r="I337">
        <v>8</v>
      </c>
      <c r="J337">
        <v>5</v>
      </c>
      <c r="K337">
        <v>9645</v>
      </c>
      <c r="L337">
        <v>4822</v>
      </c>
      <c r="M337">
        <v>101273</v>
      </c>
      <c r="N337">
        <v>4822</v>
      </c>
      <c r="O337">
        <v>110917</v>
      </c>
    </row>
    <row r="338" spans="1:15" x14ac:dyDescent="0.35">
      <c r="A338">
        <v>337</v>
      </c>
      <c r="B338" s="2" t="s">
        <v>26</v>
      </c>
      <c r="C338" s="2" t="s">
        <v>11</v>
      </c>
      <c r="D338">
        <v>30</v>
      </c>
      <c r="E338" s="2" t="s">
        <v>12</v>
      </c>
      <c r="F338" s="2" t="s">
        <v>21</v>
      </c>
      <c r="G338">
        <v>28142</v>
      </c>
      <c r="H338" s="1">
        <v>45421</v>
      </c>
      <c r="I338">
        <v>16</v>
      </c>
      <c r="J338">
        <v>2</v>
      </c>
      <c r="K338">
        <v>2814</v>
      </c>
      <c r="L338">
        <v>1407</v>
      </c>
      <c r="M338">
        <v>29549</v>
      </c>
      <c r="N338">
        <v>1407</v>
      </c>
      <c r="O338">
        <v>32363</v>
      </c>
    </row>
    <row r="339" spans="1:15" x14ac:dyDescent="0.35">
      <c r="A339">
        <v>338</v>
      </c>
      <c r="B339" s="2" t="s">
        <v>20</v>
      </c>
      <c r="C339" s="2" t="s">
        <v>15</v>
      </c>
      <c r="D339">
        <v>30</v>
      </c>
      <c r="E339" s="2" t="s">
        <v>24</v>
      </c>
      <c r="F339" s="2" t="s">
        <v>17</v>
      </c>
      <c r="G339">
        <v>76400</v>
      </c>
      <c r="H339" s="1">
        <v>45497</v>
      </c>
      <c r="I339">
        <v>9</v>
      </c>
      <c r="J339">
        <v>4</v>
      </c>
      <c r="K339">
        <v>7640</v>
      </c>
      <c r="L339">
        <v>3820</v>
      </c>
      <c r="M339">
        <v>80220</v>
      </c>
      <c r="N339">
        <v>3820</v>
      </c>
      <c r="O339">
        <v>87860</v>
      </c>
    </row>
    <row r="340" spans="1:15" x14ac:dyDescent="0.35">
      <c r="A340">
        <v>339</v>
      </c>
      <c r="B340" s="2" t="s">
        <v>22</v>
      </c>
      <c r="C340" s="2" t="s">
        <v>15</v>
      </c>
      <c r="D340">
        <v>31</v>
      </c>
      <c r="E340" s="2" t="s">
        <v>28</v>
      </c>
      <c r="F340" s="2" t="s">
        <v>13</v>
      </c>
      <c r="G340">
        <v>67904</v>
      </c>
      <c r="H340" s="1">
        <v>45540</v>
      </c>
      <c r="I340">
        <v>12</v>
      </c>
      <c r="J340">
        <v>5</v>
      </c>
      <c r="K340">
        <v>6790</v>
      </c>
      <c r="L340">
        <v>3395</v>
      </c>
      <c r="M340">
        <v>71299</v>
      </c>
      <c r="N340">
        <v>3395</v>
      </c>
      <c r="O340">
        <v>78089</v>
      </c>
    </row>
    <row r="341" spans="1:15" x14ac:dyDescent="0.35">
      <c r="A341">
        <v>340</v>
      </c>
      <c r="B341" s="2" t="s">
        <v>26</v>
      </c>
      <c r="C341" s="2" t="s">
        <v>11</v>
      </c>
      <c r="D341">
        <v>33</v>
      </c>
      <c r="E341" s="2" t="s">
        <v>16</v>
      </c>
      <c r="F341" s="2" t="s">
        <v>25</v>
      </c>
      <c r="G341">
        <v>25586</v>
      </c>
      <c r="H341" s="1">
        <v>45297</v>
      </c>
      <c r="I341">
        <v>8</v>
      </c>
      <c r="J341">
        <v>5</v>
      </c>
      <c r="K341">
        <v>2559</v>
      </c>
      <c r="L341">
        <v>1279</v>
      </c>
      <c r="M341">
        <v>26866</v>
      </c>
      <c r="N341">
        <v>1279</v>
      </c>
      <c r="O341">
        <v>29424</v>
      </c>
    </row>
    <row r="342" spans="1:15" x14ac:dyDescent="0.35">
      <c r="A342">
        <v>341</v>
      </c>
      <c r="B342" s="2" t="s">
        <v>31</v>
      </c>
      <c r="C342" s="2" t="s">
        <v>11</v>
      </c>
      <c r="D342">
        <v>40</v>
      </c>
      <c r="E342" s="2" t="s">
        <v>12</v>
      </c>
      <c r="F342" s="2" t="s">
        <v>21</v>
      </c>
      <c r="G342">
        <v>57318</v>
      </c>
      <c r="H342" s="1">
        <v>44969</v>
      </c>
      <c r="I342">
        <v>13</v>
      </c>
      <c r="J342">
        <v>3</v>
      </c>
      <c r="K342">
        <v>5732</v>
      </c>
      <c r="L342">
        <v>2866</v>
      </c>
      <c r="M342">
        <v>60184</v>
      </c>
      <c r="N342">
        <v>2866</v>
      </c>
      <c r="O342">
        <v>65916</v>
      </c>
    </row>
    <row r="343" spans="1:15" x14ac:dyDescent="0.35">
      <c r="A343">
        <v>342</v>
      </c>
      <c r="B343" s="2" t="s">
        <v>27</v>
      </c>
      <c r="C343" s="2" t="s">
        <v>15</v>
      </c>
      <c r="D343">
        <v>46</v>
      </c>
      <c r="E343" s="2" t="s">
        <v>12</v>
      </c>
      <c r="F343" s="2" t="s">
        <v>25</v>
      </c>
      <c r="G343">
        <v>47343</v>
      </c>
      <c r="H343" s="1">
        <v>44850</v>
      </c>
      <c r="I343">
        <v>16</v>
      </c>
      <c r="J343">
        <v>1</v>
      </c>
      <c r="K343">
        <v>4734</v>
      </c>
      <c r="L343">
        <v>2367</v>
      </c>
      <c r="M343">
        <v>49710</v>
      </c>
      <c r="N343">
        <v>2367</v>
      </c>
      <c r="O343">
        <v>54444</v>
      </c>
    </row>
    <row r="344" spans="1:15" x14ac:dyDescent="0.35">
      <c r="A344">
        <v>343</v>
      </c>
      <c r="B344" s="2" t="s">
        <v>20</v>
      </c>
      <c r="C344" s="2" t="s">
        <v>15</v>
      </c>
      <c r="D344">
        <v>32</v>
      </c>
      <c r="E344" s="2" t="s">
        <v>24</v>
      </c>
      <c r="F344" s="2" t="s">
        <v>25</v>
      </c>
      <c r="G344">
        <v>72168</v>
      </c>
      <c r="H344" s="1">
        <v>45522</v>
      </c>
      <c r="I344">
        <v>14</v>
      </c>
      <c r="J344">
        <v>2</v>
      </c>
      <c r="K344">
        <v>7217</v>
      </c>
      <c r="L344">
        <v>3608</v>
      </c>
      <c r="M344">
        <v>75777</v>
      </c>
      <c r="N344">
        <v>3608</v>
      </c>
      <c r="O344">
        <v>82993</v>
      </c>
    </row>
    <row r="345" spans="1:15" x14ac:dyDescent="0.35">
      <c r="A345">
        <v>344</v>
      </c>
      <c r="B345" s="2" t="s">
        <v>27</v>
      </c>
      <c r="C345" s="2" t="s">
        <v>15</v>
      </c>
      <c r="D345">
        <v>50</v>
      </c>
      <c r="E345" s="2" t="s">
        <v>12</v>
      </c>
      <c r="F345" s="2" t="s">
        <v>25</v>
      </c>
      <c r="G345">
        <v>34187</v>
      </c>
      <c r="H345" s="1">
        <v>44578</v>
      </c>
      <c r="I345">
        <v>8</v>
      </c>
      <c r="J345">
        <v>2</v>
      </c>
      <c r="K345">
        <v>3419</v>
      </c>
      <c r="L345">
        <v>1709</v>
      </c>
      <c r="M345">
        <v>35897</v>
      </c>
      <c r="N345">
        <v>1709</v>
      </c>
      <c r="O345">
        <v>39315</v>
      </c>
    </row>
    <row r="346" spans="1:15" x14ac:dyDescent="0.35">
      <c r="A346">
        <v>345</v>
      </c>
      <c r="B346" s="2" t="s">
        <v>22</v>
      </c>
      <c r="C346" s="2" t="s">
        <v>15</v>
      </c>
      <c r="D346">
        <v>27</v>
      </c>
      <c r="E346" s="2" t="s">
        <v>28</v>
      </c>
      <c r="F346" s="2" t="s">
        <v>21</v>
      </c>
      <c r="G346">
        <v>21910</v>
      </c>
      <c r="H346" s="1">
        <v>45552</v>
      </c>
      <c r="I346">
        <v>12</v>
      </c>
      <c r="J346">
        <v>3</v>
      </c>
      <c r="K346">
        <v>2191</v>
      </c>
      <c r="L346">
        <v>1096</v>
      </c>
      <c r="M346">
        <v>23005</v>
      </c>
      <c r="N346">
        <v>1096</v>
      </c>
      <c r="O346">
        <v>25197</v>
      </c>
    </row>
    <row r="347" spans="1:15" x14ac:dyDescent="0.35">
      <c r="A347">
        <v>346</v>
      </c>
      <c r="B347" s="2" t="s">
        <v>23</v>
      </c>
      <c r="C347" s="2" t="s">
        <v>11</v>
      </c>
      <c r="D347">
        <v>38</v>
      </c>
      <c r="E347" s="2" t="s">
        <v>29</v>
      </c>
      <c r="F347" s="2" t="s">
        <v>19</v>
      </c>
      <c r="G347">
        <v>98173</v>
      </c>
      <c r="H347" s="1">
        <v>44876</v>
      </c>
      <c r="I347">
        <v>18</v>
      </c>
      <c r="J347">
        <v>4</v>
      </c>
      <c r="K347">
        <v>9817</v>
      </c>
      <c r="L347">
        <v>4909</v>
      </c>
      <c r="M347">
        <v>103081</v>
      </c>
      <c r="N347">
        <v>4909</v>
      </c>
      <c r="O347">
        <v>112899</v>
      </c>
    </row>
    <row r="348" spans="1:15" x14ac:dyDescent="0.35">
      <c r="A348">
        <v>347</v>
      </c>
      <c r="B348" s="2" t="s">
        <v>26</v>
      </c>
      <c r="C348" s="2" t="s">
        <v>15</v>
      </c>
      <c r="D348">
        <v>37</v>
      </c>
      <c r="E348" s="2" t="s">
        <v>16</v>
      </c>
      <c r="F348" s="2" t="s">
        <v>17</v>
      </c>
      <c r="G348">
        <v>71175</v>
      </c>
      <c r="H348" s="1">
        <v>45002</v>
      </c>
      <c r="I348">
        <v>7</v>
      </c>
      <c r="J348">
        <v>5</v>
      </c>
      <c r="K348">
        <v>7118</v>
      </c>
      <c r="L348">
        <v>3559</v>
      </c>
      <c r="M348">
        <v>74734</v>
      </c>
      <c r="N348">
        <v>3559</v>
      </c>
      <c r="O348">
        <v>81852</v>
      </c>
    </row>
    <row r="349" spans="1:15" x14ac:dyDescent="0.35">
      <c r="A349">
        <v>348</v>
      </c>
      <c r="B349" s="2" t="s">
        <v>23</v>
      </c>
      <c r="C349" s="2" t="s">
        <v>11</v>
      </c>
      <c r="D349">
        <v>57</v>
      </c>
      <c r="E349" s="2" t="s">
        <v>24</v>
      </c>
      <c r="F349" s="2" t="s">
        <v>13</v>
      </c>
      <c r="G349">
        <v>23526</v>
      </c>
      <c r="H349" s="1">
        <v>45511</v>
      </c>
      <c r="I349">
        <v>8</v>
      </c>
      <c r="J349">
        <v>5</v>
      </c>
      <c r="K349">
        <v>2353</v>
      </c>
      <c r="L349">
        <v>1176</v>
      </c>
      <c r="M349">
        <v>24703</v>
      </c>
      <c r="N349">
        <v>1176</v>
      </c>
      <c r="O349">
        <v>27055</v>
      </c>
    </row>
    <row r="350" spans="1:15" x14ac:dyDescent="0.35">
      <c r="A350">
        <v>349</v>
      </c>
      <c r="B350" s="2" t="s">
        <v>18</v>
      </c>
      <c r="C350" s="2" t="s">
        <v>15</v>
      </c>
      <c r="D350">
        <v>57</v>
      </c>
      <c r="E350" s="2" t="s">
        <v>12</v>
      </c>
      <c r="F350" s="2" t="s">
        <v>13</v>
      </c>
      <c r="G350">
        <v>88675</v>
      </c>
      <c r="H350" s="1">
        <v>44642</v>
      </c>
      <c r="I350">
        <v>7</v>
      </c>
      <c r="J350">
        <v>5</v>
      </c>
      <c r="K350">
        <v>8868</v>
      </c>
      <c r="L350">
        <v>4434</v>
      </c>
      <c r="M350">
        <v>93109</v>
      </c>
      <c r="N350">
        <v>4434</v>
      </c>
      <c r="O350">
        <v>101977</v>
      </c>
    </row>
    <row r="351" spans="1:15" x14ac:dyDescent="0.35">
      <c r="A351">
        <v>350</v>
      </c>
      <c r="B351" s="2" t="s">
        <v>30</v>
      </c>
      <c r="C351" s="2" t="s">
        <v>11</v>
      </c>
      <c r="D351">
        <v>24</v>
      </c>
      <c r="E351" s="2" t="s">
        <v>28</v>
      </c>
      <c r="F351" s="2" t="s">
        <v>17</v>
      </c>
      <c r="G351">
        <v>40023</v>
      </c>
      <c r="H351" s="1">
        <v>45459</v>
      </c>
      <c r="I351">
        <v>9</v>
      </c>
      <c r="J351">
        <v>1</v>
      </c>
      <c r="K351">
        <v>4002</v>
      </c>
      <c r="L351">
        <v>2001</v>
      </c>
      <c r="M351">
        <v>42024</v>
      </c>
      <c r="N351">
        <v>2001</v>
      </c>
      <c r="O351">
        <v>46026</v>
      </c>
    </row>
    <row r="352" spans="1:15" x14ac:dyDescent="0.35">
      <c r="A352">
        <v>351</v>
      </c>
      <c r="B352" s="2" t="s">
        <v>30</v>
      </c>
      <c r="C352" s="2" t="s">
        <v>11</v>
      </c>
      <c r="D352">
        <v>44</v>
      </c>
      <c r="E352" s="2" t="s">
        <v>29</v>
      </c>
      <c r="F352" s="2" t="s">
        <v>13</v>
      </c>
      <c r="G352">
        <v>46132</v>
      </c>
      <c r="H352" s="1">
        <v>45064</v>
      </c>
      <c r="I352">
        <v>6</v>
      </c>
      <c r="J352">
        <v>4</v>
      </c>
      <c r="K352">
        <v>4613</v>
      </c>
      <c r="L352">
        <v>2307</v>
      </c>
      <c r="M352">
        <v>48438</v>
      </c>
      <c r="N352">
        <v>2307</v>
      </c>
      <c r="O352">
        <v>53052</v>
      </c>
    </row>
    <row r="353" spans="1:15" x14ac:dyDescent="0.35">
      <c r="A353">
        <v>352</v>
      </c>
      <c r="B353" s="2" t="s">
        <v>31</v>
      </c>
      <c r="C353" s="2" t="s">
        <v>15</v>
      </c>
      <c r="D353">
        <v>29</v>
      </c>
      <c r="E353" s="2" t="s">
        <v>29</v>
      </c>
      <c r="F353" s="2" t="s">
        <v>21</v>
      </c>
      <c r="G353">
        <v>75525</v>
      </c>
      <c r="H353" s="1">
        <v>44605</v>
      </c>
      <c r="I353">
        <v>17</v>
      </c>
      <c r="J353">
        <v>3</v>
      </c>
      <c r="K353">
        <v>7552</v>
      </c>
      <c r="L353">
        <v>3776</v>
      </c>
      <c r="M353">
        <v>79301</v>
      </c>
      <c r="N353">
        <v>3776</v>
      </c>
      <c r="O353">
        <v>86853</v>
      </c>
    </row>
    <row r="354" spans="1:15" x14ac:dyDescent="0.35">
      <c r="A354">
        <v>353</v>
      </c>
      <c r="B354" s="2" t="s">
        <v>23</v>
      </c>
      <c r="C354" s="2" t="s">
        <v>11</v>
      </c>
      <c r="D354">
        <v>24</v>
      </c>
      <c r="E354" s="2" t="s">
        <v>16</v>
      </c>
      <c r="F354" s="2" t="s">
        <v>17</v>
      </c>
      <c r="G354">
        <v>81884</v>
      </c>
      <c r="H354" s="1">
        <v>44673</v>
      </c>
      <c r="I354">
        <v>10</v>
      </c>
      <c r="J354">
        <v>2</v>
      </c>
      <c r="K354">
        <v>8188</v>
      </c>
      <c r="L354">
        <v>4094</v>
      </c>
      <c r="M354">
        <v>85978</v>
      </c>
      <c r="N354">
        <v>4094</v>
      </c>
      <c r="O354">
        <v>94166</v>
      </c>
    </row>
    <row r="355" spans="1:15" x14ac:dyDescent="0.35">
      <c r="A355">
        <v>354</v>
      </c>
      <c r="B355" s="2" t="s">
        <v>14</v>
      </c>
      <c r="C355" s="2" t="s">
        <v>11</v>
      </c>
      <c r="D355">
        <v>46</v>
      </c>
      <c r="E355" s="2" t="s">
        <v>28</v>
      </c>
      <c r="F355" s="2" t="s">
        <v>17</v>
      </c>
      <c r="G355">
        <v>35757</v>
      </c>
      <c r="H355" s="1">
        <v>45267</v>
      </c>
      <c r="I355">
        <v>3</v>
      </c>
      <c r="J355">
        <v>1</v>
      </c>
      <c r="K355">
        <v>3576</v>
      </c>
      <c r="L355">
        <v>1788</v>
      </c>
      <c r="M355">
        <v>37545</v>
      </c>
      <c r="N355">
        <v>0</v>
      </c>
      <c r="O355">
        <v>39333</v>
      </c>
    </row>
    <row r="356" spans="1:15" x14ac:dyDescent="0.35">
      <c r="A356">
        <v>355</v>
      </c>
      <c r="B356" s="2" t="s">
        <v>22</v>
      </c>
      <c r="C356" s="2" t="s">
        <v>15</v>
      </c>
      <c r="D356">
        <v>30</v>
      </c>
      <c r="E356" s="2" t="s">
        <v>24</v>
      </c>
      <c r="F356" s="2" t="s">
        <v>25</v>
      </c>
      <c r="G356">
        <v>44870</v>
      </c>
      <c r="H356" s="1">
        <v>45532</v>
      </c>
      <c r="I356">
        <v>4</v>
      </c>
      <c r="J356">
        <v>1</v>
      </c>
      <c r="K356">
        <v>4487</v>
      </c>
      <c r="L356">
        <v>2244</v>
      </c>
      <c r="M356">
        <v>47113</v>
      </c>
      <c r="N356">
        <v>0</v>
      </c>
      <c r="O356">
        <v>49357</v>
      </c>
    </row>
    <row r="357" spans="1:15" x14ac:dyDescent="0.35">
      <c r="A357">
        <v>356</v>
      </c>
      <c r="B357" s="2" t="s">
        <v>10</v>
      </c>
      <c r="C357" s="2" t="s">
        <v>11</v>
      </c>
      <c r="D357">
        <v>31</v>
      </c>
      <c r="E357" s="2" t="s">
        <v>12</v>
      </c>
      <c r="F357" s="2" t="s">
        <v>25</v>
      </c>
      <c r="G357">
        <v>31867</v>
      </c>
      <c r="H357" s="1">
        <v>45405</v>
      </c>
      <c r="I357">
        <v>4</v>
      </c>
      <c r="J357">
        <v>2</v>
      </c>
      <c r="K357">
        <v>3187</v>
      </c>
      <c r="L357">
        <v>1593</v>
      </c>
      <c r="M357">
        <v>33461</v>
      </c>
      <c r="N357">
        <v>0</v>
      </c>
      <c r="O357">
        <v>35054</v>
      </c>
    </row>
    <row r="358" spans="1:15" x14ac:dyDescent="0.35">
      <c r="A358">
        <v>357</v>
      </c>
      <c r="B358" s="2" t="s">
        <v>27</v>
      </c>
      <c r="C358" s="2" t="s">
        <v>15</v>
      </c>
      <c r="D358">
        <v>29</v>
      </c>
      <c r="E358" s="2" t="s">
        <v>28</v>
      </c>
      <c r="F358" s="2" t="s">
        <v>25</v>
      </c>
      <c r="G358">
        <v>88836</v>
      </c>
      <c r="H358" s="1">
        <v>44810</v>
      </c>
      <c r="I358">
        <v>11</v>
      </c>
      <c r="J358">
        <v>3</v>
      </c>
      <c r="K358">
        <v>8884</v>
      </c>
      <c r="L358">
        <v>4442</v>
      </c>
      <c r="M358">
        <v>93278</v>
      </c>
      <c r="N358">
        <v>4442</v>
      </c>
      <c r="O358">
        <v>102162</v>
      </c>
    </row>
    <row r="359" spans="1:15" x14ac:dyDescent="0.35">
      <c r="A359">
        <v>358</v>
      </c>
      <c r="B359" s="2" t="s">
        <v>27</v>
      </c>
      <c r="C359" s="2" t="s">
        <v>11</v>
      </c>
      <c r="D359">
        <v>59</v>
      </c>
      <c r="E359" s="2" t="s">
        <v>24</v>
      </c>
      <c r="F359" s="2" t="s">
        <v>13</v>
      </c>
      <c r="G359">
        <v>63825</v>
      </c>
      <c r="H359" s="1">
        <v>44748</v>
      </c>
      <c r="I359">
        <v>6</v>
      </c>
      <c r="J359">
        <v>5</v>
      </c>
      <c r="K359">
        <v>6382</v>
      </c>
      <c r="L359">
        <v>3191</v>
      </c>
      <c r="M359">
        <v>67016</v>
      </c>
      <c r="N359">
        <v>3191</v>
      </c>
      <c r="O359">
        <v>73398</v>
      </c>
    </row>
    <row r="360" spans="1:15" x14ac:dyDescent="0.35">
      <c r="A360">
        <v>359</v>
      </c>
      <c r="B360" s="2" t="s">
        <v>20</v>
      </c>
      <c r="C360" s="2" t="s">
        <v>15</v>
      </c>
      <c r="D360">
        <v>29</v>
      </c>
      <c r="E360" s="2" t="s">
        <v>24</v>
      </c>
      <c r="F360" s="2" t="s">
        <v>19</v>
      </c>
      <c r="G360">
        <v>66991</v>
      </c>
      <c r="H360" s="1">
        <v>44683</v>
      </c>
      <c r="I360">
        <v>5</v>
      </c>
      <c r="J360">
        <v>1</v>
      </c>
      <c r="K360">
        <v>6699</v>
      </c>
      <c r="L360">
        <v>3350</v>
      </c>
      <c r="M360">
        <v>70340</v>
      </c>
      <c r="N360">
        <v>0</v>
      </c>
      <c r="O360">
        <v>73690</v>
      </c>
    </row>
    <row r="361" spans="1:15" x14ac:dyDescent="0.35">
      <c r="A361">
        <v>360</v>
      </c>
      <c r="B361" s="2" t="s">
        <v>26</v>
      </c>
      <c r="C361" s="2" t="s">
        <v>11</v>
      </c>
      <c r="D361">
        <v>22</v>
      </c>
      <c r="E361" s="2" t="s">
        <v>29</v>
      </c>
      <c r="F361" s="2" t="s">
        <v>25</v>
      </c>
      <c r="G361">
        <v>78815</v>
      </c>
      <c r="H361" s="1">
        <v>45329</v>
      </c>
      <c r="I361">
        <v>7</v>
      </c>
      <c r="J361">
        <v>3</v>
      </c>
      <c r="K361">
        <v>7882</v>
      </c>
      <c r="L361">
        <v>3941</v>
      </c>
      <c r="M361">
        <v>82756</v>
      </c>
      <c r="N361">
        <v>3941</v>
      </c>
      <c r="O361">
        <v>90638</v>
      </c>
    </row>
    <row r="362" spans="1:15" x14ac:dyDescent="0.35">
      <c r="A362">
        <v>361</v>
      </c>
      <c r="B362" s="2" t="s">
        <v>27</v>
      </c>
      <c r="C362" s="2" t="s">
        <v>11</v>
      </c>
      <c r="D362">
        <v>47</v>
      </c>
      <c r="E362" s="2" t="s">
        <v>16</v>
      </c>
      <c r="F362" s="2" t="s">
        <v>21</v>
      </c>
      <c r="G362">
        <v>49498</v>
      </c>
      <c r="H362" s="1">
        <v>45004</v>
      </c>
      <c r="I362">
        <v>8</v>
      </c>
      <c r="J362">
        <v>4</v>
      </c>
      <c r="K362">
        <v>4950</v>
      </c>
      <c r="L362">
        <v>2475</v>
      </c>
      <c r="M362">
        <v>51973</v>
      </c>
      <c r="N362">
        <v>2475</v>
      </c>
      <c r="O362">
        <v>56923</v>
      </c>
    </row>
    <row r="363" spans="1:15" x14ac:dyDescent="0.35">
      <c r="A363">
        <v>362</v>
      </c>
      <c r="B363" s="2" t="s">
        <v>20</v>
      </c>
      <c r="C363" s="2" t="s">
        <v>11</v>
      </c>
      <c r="D363">
        <v>22</v>
      </c>
      <c r="E363" s="2" t="s">
        <v>28</v>
      </c>
      <c r="F363" s="2" t="s">
        <v>13</v>
      </c>
      <c r="G363">
        <v>49594</v>
      </c>
      <c r="H363" s="1">
        <v>45183</v>
      </c>
      <c r="I363">
        <v>15</v>
      </c>
      <c r="J363">
        <v>1</v>
      </c>
      <c r="K363">
        <v>4959</v>
      </c>
      <c r="L363">
        <v>2480</v>
      </c>
      <c r="M363">
        <v>52073</v>
      </c>
      <c r="N363">
        <v>2480</v>
      </c>
      <c r="O363">
        <v>57033</v>
      </c>
    </row>
    <row r="364" spans="1:15" x14ac:dyDescent="0.35">
      <c r="A364">
        <v>363</v>
      </c>
      <c r="B364" s="2" t="s">
        <v>14</v>
      </c>
      <c r="C364" s="2" t="s">
        <v>15</v>
      </c>
      <c r="D364">
        <v>43</v>
      </c>
      <c r="E364" s="2" t="s">
        <v>24</v>
      </c>
      <c r="F364" s="2" t="s">
        <v>17</v>
      </c>
      <c r="G364">
        <v>72086</v>
      </c>
      <c r="H364" s="1">
        <v>44896</v>
      </c>
      <c r="I364">
        <v>9</v>
      </c>
      <c r="J364">
        <v>4</v>
      </c>
      <c r="K364">
        <v>7209</v>
      </c>
      <c r="L364">
        <v>3604</v>
      </c>
      <c r="M364">
        <v>75691</v>
      </c>
      <c r="N364">
        <v>3604</v>
      </c>
      <c r="O364">
        <v>82899</v>
      </c>
    </row>
    <row r="365" spans="1:15" x14ac:dyDescent="0.35">
      <c r="A365">
        <v>364</v>
      </c>
      <c r="B365" s="2" t="s">
        <v>20</v>
      </c>
      <c r="C365" s="2" t="s">
        <v>11</v>
      </c>
      <c r="D365">
        <v>47</v>
      </c>
      <c r="E365" s="2" t="s">
        <v>12</v>
      </c>
      <c r="F365" s="2" t="s">
        <v>13</v>
      </c>
      <c r="G365">
        <v>82362</v>
      </c>
      <c r="H365" s="1">
        <v>44708</v>
      </c>
      <c r="I365">
        <v>6</v>
      </c>
      <c r="J365">
        <v>2</v>
      </c>
      <c r="K365">
        <v>8236</v>
      </c>
      <c r="L365">
        <v>4118</v>
      </c>
      <c r="M365">
        <v>86480</v>
      </c>
      <c r="N365">
        <v>4118</v>
      </c>
      <c r="O365">
        <v>94716</v>
      </c>
    </row>
    <row r="366" spans="1:15" x14ac:dyDescent="0.35">
      <c r="A366">
        <v>365</v>
      </c>
      <c r="B366" s="2" t="s">
        <v>14</v>
      </c>
      <c r="C366" s="2" t="s">
        <v>15</v>
      </c>
      <c r="D366">
        <v>49</v>
      </c>
      <c r="E366" s="2" t="s">
        <v>28</v>
      </c>
      <c r="F366" s="2" t="s">
        <v>17</v>
      </c>
      <c r="G366">
        <v>95480</v>
      </c>
      <c r="H366" s="1">
        <v>45422</v>
      </c>
      <c r="I366">
        <v>1</v>
      </c>
      <c r="J366">
        <v>1</v>
      </c>
      <c r="K366">
        <v>9548</v>
      </c>
      <c r="L366">
        <v>4774</v>
      </c>
      <c r="M366">
        <v>100254</v>
      </c>
      <c r="N366">
        <v>0</v>
      </c>
      <c r="O366">
        <v>105028</v>
      </c>
    </row>
    <row r="367" spans="1:15" x14ac:dyDescent="0.35">
      <c r="A367">
        <v>366</v>
      </c>
      <c r="B367" s="2" t="s">
        <v>22</v>
      </c>
      <c r="C367" s="2" t="s">
        <v>15</v>
      </c>
      <c r="D367">
        <v>42</v>
      </c>
      <c r="E367" s="2" t="s">
        <v>28</v>
      </c>
      <c r="F367" s="2" t="s">
        <v>21</v>
      </c>
      <c r="G367">
        <v>69062</v>
      </c>
      <c r="H367" s="1">
        <v>44782</v>
      </c>
      <c r="I367">
        <v>8</v>
      </c>
      <c r="J367">
        <v>3</v>
      </c>
      <c r="K367">
        <v>6906</v>
      </c>
      <c r="L367">
        <v>3453</v>
      </c>
      <c r="M367">
        <v>72515</v>
      </c>
      <c r="N367">
        <v>3453</v>
      </c>
      <c r="O367">
        <v>79421</v>
      </c>
    </row>
    <row r="368" spans="1:15" x14ac:dyDescent="0.35">
      <c r="A368">
        <v>367</v>
      </c>
      <c r="B368" s="2" t="s">
        <v>27</v>
      </c>
      <c r="C368" s="2" t="s">
        <v>11</v>
      </c>
      <c r="D368">
        <v>49</v>
      </c>
      <c r="E368" s="2" t="s">
        <v>24</v>
      </c>
      <c r="F368" s="2" t="s">
        <v>21</v>
      </c>
      <c r="G368">
        <v>27779</v>
      </c>
      <c r="H368" s="1">
        <v>44836</v>
      </c>
      <c r="I368">
        <v>15</v>
      </c>
      <c r="J368">
        <v>1</v>
      </c>
      <c r="K368">
        <v>2778</v>
      </c>
      <c r="L368">
        <v>1389</v>
      </c>
      <c r="M368">
        <v>29168</v>
      </c>
      <c r="N368">
        <v>1389</v>
      </c>
      <c r="O368">
        <v>31946</v>
      </c>
    </row>
    <row r="369" spans="1:15" x14ac:dyDescent="0.35">
      <c r="A369">
        <v>368</v>
      </c>
      <c r="B369" s="2" t="s">
        <v>18</v>
      </c>
      <c r="C369" s="2" t="s">
        <v>15</v>
      </c>
      <c r="D369">
        <v>48</v>
      </c>
      <c r="E369" s="2" t="s">
        <v>16</v>
      </c>
      <c r="F369" s="2" t="s">
        <v>21</v>
      </c>
      <c r="G369">
        <v>75429</v>
      </c>
      <c r="H369" s="1">
        <v>44583</v>
      </c>
      <c r="I369">
        <v>18</v>
      </c>
      <c r="J369">
        <v>3</v>
      </c>
      <c r="K369">
        <v>7543</v>
      </c>
      <c r="L369">
        <v>3771</v>
      </c>
      <c r="M369">
        <v>79201</v>
      </c>
      <c r="N369">
        <v>3771</v>
      </c>
      <c r="O369">
        <v>86743</v>
      </c>
    </row>
    <row r="370" spans="1:15" x14ac:dyDescent="0.35">
      <c r="A370">
        <v>369</v>
      </c>
      <c r="B370" s="2" t="s">
        <v>18</v>
      </c>
      <c r="C370" s="2" t="s">
        <v>15</v>
      </c>
      <c r="D370">
        <v>50</v>
      </c>
      <c r="E370" s="2" t="s">
        <v>12</v>
      </c>
      <c r="F370" s="2" t="s">
        <v>25</v>
      </c>
      <c r="G370">
        <v>52049</v>
      </c>
      <c r="H370" s="1">
        <v>44890</v>
      </c>
      <c r="I370">
        <v>16</v>
      </c>
      <c r="J370">
        <v>1</v>
      </c>
      <c r="K370">
        <v>5205</v>
      </c>
      <c r="L370">
        <v>2602</v>
      </c>
      <c r="M370">
        <v>54652</v>
      </c>
      <c r="N370">
        <v>2602</v>
      </c>
      <c r="O370">
        <v>59856</v>
      </c>
    </row>
    <row r="371" spans="1:15" x14ac:dyDescent="0.35">
      <c r="A371">
        <v>370</v>
      </c>
      <c r="B371" s="2" t="s">
        <v>22</v>
      </c>
      <c r="C371" s="2" t="s">
        <v>15</v>
      </c>
      <c r="D371">
        <v>41</v>
      </c>
      <c r="E371" s="2" t="s">
        <v>29</v>
      </c>
      <c r="F371" s="2" t="s">
        <v>21</v>
      </c>
      <c r="G371">
        <v>69329</v>
      </c>
      <c r="H371" s="1">
        <v>44733</v>
      </c>
      <c r="I371">
        <v>6</v>
      </c>
      <c r="J371">
        <v>3</v>
      </c>
      <c r="K371">
        <v>6933</v>
      </c>
      <c r="L371">
        <v>3466</v>
      </c>
      <c r="M371">
        <v>72796</v>
      </c>
      <c r="N371">
        <v>3466</v>
      </c>
      <c r="O371">
        <v>79728</v>
      </c>
    </row>
    <row r="372" spans="1:15" x14ac:dyDescent="0.35">
      <c r="A372">
        <v>371</v>
      </c>
      <c r="B372" s="2" t="s">
        <v>20</v>
      </c>
      <c r="C372" s="2" t="s">
        <v>15</v>
      </c>
      <c r="D372">
        <v>48</v>
      </c>
      <c r="E372" s="2" t="s">
        <v>16</v>
      </c>
      <c r="F372" s="2" t="s">
        <v>21</v>
      </c>
      <c r="G372">
        <v>65011</v>
      </c>
      <c r="H372" s="1">
        <v>45487</v>
      </c>
      <c r="I372">
        <v>20</v>
      </c>
      <c r="J372">
        <v>1</v>
      </c>
      <c r="K372">
        <v>6501</v>
      </c>
      <c r="L372">
        <v>3251</v>
      </c>
      <c r="M372">
        <v>68261</v>
      </c>
      <c r="N372">
        <v>3251</v>
      </c>
      <c r="O372">
        <v>74763</v>
      </c>
    </row>
    <row r="373" spans="1:15" x14ac:dyDescent="0.35">
      <c r="A373">
        <v>372</v>
      </c>
      <c r="B373" s="2" t="s">
        <v>20</v>
      </c>
      <c r="C373" s="2" t="s">
        <v>15</v>
      </c>
      <c r="D373">
        <v>39</v>
      </c>
      <c r="E373" s="2" t="s">
        <v>16</v>
      </c>
      <c r="F373" s="2" t="s">
        <v>19</v>
      </c>
      <c r="G373">
        <v>99141</v>
      </c>
      <c r="H373" s="1">
        <v>44877</v>
      </c>
      <c r="I373">
        <v>13</v>
      </c>
      <c r="J373">
        <v>2</v>
      </c>
      <c r="K373">
        <v>9914</v>
      </c>
      <c r="L373">
        <v>4957</v>
      </c>
      <c r="M373">
        <v>104098</v>
      </c>
      <c r="N373">
        <v>4957</v>
      </c>
      <c r="O373">
        <v>114012</v>
      </c>
    </row>
    <row r="374" spans="1:15" x14ac:dyDescent="0.35">
      <c r="A374">
        <v>373</v>
      </c>
      <c r="B374" s="2" t="s">
        <v>30</v>
      </c>
      <c r="C374" s="2" t="s">
        <v>15</v>
      </c>
      <c r="D374">
        <v>23</v>
      </c>
      <c r="E374" s="2" t="s">
        <v>29</v>
      </c>
      <c r="F374" s="2" t="s">
        <v>21</v>
      </c>
      <c r="G374">
        <v>30003</v>
      </c>
      <c r="H374" s="1">
        <v>44773</v>
      </c>
      <c r="I374">
        <v>15</v>
      </c>
      <c r="J374">
        <v>3</v>
      </c>
      <c r="K374">
        <v>3000</v>
      </c>
      <c r="L374">
        <v>1500</v>
      </c>
      <c r="M374">
        <v>31503</v>
      </c>
      <c r="N374">
        <v>1500</v>
      </c>
      <c r="O374">
        <v>34503</v>
      </c>
    </row>
    <row r="375" spans="1:15" x14ac:dyDescent="0.35">
      <c r="A375">
        <v>374</v>
      </c>
      <c r="B375" s="2" t="s">
        <v>31</v>
      </c>
      <c r="C375" s="2" t="s">
        <v>15</v>
      </c>
      <c r="D375">
        <v>40</v>
      </c>
      <c r="E375" s="2" t="s">
        <v>16</v>
      </c>
      <c r="F375" s="2" t="s">
        <v>19</v>
      </c>
      <c r="G375">
        <v>26443</v>
      </c>
      <c r="H375" s="1">
        <v>45004</v>
      </c>
      <c r="I375">
        <v>9</v>
      </c>
      <c r="J375">
        <v>5</v>
      </c>
      <c r="K375">
        <v>2644</v>
      </c>
      <c r="L375">
        <v>1322</v>
      </c>
      <c r="M375">
        <v>27765</v>
      </c>
      <c r="N375">
        <v>1322</v>
      </c>
      <c r="O375">
        <v>30409</v>
      </c>
    </row>
    <row r="376" spans="1:15" x14ac:dyDescent="0.35">
      <c r="A376">
        <v>375</v>
      </c>
      <c r="B376" s="2" t="s">
        <v>27</v>
      </c>
      <c r="C376" s="2" t="s">
        <v>15</v>
      </c>
      <c r="D376">
        <v>48</v>
      </c>
      <c r="E376" s="2" t="s">
        <v>12</v>
      </c>
      <c r="F376" s="2" t="s">
        <v>19</v>
      </c>
      <c r="G376">
        <v>63514</v>
      </c>
      <c r="H376" s="1">
        <v>44731</v>
      </c>
      <c r="I376">
        <v>20</v>
      </c>
      <c r="J376">
        <v>2</v>
      </c>
      <c r="K376">
        <v>6351</v>
      </c>
      <c r="L376">
        <v>3176</v>
      </c>
      <c r="M376">
        <v>66689</v>
      </c>
      <c r="N376">
        <v>3176</v>
      </c>
      <c r="O376">
        <v>73041</v>
      </c>
    </row>
    <row r="377" spans="1:15" x14ac:dyDescent="0.35">
      <c r="A377">
        <v>376</v>
      </c>
      <c r="B377" s="2" t="s">
        <v>30</v>
      </c>
      <c r="C377" s="2" t="s">
        <v>15</v>
      </c>
      <c r="D377">
        <v>48</v>
      </c>
      <c r="E377" s="2" t="s">
        <v>16</v>
      </c>
      <c r="F377" s="2" t="s">
        <v>21</v>
      </c>
      <c r="G377">
        <v>77956</v>
      </c>
      <c r="H377" s="1">
        <v>45171</v>
      </c>
      <c r="I377">
        <v>11</v>
      </c>
      <c r="J377">
        <v>2</v>
      </c>
      <c r="K377">
        <v>7796</v>
      </c>
      <c r="L377">
        <v>3898</v>
      </c>
      <c r="M377">
        <v>81854</v>
      </c>
      <c r="N377">
        <v>3898</v>
      </c>
      <c r="O377">
        <v>89650</v>
      </c>
    </row>
    <row r="378" spans="1:15" x14ac:dyDescent="0.35">
      <c r="A378">
        <v>377</v>
      </c>
      <c r="B378" s="2" t="s">
        <v>30</v>
      </c>
      <c r="C378" s="2" t="s">
        <v>15</v>
      </c>
      <c r="D378">
        <v>60</v>
      </c>
      <c r="E378" s="2" t="s">
        <v>24</v>
      </c>
      <c r="F378" s="2" t="s">
        <v>25</v>
      </c>
      <c r="G378">
        <v>90132</v>
      </c>
      <c r="H378" s="1">
        <v>45148</v>
      </c>
      <c r="I378">
        <v>10</v>
      </c>
      <c r="J378">
        <v>2</v>
      </c>
      <c r="K378">
        <v>9013</v>
      </c>
      <c r="L378">
        <v>4507</v>
      </c>
      <c r="M378">
        <v>94638</v>
      </c>
      <c r="N378">
        <v>4507</v>
      </c>
      <c r="O378">
        <v>103652</v>
      </c>
    </row>
    <row r="379" spans="1:15" x14ac:dyDescent="0.35">
      <c r="A379">
        <v>378</v>
      </c>
      <c r="B379" s="2" t="s">
        <v>23</v>
      </c>
      <c r="C379" s="2" t="s">
        <v>11</v>
      </c>
      <c r="D379">
        <v>57</v>
      </c>
      <c r="E379" s="2" t="s">
        <v>28</v>
      </c>
      <c r="F379" s="2" t="s">
        <v>19</v>
      </c>
      <c r="G379">
        <v>37892</v>
      </c>
      <c r="H379" s="1">
        <v>45403</v>
      </c>
      <c r="I379">
        <v>18</v>
      </c>
      <c r="J379">
        <v>2</v>
      </c>
      <c r="K379">
        <v>3789</v>
      </c>
      <c r="L379">
        <v>1895</v>
      </c>
      <c r="M379">
        <v>39786</v>
      </c>
      <c r="N379">
        <v>1895</v>
      </c>
      <c r="O379">
        <v>43576</v>
      </c>
    </row>
    <row r="380" spans="1:15" x14ac:dyDescent="0.35">
      <c r="A380">
        <v>379</v>
      </c>
      <c r="B380" s="2" t="s">
        <v>31</v>
      </c>
      <c r="C380" s="2" t="s">
        <v>15</v>
      </c>
      <c r="D380">
        <v>50</v>
      </c>
      <c r="E380" s="2" t="s">
        <v>24</v>
      </c>
      <c r="F380" s="2" t="s">
        <v>13</v>
      </c>
      <c r="G380">
        <v>94895</v>
      </c>
      <c r="H380" s="1">
        <v>44732</v>
      </c>
      <c r="I380">
        <v>17</v>
      </c>
      <c r="J380">
        <v>5</v>
      </c>
      <c r="K380">
        <v>9490</v>
      </c>
      <c r="L380">
        <v>4745</v>
      </c>
      <c r="M380">
        <v>99640</v>
      </c>
      <c r="N380">
        <v>4745</v>
      </c>
      <c r="O380">
        <v>109130</v>
      </c>
    </row>
    <row r="381" spans="1:15" x14ac:dyDescent="0.35">
      <c r="A381">
        <v>380</v>
      </c>
      <c r="B381" s="2" t="s">
        <v>14</v>
      </c>
      <c r="C381" s="2" t="s">
        <v>11</v>
      </c>
      <c r="D381">
        <v>38</v>
      </c>
      <c r="E381" s="2" t="s">
        <v>29</v>
      </c>
      <c r="F381" s="2" t="s">
        <v>19</v>
      </c>
      <c r="G381">
        <v>41322</v>
      </c>
      <c r="H381" s="1">
        <v>45202</v>
      </c>
      <c r="I381">
        <v>18</v>
      </c>
      <c r="J381">
        <v>3</v>
      </c>
      <c r="K381">
        <v>4132</v>
      </c>
      <c r="L381">
        <v>2066</v>
      </c>
      <c r="M381">
        <v>43388</v>
      </c>
      <c r="N381">
        <v>2066</v>
      </c>
      <c r="O381">
        <v>47520</v>
      </c>
    </row>
    <row r="382" spans="1:15" x14ac:dyDescent="0.35">
      <c r="A382">
        <v>381</v>
      </c>
      <c r="B382" s="2" t="s">
        <v>23</v>
      </c>
      <c r="C382" s="2" t="s">
        <v>11</v>
      </c>
      <c r="D382">
        <v>24</v>
      </c>
      <c r="E382" s="2" t="s">
        <v>24</v>
      </c>
      <c r="F382" s="2" t="s">
        <v>25</v>
      </c>
      <c r="G382">
        <v>92177</v>
      </c>
      <c r="H382" s="1">
        <v>44942</v>
      </c>
      <c r="I382">
        <v>13</v>
      </c>
      <c r="J382">
        <v>1</v>
      </c>
      <c r="K382">
        <v>9218</v>
      </c>
      <c r="L382">
        <v>4609</v>
      </c>
      <c r="M382">
        <v>96786</v>
      </c>
      <c r="N382">
        <v>4609</v>
      </c>
      <c r="O382">
        <v>106004</v>
      </c>
    </row>
    <row r="383" spans="1:15" x14ac:dyDescent="0.35">
      <c r="A383">
        <v>382</v>
      </c>
      <c r="B383" s="2" t="s">
        <v>22</v>
      </c>
      <c r="C383" s="2" t="s">
        <v>11</v>
      </c>
      <c r="D383">
        <v>43</v>
      </c>
      <c r="E383" s="2" t="s">
        <v>24</v>
      </c>
      <c r="F383" s="2" t="s">
        <v>13</v>
      </c>
      <c r="G383">
        <v>91427</v>
      </c>
      <c r="H383" s="1">
        <v>45228</v>
      </c>
      <c r="I383">
        <v>8</v>
      </c>
      <c r="J383">
        <v>4</v>
      </c>
      <c r="K383">
        <v>9143</v>
      </c>
      <c r="L383">
        <v>4571</v>
      </c>
      <c r="M383">
        <v>95999</v>
      </c>
      <c r="N383">
        <v>4571</v>
      </c>
      <c r="O383">
        <v>105141</v>
      </c>
    </row>
    <row r="384" spans="1:15" x14ac:dyDescent="0.35">
      <c r="A384">
        <v>383</v>
      </c>
      <c r="B384" s="2" t="s">
        <v>26</v>
      </c>
      <c r="C384" s="2" t="s">
        <v>15</v>
      </c>
      <c r="D384">
        <v>40</v>
      </c>
      <c r="E384" s="2" t="s">
        <v>16</v>
      </c>
      <c r="F384" s="2" t="s">
        <v>21</v>
      </c>
      <c r="G384">
        <v>55475</v>
      </c>
      <c r="H384" s="1">
        <v>44870</v>
      </c>
      <c r="I384">
        <v>20</v>
      </c>
      <c r="J384">
        <v>2</v>
      </c>
      <c r="K384">
        <v>5548</v>
      </c>
      <c r="L384">
        <v>2774</v>
      </c>
      <c r="M384">
        <v>58249</v>
      </c>
      <c r="N384">
        <v>2774</v>
      </c>
      <c r="O384">
        <v>63797</v>
      </c>
    </row>
    <row r="385" spans="1:15" x14ac:dyDescent="0.35">
      <c r="A385">
        <v>384</v>
      </c>
      <c r="B385" s="2" t="s">
        <v>20</v>
      </c>
      <c r="C385" s="2" t="s">
        <v>11</v>
      </c>
      <c r="D385">
        <v>35</v>
      </c>
      <c r="E385" s="2" t="s">
        <v>16</v>
      </c>
      <c r="F385" s="2" t="s">
        <v>17</v>
      </c>
      <c r="G385">
        <v>47867</v>
      </c>
      <c r="H385" s="1">
        <v>45449</v>
      </c>
      <c r="I385">
        <v>7</v>
      </c>
      <c r="J385">
        <v>4</v>
      </c>
      <c r="K385">
        <v>4787</v>
      </c>
      <c r="L385">
        <v>2393</v>
      </c>
      <c r="M385">
        <v>50261</v>
      </c>
      <c r="N385">
        <v>2393</v>
      </c>
      <c r="O385">
        <v>55047</v>
      </c>
    </row>
    <row r="386" spans="1:15" x14ac:dyDescent="0.35">
      <c r="A386">
        <v>385</v>
      </c>
      <c r="B386" s="2" t="s">
        <v>26</v>
      </c>
      <c r="C386" s="2" t="s">
        <v>11</v>
      </c>
      <c r="D386">
        <v>59</v>
      </c>
      <c r="E386" s="2" t="s">
        <v>16</v>
      </c>
      <c r="F386" s="2" t="s">
        <v>25</v>
      </c>
      <c r="G386">
        <v>60938</v>
      </c>
      <c r="H386" s="1">
        <v>45178</v>
      </c>
      <c r="I386">
        <v>16</v>
      </c>
      <c r="J386">
        <v>1</v>
      </c>
      <c r="K386">
        <v>6094</v>
      </c>
      <c r="L386">
        <v>3047</v>
      </c>
      <c r="M386">
        <v>63985</v>
      </c>
      <c r="N386">
        <v>3047</v>
      </c>
      <c r="O386">
        <v>70079</v>
      </c>
    </row>
    <row r="387" spans="1:15" x14ac:dyDescent="0.35">
      <c r="A387">
        <v>386</v>
      </c>
      <c r="B387" s="2" t="s">
        <v>30</v>
      </c>
      <c r="C387" s="2" t="s">
        <v>11</v>
      </c>
      <c r="D387">
        <v>27</v>
      </c>
      <c r="E387" s="2" t="s">
        <v>28</v>
      </c>
      <c r="F387" s="2" t="s">
        <v>21</v>
      </c>
      <c r="G387">
        <v>95315</v>
      </c>
      <c r="H387" s="1">
        <v>45213</v>
      </c>
      <c r="I387">
        <v>20</v>
      </c>
      <c r="J387">
        <v>5</v>
      </c>
      <c r="K387">
        <v>9532</v>
      </c>
      <c r="L387">
        <v>4766</v>
      </c>
      <c r="M387">
        <v>100081</v>
      </c>
      <c r="N387">
        <v>4766</v>
      </c>
      <c r="O387">
        <v>109613</v>
      </c>
    </row>
    <row r="388" spans="1:15" x14ac:dyDescent="0.35">
      <c r="A388">
        <v>387</v>
      </c>
      <c r="B388" s="2" t="s">
        <v>27</v>
      </c>
      <c r="C388" s="2" t="s">
        <v>15</v>
      </c>
      <c r="D388">
        <v>44</v>
      </c>
      <c r="E388" s="2" t="s">
        <v>28</v>
      </c>
      <c r="F388" s="2" t="s">
        <v>17</v>
      </c>
      <c r="G388">
        <v>42067</v>
      </c>
      <c r="H388" s="1">
        <v>44718</v>
      </c>
      <c r="I388">
        <v>15</v>
      </c>
      <c r="J388">
        <v>1</v>
      </c>
      <c r="K388">
        <v>4207</v>
      </c>
      <c r="L388">
        <v>2103</v>
      </c>
      <c r="M388">
        <v>44171</v>
      </c>
      <c r="N388">
        <v>2103</v>
      </c>
      <c r="O388">
        <v>48377</v>
      </c>
    </row>
    <row r="389" spans="1:15" x14ac:dyDescent="0.35">
      <c r="A389">
        <v>388</v>
      </c>
      <c r="B389" s="2" t="s">
        <v>18</v>
      </c>
      <c r="C389" s="2" t="s">
        <v>15</v>
      </c>
      <c r="D389">
        <v>51</v>
      </c>
      <c r="E389" s="2" t="s">
        <v>29</v>
      </c>
      <c r="F389" s="2" t="s">
        <v>13</v>
      </c>
      <c r="G389">
        <v>40097</v>
      </c>
      <c r="H389" s="1">
        <v>44618</v>
      </c>
      <c r="I389">
        <v>14</v>
      </c>
      <c r="J389">
        <v>3</v>
      </c>
      <c r="K389">
        <v>4010</v>
      </c>
      <c r="L389">
        <v>2005</v>
      </c>
      <c r="M389">
        <v>42102</v>
      </c>
      <c r="N389">
        <v>2005</v>
      </c>
      <c r="O389">
        <v>46112</v>
      </c>
    </row>
    <row r="390" spans="1:15" x14ac:dyDescent="0.35">
      <c r="A390">
        <v>389</v>
      </c>
      <c r="B390" s="2" t="s">
        <v>20</v>
      </c>
      <c r="C390" s="2" t="s">
        <v>11</v>
      </c>
      <c r="D390">
        <v>39</v>
      </c>
      <c r="E390" s="2" t="s">
        <v>12</v>
      </c>
      <c r="F390" s="2" t="s">
        <v>21</v>
      </c>
      <c r="G390">
        <v>92436</v>
      </c>
      <c r="H390" s="1">
        <v>45302</v>
      </c>
      <c r="I390">
        <v>13</v>
      </c>
      <c r="J390">
        <v>4</v>
      </c>
      <c r="K390">
        <v>9244</v>
      </c>
      <c r="L390">
        <v>4622</v>
      </c>
      <c r="M390">
        <v>97058</v>
      </c>
      <c r="N390">
        <v>4622</v>
      </c>
      <c r="O390">
        <v>106302</v>
      </c>
    </row>
    <row r="391" spans="1:15" x14ac:dyDescent="0.35">
      <c r="A391">
        <v>390</v>
      </c>
      <c r="B391" s="2" t="s">
        <v>27</v>
      </c>
      <c r="C391" s="2" t="s">
        <v>11</v>
      </c>
      <c r="D391">
        <v>40</v>
      </c>
      <c r="E391" s="2" t="s">
        <v>12</v>
      </c>
      <c r="F391" s="2" t="s">
        <v>13</v>
      </c>
      <c r="G391">
        <v>68763</v>
      </c>
      <c r="H391" s="1">
        <v>44854</v>
      </c>
      <c r="I391">
        <v>8</v>
      </c>
      <c r="J391">
        <v>5</v>
      </c>
      <c r="K391">
        <v>6876</v>
      </c>
      <c r="L391">
        <v>3438</v>
      </c>
      <c r="M391">
        <v>72201</v>
      </c>
      <c r="N391">
        <v>3438</v>
      </c>
      <c r="O391">
        <v>79077</v>
      </c>
    </row>
    <row r="392" spans="1:15" x14ac:dyDescent="0.35">
      <c r="A392">
        <v>391</v>
      </c>
      <c r="B392" s="2" t="s">
        <v>23</v>
      </c>
      <c r="C392" s="2" t="s">
        <v>11</v>
      </c>
      <c r="D392">
        <v>56</v>
      </c>
      <c r="E392" s="2" t="s">
        <v>24</v>
      </c>
      <c r="F392" s="2" t="s">
        <v>19</v>
      </c>
      <c r="G392">
        <v>79225</v>
      </c>
      <c r="H392" s="1">
        <v>44610</v>
      </c>
      <c r="I392">
        <v>9</v>
      </c>
      <c r="J392">
        <v>1</v>
      </c>
      <c r="K392">
        <v>7922</v>
      </c>
      <c r="L392">
        <v>3961</v>
      </c>
      <c r="M392">
        <v>83186</v>
      </c>
      <c r="N392">
        <v>3961</v>
      </c>
      <c r="O392">
        <v>91108</v>
      </c>
    </row>
    <row r="393" spans="1:15" x14ac:dyDescent="0.35">
      <c r="A393">
        <v>392</v>
      </c>
      <c r="B393" s="2" t="s">
        <v>18</v>
      </c>
      <c r="C393" s="2" t="s">
        <v>15</v>
      </c>
      <c r="D393">
        <v>38</v>
      </c>
      <c r="E393" s="2" t="s">
        <v>24</v>
      </c>
      <c r="F393" s="2" t="s">
        <v>17</v>
      </c>
      <c r="G393">
        <v>29966</v>
      </c>
      <c r="H393" s="1">
        <v>44597</v>
      </c>
      <c r="I393">
        <v>17</v>
      </c>
      <c r="J393">
        <v>5</v>
      </c>
      <c r="K393">
        <v>2997</v>
      </c>
      <c r="L393">
        <v>1498</v>
      </c>
      <c r="M393">
        <v>31465</v>
      </c>
      <c r="N393">
        <v>1498</v>
      </c>
      <c r="O393">
        <v>34461</v>
      </c>
    </row>
    <row r="394" spans="1:15" x14ac:dyDescent="0.35">
      <c r="A394">
        <v>393</v>
      </c>
      <c r="B394" s="2" t="s">
        <v>10</v>
      </c>
      <c r="C394" s="2" t="s">
        <v>11</v>
      </c>
      <c r="D394">
        <v>35</v>
      </c>
      <c r="E394" s="2" t="s">
        <v>16</v>
      </c>
      <c r="F394" s="2" t="s">
        <v>17</v>
      </c>
      <c r="G394">
        <v>52739</v>
      </c>
      <c r="H394" s="1">
        <v>44649</v>
      </c>
      <c r="I394">
        <v>13</v>
      </c>
      <c r="J394">
        <v>4</v>
      </c>
      <c r="K394">
        <v>5274</v>
      </c>
      <c r="L394">
        <v>2637</v>
      </c>
      <c r="M394">
        <v>55376</v>
      </c>
      <c r="N394">
        <v>2637</v>
      </c>
      <c r="O394">
        <v>60650</v>
      </c>
    </row>
    <row r="395" spans="1:15" x14ac:dyDescent="0.35">
      <c r="A395">
        <v>394</v>
      </c>
      <c r="B395" s="2" t="s">
        <v>31</v>
      </c>
      <c r="C395" s="2" t="s">
        <v>11</v>
      </c>
      <c r="D395">
        <v>23</v>
      </c>
      <c r="E395" s="2" t="s">
        <v>24</v>
      </c>
      <c r="F395" s="2" t="s">
        <v>19</v>
      </c>
      <c r="G395">
        <v>21839</v>
      </c>
      <c r="H395" s="1">
        <v>45457</v>
      </c>
      <c r="I395">
        <v>1</v>
      </c>
      <c r="J395">
        <v>5</v>
      </c>
      <c r="K395">
        <v>2184</v>
      </c>
      <c r="L395">
        <v>1092</v>
      </c>
      <c r="M395">
        <v>22931</v>
      </c>
      <c r="N395">
        <v>0</v>
      </c>
      <c r="O395">
        <v>24023</v>
      </c>
    </row>
    <row r="396" spans="1:15" x14ac:dyDescent="0.35">
      <c r="A396">
        <v>395</v>
      </c>
      <c r="B396" s="2" t="s">
        <v>23</v>
      </c>
      <c r="C396" s="2" t="s">
        <v>11</v>
      </c>
      <c r="D396">
        <v>32</v>
      </c>
      <c r="E396" s="2" t="s">
        <v>29</v>
      </c>
      <c r="F396" s="2" t="s">
        <v>25</v>
      </c>
      <c r="G396">
        <v>38252</v>
      </c>
      <c r="H396" s="1">
        <v>44918</v>
      </c>
      <c r="I396">
        <v>3</v>
      </c>
      <c r="J396">
        <v>3</v>
      </c>
      <c r="K396">
        <v>3825</v>
      </c>
      <c r="L396">
        <v>1913</v>
      </c>
      <c r="M396">
        <v>40164</v>
      </c>
      <c r="N396">
        <v>0</v>
      </c>
      <c r="O396">
        <v>42077</v>
      </c>
    </row>
    <row r="397" spans="1:15" x14ac:dyDescent="0.35">
      <c r="A397">
        <v>396</v>
      </c>
      <c r="B397" s="2" t="s">
        <v>27</v>
      </c>
      <c r="C397" s="2" t="s">
        <v>15</v>
      </c>
      <c r="D397">
        <v>30</v>
      </c>
      <c r="E397" s="2" t="s">
        <v>24</v>
      </c>
      <c r="F397" s="2" t="s">
        <v>19</v>
      </c>
      <c r="G397">
        <v>91077</v>
      </c>
      <c r="H397" s="1">
        <v>45307</v>
      </c>
      <c r="I397">
        <v>9</v>
      </c>
      <c r="J397">
        <v>2</v>
      </c>
      <c r="K397">
        <v>9108</v>
      </c>
      <c r="L397">
        <v>4554</v>
      </c>
      <c r="M397">
        <v>95631</v>
      </c>
      <c r="N397">
        <v>4554</v>
      </c>
      <c r="O397">
        <v>104739</v>
      </c>
    </row>
    <row r="398" spans="1:15" x14ac:dyDescent="0.35">
      <c r="A398">
        <v>397</v>
      </c>
      <c r="B398" s="2" t="s">
        <v>18</v>
      </c>
      <c r="C398" s="2" t="s">
        <v>15</v>
      </c>
      <c r="D398">
        <v>40</v>
      </c>
      <c r="E398" s="2" t="s">
        <v>28</v>
      </c>
      <c r="F398" s="2" t="s">
        <v>21</v>
      </c>
      <c r="G398">
        <v>95558</v>
      </c>
      <c r="H398" s="1">
        <v>44803</v>
      </c>
      <c r="I398">
        <v>1</v>
      </c>
      <c r="J398">
        <v>5</v>
      </c>
      <c r="K398">
        <v>9556</v>
      </c>
      <c r="L398">
        <v>4778</v>
      </c>
      <c r="M398">
        <v>100336</v>
      </c>
      <c r="N398">
        <v>0</v>
      </c>
      <c r="O398">
        <v>105114</v>
      </c>
    </row>
    <row r="399" spans="1:15" x14ac:dyDescent="0.35">
      <c r="A399">
        <v>398</v>
      </c>
      <c r="B399" s="2" t="s">
        <v>18</v>
      </c>
      <c r="C399" s="2" t="s">
        <v>15</v>
      </c>
      <c r="D399">
        <v>40</v>
      </c>
      <c r="E399" s="2" t="s">
        <v>29</v>
      </c>
      <c r="F399" s="2" t="s">
        <v>17</v>
      </c>
      <c r="G399">
        <v>55923</v>
      </c>
      <c r="H399" s="1">
        <v>44840</v>
      </c>
      <c r="I399">
        <v>17</v>
      </c>
      <c r="J399">
        <v>5</v>
      </c>
      <c r="K399">
        <v>5592</v>
      </c>
      <c r="L399">
        <v>2796</v>
      </c>
      <c r="M399">
        <v>58719</v>
      </c>
      <c r="N399">
        <v>2796</v>
      </c>
      <c r="O399">
        <v>64311</v>
      </c>
    </row>
    <row r="400" spans="1:15" x14ac:dyDescent="0.35">
      <c r="A400">
        <v>399</v>
      </c>
      <c r="B400" s="2" t="s">
        <v>27</v>
      </c>
      <c r="C400" s="2" t="s">
        <v>15</v>
      </c>
      <c r="D400">
        <v>42</v>
      </c>
      <c r="E400" s="2" t="s">
        <v>24</v>
      </c>
      <c r="F400" s="2" t="s">
        <v>25</v>
      </c>
      <c r="G400">
        <v>64679</v>
      </c>
      <c r="H400" s="1">
        <v>44562</v>
      </c>
      <c r="I400">
        <v>18</v>
      </c>
      <c r="J400">
        <v>1</v>
      </c>
      <c r="K400">
        <v>6468</v>
      </c>
      <c r="L400">
        <v>3234</v>
      </c>
      <c r="M400">
        <v>67913</v>
      </c>
      <c r="N400">
        <v>3234</v>
      </c>
      <c r="O400">
        <v>74381</v>
      </c>
    </row>
    <row r="401" spans="1:15" x14ac:dyDescent="0.35">
      <c r="A401">
        <v>400</v>
      </c>
      <c r="B401" s="2" t="s">
        <v>26</v>
      </c>
      <c r="C401" s="2" t="s">
        <v>15</v>
      </c>
      <c r="D401">
        <v>38</v>
      </c>
      <c r="E401" s="2" t="s">
        <v>29</v>
      </c>
      <c r="F401" s="2" t="s">
        <v>17</v>
      </c>
      <c r="G401">
        <v>21065</v>
      </c>
      <c r="H401" s="1">
        <v>45450</v>
      </c>
      <c r="I401">
        <v>4</v>
      </c>
      <c r="J401">
        <v>3</v>
      </c>
      <c r="K401">
        <v>2106</v>
      </c>
      <c r="L401">
        <v>1053</v>
      </c>
      <c r="M401">
        <v>22118</v>
      </c>
      <c r="N401">
        <v>0</v>
      </c>
      <c r="O401">
        <v>23171</v>
      </c>
    </row>
    <row r="402" spans="1:15" x14ac:dyDescent="0.35">
      <c r="A402">
        <v>401</v>
      </c>
      <c r="B402" s="2" t="s">
        <v>10</v>
      </c>
      <c r="C402" s="2" t="s">
        <v>11</v>
      </c>
      <c r="D402">
        <v>55</v>
      </c>
      <c r="E402" s="2" t="s">
        <v>12</v>
      </c>
      <c r="F402" s="2" t="s">
        <v>19</v>
      </c>
      <c r="G402">
        <v>94372</v>
      </c>
      <c r="H402" s="1">
        <v>44665</v>
      </c>
      <c r="I402">
        <v>5</v>
      </c>
      <c r="J402">
        <v>2</v>
      </c>
      <c r="K402">
        <v>9437</v>
      </c>
      <c r="L402">
        <v>4719</v>
      </c>
      <c r="M402">
        <v>99090</v>
      </c>
      <c r="N402">
        <v>0</v>
      </c>
      <c r="O402">
        <v>103809</v>
      </c>
    </row>
    <row r="403" spans="1:15" x14ac:dyDescent="0.35">
      <c r="A403">
        <v>402</v>
      </c>
      <c r="B403" s="2" t="s">
        <v>30</v>
      </c>
      <c r="C403" s="2" t="s">
        <v>15</v>
      </c>
      <c r="D403">
        <v>34</v>
      </c>
      <c r="E403" s="2" t="s">
        <v>16</v>
      </c>
      <c r="F403" s="2" t="s">
        <v>25</v>
      </c>
      <c r="G403">
        <v>29419</v>
      </c>
      <c r="H403" s="1">
        <v>45400</v>
      </c>
      <c r="I403">
        <v>1</v>
      </c>
      <c r="J403">
        <v>3</v>
      </c>
      <c r="K403">
        <v>2942</v>
      </c>
      <c r="L403">
        <v>1471</v>
      </c>
      <c r="M403">
        <v>30890</v>
      </c>
      <c r="N403">
        <v>0</v>
      </c>
      <c r="O403">
        <v>32361</v>
      </c>
    </row>
    <row r="404" spans="1:15" x14ac:dyDescent="0.35">
      <c r="A404">
        <v>403</v>
      </c>
      <c r="B404" s="2" t="s">
        <v>30</v>
      </c>
      <c r="C404" s="2" t="s">
        <v>15</v>
      </c>
      <c r="D404">
        <v>21</v>
      </c>
      <c r="E404" s="2" t="s">
        <v>28</v>
      </c>
      <c r="F404" s="2" t="s">
        <v>21</v>
      </c>
      <c r="G404">
        <v>36984</v>
      </c>
      <c r="H404" s="1">
        <v>45014</v>
      </c>
      <c r="I404">
        <v>8</v>
      </c>
      <c r="J404">
        <v>5</v>
      </c>
      <c r="K404">
        <v>3698</v>
      </c>
      <c r="L404">
        <v>1849</v>
      </c>
      <c r="M404">
        <v>38833</v>
      </c>
      <c r="N404">
        <v>1849</v>
      </c>
      <c r="O404">
        <v>42531</v>
      </c>
    </row>
    <row r="405" spans="1:15" x14ac:dyDescent="0.35">
      <c r="A405">
        <v>404</v>
      </c>
      <c r="B405" s="2" t="s">
        <v>31</v>
      </c>
      <c r="C405" s="2" t="s">
        <v>11</v>
      </c>
      <c r="D405">
        <v>57</v>
      </c>
      <c r="E405" s="2" t="s">
        <v>29</v>
      </c>
      <c r="F405" s="2" t="s">
        <v>19</v>
      </c>
      <c r="G405">
        <v>55188</v>
      </c>
      <c r="H405" s="1">
        <v>44897</v>
      </c>
      <c r="I405">
        <v>12</v>
      </c>
      <c r="J405">
        <v>1</v>
      </c>
      <c r="K405">
        <v>5519</v>
      </c>
      <c r="L405">
        <v>2759</v>
      </c>
      <c r="M405">
        <v>57948</v>
      </c>
      <c r="N405">
        <v>2759</v>
      </c>
      <c r="O405">
        <v>63466</v>
      </c>
    </row>
    <row r="406" spans="1:15" x14ac:dyDescent="0.35">
      <c r="A406">
        <v>405</v>
      </c>
      <c r="B406" s="2" t="s">
        <v>18</v>
      </c>
      <c r="C406" s="2" t="s">
        <v>15</v>
      </c>
      <c r="D406">
        <v>40</v>
      </c>
      <c r="E406" s="2" t="s">
        <v>29</v>
      </c>
      <c r="F406" s="2" t="s">
        <v>13</v>
      </c>
      <c r="G406">
        <v>24147</v>
      </c>
      <c r="H406" s="1">
        <v>45517</v>
      </c>
      <c r="I406">
        <v>7</v>
      </c>
      <c r="J406">
        <v>4</v>
      </c>
      <c r="K406">
        <v>2415</v>
      </c>
      <c r="L406">
        <v>1207</v>
      </c>
      <c r="M406">
        <v>25355</v>
      </c>
      <c r="N406">
        <v>1207</v>
      </c>
      <c r="O406">
        <v>27769</v>
      </c>
    </row>
    <row r="407" spans="1:15" x14ac:dyDescent="0.35">
      <c r="A407">
        <v>406</v>
      </c>
      <c r="B407" s="2" t="s">
        <v>14</v>
      </c>
      <c r="C407" s="2" t="s">
        <v>11</v>
      </c>
      <c r="D407">
        <v>48</v>
      </c>
      <c r="E407" s="2" t="s">
        <v>29</v>
      </c>
      <c r="F407" s="2" t="s">
        <v>17</v>
      </c>
      <c r="G407">
        <v>53750</v>
      </c>
      <c r="H407" s="1">
        <v>45504</v>
      </c>
      <c r="I407">
        <v>4</v>
      </c>
      <c r="J407">
        <v>5</v>
      </c>
      <c r="K407">
        <v>5375</v>
      </c>
      <c r="L407">
        <v>2688</v>
      </c>
      <c r="M407">
        <v>56437</v>
      </c>
      <c r="N407">
        <v>0</v>
      </c>
      <c r="O407">
        <v>59125</v>
      </c>
    </row>
    <row r="408" spans="1:15" x14ac:dyDescent="0.35">
      <c r="A408">
        <v>407</v>
      </c>
      <c r="B408" s="2" t="s">
        <v>10</v>
      </c>
      <c r="C408" s="2" t="s">
        <v>15</v>
      </c>
      <c r="D408">
        <v>31</v>
      </c>
      <c r="E408" s="2" t="s">
        <v>28</v>
      </c>
      <c r="F408" s="2" t="s">
        <v>25</v>
      </c>
      <c r="G408">
        <v>97114</v>
      </c>
      <c r="H408" s="1">
        <v>45032</v>
      </c>
      <c r="I408">
        <v>14</v>
      </c>
      <c r="J408">
        <v>1</v>
      </c>
      <c r="K408">
        <v>9711</v>
      </c>
      <c r="L408">
        <v>4856</v>
      </c>
      <c r="M408">
        <v>101969</v>
      </c>
      <c r="N408">
        <v>4856</v>
      </c>
      <c r="O408">
        <v>111681</v>
      </c>
    </row>
    <row r="409" spans="1:15" x14ac:dyDescent="0.35">
      <c r="A409">
        <v>408</v>
      </c>
      <c r="B409" s="2" t="s">
        <v>22</v>
      </c>
      <c r="C409" s="2" t="s">
        <v>15</v>
      </c>
      <c r="D409">
        <v>56</v>
      </c>
      <c r="E409" s="2" t="s">
        <v>12</v>
      </c>
      <c r="F409" s="2" t="s">
        <v>13</v>
      </c>
      <c r="G409">
        <v>67318</v>
      </c>
      <c r="H409" s="1">
        <v>44988</v>
      </c>
      <c r="I409">
        <v>6</v>
      </c>
      <c r="J409">
        <v>1</v>
      </c>
      <c r="K409">
        <v>6732</v>
      </c>
      <c r="L409">
        <v>3366</v>
      </c>
      <c r="M409">
        <v>70684</v>
      </c>
      <c r="N409">
        <v>3366</v>
      </c>
      <c r="O409">
        <v>77416</v>
      </c>
    </row>
    <row r="410" spans="1:15" x14ac:dyDescent="0.35">
      <c r="A410">
        <v>409</v>
      </c>
      <c r="B410" s="2" t="s">
        <v>31</v>
      </c>
      <c r="C410" s="2" t="s">
        <v>15</v>
      </c>
      <c r="D410">
        <v>50</v>
      </c>
      <c r="E410" s="2" t="s">
        <v>16</v>
      </c>
      <c r="F410" s="2" t="s">
        <v>19</v>
      </c>
      <c r="G410">
        <v>60959</v>
      </c>
      <c r="H410" s="1">
        <v>45516</v>
      </c>
      <c r="I410">
        <v>14</v>
      </c>
      <c r="J410">
        <v>5</v>
      </c>
      <c r="K410">
        <v>6096</v>
      </c>
      <c r="L410">
        <v>3048</v>
      </c>
      <c r="M410">
        <v>64007</v>
      </c>
      <c r="N410">
        <v>3048</v>
      </c>
      <c r="O410">
        <v>70103</v>
      </c>
    </row>
    <row r="411" spans="1:15" x14ac:dyDescent="0.35">
      <c r="A411">
        <v>410</v>
      </c>
      <c r="B411" s="2" t="s">
        <v>14</v>
      </c>
      <c r="C411" s="2" t="s">
        <v>11</v>
      </c>
      <c r="D411">
        <v>55</v>
      </c>
      <c r="E411" s="2" t="s">
        <v>12</v>
      </c>
      <c r="F411" s="2" t="s">
        <v>13</v>
      </c>
      <c r="G411">
        <v>24243</v>
      </c>
      <c r="H411" s="1">
        <v>45249</v>
      </c>
      <c r="I411">
        <v>6</v>
      </c>
      <c r="J411">
        <v>2</v>
      </c>
      <c r="K411">
        <v>2424</v>
      </c>
      <c r="L411">
        <v>1212</v>
      </c>
      <c r="M411">
        <v>25455</v>
      </c>
      <c r="N411">
        <v>1212</v>
      </c>
      <c r="O411">
        <v>27879</v>
      </c>
    </row>
    <row r="412" spans="1:15" x14ac:dyDescent="0.35">
      <c r="A412">
        <v>411</v>
      </c>
      <c r="B412" s="2" t="s">
        <v>30</v>
      </c>
      <c r="C412" s="2" t="s">
        <v>11</v>
      </c>
      <c r="D412">
        <v>43</v>
      </c>
      <c r="E412" s="2" t="s">
        <v>24</v>
      </c>
      <c r="F412" s="2" t="s">
        <v>13</v>
      </c>
      <c r="G412">
        <v>55504</v>
      </c>
      <c r="H412" s="1">
        <v>45271</v>
      </c>
      <c r="I412">
        <v>19</v>
      </c>
      <c r="J412">
        <v>5</v>
      </c>
      <c r="K412">
        <v>5550</v>
      </c>
      <c r="L412">
        <v>2775</v>
      </c>
      <c r="M412">
        <v>58279</v>
      </c>
      <c r="N412">
        <v>2775</v>
      </c>
      <c r="O412">
        <v>63829</v>
      </c>
    </row>
    <row r="413" spans="1:15" x14ac:dyDescent="0.35">
      <c r="A413">
        <v>412</v>
      </c>
      <c r="B413" s="2" t="s">
        <v>22</v>
      </c>
      <c r="C413" s="2" t="s">
        <v>15</v>
      </c>
      <c r="D413">
        <v>37</v>
      </c>
      <c r="E413" s="2" t="s">
        <v>28</v>
      </c>
      <c r="F413" s="2" t="s">
        <v>25</v>
      </c>
      <c r="G413">
        <v>54352</v>
      </c>
      <c r="H413" s="1">
        <v>44921</v>
      </c>
      <c r="I413">
        <v>4</v>
      </c>
      <c r="J413">
        <v>4</v>
      </c>
      <c r="K413">
        <v>5435</v>
      </c>
      <c r="L413">
        <v>2718</v>
      </c>
      <c r="M413">
        <v>57069</v>
      </c>
      <c r="N413">
        <v>0</v>
      </c>
      <c r="O413">
        <v>59787</v>
      </c>
    </row>
    <row r="414" spans="1:15" x14ac:dyDescent="0.35">
      <c r="A414">
        <v>413</v>
      </c>
      <c r="B414" s="2" t="s">
        <v>22</v>
      </c>
      <c r="C414" s="2" t="s">
        <v>15</v>
      </c>
      <c r="D414">
        <v>40</v>
      </c>
      <c r="E414" s="2" t="s">
        <v>16</v>
      </c>
      <c r="F414" s="2" t="s">
        <v>17</v>
      </c>
      <c r="G414">
        <v>67257</v>
      </c>
      <c r="H414" s="1">
        <v>45053</v>
      </c>
      <c r="I414">
        <v>14</v>
      </c>
      <c r="J414">
        <v>3</v>
      </c>
      <c r="K414">
        <v>6726</v>
      </c>
      <c r="L414">
        <v>3363</v>
      </c>
      <c r="M414">
        <v>70620</v>
      </c>
      <c r="N414">
        <v>3363</v>
      </c>
      <c r="O414">
        <v>77346</v>
      </c>
    </row>
    <row r="415" spans="1:15" x14ac:dyDescent="0.35">
      <c r="A415">
        <v>414</v>
      </c>
      <c r="B415" s="2" t="s">
        <v>26</v>
      </c>
      <c r="C415" s="2" t="s">
        <v>11</v>
      </c>
      <c r="D415">
        <v>52</v>
      </c>
      <c r="E415" s="2" t="s">
        <v>29</v>
      </c>
      <c r="F415" s="2" t="s">
        <v>17</v>
      </c>
      <c r="G415">
        <v>60229</v>
      </c>
      <c r="H415" s="1">
        <v>45379</v>
      </c>
      <c r="I415">
        <v>10</v>
      </c>
      <c r="J415">
        <v>3</v>
      </c>
      <c r="K415">
        <v>6023</v>
      </c>
      <c r="L415">
        <v>3011</v>
      </c>
      <c r="M415">
        <v>63241</v>
      </c>
      <c r="N415">
        <v>3011</v>
      </c>
      <c r="O415">
        <v>69263</v>
      </c>
    </row>
    <row r="416" spans="1:15" x14ac:dyDescent="0.35">
      <c r="A416">
        <v>415</v>
      </c>
      <c r="B416" s="2" t="s">
        <v>31</v>
      </c>
      <c r="C416" s="2" t="s">
        <v>15</v>
      </c>
      <c r="D416">
        <v>48</v>
      </c>
      <c r="E416" s="2" t="s">
        <v>16</v>
      </c>
      <c r="F416" s="2" t="s">
        <v>17</v>
      </c>
      <c r="G416">
        <v>32981</v>
      </c>
      <c r="H416" s="1">
        <v>44618</v>
      </c>
      <c r="I416">
        <v>12</v>
      </c>
      <c r="J416">
        <v>2</v>
      </c>
      <c r="K416">
        <v>3298</v>
      </c>
      <c r="L416">
        <v>1649</v>
      </c>
      <c r="M416">
        <v>34630</v>
      </c>
      <c r="N416">
        <v>1649</v>
      </c>
      <c r="O416">
        <v>37928</v>
      </c>
    </row>
    <row r="417" spans="1:15" x14ac:dyDescent="0.35">
      <c r="A417">
        <v>416</v>
      </c>
      <c r="B417" s="2" t="s">
        <v>30</v>
      </c>
      <c r="C417" s="2" t="s">
        <v>15</v>
      </c>
      <c r="D417">
        <v>43</v>
      </c>
      <c r="E417" s="2" t="s">
        <v>24</v>
      </c>
      <c r="F417" s="2" t="s">
        <v>13</v>
      </c>
      <c r="G417">
        <v>61446</v>
      </c>
      <c r="H417" s="1">
        <v>45393</v>
      </c>
      <c r="I417">
        <v>1</v>
      </c>
      <c r="J417">
        <v>2</v>
      </c>
      <c r="K417">
        <v>6145</v>
      </c>
      <c r="L417">
        <v>3072</v>
      </c>
      <c r="M417">
        <v>64519</v>
      </c>
      <c r="N417">
        <v>0</v>
      </c>
      <c r="O417">
        <v>67591</v>
      </c>
    </row>
    <row r="418" spans="1:15" x14ac:dyDescent="0.35">
      <c r="A418">
        <v>417</v>
      </c>
      <c r="B418" s="2" t="s">
        <v>20</v>
      </c>
      <c r="C418" s="2" t="s">
        <v>15</v>
      </c>
      <c r="D418">
        <v>47</v>
      </c>
      <c r="E418" s="2" t="s">
        <v>12</v>
      </c>
      <c r="F418" s="2" t="s">
        <v>21</v>
      </c>
      <c r="G418">
        <v>80039</v>
      </c>
      <c r="H418" s="1">
        <v>44591</v>
      </c>
      <c r="I418">
        <v>15</v>
      </c>
      <c r="J418">
        <v>5</v>
      </c>
      <c r="K418">
        <v>8004</v>
      </c>
      <c r="L418">
        <v>4002</v>
      </c>
      <c r="M418">
        <v>84041</v>
      </c>
      <c r="N418">
        <v>4002</v>
      </c>
      <c r="O418">
        <v>92045</v>
      </c>
    </row>
    <row r="419" spans="1:15" x14ac:dyDescent="0.35">
      <c r="A419">
        <v>418</v>
      </c>
      <c r="B419" s="2" t="s">
        <v>31</v>
      </c>
      <c r="C419" s="2" t="s">
        <v>15</v>
      </c>
      <c r="D419">
        <v>40</v>
      </c>
      <c r="E419" s="2" t="s">
        <v>24</v>
      </c>
      <c r="F419" s="2" t="s">
        <v>13</v>
      </c>
      <c r="G419">
        <v>92997</v>
      </c>
      <c r="H419" s="1">
        <v>44653</v>
      </c>
      <c r="I419">
        <v>14</v>
      </c>
      <c r="J419">
        <v>4</v>
      </c>
      <c r="K419">
        <v>9300</v>
      </c>
      <c r="L419">
        <v>4650</v>
      </c>
      <c r="M419">
        <v>97647</v>
      </c>
      <c r="N419">
        <v>4650</v>
      </c>
      <c r="O419">
        <v>106947</v>
      </c>
    </row>
    <row r="420" spans="1:15" x14ac:dyDescent="0.35">
      <c r="A420">
        <v>419</v>
      </c>
      <c r="B420" s="2" t="s">
        <v>26</v>
      </c>
      <c r="C420" s="2" t="s">
        <v>11</v>
      </c>
      <c r="D420">
        <v>38</v>
      </c>
      <c r="E420" s="2" t="s">
        <v>28</v>
      </c>
      <c r="F420" s="2" t="s">
        <v>19</v>
      </c>
      <c r="G420">
        <v>29307</v>
      </c>
      <c r="H420" s="1">
        <v>45125</v>
      </c>
      <c r="I420">
        <v>13</v>
      </c>
      <c r="J420">
        <v>5</v>
      </c>
      <c r="K420">
        <v>2931</v>
      </c>
      <c r="L420">
        <v>1465</v>
      </c>
      <c r="M420">
        <v>30773</v>
      </c>
      <c r="N420">
        <v>1465</v>
      </c>
      <c r="O420">
        <v>33703</v>
      </c>
    </row>
    <row r="421" spans="1:15" x14ac:dyDescent="0.35">
      <c r="A421">
        <v>420</v>
      </c>
      <c r="B421" s="2" t="s">
        <v>31</v>
      </c>
      <c r="C421" s="2" t="s">
        <v>15</v>
      </c>
      <c r="D421">
        <v>57</v>
      </c>
      <c r="E421" s="2" t="s">
        <v>28</v>
      </c>
      <c r="F421" s="2" t="s">
        <v>17</v>
      </c>
      <c r="G421">
        <v>82077</v>
      </c>
      <c r="H421" s="1">
        <v>44901</v>
      </c>
      <c r="I421">
        <v>3</v>
      </c>
      <c r="J421">
        <v>1</v>
      </c>
      <c r="K421">
        <v>8208</v>
      </c>
      <c r="L421">
        <v>4104</v>
      </c>
      <c r="M421">
        <v>86181</v>
      </c>
      <c r="N421">
        <v>0</v>
      </c>
      <c r="O421">
        <v>90285</v>
      </c>
    </row>
    <row r="422" spans="1:15" x14ac:dyDescent="0.35">
      <c r="A422">
        <v>421</v>
      </c>
      <c r="B422" s="2" t="s">
        <v>27</v>
      </c>
      <c r="C422" s="2" t="s">
        <v>15</v>
      </c>
      <c r="D422">
        <v>60</v>
      </c>
      <c r="E422" s="2" t="s">
        <v>28</v>
      </c>
      <c r="F422" s="2" t="s">
        <v>19</v>
      </c>
      <c r="G422">
        <v>55851</v>
      </c>
      <c r="H422" s="1">
        <v>45240</v>
      </c>
      <c r="I422">
        <v>13</v>
      </c>
      <c r="J422">
        <v>1</v>
      </c>
      <c r="K422">
        <v>5585</v>
      </c>
      <c r="L422">
        <v>2793</v>
      </c>
      <c r="M422">
        <v>58643</v>
      </c>
      <c r="N422">
        <v>2793</v>
      </c>
      <c r="O422">
        <v>64229</v>
      </c>
    </row>
    <row r="423" spans="1:15" x14ac:dyDescent="0.35">
      <c r="A423">
        <v>422</v>
      </c>
      <c r="B423" s="2" t="s">
        <v>14</v>
      </c>
      <c r="C423" s="2" t="s">
        <v>11</v>
      </c>
      <c r="D423">
        <v>58</v>
      </c>
      <c r="E423" s="2" t="s">
        <v>12</v>
      </c>
      <c r="F423" s="2" t="s">
        <v>13</v>
      </c>
      <c r="G423">
        <v>22174</v>
      </c>
      <c r="H423" s="1">
        <v>44791</v>
      </c>
      <c r="I423">
        <v>5</v>
      </c>
      <c r="J423">
        <v>2</v>
      </c>
      <c r="K423">
        <v>2217</v>
      </c>
      <c r="L423">
        <v>1109</v>
      </c>
      <c r="M423">
        <v>23282</v>
      </c>
      <c r="N423">
        <v>0</v>
      </c>
      <c r="O423">
        <v>24391</v>
      </c>
    </row>
    <row r="424" spans="1:15" x14ac:dyDescent="0.35">
      <c r="A424">
        <v>423</v>
      </c>
      <c r="B424" s="2" t="s">
        <v>30</v>
      </c>
      <c r="C424" s="2" t="s">
        <v>11</v>
      </c>
      <c r="D424">
        <v>27</v>
      </c>
      <c r="E424" s="2" t="s">
        <v>29</v>
      </c>
      <c r="F424" s="2" t="s">
        <v>19</v>
      </c>
      <c r="G424">
        <v>79516</v>
      </c>
      <c r="H424" s="1">
        <v>45299</v>
      </c>
      <c r="I424">
        <v>14</v>
      </c>
      <c r="J424">
        <v>1</v>
      </c>
      <c r="K424">
        <v>7952</v>
      </c>
      <c r="L424">
        <v>3976</v>
      </c>
      <c r="M424">
        <v>83492</v>
      </c>
      <c r="N424">
        <v>3976</v>
      </c>
      <c r="O424">
        <v>91444</v>
      </c>
    </row>
    <row r="425" spans="1:15" x14ac:dyDescent="0.35">
      <c r="A425">
        <v>424</v>
      </c>
      <c r="B425" s="2" t="s">
        <v>23</v>
      </c>
      <c r="C425" s="2" t="s">
        <v>11</v>
      </c>
      <c r="D425">
        <v>30</v>
      </c>
      <c r="E425" s="2" t="s">
        <v>29</v>
      </c>
      <c r="F425" s="2" t="s">
        <v>21</v>
      </c>
      <c r="G425">
        <v>97198</v>
      </c>
      <c r="H425" s="1">
        <v>44637</v>
      </c>
      <c r="I425">
        <v>19</v>
      </c>
      <c r="J425">
        <v>2</v>
      </c>
      <c r="K425">
        <v>9720</v>
      </c>
      <c r="L425">
        <v>4860</v>
      </c>
      <c r="M425">
        <v>102058</v>
      </c>
      <c r="N425">
        <v>4860</v>
      </c>
      <c r="O425">
        <v>111778</v>
      </c>
    </row>
    <row r="426" spans="1:15" x14ac:dyDescent="0.35">
      <c r="A426">
        <v>425</v>
      </c>
      <c r="B426" s="2" t="s">
        <v>14</v>
      </c>
      <c r="C426" s="2" t="s">
        <v>11</v>
      </c>
      <c r="D426">
        <v>57</v>
      </c>
      <c r="E426" s="2" t="s">
        <v>29</v>
      </c>
      <c r="F426" s="2" t="s">
        <v>19</v>
      </c>
      <c r="G426">
        <v>76716</v>
      </c>
      <c r="H426" s="1">
        <v>44807</v>
      </c>
      <c r="I426">
        <v>11</v>
      </c>
      <c r="J426">
        <v>1</v>
      </c>
      <c r="K426">
        <v>7672</v>
      </c>
      <c r="L426">
        <v>3836</v>
      </c>
      <c r="M426">
        <v>80552</v>
      </c>
      <c r="N426">
        <v>3836</v>
      </c>
      <c r="O426">
        <v>88224</v>
      </c>
    </row>
    <row r="427" spans="1:15" x14ac:dyDescent="0.35">
      <c r="A427">
        <v>426</v>
      </c>
      <c r="B427" s="2" t="s">
        <v>26</v>
      </c>
      <c r="C427" s="2" t="s">
        <v>15</v>
      </c>
      <c r="D427">
        <v>28</v>
      </c>
      <c r="E427" s="2" t="s">
        <v>28</v>
      </c>
      <c r="F427" s="2" t="s">
        <v>21</v>
      </c>
      <c r="G427">
        <v>49965</v>
      </c>
      <c r="H427" s="1">
        <v>44756</v>
      </c>
      <c r="I427">
        <v>14</v>
      </c>
      <c r="J427">
        <v>1</v>
      </c>
      <c r="K427">
        <v>4996</v>
      </c>
      <c r="L427">
        <v>2498</v>
      </c>
      <c r="M427">
        <v>52463</v>
      </c>
      <c r="N427">
        <v>2498</v>
      </c>
      <c r="O427">
        <v>57459</v>
      </c>
    </row>
    <row r="428" spans="1:15" x14ac:dyDescent="0.35">
      <c r="A428">
        <v>427</v>
      </c>
      <c r="B428" s="2" t="s">
        <v>31</v>
      </c>
      <c r="C428" s="2" t="s">
        <v>11</v>
      </c>
      <c r="D428">
        <v>51</v>
      </c>
      <c r="E428" s="2" t="s">
        <v>28</v>
      </c>
      <c r="F428" s="2" t="s">
        <v>25</v>
      </c>
      <c r="G428">
        <v>22543</v>
      </c>
      <c r="H428" s="1">
        <v>44923</v>
      </c>
      <c r="I428">
        <v>14</v>
      </c>
      <c r="J428">
        <v>3</v>
      </c>
      <c r="K428">
        <v>2254</v>
      </c>
      <c r="L428">
        <v>1127</v>
      </c>
      <c r="M428">
        <v>23670</v>
      </c>
      <c r="N428">
        <v>1127</v>
      </c>
      <c r="O428">
        <v>25924</v>
      </c>
    </row>
    <row r="429" spans="1:15" x14ac:dyDescent="0.35">
      <c r="A429">
        <v>428</v>
      </c>
      <c r="B429" s="2" t="s">
        <v>23</v>
      </c>
      <c r="C429" s="2" t="s">
        <v>15</v>
      </c>
      <c r="D429">
        <v>32</v>
      </c>
      <c r="E429" s="2" t="s">
        <v>24</v>
      </c>
      <c r="F429" s="2" t="s">
        <v>21</v>
      </c>
      <c r="G429">
        <v>36472</v>
      </c>
      <c r="H429" s="1">
        <v>45072</v>
      </c>
      <c r="I429">
        <v>6</v>
      </c>
      <c r="J429">
        <v>3</v>
      </c>
      <c r="K429">
        <v>3647</v>
      </c>
      <c r="L429">
        <v>1824</v>
      </c>
      <c r="M429">
        <v>38295</v>
      </c>
      <c r="N429">
        <v>1824</v>
      </c>
      <c r="O429">
        <v>41943</v>
      </c>
    </row>
    <row r="430" spans="1:15" x14ac:dyDescent="0.35">
      <c r="A430">
        <v>429</v>
      </c>
      <c r="B430" s="2" t="s">
        <v>10</v>
      </c>
      <c r="C430" s="2" t="s">
        <v>15</v>
      </c>
      <c r="D430">
        <v>35</v>
      </c>
      <c r="E430" s="2" t="s">
        <v>24</v>
      </c>
      <c r="F430" s="2" t="s">
        <v>19</v>
      </c>
      <c r="G430">
        <v>64655</v>
      </c>
      <c r="H430" s="1">
        <v>44746</v>
      </c>
      <c r="I430">
        <v>9</v>
      </c>
      <c r="J430">
        <v>5</v>
      </c>
      <c r="K430">
        <v>6466</v>
      </c>
      <c r="L430">
        <v>3233</v>
      </c>
      <c r="M430">
        <v>67888</v>
      </c>
      <c r="N430">
        <v>3233</v>
      </c>
      <c r="O430">
        <v>74354</v>
      </c>
    </row>
    <row r="431" spans="1:15" x14ac:dyDescent="0.35">
      <c r="A431">
        <v>430</v>
      </c>
      <c r="B431" s="2" t="s">
        <v>14</v>
      </c>
      <c r="C431" s="2" t="s">
        <v>11</v>
      </c>
      <c r="D431">
        <v>44</v>
      </c>
      <c r="E431" s="2" t="s">
        <v>29</v>
      </c>
      <c r="F431" s="2" t="s">
        <v>17</v>
      </c>
      <c r="G431">
        <v>35744</v>
      </c>
      <c r="H431" s="1">
        <v>44582</v>
      </c>
      <c r="I431">
        <v>3</v>
      </c>
      <c r="J431">
        <v>4</v>
      </c>
      <c r="K431">
        <v>3574</v>
      </c>
      <c r="L431">
        <v>1787</v>
      </c>
      <c r="M431">
        <v>37531</v>
      </c>
      <c r="N431">
        <v>0</v>
      </c>
      <c r="O431">
        <v>39318</v>
      </c>
    </row>
    <row r="432" spans="1:15" x14ac:dyDescent="0.35">
      <c r="A432">
        <v>431</v>
      </c>
      <c r="B432" s="2" t="s">
        <v>10</v>
      </c>
      <c r="C432" s="2" t="s">
        <v>15</v>
      </c>
      <c r="D432">
        <v>39</v>
      </c>
      <c r="E432" s="2" t="s">
        <v>16</v>
      </c>
      <c r="F432" s="2" t="s">
        <v>19</v>
      </c>
      <c r="G432">
        <v>64824</v>
      </c>
      <c r="H432" s="1">
        <v>45091</v>
      </c>
      <c r="I432">
        <v>9</v>
      </c>
      <c r="J432">
        <v>3</v>
      </c>
      <c r="K432">
        <v>6482</v>
      </c>
      <c r="L432">
        <v>3241</v>
      </c>
      <c r="M432">
        <v>68065</v>
      </c>
      <c r="N432">
        <v>3241</v>
      </c>
      <c r="O432">
        <v>74547</v>
      </c>
    </row>
    <row r="433" spans="1:15" x14ac:dyDescent="0.35">
      <c r="A433">
        <v>432</v>
      </c>
      <c r="B433" s="2" t="s">
        <v>30</v>
      </c>
      <c r="C433" s="2" t="s">
        <v>11</v>
      </c>
      <c r="D433">
        <v>45</v>
      </c>
      <c r="E433" s="2" t="s">
        <v>12</v>
      </c>
      <c r="F433" s="2" t="s">
        <v>17</v>
      </c>
      <c r="G433">
        <v>37473</v>
      </c>
      <c r="H433" s="1">
        <v>45308</v>
      </c>
      <c r="I433">
        <v>19</v>
      </c>
      <c r="J433">
        <v>3</v>
      </c>
      <c r="K433">
        <v>3747</v>
      </c>
      <c r="L433">
        <v>1874</v>
      </c>
      <c r="M433">
        <v>39346</v>
      </c>
      <c r="N433">
        <v>1874</v>
      </c>
      <c r="O433">
        <v>43094</v>
      </c>
    </row>
    <row r="434" spans="1:15" x14ac:dyDescent="0.35">
      <c r="A434">
        <v>433</v>
      </c>
      <c r="B434" s="2" t="s">
        <v>10</v>
      </c>
      <c r="C434" s="2" t="s">
        <v>11</v>
      </c>
      <c r="D434">
        <v>38</v>
      </c>
      <c r="E434" s="2" t="s">
        <v>16</v>
      </c>
      <c r="F434" s="2" t="s">
        <v>19</v>
      </c>
      <c r="G434">
        <v>40621</v>
      </c>
      <c r="H434" s="1">
        <v>44929</v>
      </c>
      <c r="I434">
        <v>13</v>
      </c>
      <c r="J434">
        <v>1</v>
      </c>
      <c r="K434">
        <v>4062</v>
      </c>
      <c r="L434">
        <v>2031</v>
      </c>
      <c r="M434">
        <v>42652</v>
      </c>
      <c r="N434">
        <v>2031</v>
      </c>
      <c r="O434">
        <v>46714</v>
      </c>
    </row>
    <row r="435" spans="1:15" x14ac:dyDescent="0.35">
      <c r="A435">
        <v>434</v>
      </c>
      <c r="B435" s="2" t="s">
        <v>23</v>
      </c>
      <c r="C435" s="2" t="s">
        <v>11</v>
      </c>
      <c r="D435">
        <v>31</v>
      </c>
      <c r="E435" s="2" t="s">
        <v>12</v>
      </c>
      <c r="F435" s="2" t="s">
        <v>25</v>
      </c>
      <c r="G435">
        <v>68234</v>
      </c>
      <c r="H435" s="1">
        <v>44814</v>
      </c>
      <c r="I435">
        <v>6</v>
      </c>
      <c r="J435">
        <v>4</v>
      </c>
      <c r="K435">
        <v>6823</v>
      </c>
      <c r="L435">
        <v>3412</v>
      </c>
      <c r="M435">
        <v>71645</v>
      </c>
      <c r="N435">
        <v>3412</v>
      </c>
      <c r="O435">
        <v>78469</v>
      </c>
    </row>
    <row r="436" spans="1:15" x14ac:dyDescent="0.35">
      <c r="A436">
        <v>435</v>
      </c>
      <c r="B436" s="2" t="s">
        <v>30</v>
      </c>
      <c r="C436" s="2" t="s">
        <v>15</v>
      </c>
      <c r="D436">
        <v>21</v>
      </c>
      <c r="E436" s="2" t="s">
        <v>29</v>
      </c>
      <c r="F436" s="2" t="s">
        <v>25</v>
      </c>
      <c r="G436">
        <v>85090</v>
      </c>
      <c r="H436" s="1">
        <v>45113</v>
      </c>
      <c r="I436">
        <v>10</v>
      </c>
      <c r="J436">
        <v>1</v>
      </c>
      <c r="K436">
        <v>8509</v>
      </c>
      <c r="L436">
        <v>4254</v>
      </c>
      <c r="M436">
        <v>89345</v>
      </c>
      <c r="N436">
        <v>4254</v>
      </c>
      <c r="O436">
        <v>97853</v>
      </c>
    </row>
    <row r="437" spans="1:15" x14ac:dyDescent="0.35">
      <c r="A437">
        <v>436</v>
      </c>
      <c r="B437" s="2" t="s">
        <v>31</v>
      </c>
      <c r="C437" s="2" t="s">
        <v>15</v>
      </c>
      <c r="D437">
        <v>44</v>
      </c>
      <c r="E437" s="2" t="s">
        <v>24</v>
      </c>
      <c r="F437" s="2" t="s">
        <v>21</v>
      </c>
      <c r="G437">
        <v>92376</v>
      </c>
      <c r="H437" s="1">
        <v>45075</v>
      </c>
      <c r="I437">
        <v>19</v>
      </c>
      <c r="J437">
        <v>2</v>
      </c>
      <c r="K437">
        <v>9238</v>
      </c>
      <c r="L437">
        <v>4619</v>
      </c>
      <c r="M437">
        <v>96995</v>
      </c>
      <c r="N437">
        <v>4619</v>
      </c>
      <c r="O437">
        <v>106233</v>
      </c>
    </row>
    <row r="438" spans="1:15" x14ac:dyDescent="0.35">
      <c r="A438">
        <v>437</v>
      </c>
      <c r="B438" s="2" t="s">
        <v>26</v>
      </c>
      <c r="C438" s="2" t="s">
        <v>15</v>
      </c>
      <c r="D438">
        <v>45</v>
      </c>
      <c r="E438" s="2" t="s">
        <v>24</v>
      </c>
      <c r="F438" s="2" t="s">
        <v>21</v>
      </c>
      <c r="G438">
        <v>71931</v>
      </c>
      <c r="H438" s="1">
        <v>45189</v>
      </c>
      <c r="I438">
        <v>14</v>
      </c>
      <c r="J438">
        <v>3</v>
      </c>
      <c r="K438">
        <v>7193</v>
      </c>
      <c r="L438">
        <v>3597</v>
      </c>
      <c r="M438">
        <v>75527</v>
      </c>
      <c r="N438">
        <v>3597</v>
      </c>
      <c r="O438">
        <v>82721</v>
      </c>
    </row>
    <row r="439" spans="1:15" x14ac:dyDescent="0.35">
      <c r="A439">
        <v>438</v>
      </c>
      <c r="B439" s="2" t="s">
        <v>26</v>
      </c>
      <c r="C439" s="2" t="s">
        <v>11</v>
      </c>
      <c r="D439">
        <v>53</v>
      </c>
      <c r="E439" s="2" t="s">
        <v>29</v>
      </c>
      <c r="F439" s="2" t="s">
        <v>13</v>
      </c>
      <c r="G439">
        <v>37313</v>
      </c>
      <c r="H439" s="1">
        <v>44990</v>
      </c>
      <c r="I439">
        <v>16</v>
      </c>
      <c r="J439">
        <v>4</v>
      </c>
      <c r="K439">
        <v>3731</v>
      </c>
      <c r="L439">
        <v>1866</v>
      </c>
      <c r="M439">
        <v>39178</v>
      </c>
      <c r="N439">
        <v>1866</v>
      </c>
      <c r="O439">
        <v>42910</v>
      </c>
    </row>
    <row r="440" spans="1:15" x14ac:dyDescent="0.35">
      <c r="A440">
        <v>439</v>
      </c>
      <c r="B440" s="2" t="s">
        <v>14</v>
      </c>
      <c r="C440" s="2" t="s">
        <v>11</v>
      </c>
      <c r="D440">
        <v>23</v>
      </c>
      <c r="E440" s="2" t="s">
        <v>24</v>
      </c>
      <c r="F440" s="2" t="s">
        <v>25</v>
      </c>
      <c r="G440">
        <v>66212</v>
      </c>
      <c r="H440" s="1">
        <v>44666</v>
      </c>
      <c r="I440">
        <v>5</v>
      </c>
      <c r="J440">
        <v>5</v>
      </c>
      <c r="K440">
        <v>6621</v>
      </c>
      <c r="L440">
        <v>3311</v>
      </c>
      <c r="M440">
        <v>69522</v>
      </c>
      <c r="N440">
        <v>0</v>
      </c>
      <c r="O440">
        <v>72833</v>
      </c>
    </row>
    <row r="441" spans="1:15" x14ac:dyDescent="0.35">
      <c r="A441">
        <v>440</v>
      </c>
      <c r="B441" s="2" t="s">
        <v>26</v>
      </c>
      <c r="C441" s="2" t="s">
        <v>11</v>
      </c>
      <c r="D441">
        <v>37</v>
      </c>
      <c r="E441" s="2" t="s">
        <v>24</v>
      </c>
      <c r="F441" s="2" t="s">
        <v>25</v>
      </c>
      <c r="G441">
        <v>72284</v>
      </c>
      <c r="H441" s="1">
        <v>45526</v>
      </c>
      <c r="I441">
        <v>19</v>
      </c>
      <c r="J441">
        <v>4</v>
      </c>
      <c r="K441">
        <v>7228</v>
      </c>
      <c r="L441">
        <v>3614</v>
      </c>
      <c r="M441">
        <v>75898</v>
      </c>
      <c r="N441">
        <v>3614</v>
      </c>
      <c r="O441">
        <v>83126</v>
      </c>
    </row>
    <row r="442" spans="1:15" x14ac:dyDescent="0.35">
      <c r="A442">
        <v>441</v>
      </c>
      <c r="B442" s="2" t="s">
        <v>14</v>
      </c>
      <c r="C442" s="2" t="s">
        <v>15</v>
      </c>
      <c r="D442">
        <v>35</v>
      </c>
      <c r="E442" s="2" t="s">
        <v>29</v>
      </c>
      <c r="F442" s="2" t="s">
        <v>19</v>
      </c>
      <c r="G442">
        <v>23167</v>
      </c>
      <c r="H442" s="1">
        <v>44719</v>
      </c>
      <c r="I442">
        <v>10</v>
      </c>
      <c r="J442">
        <v>3</v>
      </c>
      <c r="K442">
        <v>2317</v>
      </c>
      <c r="L442">
        <v>1158</v>
      </c>
      <c r="M442">
        <v>24326</v>
      </c>
      <c r="N442">
        <v>1158</v>
      </c>
      <c r="O442">
        <v>26642</v>
      </c>
    </row>
    <row r="443" spans="1:15" x14ac:dyDescent="0.35">
      <c r="A443">
        <v>442</v>
      </c>
      <c r="B443" s="2" t="s">
        <v>26</v>
      </c>
      <c r="C443" s="2" t="s">
        <v>15</v>
      </c>
      <c r="D443">
        <v>27</v>
      </c>
      <c r="E443" s="2" t="s">
        <v>12</v>
      </c>
      <c r="F443" s="2" t="s">
        <v>19</v>
      </c>
      <c r="G443">
        <v>50605</v>
      </c>
      <c r="H443" s="1">
        <v>44615</v>
      </c>
      <c r="I443">
        <v>9</v>
      </c>
      <c r="J443">
        <v>1</v>
      </c>
      <c r="K443">
        <v>5060</v>
      </c>
      <c r="L443">
        <v>2530</v>
      </c>
      <c r="M443">
        <v>53135</v>
      </c>
      <c r="N443">
        <v>2530</v>
      </c>
      <c r="O443">
        <v>58195</v>
      </c>
    </row>
    <row r="444" spans="1:15" x14ac:dyDescent="0.35">
      <c r="A444">
        <v>443</v>
      </c>
      <c r="B444" s="2" t="s">
        <v>22</v>
      </c>
      <c r="C444" s="2" t="s">
        <v>15</v>
      </c>
      <c r="D444">
        <v>32</v>
      </c>
      <c r="E444" s="2" t="s">
        <v>24</v>
      </c>
      <c r="F444" s="2" t="s">
        <v>19</v>
      </c>
      <c r="G444">
        <v>84986</v>
      </c>
      <c r="H444" s="1">
        <v>44812</v>
      </c>
      <c r="I444">
        <v>5</v>
      </c>
      <c r="J444">
        <v>4</v>
      </c>
      <c r="K444">
        <v>8499</v>
      </c>
      <c r="L444">
        <v>4249</v>
      </c>
      <c r="M444">
        <v>89236</v>
      </c>
      <c r="N444">
        <v>0</v>
      </c>
      <c r="O444">
        <v>93485</v>
      </c>
    </row>
    <row r="445" spans="1:15" x14ac:dyDescent="0.35">
      <c r="A445">
        <v>444</v>
      </c>
      <c r="B445" s="2" t="s">
        <v>20</v>
      </c>
      <c r="C445" s="2" t="s">
        <v>11</v>
      </c>
      <c r="D445">
        <v>55</v>
      </c>
      <c r="E445" s="2" t="s">
        <v>29</v>
      </c>
      <c r="F445" s="2" t="s">
        <v>21</v>
      </c>
      <c r="G445">
        <v>38562</v>
      </c>
      <c r="H445" s="1">
        <v>45113</v>
      </c>
      <c r="I445">
        <v>3</v>
      </c>
      <c r="J445">
        <v>5</v>
      </c>
      <c r="K445">
        <v>3856</v>
      </c>
      <c r="L445">
        <v>1928</v>
      </c>
      <c r="M445">
        <v>40490</v>
      </c>
      <c r="N445">
        <v>0</v>
      </c>
      <c r="O445">
        <v>42418</v>
      </c>
    </row>
    <row r="446" spans="1:15" x14ac:dyDescent="0.35">
      <c r="A446">
        <v>445</v>
      </c>
      <c r="B446" s="2" t="s">
        <v>31</v>
      </c>
      <c r="C446" s="2" t="s">
        <v>15</v>
      </c>
      <c r="D446">
        <v>31</v>
      </c>
      <c r="E446" s="2" t="s">
        <v>16</v>
      </c>
      <c r="F446" s="2" t="s">
        <v>17</v>
      </c>
      <c r="G446">
        <v>43473</v>
      </c>
      <c r="H446" s="1">
        <v>45155</v>
      </c>
      <c r="I446">
        <v>17</v>
      </c>
      <c r="J446">
        <v>2</v>
      </c>
      <c r="K446">
        <v>4347</v>
      </c>
      <c r="L446">
        <v>2174</v>
      </c>
      <c r="M446">
        <v>45646</v>
      </c>
      <c r="N446">
        <v>2174</v>
      </c>
      <c r="O446">
        <v>49994</v>
      </c>
    </row>
    <row r="447" spans="1:15" x14ac:dyDescent="0.35">
      <c r="A447">
        <v>446</v>
      </c>
      <c r="B447" s="2" t="s">
        <v>30</v>
      </c>
      <c r="C447" s="2" t="s">
        <v>11</v>
      </c>
      <c r="D447">
        <v>47</v>
      </c>
      <c r="E447" s="2" t="s">
        <v>24</v>
      </c>
      <c r="F447" s="2" t="s">
        <v>25</v>
      </c>
      <c r="G447">
        <v>65261</v>
      </c>
      <c r="H447" s="1">
        <v>45117</v>
      </c>
      <c r="I447">
        <v>3</v>
      </c>
      <c r="J447">
        <v>4</v>
      </c>
      <c r="K447">
        <v>6526</v>
      </c>
      <c r="L447">
        <v>3263</v>
      </c>
      <c r="M447">
        <v>68524</v>
      </c>
      <c r="N447">
        <v>0</v>
      </c>
      <c r="O447">
        <v>71787</v>
      </c>
    </row>
    <row r="448" spans="1:15" x14ac:dyDescent="0.35">
      <c r="A448">
        <v>447</v>
      </c>
      <c r="B448" s="2" t="s">
        <v>10</v>
      </c>
      <c r="C448" s="2" t="s">
        <v>15</v>
      </c>
      <c r="D448">
        <v>34</v>
      </c>
      <c r="E448" s="2" t="s">
        <v>24</v>
      </c>
      <c r="F448" s="2" t="s">
        <v>13</v>
      </c>
      <c r="G448">
        <v>21534</v>
      </c>
      <c r="H448" s="1">
        <v>45420</v>
      </c>
      <c r="I448">
        <v>2</v>
      </c>
      <c r="J448">
        <v>2</v>
      </c>
      <c r="K448">
        <v>2153</v>
      </c>
      <c r="L448">
        <v>1077</v>
      </c>
      <c r="M448">
        <v>22610</v>
      </c>
      <c r="N448">
        <v>0</v>
      </c>
      <c r="O448">
        <v>23687</v>
      </c>
    </row>
    <row r="449" spans="1:15" x14ac:dyDescent="0.35">
      <c r="A449">
        <v>448</v>
      </c>
      <c r="B449" s="2" t="s">
        <v>22</v>
      </c>
      <c r="C449" s="2" t="s">
        <v>15</v>
      </c>
      <c r="D449">
        <v>28</v>
      </c>
      <c r="E449" s="2" t="s">
        <v>12</v>
      </c>
      <c r="F449" s="2" t="s">
        <v>21</v>
      </c>
      <c r="G449">
        <v>96305</v>
      </c>
      <c r="H449" s="1">
        <v>44661</v>
      </c>
      <c r="I449">
        <v>11</v>
      </c>
      <c r="J449">
        <v>2</v>
      </c>
      <c r="K449">
        <v>9630</v>
      </c>
      <c r="L449">
        <v>4815</v>
      </c>
      <c r="M449">
        <v>101120</v>
      </c>
      <c r="N449">
        <v>4815</v>
      </c>
      <c r="O449">
        <v>110750</v>
      </c>
    </row>
    <row r="450" spans="1:15" x14ac:dyDescent="0.35">
      <c r="A450">
        <v>449</v>
      </c>
      <c r="B450" s="2" t="s">
        <v>18</v>
      </c>
      <c r="C450" s="2" t="s">
        <v>11</v>
      </c>
      <c r="D450">
        <v>47</v>
      </c>
      <c r="E450" s="2" t="s">
        <v>29</v>
      </c>
      <c r="F450" s="2" t="s">
        <v>21</v>
      </c>
      <c r="G450">
        <v>80112</v>
      </c>
      <c r="H450" s="1">
        <v>45416</v>
      </c>
      <c r="I450">
        <v>9</v>
      </c>
      <c r="J450">
        <v>2</v>
      </c>
      <c r="K450">
        <v>8011</v>
      </c>
      <c r="L450">
        <v>4006</v>
      </c>
      <c r="M450">
        <v>84117</v>
      </c>
      <c r="N450">
        <v>4006</v>
      </c>
      <c r="O450">
        <v>92129</v>
      </c>
    </row>
    <row r="451" spans="1:15" x14ac:dyDescent="0.35">
      <c r="A451">
        <v>450</v>
      </c>
      <c r="B451" s="2" t="s">
        <v>27</v>
      </c>
      <c r="C451" s="2" t="s">
        <v>11</v>
      </c>
      <c r="D451">
        <v>26</v>
      </c>
      <c r="E451" s="2" t="s">
        <v>29</v>
      </c>
      <c r="F451" s="2" t="s">
        <v>13</v>
      </c>
      <c r="G451">
        <v>79471</v>
      </c>
      <c r="H451" s="1">
        <v>44568</v>
      </c>
      <c r="I451">
        <v>17</v>
      </c>
      <c r="J451">
        <v>3</v>
      </c>
      <c r="K451">
        <v>7947</v>
      </c>
      <c r="L451">
        <v>3974</v>
      </c>
      <c r="M451">
        <v>83444</v>
      </c>
      <c r="N451">
        <v>3974</v>
      </c>
      <c r="O451">
        <v>91392</v>
      </c>
    </row>
    <row r="452" spans="1:15" x14ac:dyDescent="0.35">
      <c r="A452">
        <v>451</v>
      </c>
      <c r="B452" s="2" t="s">
        <v>31</v>
      </c>
      <c r="C452" s="2" t="s">
        <v>15</v>
      </c>
      <c r="D452">
        <v>35</v>
      </c>
      <c r="E452" s="2" t="s">
        <v>16</v>
      </c>
      <c r="F452" s="2" t="s">
        <v>21</v>
      </c>
      <c r="G452">
        <v>59942</v>
      </c>
      <c r="H452" s="1">
        <v>45274</v>
      </c>
      <c r="I452">
        <v>19</v>
      </c>
      <c r="J452">
        <v>4</v>
      </c>
      <c r="K452">
        <v>5994</v>
      </c>
      <c r="L452">
        <v>2997</v>
      </c>
      <c r="M452">
        <v>62939</v>
      </c>
      <c r="N452">
        <v>2997</v>
      </c>
      <c r="O452">
        <v>68933</v>
      </c>
    </row>
    <row r="453" spans="1:15" x14ac:dyDescent="0.35">
      <c r="A453">
        <v>452</v>
      </c>
      <c r="B453" s="2" t="s">
        <v>30</v>
      </c>
      <c r="C453" s="2" t="s">
        <v>15</v>
      </c>
      <c r="D453">
        <v>26</v>
      </c>
      <c r="E453" s="2" t="s">
        <v>28</v>
      </c>
      <c r="F453" s="2" t="s">
        <v>17</v>
      </c>
      <c r="G453">
        <v>93928</v>
      </c>
      <c r="H453" s="1">
        <v>44677</v>
      </c>
      <c r="I453">
        <v>13</v>
      </c>
      <c r="J453">
        <v>1</v>
      </c>
      <c r="K453">
        <v>9393</v>
      </c>
      <c r="L453">
        <v>4696</v>
      </c>
      <c r="M453">
        <v>98625</v>
      </c>
      <c r="N453">
        <v>4696</v>
      </c>
      <c r="O453">
        <v>108017</v>
      </c>
    </row>
    <row r="454" spans="1:15" x14ac:dyDescent="0.35">
      <c r="A454">
        <v>453</v>
      </c>
      <c r="B454" s="2" t="s">
        <v>27</v>
      </c>
      <c r="C454" s="2" t="s">
        <v>15</v>
      </c>
      <c r="D454">
        <v>32</v>
      </c>
      <c r="E454" s="2" t="s">
        <v>16</v>
      </c>
      <c r="F454" s="2" t="s">
        <v>17</v>
      </c>
      <c r="G454">
        <v>26731</v>
      </c>
      <c r="H454" s="1">
        <v>44949</v>
      </c>
      <c r="I454">
        <v>14</v>
      </c>
      <c r="J454">
        <v>1</v>
      </c>
      <c r="K454">
        <v>2673</v>
      </c>
      <c r="L454">
        <v>1337</v>
      </c>
      <c r="M454">
        <v>28067</v>
      </c>
      <c r="N454">
        <v>1337</v>
      </c>
      <c r="O454">
        <v>30741</v>
      </c>
    </row>
    <row r="455" spans="1:15" x14ac:dyDescent="0.35">
      <c r="A455">
        <v>454</v>
      </c>
      <c r="B455" s="2" t="s">
        <v>22</v>
      </c>
      <c r="C455" s="2" t="s">
        <v>15</v>
      </c>
      <c r="D455">
        <v>58</v>
      </c>
      <c r="E455" s="2" t="s">
        <v>29</v>
      </c>
      <c r="F455" s="2" t="s">
        <v>19</v>
      </c>
      <c r="G455">
        <v>98449</v>
      </c>
      <c r="H455" s="1">
        <v>45432</v>
      </c>
      <c r="I455">
        <v>3</v>
      </c>
      <c r="J455">
        <v>3</v>
      </c>
      <c r="K455">
        <v>9845</v>
      </c>
      <c r="L455">
        <v>4922</v>
      </c>
      <c r="M455">
        <v>103372</v>
      </c>
      <c r="N455">
        <v>0</v>
      </c>
      <c r="O455">
        <v>108294</v>
      </c>
    </row>
    <row r="456" spans="1:15" x14ac:dyDescent="0.35">
      <c r="A456">
        <v>455</v>
      </c>
      <c r="B456" s="2" t="s">
        <v>20</v>
      </c>
      <c r="C456" s="2" t="s">
        <v>11</v>
      </c>
      <c r="D456">
        <v>42</v>
      </c>
      <c r="E456" s="2" t="s">
        <v>29</v>
      </c>
      <c r="F456" s="2" t="s">
        <v>21</v>
      </c>
      <c r="G456">
        <v>33165</v>
      </c>
      <c r="H456" s="1">
        <v>45236</v>
      </c>
      <c r="I456">
        <v>8</v>
      </c>
      <c r="J456">
        <v>5</v>
      </c>
      <c r="K456">
        <v>3316</v>
      </c>
      <c r="L456">
        <v>1658</v>
      </c>
      <c r="M456">
        <v>34823</v>
      </c>
      <c r="N456">
        <v>1658</v>
      </c>
      <c r="O456">
        <v>38139</v>
      </c>
    </row>
    <row r="457" spans="1:15" x14ac:dyDescent="0.35">
      <c r="A457">
        <v>456</v>
      </c>
      <c r="B457" s="2" t="s">
        <v>10</v>
      </c>
      <c r="C457" s="2" t="s">
        <v>11</v>
      </c>
      <c r="D457">
        <v>30</v>
      </c>
      <c r="E457" s="2" t="s">
        <v>12</v>
      </c>
      <c r="F457" s="2" t="s">
        <v>19</v>
      </c>
      <c r="G457">
        <v>39003</v>
      </c>
      <c r="H457" s="1">
        <v>44742</v>
      </c>
      <c r="I457">
        <v>10</v>
      </c>
      <c r="J457">
        <v>5</v>
      </c>
      <c r="K457">
        <v>3900</v>
      </c>
      <c r="L457">
        <v>1950</v>
      </c>
      <c r="M457">
        <v>40953</v>
      </c>
      <c r="N457">
        <v>1950</v>
      </c>
      <c r="O457">
        <v>44853</v>
      </c>
    </row>
    <row r="458" spans="1:15" x14ac:dyDescent="0.35">
      <c r="A458">
        <v>457</v>
      </c>
      <c r="B458" s="2" t="s">
        <v>10</v>
      </c>
      <c r="C458" s="2" t="s">
        <v>15</v>
      </c>
      <c r="D458">
        <v>57</v>
      </c>
      <c r="E458" s="2" t="s">
        <v>24</v>
      </c>
      <c r="F458" s="2" t="s">
        <v>19</v>
      </c>
      <c r="G458">
        <v>29669</v>
      </c>
      <c r="H458" s="1">
        <v>44692</v>
      </c>
      <c r="I458">
        <v>4</v>
      </c>
      <c r="J458">
        <v>1</v>
      </c>
      <c r="K458">
        <v>2967</v>
      </c>
      <c r="L458">
        <v>1483</v>
      </c>
      <c r="M458">
        <v>31153</v>
      </c>
      <c r="N458">
        <v>0</v>
      </c>
      <c r="O458">
        <v>32636</v>
      </c>
    </row>
    <row r="459" spans="1:15" x14ac:dyDescent="0.35">
      <c r="A459">
        <v>458</v>
      </c>
      <c r="B459" s="2" t="s">
        <v>26</v>
      </c>
      <c r="C459" s="2" t="s">
        <v>11</v>
      </c>
      <c r="D459">
        <v>51</v>
      </c>
      <c r="E459" s="2" t="s">
        <v>12</v>
      </c>
      <c r="F459" s="2" t="s">
        <v>21</v>
      </c>
      <c r="G459">
        <v>74291</v>
      </c>
      <c r="H459" s="1">
        <v>45090</v>
      </c>
      <c r="I459">
        <v>3</v>
      </c>
      <c r="J459">
        <v>2</v>
      </c>
      <c r="K459">
        <v>7429</v>
      </c>
      <c r="L459">
        <v>3715</v>
      </c>
      <c r="M459">
        <v>78005</v>
      </c>
      <c r="N459">
        <v>0</v>
      </c>
      <c r="O459">
        <v>81720</v>
      </c>
    </row>
    <row r="460" spans="1:15" x14ac:dyDescent="0.35">
      <c r="A460">
        <v>459</v>
      </c>
      <c r="B460" s="2" t="s">
        <v>10</v>
      </c>
      <c r="C460" s="2" t="s">
        <v>15</v>
      </c>
      <c r="D460">
        <v>22</v>
      </c>
      <c r="E460" s="2" t="s">
        <v>24</v>
      </c>
      <c r="F460" s="2" t="s">
        <v>19</v>
      </c>
      <c r="G460">
        <v>76287</v>
      </c>
      <c r="H460" s="1">
        <v>45409</v>
      </c>
      <c r="I460">
        <v>6</v>
      </c>
      <c r="J460">
        <v>4</v>
      </c>
      <c r="K460">
        <v>7629</v>
      </c>
      <c r="L460">
        <v>3814</v>
      </c>
      <c r="M460">
        <v>80102</v>
      </c>
      <c r="N460">
        <v>3814</v>
      </c>
      <c r="O460">
        <v>87730</v>
      </c>
    </row>
    <row r="461" spans="1:15" x14ac:dyDescent="0.35">
      <c r="A461">
        <v>460</v>
      </c>
      <c r="B461" s="2" t="s">
        <v>20</v>
      </c>
      <c r="C461" s="2" t="s">
        <v>11</v>
      </c>
      <c r="D461">
        <v>23</v>
      </c>
      <c r="E461" s="2" t="s">
        <v>16</v>
      </c>
      <c r="F461" s="2" t="s">
        <v>25</v>
      </c>
      <c r="G461">
        <v>73483</v>
      </c>
      <c r="H461" s="1">
        <v>44972</v>
      </c>
      <c r="I461">
        <v>7</v>
      </c>
      <c r="J461">
        <v>1</v>
      </c>
      <c r="K461">
        <v>7348</v>
      </c>
      <c r="L461">
        <v>3674</v>
      </c>
      <c r="M461">
        <v>77157</v>
      </c>
      <c r="N461">
        <v>3674</v>
      </c>
      <c r="O461">
        <v>84505</v>
      </c>
    </row>
    <row r="462" spans="1:15" x14ac:dyDescent="0.35">
      <c r="A462">
        <v>461</v>
      </c>
      <c r="B462" s="2" t="s">
        <v>18</v>
      </c>
      <c r="C462" s="2" t="s">
        <v>11</v>
      </c>
      <c r="D462">
        <v>36</v>
      </c>
      <c r="E462" s="2" t="s">
        <v>16</v>
      </c>
      <c r="F462" s="2" t="s">
        <v>19</v>
      </c>
      <c r="G462">
        <v>96983</v>
      </c>
      <c r="H462" s="1">
        <v>44866</v>
      </c>
      <c r="I462">
        <v>17</v>
      </c>
      <c r="J462">
        <v>4</v>
      </c>
      <c r="K462">
        <v>9698</v>
      </c>
      <c r="L462">
        <v>4849</v>
      </c>
      <c r="M462">
        <v>101832</v>
      </c>
      <c r="N462">
        <v>4849</v>
      </c>
      <c r="O462">
        <v>111530</v>
      </c>
    </row>
    <row r="463" spans="1:15" x14ac:dyDescent="0.35">
      <c r="A463">
        <v>462</v>
      </c>
      <c r="B463" s="2" t="s">
        <v>18</v>
      </c>
      <c r="C463" s="2" t="s">
        <v>15</v>
      </c>
      <c r="D463">
        <v>24</v>
      </c>
      <c r="E463" s="2" t="s">
        <v>12</v>
      </c>
      <c r="F463" s="2" t="s">
        <v>21</v>
      </c>
      <c r="G463">
        <v>43304</v>
      </c>
      <c r="H463" s="1">
        <v>44936</v>
      </c>
      <c r="I463">
        <v>7</v>
      </c>
      <c r="J463">
        <v>5</v>
      </c>
      <c r="K463">
        <v>4330</v>
      </c>
      <c r="L463">
        <v>2165</v>
      </c>
      <c r="M463">
        <v>45469</v>
      </c>
      <c r="N463">
        <v>2165</v>
      </c>
      <c r="O463">
        <v>49799</v>
      </c>
    </row>
    <row r="464" spans="1:15" x14ac:dyDescent="0.35">
      <c r="A464">
        <v>463</v>
      </c>
      <c r="B464" s="2" t="s">
        <v>27</v>
      </c>
      <c r="C464" s="2" t="s">
        <v>11</v>
      </c>
      <c r="D464">
        <v>27</v>
      </c>
      <c r="E464" s="2" t="s">
        <v>28</v>
      </c>
      <c r="F464" s="2" t="s">
        <v>17</v>
      </c>
      <c r="G464">
        <v>37769</v>
      </c>
      <c r="H464" s="1">
        <v>44633</v>
      </c>
      <c r="I464">
        <v>7</v>
      </c>
      <c r="J464">
        <v>5</v>
      </c>
      <c r="K464">
        <v>3777</v>
      </c>
      <c r="L464">
        <v>1888</v>
      </c>
      <c r="M464">
        <v>39658</v>
      </c>
      <c r="N464">
        <v>1888</v>
      </c>
      <c r="O464">
        <v>43434</v>
      </c>
    </row>
    <row r="465" spans="1:15" x14ac:dyDescent="0.35">
      <c r="A465">
        <v>464</v>
      </c>
      <c r="B465" s="2" t="s">
        <v>31</v>
      </c>
      <c r="C465" s="2" t="s">
        <v>15</v>
      </c>
      <c r="D465">
        <v>25</v>
      </c>
      <c r="E465" s="2" t="s">
        <v>29</v>
      </c>
      <c r="F465" s="2" t="s">
        <v>17</v>
      </c>
      <c r="G465">
        <v>30355</v>
      </c>
      <c r="H465" s="1">
        <v>44875</v>
      </c>
      <c r="I465">
        <v>12</v>
      </c>
      <c r="J465">
        <v>4</v>
      </c>
      <c r="K465">
        <v>3036</v>
      </c>
      <c r="L465">
        <v>1518</v>
      </c>
      <c r="M465">
        <v>31873</v>
      </c>
      <c r="N465">
        <v>1518</v>
      </c>
      <c r="O465">
        <v>34909</v>
      </c>
    </row>
    <row r="466" spans="1:15" x14ac:dyDescent="0.35">
      <c r="A466">
        <v>465</v>
      </c>
      <c r="B466" s="2" t="s">
        <v>18</v>
      </c>
      <c r="C466" s="2" t="s">
        <v>15</v>
      </c>
      <c r="D466">
        <v>49</v>
      </c>
      <c r="E466" s="2" t="s">
        <v>16</v>
      </c>
      <c r="F466" s="2" t="s">
        <v>21</v>
      </c>
      <c r="G466">
        <v>80125</v>
      </c>
      <c r="H466" s="1">
        <v>44947</v>
      </c>
      <c r="I466">
        <v>17</v>
      </c>
      <c r="J466">
        <v>4</v>
      </c>
      <c r="K466">
        <v>8012</v>
      </c>
      <c r="L466">
        <v>4006</v>
      </c>
      <c r="M466">
        <v>84131</v>
      </c>
      <c r="N466">
        <v>4006</v>
      </c>
      <c r="O466">
        <v>92143</v>
      </c>
    </row>
    <row r="467" spans="1:15" x14ac:dyDescent="0.35">
      <c r="A467">
        <v>466</v>
      </c>
      <c r="B467" s="2" t="s">
        <v>14</v>
      </c>
      <c r="C467" s="2" t="s">
        <v>11</v>
      </c>
      <c r="D467">
        <v>26</v>
      </c>
      <c r="E467" s="2" t="s">
        <v>12</v>
      </c>
      <c r="F467" s="2" t="s">
        <v>21</v>
      </c>
      <c r="G467">
        <v>90635</v>
      </c>
      <c r="H467" s="1">
        <v>44871</v>
      </c>
      <c r="I467">
        <v>10</v>
      </c>
      <c r="J467">
        <v>5</v>
      </c>
      <c r="K467">
        <v>9064</v>
      </c>
      <c r="L467">
        <v>4532</v>
      </c>
      <c r="M467">
        <v>95167</v>
      </c>
      <c r="N467">
        <v>4532</v>
      </c>
      <c r="O467">
        <v>104231</v>
      </c>
    </row>
    <row r="468" spans="1:15" x14ac:dyDescent="0.35">
      <c r="A468">
        <v>467</v>
      </c>
      <c r="B468" s="2" t="s">
        <v>20</v>
      </c>
      <c r="C468" s="2" t="s">
        <v>15</v>
      </c>
      <c r="D468">
        <v>36</v>
      </c>
      <c r="E468" s="2" t="s">
        <v>29</v>
      </c>
      <c r="F468" s="2" t="s">
        <v>19</v>
      </c>
      <c r="G468">
        <v>56421</v>
      </c>
      <c r="H468" s="1">
        <v>45446</v>
      </c>
      <c r="I468">
        <v>18</v>
      </c>
      <c r="J468">
        <v>1</v>
      </c>
      <c r="K468">
        <v>5642</v>
      </c>
      <c r="L468">
        <v>2821</v>
      </c>
      <c r="M468">
        <v>59242</v>
      </c>
      <c r="N468">
        <v>2821</v>
      </c>
      <c r="O468">
        <v>64884</v>
      </c>
    </row>
    <row r="469" spans="1:15" x14ac:dyDescent="0.35">
      <c r="A469">
        <v>468</v>
      </c>
      <c r="B469" s="2" t="s">
        <v>23</v>
      </c>
      <c r="C469" s="2" t="s">
        <v>15</v>
      </c>
      <c r="D469">
        <v>32</v>
      </c>
      <c r="E469" s="2" t="s">
        <v>28</v>
      </c>
      <c r="F469" s="2" t="s">
        <v>19</v>
      </c>
      <c r="G469">
        <v>63132</v>
      </c>
      <c r="H469" s="1">
        <v>44749</v>
      </c>
      <c r="I469">
        <v>17</v>
      </c>
      <c r="J469">
        <v>5</v>
      </c>
      <c r="K469">
        <v>6313</v>
      </c>
      <c r="L469">
        <v>3157</v>
      </c>
      <c r="M469">
        <v>66288</v>
      </c>
      <c r="N469">
        <v>3157</v>
      </c>
      <c r="O469">
        <v>72602</v>
      </c>
    </row>
    <row r="470" spans="1:15" x14ac:dyDescent="0.35">
      <c r="A470">
        <v>469</v>
      </c>
      <c r="B470" s="2" t="s">
        <v>26</v>
      </c>
      <c r="C470" s="2" t="s">
        <v>15</v>
      </c>
      <c r="D470">
        <v>46</v>
      </c>
      <c r="E470" s="2" t="s">
        <v>16</v>
      </c>
      <c r="F470" s="2" t="s">
        <v>19</v>
      </c>
      <c r="G470">
        <v>76635</v>
      </c>
      <c r="H470" s="1">
        <v>45380</v>
      </c>
      <c r="I470">
        <v>20</v>
      </c>
      <c r="J470">
        <v>3</v>
      </c>
      <c r="K470">
        <v>7664</v>
      </c>
      <c r="L470">
        <v>3832</v>
      </c>
      <c r="M470">
        <v>80467</v>
      </c>
      <c r="N470">
        <v>3832</v>
      </c>
      <c r="O470">
        <v>88131</v>
      </c>
    </row>
    <row r="471" spans="1:15" x14ac:dyDescent="0.35">
      <c r="A471">
        <v>470</v>
      </c>
      <c r="B471" s="2" t="s">
        <v>27</v>
      </c>
      <c r="C471" s="2" t="s">
        <v>11</v>
      </c>
      <c r="D471">
        <v>46</v>
      </c>
      <c r="E471" s="2" t="s">
        <v>16</v>
      </c>
      <c r="F471" s="2" t="s">
        <v>25</v>
      </c>
      <c r="G471">
        <v>27779</v>
      </c>
      <c r="H471" s="1">
        <v>44573</v>
      </c>
      <c r="I471">
        <v>12</v>
      </c>
      <c r="J471">
        <v>5</v>
      </c>
      <c r="K471">
        <v>2778</v>
      </c>
      <c r="L471">
        <v>1389</v>
      </c>
      <c r="M471">
        <v>29168</v>
      </c>
      <c r="N471">
        <v>1389</v>
      </c>
      <c r="O471">
        <v>31946</v>
      </c>
    </row>
    <row r="472" spans="1:15" x14ac:dyDescent="0.35">
      <c r="A472">
        <v>471</v>
      </c>
      <c r="B472" s="2" t="s">
        <v>18</v>
      </c>
      <c r="C472" s="2" t="s">
        <v>11</v>
      </c>
      <c r="D472">
        <v>47</v>
      </c>
      <c r="E472" s="2" t="s">
        <v>12</v>
      </c>
      <c r="F472" s="2" t="s">
        <v>21</v>
      </c>
      <c r="G472">
        <v>20911</v>
      </c>
      <c r="H472" s="1">
        <v>44628</v>
      </c>
      <c r="I472">
        <v>13</v>
      </c>
      <c r="J472">
        <v>2</v>
      </c>
      <c r="K472">
        <v>2091</v>
      </c>
      <c r="L472">
        <v>1046</v>
      </c>
      <c r="M472">
        <v>21956</v>
      </c>
      <c r="N472">
        <v>1046</v>
      </c>
      <c r="O472">
        <v>24048</v>
      </c>
    </row>
    <row r="473" spans="1:15" x14ac:dyDescent="0.35">
      <c r="A473">
        <v>472</v>
      </c>
      <c r="B473" s="2" t="s">
        <v>14</v>
      </c>
      <c r="C473" s="2" t="s">
        <v>11</v>
      </c>
      <c r="D473">
        <v>25</v>
      </c>
      <c r="E473" s="2" t="s">
        <v>16</v>
      </c>
      <c r="F473" s="2" t="s">
        <v>21</v>
      </c>
      <c r="G473">
        <v>68983</v>
      </c>
      <c r="H473" s="1">
        <v>45120</v>
      </c>
      <c r="I473">
        <v>9</v>
      </c>
      <c r="J473">
        <v>1</v>
      </c>
      <c r="K473">
        <v>6898</v>
      </c>
      <c r="L473">
        <v>3449</v>
      </c>
      <c r="M473">
        <v>72432</v>
      </c>
      <c r="N473">
        <v>3449</v>
      </c>
      <c r="O473">
        <v>79330</v>
      </c>
    </row>
    <row r="474" spans="1:15" x14ac:dyDescent="0.35">
      <c r="A474">
        <v>473</v>
      </c>
      <c r="B474" s="2" t="s">
        <v>20</v>
      </c>
      <c r="C474" s="2" t="s">
        <v>15</v>
      </c>
      <c r="D474">
        <v>41</v>
      </c>
      <c r="E474" s="2" t="s">
        <v>24</v>
      </c>
      <c r="F474" s="2" t="s">
        <v>13</v>
      </c>
      <c r="G474">
        <v>48928</v>
      </c>
      <c r="H474" s="1">
        <v>45315</v>
      </c>
      <c r="I474">
        <v>11</v>
      </c>
      <c r="J474">
        <v>2</v>
      </c>
      <c r="K474">
        <v>4893</v>
      </c>
      <c r="L474">
        <v>2446</v>
      </c>
      <c r="M474">
        <v>51375</v>
      </c>
      <c r="N474">
        <v>2446</v>
      </c>
      <c r="O474">
        <v>56267</v>
      </c>
    </row>
    <row r="475" spans="1:15" x14ac:dyDescent="0.35">
      <c r="A475">
        <v>474</v>
      </c>
      <c r="B475" s="2" t="s">
        <v>27</v>
      </c>
      <c r="C475" s="2" t="s">
        <v>11</v>
      </c>
      <c r="D475">
        <v>54</v>
      </c>
      <c r="E475" s="2" t="s">
        <v>29</v>
      </c>
      <c r="F475" s="2" t="s">
        <v>13</v>
      </c>
      <c r="G475">
        <v>46911</v>
      </c>
      <c r="H475" s="1">
        <v>45310</v>
      </c>
      <c r="I475">
        <v>4</v>
      </c>
      <c r="J475">
        <v>4</v>
      </c>
      <c r="K475">
        <v>4691</v>
      </c>
      <c r="L475">
        <v>2346</v>
      </c>
      <c r="M475">
        <v>49256</v>
      </c>
      <c r="N475">
        <v>0</v>
      </c>
      <c r="O475">
        <v>51602</v>
      </c>
    </row>
    <row r="476" spans="1:15" x14ac:dyDescent="0.35">
      <c r="A476">
        <v>475</v>
      </c>
      <c r="B476" s="2" t="s">
        <v>18</v>
      </c>
      <c r="C476" s="2" t="s">
        <v>11</v>
      </c>
      <c r="D476">
        <v>43</v>
      </c>
      <c r="E476" s="2" t="s">
        <v>12</v>
      </c>
      <c r="F476" s="2" t="s">
        <v>13</v>
      </c>
      <c r="G476">
        <v>45110</v>
      </c>
      <c r="H476" s="1">
        <v>45222</v>
      </c>
      <c r="I476">
        <v>5</v>
      </c>
      <c r="J476">
        <v>5</v>
      </c>
      <c r="K476">
        <v>4511</v>
      </c>
      <c r="L476">
        <v>2256</v>
      </c>
      <c r="M476">
        <v>47365</v>
      </c>
      <c r="N476">
        <v>0</v>
      </c>
      <c r="O476">
        <v>49621</v>
      </c>
    </row>
    <row r="477" spans="1:15" x14ac:dyDescent="0.35">
      <c r="A477">
        <v>476</v>
      </c>
      <c r="B477" s="2" t="s">
        <v>30</v>
      </c>
      <c r="C477" s="2" t="s">
        <v>11</v>
      </c>
      <c r="D477">
        <v>48</v>
      </c>
      <c r="E477" s="2" t="s">
        <v>24</v>
      </c>
      <c r="F477" s="2" t="s">
        <v>21</v>
      </c>
      <c r="G477">
        <v>56471</v>
      </c>
      <c r="H477" s="1">
        <v>45387</v>
      </c>
      <c r="I477">
        <v>7</v>
      </c>
      <c r="J477">
        <v>2</v>
      </c>
      <c r="K477">
        <v>5647</v>
      </c>
      <c r="L477">
        <v>2824</v>
      </c>
      <c r="M477">
        <v>59294</v>
      </c>
      <c r="N477">
        <v>2824</v>
      </c>
      <c r="O477">
        <v>64942</v>
      </c>
    </row>
    <row r="478" spans="1:15" x14ac:dyDescent="0.35">
      <c r="A478">
        <v>477</v>
      </c>
      <c r="B478" s="2" t="s">
        <v>14</v>
      </c>
      <c r="C478" s="2" t="s">
        <v>11</v>
      </c>
      <c r="D478">
        <v>48</v>
      </c>
      <c r="E478" s="2" t="s">
        <v>12</v>
      </c>
      <c r="F478" s="2" t="s">
        <v>19</v>
      </c>
      <c r="G478">
        <v>61982</v>
      </c>
      <c r="H478" s="1">
        <v>45346</v>
      </c>
      <c r="I478">
        <v>2</v>
      </c>
      <c r="J478">
        <v>3</v>
      </c>
      <c r="K478">
        <v>6198</v>
      </c>
      <c r="L478">
        <v>3099</v>
      </c>
      <c r="M478">
        <v>65081</v>
      </c>
      <c r="N478">
        <v>0</v>
      </c>
      <c r="O478">
        <v>68180</v>
      </c>
    </row>
    <row r="479" spans="1:15" x14ac:dyDescent="0.35">
      <c r="A479">
        <v>478</v>
      </c>
      <c r="B479" s="2" t="s">
        <v>20</v>
      </c>
      <c r="C479" s="2" t="s">
        <v>15</v>
      </c>
      <c r="D479">
        <v>28</v>
      </c>
      <c r="E479" s="2" t="s">
        <v>29</v>
      </c>
      <c r="F479" s="2" t="s">
        <v>13</v>
      </c>
      <c r="G479">
        <v>55820</v>
      </c>
      <c r="H479" s="1">
        <v>44820</v>
      </c>
      <c r="I479">
        <v>2</v>
      </c>
      <c r="J479">
        <v>3</v>
      </c>
      <c r="K479">
        <v>5582</v>
      </c>
      <c r="L479">
        <v>2791</v>
      </c>
      <c r="M479">
        <v>58611</v>
      </c>
      <c r="N479">
        <v>0</v>
      </c>
      <c r="O479">
        <v>61402</v>
      </c>
    </row>
    <row r="480" spans="1:15" x14ac:dyDescent="0.35">
      <c r="A480">
        <v>479</v>
      </c>
      <c r="B480" s="2" t="s">
        <v>14</v>
      </c>
      <c r="C480" s="2" t="s">
        <v>15</v>
      </c>
      <c r="D480">
        <v>56</v>
      </c>
      <c r="E480" s="2" t="s">
        <v>29</v>
      </c>
      <c r="F480" s="2" t="s">
        <v>17</v>
      </c>
      <c r="G480">
        <v>91972</v>
      </c>
      <c r="H480" s="1">
        <v>44679</v>
      </c>
      <c r="I480">
        <v>1</v>
      </c>
      <c r="J480">
        <v>4</v>
      </c>
      <c r="K480">
        <v>9197</v>
      </c>
      <c r="L480">
        <v>4599</v>
      </c>
      <c r="M480">
        <v>96570</v>
      </c>
      <c r="N480">
        <v>0</v>
      </c>
      <c r="O480">
        <v>101169</v>
      </c>
    </row>
    <row r="481" spans="1:15" x14ac:dyDescent="0.35">
      <c r="A481">
        <v>480</v>
      </c>
      <c r="B481" s="2" t="s">
        <v>20</v>
      </c>
      <c r="C481" s="2" t="s">
        <v>11</v>
      </c>
      <c r="D481">
        <v>52</v>
      </c>
      <c r="E481" s="2" t="s">
        <v>16</v>
      </c>
      <c r="F481" s="2" t="s">
        <v>21</v>
      </c>
      <c r="G481">
        <v>71319</v>
      </c>
      <c r="H481" s="1">
        <v>44731</v>
      </c>
      <c r="I481">
        <v>11</v>
      </c>
      <c r="J481">
        <v>5</v>
      </c>
      <c r="K481">
        <v>7132</v>
      </c>
      <c r="L481">
        <v>3566</v>
      </c>
      <c r="M481">
        <v>74885</v>
      </c>
      <c r="N481">
        <v>3566</v>
      </c>
      <c r="O481">
        <v>82017</v>
      </c>
    </row>
    <row r="482" spans="1:15" x14ac:dyDescent="0.35">
      <c r="A482">
        <v>481</v>
      </c>
      <c r="B482" s="2" t="s">
        <v>20</v>
      </c>
      <c r="C482" s="2" t="s">
        <v>15</v>
      </c>
      <c r="D482">
        <v>51</v>
      </c>
      <c r="E482" s="2" t="s">
        <v>29</v>
      </c>
      <c r="F482" s="2" t="s">
        <v>25</v>
      </c>
      <c r="G482">
        <v>80762</v>
      </c>
      <c r="H482" s="1">
        <v>44786</v>
      </c>
      <c r="I482">
        <v>14</v>
      </c>
      <c r="J482">
        <v>2</v>
      </c>
      <c r="K482">
        <v>8076</v>
      </c>
      <c r="L482">
        <v>4038</v>
      </c>
      <c r="M482">
        <v>84800</v>
      </c>
      <c r="N482">
        <v>4038</v>
      </c>
      <c r="O482">
        <v>92876</v>
      </c>
    </row>
    <row r="483" spans="1:15" x14ac:dyDescent="0.35">
      <c r="A483">
        <v>482</v>
      </c>
      <c r="B483" s="2" t="s">
        <v>27</v>
      </c>
      <c r="C483" s="2" t="s">
        <v>11</v>
      </c>
      <c r="D483">
        <v>33</v>
      </c>
      <c r="E483" s="2" t="s">
        <v>24</v>
      </c>
      <c r="F483" s="2" t="s">
        <v>13</v>
      </c>
      <c r="G483">
        <v>73589</v>
      </c>
      <c r="H483" s="1">
        <v>45135</v>
      </c>
      <c r="I483">
        <v>12</v>
      </c>
      <c r="J483">
        <v>1</v>
      </c>
      <c r="K483">
        <v>7359</v>
      </c>
      <c r="L483">
        <v>3679</v>
      </c>
      <c r="M483">
        <v>77269</v>
      </c>
      <c r="N483">
        <v>3679</v>
      </c>
      <c r="O483">
        <v>84627</v>
      </c>
    </row>
    <row r="484" spans="1:15" x14ac:dyDescent="0.35">
      <c r="A484">
        <v>483</v>
      </c>
      <c r="B484" s="2" t="s">
        <v>30</v>
      </c>
      <c r="C484" s="2" t="s">
        <v>15</v>
      </c>
      <c r="D484">
        <v>48</v>
      </c>
      <c r="E484" s="2" t="s">
        <v>12</v>
      </c>
      <c r="F484" s="2" t="s">
        <v>19</v>
      </c>
      <c r="G484">
        <v>65721</v>
      </c>
      <c r="H484" s="1">
        <v>45205</v>
      </c>
      <c r="I484">
        <v>15</v>
      </c>
      <c r="J484">
        <v>1</v>
      </c>
      <c r="K484">
        <v>6572</v>
      </c>
      <c r="L484">
        <v>3286</v>
      </c>
      <c r="M484">
        <v>69007</v>
      </c>
      <c r="N484">
        <v>3286</v>
      </c>
      <c r="O484">
        <v>75579</v>
      </c>
    </row>
    <row r="485" spans="1:15" x14ac:dyDescent="0.35">
      <c r="A485">
        <v>484</v>
      </c>
      <c r="B485" s="2" t="s">
        <v>26</v>
      </c>
      <c r="C485" s="2" t="s">
        <v>15</v>
      </c>
      <c r="D485">
        <v>49</v>
      </c>
      <c r="E485" s="2" t="s">
        <v>12</v>
      </c>
      <c r="F485" s="2" t="s">
        <v>25</v>
      </c>
      <c r="G485">
        <v>20714</v>
      </c>
      <c r="H485" s="1">
        <v>45111</v>
      </c>
      <c r="I485">
        <v>8</v>
      </c>
      <c r="J485">
        <v>1</v>
      </c>
      <c r="K485">
        <v>2071</v>
      </c>
      <c r="L485">
        <v>1036</v>
      </c>
      <c r="M485">
        <v>21749</v>
      </c>
      <c r="N485">
        <v>1036</v>
      </c>
      <c r="O485">
        <v>23821</v>
      </c>
    </row>
    <row r="486" spans="1:15" x14ac:dyDescent="0.35">
      <c r="A486">
        <v>485</v>
      </c>
      <c r="B486" s="2" t="s">
        <v>30</v>
      </c>
      <c r="C486" s="2" t="s">
        <v>11</v>
      </c>
      <c r="D486">
        <v>36</v>
      </c>
      <c r="E486" s="2" t="s">
        <v>16</v>
      </c>
      <c r="F486" s="2" t="s">
        <v>25</v>
      </c>
      <c r="G486">
        <v>49755</v>
      </c>
      <c r="H486" s="1">
        <v>45177</v>
      </c>
      <c r="I486">
        <v>7</v>
      </c>
      <c r="J486">
        <v>5</v>
      </c>
      <c r="K486">
        <v>4976</v>
      </c>
      <c r="L486">
        <v>2488</v>
      </c>
      <c r="M486">
        <v>52243</v>
      </c>
      <c r="N486">
        <v>2488</v>
      </c>
      <c r="O486">
        <v>57219</v>
      </c>
    </row>
    <row r="487" spans="1:15" x14ac:dyDescent="0.35">
      <c r="A487">
        <v>486</v>
      </c>
      <c r="B487" s="2" t="s">
        <v>31</v>
      </c>
      <c r="C487" s="2" t="s">
        <v>15</v>
      </c>
      <c r="D487">
        <v>50</v>
      </c>
      <c r="E487" s="2" t="s">
        <v>29</v>
      </c>
      <c r="F487" s="2" t="s">
        <v>25</v>
      </c>
      <c r="G487">
        <v>44104</v>
      </c>
      <c r="H487" s="1">
        <v>44814</v>
      </c>
      <c r="I487">
        <v>11</v>
      </c>
      <c r="J487">
        <v>1</v>
      </c>
      <c r="K487">
        <v>4410</v>
      </c>
      <c r="L487">
        <v>2205</v>
      </c>
      <c r="M487">
        <v>46309</v>
      </c>
      <c r="N487">
        <v>2205</v>
      </c>
      <c r="O487">
        <v>50719</v>
      </c>
    </row>
    <row r="488" spans="1:15" x14ac:dyDescent="0.35">
      <c r="A488">
        <v>487</v>
      </c>
      <c r="B488" s="2" t="s">
        <v>31</v>
      </c>
      <c r="C488" s="2" t="s">
        <v>15</v>
      </c>
      <c r="D488">
        <v>24</v>
      </c>
      <c r="E488" s="2" t="s">
        <v>28</v>
      </c>
      <c r="F488" s="2" t="s">
        <v>21</v>
      </c>
      <c r="G488">
        <v>55870</v>
      </c>
      <c r="H488" s="1">
        <v>44889</v>
      </c>
      <c r="I488">
        <v>19</v>
      </c>
      <c r="J488">
        <v>3</v>
      </c>
      <c r="K488">
        <v>5587</v>
      </c>
      <c r="L488">
        <v>2794</v>
      </c>
      <c r="M488">
        <v>58663</v>
      </c>
      <c r="N488">
        <v>2794</v>
      </c>
      <c r="O488">
        <v>64251</v>
      </c>
    </row>
    <row r="489" spans="1:15" x14ac:dyDescent="0.35">
      <c r="A489">
        <v>488</v>
      </c>
      <c r="B489" s="2" t="s">
        <v>31</v>
      </c>
      <c r="C489" s="2" t="s">
        <v>11</v>
      </c>
      <c r="D489">
        <v>27</v>
      </c>
      <c r="E489" s="2" t="s">
        <v>16</v>
      </c>
      <c r="F489" s="2" t="s">
        <v>13</v>
      </c>
      <c r="G489">
        <v>26410</v>
      </c>
      <c r="H489" s="1">
        <v>45287</v>
      </c>
      <c r="I489">
        <v>7</v>
      </c>
      <c r="J489">
        <v>1</v>
      </c>
      <c r="K489">
        <v>2641</v>
      </c>
      <c r="L489">
        <v>1320</v>
      </c>
      <c r="M489">
        <v>27731</v>
      </c>
      <c r="N489">
        <v>1320</v>
      </c>
      <c r="O489">
        <v>30371</v>
      </c>
    </row>
    <row r="490" spans="1:15" x14ac:dyDescent="0.35">
      <c r="A490">
        <v>489</v>
      </c>
      <c r="B490" s="2" t="s">
        <v>18</v>
      </c>
      <c r="C490" s="2" t="s">
        <v>11</v>
      </c>
      <c r="D490">
        <v>29</v>
      </c>
      <c r="E490" s="2" t="s">
        <v>29</v>
      </c>
      <c r="F490" s="2" t="s">
        <v>13</v>
      </c>
      <c r="G490">
        <v>95484</v>
      </c>
      <c r="H490" s="1">
        <v>44822</v>
      </c>
      <c r="I490">
        <v>18</v>
      </c>
      <c r="J490">
        <v>5</v>
      </c>
      <c r="K490">
        <v>9548</v>
      </c>
      <c r="L490">
        <v>4774</v>
      </c>
      <c r="M490">
        <v>100258</v>
      </c>
      <c r="N490">
        <v>4774</v>
      </c>
      <c r="O490">
        <v>109806</v>
      </c>
    </row>
    <row r="491" spans="1:15" x14ac:dyDescent="0.35">
      <c r="A491">
        <v>490</v>
      </c>
      <c r="B491" s="2" t="s">
        <v>30</v>
      </c>
      <c r="C491" s="2" t="s">
        <v>15</v>
      </c>
      <c r="D491">
        <v>23</v>
      </c>
      <c r="E491" s="2" t="s">
        <v>29</v>
      </c>
      <c r="F491" s="2" t="s">
        <v>21</v>
      </c>
      <c r="G491">
        <v>39491</v>
      </c>
      <c r="H491" s="1">
        <v>45180</v>
      </c>
      <c r="I491">
        <v>19</v>
      </c>
      <c r="J491">
        <v>4</v>
      </c>
      <c r="K491">
        <v>3949</v>
      </c>
      <c r="L491">
        <v>1975</v>
      </c>
      <c r="M491">
        <v>41465</v>
      </c>
      <c r="N491">
        <v>1975</v>
      </c>
      <c r="O491">
        <v>45415</v>
      </c>
    </row>
    <row r="492" spans="1:15" x14ac:dyDescent="0.35">
      <c r="A492">
        <v>491</v>
      </c>
      <c r="B492" s="2" t="s">
        <v>20</v>
      </c>
      <c r="C492" s="2" t="s">
        <v>11</v>
      </c>
      <c r="D492">
        <v>50</v>
      </c>
      <c r="E492" s="2" t="s">
        <v>24</v>
      </c>
      <c r="F492" s="2" t="s">
        <v>17</v>
      </c>
      <c r="G492">
        <v>79762</v>
      </c>
      <c r="H492" s="1">
        <v>44792</v>
      </c>
      <c r="I492">
        <v>16</v>
      </c>
      <c r="J492">
        <v>5</v>
      </c>
      <c r="K492">
        <v>7976</v>
      </c>
      <c r="L492">
        <v>3988</v>
      </c>
      <c r="M492">
        <v>83750</v>
      </c>
      <c r="N492">
        <v>3988</v>
      </c>
      <c r="O492">
        <v>91726</v>
      </c>
    </row>
    <row r="493" spans="1:15" x14ac:dyDescent="0.35">
      <c r="A493">
        <v>492</v>
      </c>
      <c r="B493" s="2" t="s">
        <v>31</v>
      </c>
      <c r="C493" s="2" t="s">
        <v>11</v>
      </c>
      <c r="D493">
        <v>59</v>
      </c>
      <c r="E493" s="2" t="s">
        <v>16</v>
      </c>
      <c r="F493" s="2" t="s">
        <v>13</v>
      </c>
      <c r="G493">
        <v>95844</v>
      </c>
      <c r="H493" s="1">
        <v>45428</v>
      </c>
      <c r="I493">
        <v>10</v>
      </c>
      <c r="J493">
        <v>4</v>
      </c>
      <c r="K493">
        <v>9584</v>
      </c>
      <c r="L493">
        <v>4792</v>
      </c>
      <c r="M493">
        <v>100636</v>
      </c>
      <c r="N493">
        <v>4792</v>
      </c>
      <c r="O493">
        <v>110220</v>
      </c>
    </row>
    <row r="494" spans="1:15" x14ac:dyDescent="0.35">
      <c r="A494">
        <v>493</v>
      </c>
      <c r="B494" s="2" t="s">
        <v>10</v>
      </c>
      <c r="C494" s="2" t="s">
        <v>15</v>
      </c>
      <c r="D494">
        <v>37</v>
      </c>
      <c r="E494" s="2" t="s">
        <v>12</v>
      </c>
      <c r="F494" s="2" t="s">
        <v>25</v>
      </c>
      <c r="G494">
        <v>60815</v>
      </c>
      <c r="H494" s="1">
        <v>45345</v>
      </c>
      <c r="I494">
        <v>13</v>
      </c>
      <c r="J494">
        <v>5</v>
      </c>
      <c r="K494">
        <v>6082</v>
      </c>
      <c r="L494">
        <v>3041</v>
      </c>
      <c r="M494">
        <v>63856</v>
      </c>
      <c r="N494">
        <v>3041</v>
      </c>
      <c r="O494">
        <v>69938</v>
      </c>
    </row>
    <row r="495" spans="1:15" x14ac:dyDescent="0.35">
      <c r="A495">
        <v>494</v>
      </c>
      <c r="B495" s="2" t="s">
        <v>14</v>
      </c>
      <c r="C495" s="2" t="s">
        <v>15</v>
      </c>
      <c r="D495">
        <v>36</v>
      </c>
      <c r="E495" s="2" t="s">
        <v>16</v>
      </c>
      <c r="F495" s="2" t="s">
        <v>21</v>
      </c>
      <c r="G495">
        <v>41334</v>
      </c>
      <c r="H495" s="1">
        <v>44845</v>
      </c>
      <c r="I495">
        <v>7</v>
      </c>
      <c r="J495">
        <v>2</v>
      </c>
      <c r="K495">
        <v>4133</v>
      </c>
      <c r="L495">
        <v>2067</v>
      </c>
      <c r="M495">
        <v>43400</v>
      </c>
      <c r="N495">
        <v>2067</v>
      </c>
      <c r="O495">
        <v>47534</v>
      </c>
    </row>
    <row r="496" spans="1:15" x14ac:dyDescent="0.35">
      <c r="A496">
        <v>495</v>
      </c>
      <c r="B496" s="2" t="s">
        <v>20</v>
      </c>
      <c r="C496" s="2" t="s">
        <v>15</v>
      </c>
      <c r="D496">
        <v>60</v>
      </c>
      <c r="E496" s="2" t="s">
        <v>24</v>
      </c>
      <c r="F496" s="2" t="s">
        <v>19</v>
      </c>
      <c r="G496">
        <v>71196</v>
      </c>
      <c r="H496" s="1">
        <v>45039</v>
      </c>
      <c r="I496">
        <v>12</v>
      </c>
      <c r="J496">
        <v>2</v>
      </c>
      <c r="K496">
        <v>7120</v>
      </c>
      <c r="L496">
        <v>3560</v>
      </c>
      <c r="M496">
        <v>74756</v>
      </c>
      <c r="N496">
        <v>3560</v>
      </c>
      <c r="O496">
        <v>81876</v>
      </c>
    </row>
    <row r="497" spans="1:15" x14ac:dyDescent="0.35">
      <c r="A497">
        <v>496</v>
      </c>
      <c r="B497" s="2" t="s">
        <v>20</v>
      </c>
      <c r="C497" s="2" t="s">
        <v>15</v>
      </c>
      <c r="D497">
        <v>46</v>
      </c>
      <c r="E497" s="2" t="s">
        <v>24</v>
      </c>
      <c r="F497" s="2" t="s">
        <v>21</v>
      </c>
      <c r="G497">
        <v>87790</v>
      </c>
      <c r="H497" s="1">
        <v>44683</v>
      </c>
      <c r="I497">
        <v>15</v>
      </c>
      <c r="J497">
        <v>5</v>
      </c>
      <c r="K497">
        <v>8779</v>
      </c>
      <c r="L497">
        <v>4390</v>
      </c>
      <c r="M497">
        <v>92179</v>
      </c>
      <c r="N497">
        <v>4390</v>
      </c>
      <c r="O497">
        <v>100959</v>
      </c>
    </row>
    <row r="498" spans="1:15" x14ac:dyDescent="0.35">
      <c r="A498">
        <v>497</v>
      </c>
      <c r="B498" s="2" t="s">
        <v>27</v>
      </c>
      <c r="C498" s="2" t="s">
        <v>15</v>
      </c>
      <c r="D498">
        <v>23</v>
      </c>
      <c r="E498" s="2" t="s">
        <v>12</v>
      </c>
      <c r="F498" s="2" t="s">
        <v>13</v>
      </c>
      <c r="G498">
        <v>62936</v>
      </c>
      <c r="H498" s="1">
        <v>45230</v>
      </c>
      <c r="I498">
        <v>3</v>
      </c>
      <c r="J498">
        <v>1</v>
      </c>
      <c r="K498">
        <v>6294</v>
      </c>
      <c r="L498">
        <v>3147</v>
      </c>
      <c r="M498">
        <v>66083</v>
      </c>
      <c r="N498">
        <v>0</v>
      </c>
      <c r="O498">
        <v>69230</v>
      </c>
    </row>
    <row r="499" spans="1:15" x14ac:dyDescent="0.35">
      <c r="A499">
        <v>498</v>
      </c>
      <c r="B499" s="2" t="s">
        <v>26</v>
      </c>
      <c r="C499" s="2" t="s">
        <v>11</v>
      </c>
      <c r="D499">
        <v>28</v>
      </c>
      <c r="E499" s="2" t="s">
        <v>12</v>
      </c>
      <c r="F499" s="2" t="s">
        <v>13</v>
      </c>
      <c r="G499">
        <v>61055</v>
      </c>
      <c r="H499" s="1">
        <v>44811</v>
      </c>
      <c r="I499">
        <v>8</v>
      </c>
      <c r="J499">
        <v>3</v>
      </c>
      <c r="K499">
        <v>6106</v>
      </c>
      <c r="L499">
        <v>3053</v>
      </c>
      <c r="M499">
        <v>64108</v>
      </c>
      <c r="N499">
        <v>3053</v>
      </c>
      <c r="O499">
        <v>70214</v>
      </c>
    </row>
    <row r="500" spans="1:15" x14ac:dyDescent="0.35">
      <c r="A500">
        <v>499</v>
      </c>
      <c r="B500" s="2" t="s">
        <v>22</v>
      </c>
      <c r="C500" s="2" t="s">
        <v>11</v>
      </c>
      <c r="D500">
        <v>58</v>
      </c>
      <c r="E500" s="2" t="s">
        <v>29</v>
      </c>
      <c r="F500" s="2" t="s">
        <v>21</v>
      </c>
      <c r="G500">
        <v>51858</v>
      </c>
      <c r="H500" s="1">
        <v>44849</v>
      </c>
      <c r="I500">
        <v>8</v>
      </c>
      <c r="J500">
        <v>2</v>
      </c>
      <c r="K500">
        <v>5186</v>
      </c>
      <c r="L500">
        <v>2593</v>
      </c>
      <c r="M500">
        <v>54451</v>
      </c>
      <c r="N500">
        <v>2593</v>
      </c>
      <c r="O500">
        <v>59637</v>
      </c>
    </row>
    <row r="501" spans="1:15" x14ac:dyDescent="0.35">
      <c r="A501">
        <v>500</v>
      </c>
      <c r="B501" s="2" t="s">
        <v>10</v>
      </c>
      <c r="C501" s="2" t="s">
        <v>15</v>
      </c>
      <c r="D501">
        <v>55</v>
      </c>
      <c r="E501" s="2" t="s">
        <v>29</v>
      </c>
      <c r="F501" s="2" t="s">
        <v>13</v>
      </c>
      <c r="G501">
        <v>48929</v>
      </c>
      <c r="H501" s="1">
        <v>44857</v>
      </c>
      <c r="I501">
        <v>14</v>
      </c>
      <c r="J501">
        <v>5</v>
      </c>
      <c r="K501">
        <v>4893</v>
      </c>
      <c r="L501">
        <v>2446</v>
      </c>
      <c r="M501">
        <v>51376</v>
      </c>
      <c r="N501">
        <v>2446</v>
      </c>
      <c r="O501">
        <v>56268</v>
      </c>
    </row>
    <row r="502" spans="1:15" x14ac:dyDescent="0.35">
      <c r="A502">
        <v>501</v>
      </c>
      <c r="B502" s="2" t="s">
        <v>27</v>
      </c>
      <c r="C502" s="2" t="s">
        <v>11</v>
      </c>
      <c r="D502">
        <v>58</v>
      </c>
      <c r="E502" s="2" t="s">
        <v>12</v>
      </c>
      <c r="F502" s="2" t="s">
        <v>25</v>
      </c>
      <c r="G502">
        <v>70318</v>
      </c>
      <c r="H502" s="1">
        <v>45202</v>
      </c>
      <c r="I502">
        <v>11</v>
      </c>
      <c r="J502">
        <v>2</v>
      </c>
      <c r="K502">
        <v>7032</v>
      </c>
      <c r="L502">
        <v>3516</v>
      </c>
      <c r="M502">
        <v>73834</v>
      </c>
      <c r="N502">
        <v>3516</v>
      </c>
      <c r="O502">
        <v>80866</v>
      </c>
    </row>
    <row r="503" spans="1:15" x14ac:dyDescent="0.35">
      <c r="A503">
        <v>502</v>
      </c>
      <c r="B503" s="2" t="s">
        <v>14</v>
      </c>
      <c r="C503" s="2" t="s">
        <v>11</v>
      </c>
      <c r="D503">
        <v>23</v>
      </c>
      <c r="E503" s="2" t="s">
        <v>12</v>
      </c>
      <c r="F503" s="2" t="s">
        <v>19</v>
      </c>
      <c r="G503">
        <v>83812</v>
      </c>
      <c r="H503" s="1">
        <v>45175</v>
      </c>
      <c r="I503">
        <v>11</v>
      </c>
      <c r="J503">
        <v>3</v>
      </c>
      <c r="K503">
        <v>8381</v>
      </c>
      <c r="L503">
        <v>4191</v>
      </c>
      <c r="M503">
        <v>88002</v>
      </c>
      <c r="N503">
        <v>4191</v>
      </c>
      <c r="O503">
        <v>96384</v>
      </c>
    </row>
    <row r="504" spans="1:15" x14ac:dyDescent="0.35">
      <c r="A504">
        <v>503</v>
      </c>
      <c r="B504" s="2" t="s">
        <v>31</v>
      </c>
      <c r="C504" s="2" t="s">
        <v>11</v>
      </c>
      <c r="D504">
        <v>37</v>
      </c>
      <c r="E504" s="2" t="s">
        <v>28</v>
      </c>
      <c r="F504" s="2" t="s">
        <v>25</v>
      </c>
      <c r="G504">
        <v>64499</v>
      </c>
      <c r="H504" s="1">
        <v>45206</v>
      </c>
      <c r="I504">
        <v>12</v>
      </c>
      <c r="J504">
        <v>4</v>
      </c>
      <c r="K504">
        <v>6450</v>
      </c>
      <c r="L504">
        <v>3225</v>
      </c>
      <c r="M504">
        <v>67724</v>
      </c>
      <c r="N504">
        <v>3225</v>
      </c>
      <c r="O504">
        <v>74174</v>
      </c>
    </row>
    <row r="505" spans="1:15" x14ac:dyDescent="0.35">
      <c r="A505">
        <v>504</v>
      </c>
      <c r="B505" s="2" t="s">
        <v>26</v>
      </c>
      <c r="C505" s="2" t="s">
        <v>15</v>
      </c>
      <c r="D505">
        <v>31</v>
      </c>
      <c r="E505" s="2" t="s">
        <v>12</v>
      </c>
      <c r="F505" s="2" t="s">
        <v>17</v>
      </c>
      <c r="G505">
        <v>47483</v>
      </c>
      <c r="H505" s="1">
        <v>45002</v>
      </c>
      <c r="I505">
        <v>11</v>
      </c>
      <c r="J505">
        <v>3</v>
      </c>
      <c r="K505">
        <v>4748</v>
      </c>
      <c r="L505">
        <v>2374</v>
      </c>
      <c r="M505">
        <v>49857</v>
      </c>
      <c r="N505">
        <v>2374</v>
      </c>
      <c r="O505">
        <v>54605</v>
      </c>
    </row>
    <row r="506" spans="1:15" x14ac:dyDescent="0.35">
      <c r="A506">
        <v>505</v>
      </c>
      <c r="B506" s="2" t="s">
        <v>18</v>
      </c>
      <c r="C506" s="2" t="s">
        <v>11</v>
      </c>
      <c r="D506">
        <v>58</v>
      </c>
      <c r="E506" s="2" t="s">
        <v>24</v>
      </c>
      <c r="F506" s="2" t="s">
        <v>19</v>
      </c>
      <c r="G506">
        <v>70603</v>
      </c>
      <c r="H506" s="1">
        <v>45262</v>
      </c>
      <c r="I506">
        <v>4</v>
      </c>
      <c r="J506">
        <v>1</v>
      </c>
      <c r="K506">
        <v>7060</v>
      </c>
      <c r="L506">
        <v>3530</v>
      </c>
      <c r="M506">
        <v>74133</v>
      </c>
      <c r="N506">
        <v>0</v>
      </c>
      <c r="O506">
        <v>77663</v>
      </c>
    </row>
    <row r="507" spans="1:15" x14ac:dyDescent="0.35">
      <c r="A507">
        <v>506</v>
      </c>
      <c r="B507" s="2" t="s">
        <v>30</v>
      </c>
      <c r="C507" s="2" t="s">
        <v>11</v>
      </c>
      <c r="D507">
        <v>48</v>
      </c>
      <c r="E507" s="2" t="s">
        <v>28</v>
      </c>
      <c r="F507" s="2" t="s">
        <v>17</v>
      </c>
      <c r="G507">
        <v>81505</v>
      </c>
      <c r="H507" s="1">
        <v>45272</v>
      </c>
      <c r="I507">
        <v>6</v>
      </c>
      <c r="J507">
        <v>3</v>
      </c>
      <c r="K507">
        <v>8150</v>
      </c>
      <c r="L507">
        <v>4075</v>
      </c>
      <c r="M507">
        <v>85580</v>
      </c>
      <c r="N507">
        <v>4075</v>
      </c>
      <c r="O507">
        <v>93730</v>
      </c>
    </row>
    <row r="508" spans="1:15" x14ac:dyDescent="0.35">
      <c r="A508">
        <v>507</v>
      </c>
      <c r="B508" s="2" t="s">
        <v>10</v>
      </c>
      <c r="C508" s="2" t="s">
        <v>15</v>
      </c>
      <c r="D508">
        <v>58</v>
      </c>
      <c r="E508" s="2" t="s">
        <v>29</v>
      </c>
      <c r="F508" s="2" t="s">
        <v>19</v>
      </c>
      <c r="G508">
        <v>72767</v>
      </c>
      <c r="H508" s="1">
        <v>45117</v>
      </c>
      <c r="I508">
        <v>16</v>
      </c>
      <c r="J508">
        <v>4</v>
      </c>
      <c r="K508">
        <v>7277</v>
      </c>
      <c r="L508">
        <v>3638</v>
      </c>
      <c r="M508">
        <v>76406</v>
      </c>
      <c r="N508">
        <v>3638</v>
      </c>
      <c r="O508">
        <v>83682</v>
      </c>
    </row>
    <row r="509" spans="1:15" x14ac:dyDescent="0.35">
      <c r="A509">
        <v>508</v>
      </c>
      <c r="B509" s="2" t="s">
        <v>31</v>
      </c>
      <c r="C509" s="2" t="s">
        <v>15</v>
      </c>
      <c r="D509">
        <v>28</v>
      </c>
      <c r="E509" s="2" t="s">
        <v>28</v>
      </c>
      <c r="F509" s="2" t="s">
        <v>25</v>
      </c>
      <c r="G509">
        <v>23905</v>
      </c>
      <c r="H509" s="1">
        <v>45246</v>
      </c>
      <c r="I509">
        <v>20</v>
      </c>
      <c r="J509">
        <v>4</v>
      </c>
      <c r="K509">
        <v>2390</v>
      </c>
      <c r="L509">
        <v>1195</v>
      </c>
      <c r="M509">
        <v>25100</v>
      </c>
      <c r="N509">
        <v>1195</v>
      </c>
      <c r="O509">
        <v>27490</v>
      </c>
    </row>
    <row r="510" spans="1:15" x14ac:dyDescent="0.35">
      <c r="A510">
        <v>509</v>
      </c>
      <c r="B510" s="2" t="s">
        <v>10</v>
      </c>
      <c r="C510" s="2" t="s">
        <v>11</v>
      </c>
      <c r="D510">
        <v>58</v>
      </c>
      <c r="E510" s="2" t="s">
        <v>28</v>
      </c>
      <c r="F510" s="2" t="s">
        <v>25</v>
      </c>
      <c r="G510">
        <v>28822</v>
      </c>
      <c r="H510" s="1">
        <v>44981</v>
      </c>
      <c r="I510">
        <v>2</v>
      </c>
      <c r="J510">
        <v>3</v>
      </c>
      <c r="K510">
        <v>2882</v>
      </c>
      <c r="L510">
        <v>1441</v>
      </c>
      <c r="M510">
        <v>30263</v>
      </c>
      <c r="N510">
        <v>0</v>
      </c>
      <c r="O510">
        <v>31704</v>
      </c>
    </row>
    <row r="511" spans="1:15" x14ac:dyDescent="0.35">
      <c r="A511">
        <v>510</v>
      </c>
      <c r="B511" s="2" t="s">
        <v>20</v>
      </c>
      <c r="C511" s="2" t="s">
        <v>15</v>
      </c>
      <c r="D511">
        <v>36</v>
      </c>
      <c r="E511" s="2" t="s">
        <v>12</v>
      </c>
      <c r="F511" s="2" t="s">
        <v>13</v>
      </c>
      <c r="G511">
        <v>36965</v>
      </c>
      <c r="H511" s="1">
        <v>45527</v>
      </c>
      <c r="I511">
        <v>5</v>
      </c>
      <c r="J511">
        <v>2</v>
      </c>
      <c r="K511">
        <v>3696</v>
      </c>
      <c r="L511">
        <v>1848</v>
      </c>
      <c r="M511">
        <v>38813</v>
      </c>
      <c r="N511">
        <v>0</v>
      </c>
      <c r="O511">
        <v>40661</v>
      </c>
    </row>
    <row r="512" spans="1:15" x14ac:dyDescent="0.35">
      <c r="A512">
        <v>511</v>
      </c>
      <c r="B512" s="2" t="s">
        <v>14</v>
      </c>
      <c r="C512" s="2" t="s">
        <v>11</v>
      </c>
      <c r="D512">
        <v>47</v>
      </c>
      <c r="E512" s="2" t="s">
        <v>29</v>
      </c>
      <c r="F512" s="2" t="s">
        <v>19</v>
      </c>
      <c r="G512">
        <v>81973</v>
      </c>
      <c r="H512" s="1">
        <v>45273</v>
      </c>
      <c r="I512">
        <v>5</v>
      </c>
      <c r="J512">
        <v>2</v>
      </c>
      <c r="K512">
        <v>8197</v>
      </c>
      <c r="L512">
        <v>4099</v>
      </c>
      <c r="M512">
        <v>86071</v>
      </c>
      <c r="N512">
        <v>0</v>
      </c>
      <c r="O512">
        <v>90170</v>
      </c>
    </row>
    <row r="513" spans="1:15" x14ac:dyDescent="0.35">
      <c r="A513">
        <v>512</v>
      </c>
      <c r="B513" s="2" t="s">
        <v>20</v>
      </c>
      <c r="C513" s="2" t="s">
        <v>11</v>
      </c>
      <c r="D513">
        <v>21</v>
      </c>
      <c r="E513" s="2" t="s">
        <v>12</v>
      </c>
      <c r="F513" s="2" t="s">
        <v>13</v>
      </c>
      <c r="G513">
        <v>61959</v>
      </c>
      <c r="H513" s="1">
        <v>44974</v>
      </c>
      <c r="I513">
        <v>14</v>
      </c>
      <c r="J513">
        <v>3</v>
      </c>
      <c r="K513">
        <v>6196</v>
      </c>
      <c r="L513">
        <v>3098</v>
      </c>
      <c r="M513">
        <v>65057</v>
      </c>
      <c r="N513">
        <v>3098</v>
      </c>
      <c r="O513">
        <v>71253</v>
      </c>
    </row>
    <row r="514" spans="1:15" x14ac:dyDescent="0.35">
      <c r="A514">
        <v>513</v>
      </c>
      <c r="B514" s="2" t="s">
        <v>18</v>
      </c>
      <c r="C514" s="2" t="s">
        <v>15</v>
      </c>
      <c r="D514">
        <v>54</v>
      </c>
      <c r="E514" s="2" t="s">
        <v>28</v>
      </c>
      <c r="F514" s="2" t="s">
        <v>21</v>
      </c>
      <c r="G514">
        <v>73859</v>
      </c>
      <c r="H514" s="1">
        <v>44589</v>
      </c>
      <c r="I514">
        <v>9</v>
      </c>
      <c r="J514">
        <v>1</v>
      </c>
      <c r="K514">
        <v>7386</v>
      </c>
      <c r="L514">
        <v>3693</v>
      </c>
      <c r="M514">
        <v>77552</v>
      </c>
      <c r="N514">
        <v>3693</v>
      </c>
      <c r="O514">
        <v>84938</v>
      </c>
    </row>
    <row r="515" spans="1:15" x14ac:dyDescent="0.35">
      <c r="A515">
        <v>514</v>
      </c>
      <c r="B515" s="2" t="s">
        <v>27</v>
      </c>
      <c r="C515" s="2" t="s">
        <v>11</v>
      </c>
      <c r="D515">
        <v>22</v>
      </c>
      <c r="E515" s="2" t="s">
        <v>29</v>
      </c>
      <c r="F515" s="2" t="s">
        <v>21</v>
      </c>
      <c r="G515">
        <v>48311</v>
      </c>
      <c r="H515" s="1">
        <v>45106</v>
      </c>
      <c r="I515">
        <v>11</v>
      </c>
      <c r="J515">
        <v>4</v>
      </c>
      <c r="K515">
        <v>4831</v>
      </c>
      <c r="L515">
        <v>2416</v>
      </c>
      <c r="M515">
        <v>50726</v>
      </c>
      <c r="N515">
        <v>2416</v>
      </c>
      <c r="O515">
        <v>55558</v>
      </c>
    </row>
    <row r="516" spans="1:15" x14ac:dyDescent="0.35">
      <c r="A516">
        <v>515</v>
      </c>
      <c r="B516" s="2" t="s">
        <v>20</v>
      </c>
      <c r="C516" s="2" t="s">
        <v>15</v>
      </c>
      <c r="D516">
        <v>29</v>
      </c>
      <c r="E516" s="2" t="s">
        <v>28</v>
      </c>
      <c r="F516" s="2" t="s">
        <v>13</v>
      </c>
      <c r="G516">
        <v>62451</v>
      </c>
      <c r="H516" s="1">
        <v>44995</v>
      </c>
      <c r="I516">
        <v>6</v>
      </c>
      <c r="J516">
        <v>4</v>
      </c>
      <c r="K516">
        <v>6245</v>
      </c>
      <c r="L516">
        <v>3123</v>
      </c>
      <c r="M516">
        <v>65573</v>
      </c>
      <c r="N516">
        <v>3123</v>
      </c>
      <c r="O516">
        <v>71819</v>
      </c>
    </row>
    <row r="517" spans="1:15" x14ac:dyDescent="0.35">
      <c r="A517">
        <v>516</v>
      </c>
      <c r="B517" s="2" t="s">
        <v>30</v>
      </c>
      <c r="C517" s="2" t="s">
        <v>11</v>
      </c>
      <c r="D517">
        <v>40</v>
      </c>
      <c r="E517" s="2" t="s">
        <v>24</v>
      </c>
      <c r="F517" s="2" t="s">
        <v>21</v>
      </c>
      <c r="G517">
        <v>28953</v>
      </c>
      <c r="H517" s="1">
        <v>44733</v>
      </c>
      <c r="I517">
        <v>9</v>
      </c>
      <c r="J517">
        <v>3</v>
      </c>
      <c r="K517">
        <v>2895</v>
      </c>
      <c r="L517">
        <v>1448</v>
      </c>
      <c r="M517">
        <v>30400</v>
      </c>
      <c r="N517">
        <v>1448</v>
      </c>
      <c r="O517">
        <v>33296</v>
      </c>
    </row>
    <row r="518" spans="1:15" x14ac:dyDescent="0.35">
      <c r="A518">
        <v>517</v>
      </c>
      <c r="B518" s="2" t="s">
        <v>23</v>
      </c>
      <c r="C518" s="2" t="s">
        <v>11</v>
      </c>
      <c r="D518">
        <v>34</v>
      </c>
      <c r="E518" s="2" t="s">
        <v>16</v>
      </c>
      <c r="F518" s="2" t="s">
        <v>25</v>
      </c>
      <c r="G518">
        <v>49272</v>
      </c>
      <c r="H518" s="1">
        <v>45481</v>
      </c>
      <c r="I518">
        <v>10</v>
      </c>
      <c r="J518">
        <v>5</v>
      </c>
      <c r="K518">
        <v>4927</v>
      </c>
      <c r="L518">
        <v>2464</v>
      </c>
      <c r="M518">
        <v>51735</v>
      </c>
      <c r="N518">
        <v>2464</v>
      </c>
      <c r="O518">
        <v>56663</v>
      </c>
    </row>
    <row r="519" spans="1:15" x14ac:dyDescent="0.35">
      <c r="A519">
        <v>518</v>
      </c>
      <c r="B519" s="2" t="s">
        <v>20</v>
      </c>
      <c r="C519" s="2" t="s">
        <v>11</v>
      </c>
      <c r="D519">
        <v>54</v>
      </c>
      <c r="E519" s="2" t="s">
        <v>16</v>
      </c>
      <c r="F519" s="2" t="s">
        <v>17</v>
      </c>
      <c r="G519">
        <v>80156</v>
      </c>
      <c r="H519" s="1">
        <v>45079</v>
      </c>
      <c r="I519">
        <v>1</v>
      </c>
      <c r="J519">
        <v>3</v>
      </c>
      <c r="K519">
        <v>8016</v>
      </c>
      <c r="L519">
        <v>4008</v>
      </c>
      <c r="M519">
        <v>84164</v>
      </c>
      <c r="N519">
        <v>0</v>
      </c>
      <c r="O519">
        <v>88172</v>
      </c>
    </row>
    <row r="520" spans="1:15" x14ac:dyDescent="0.35">
      <c r="A520">
        <v>519</v>
      </c>
      <c r="B520" s="2" t="s">
        <v>22</v>
      </c>
      <c r="C520" s="2" t="s">
        <v>15</v>
      </c>
      <c r="D520">
        <v>51</v>
      </c>
      <c r="E520" s="2" t="s">
        <v>12</v>
      </c>
      <c r="F520" s="2" t="s">
        <v>17</v>
      </c>
      <c r="G520">
        <v>34676</v>
      </c>
      <c r="H520" s="1">
        <v>45071</v>
      </c>
      <c r="I520">
        <v>10</v>
      </c>
      <c r="J520">
        <v>4</v>
      </c>
      <c r="K520">
        <v>3468</v>
      </c>
      <c r="L520">
        <v>1734</v>
      </c>
      <c r="M520">
        <v>36410</v>
      </c>
      <c r="N520">
        <v>1734</v>
      </c>
      <c r="O520">
        <v>39878</v>
      </c>
    </row>
    <row r="521" spans="1:15" x14ac:dyDescent="0.35">
      <c r="A521">
        <v>520</v>
      </c>
      <c r="B521" s="2" t="s">
        <v>31</v>
      </c>
      <c r="C521" s="2" t="s">
        <v>11</v>
      </c>
      <c r="D521">
        <v>48</v>
      </c>
      <c r="E521" s="2" t="s">
        <v>12</v>
      </c>
      <c r="F521" s="2" t="s">
        <v>17</v>
      </c>
      <c r="G521">
        <v>25648</v>
      </c>
      <c r="H521" s="1">
        <v>45337</v>
      </c>
      <c r="I521">
        <v>17</v>
      </c>
      <c r="J521">
        <v>2</v>
      </c>
      <c r="K521">
        <v>2565</v>
      </c>
      <c r="L521">
        <v>1282</v>
      </c>
      <c r="M521">
        <v>26931</v>
      </c>
      <c r="N521">
        <v>1282</v>
      </c>
      <c r="O521">
        <v>29495</v>
      </c>
    </row>
    <row r="522" spans="1:15" x14ac:dyDescent="0.35">
      <c r="A522">
        <v>521</v>
      </c>
      <c r="B522" s="2" t="s">
        <v>31</v>
      </c>
      <c r="C522" s="2" t="s">
        <v>11</v>
      </c>
      <c r="D522">
        <v>32</v>
      </c>
      <c r="E522" s="2" t="s">
        <v>28</v>
      </c>
      <c r="F522" s="2" t="s">
        <v>25</v>
      </c>
      <c r="G522">
        <v>62102</v>
      </c>
      <c r="H522" s="1">
        <v>45297</v>
      </c>
      <c r="I522">
        <v>19</v>
      </c>
      <c r="J522">
        <v>5</v>
      </c>
      <c r="K522">
        <v>6210</v>
      </c>
      <c r="L522">
        <v>3105</v>
      </c>
      <c r="M522">
        <v>65207</v>
      </c>
      <c r="N522">
        <v>3105</v>
      </c>
      <c r="O522">
        <v>71417</v>
      </c>
    </row>
    <row r="523" spans="1:15" x14ac:dyDescent="0.35">
      <c r="A523">
        <v>522</v>
      </c>
      <c r="B523" s="2" t="s">
        <v>18</v>
      </c>
      <c r="C523" s="2" t="s">
        <v>11</v>
      </c>
      <c r="D523">
        <v>36</v>
      </c>
      <c r="E523" s="2" t="s">
        <v>29</v>
      </c>
      <c r="F523" s="2" t="s">
        <v>21</v>
      </c>
      <c r="G523">
        <v>62465</v>
      </c>
      <c r="H523" s="1">
        <v>44971</v>
      </c>
      <c r="I523">
        <v>14</v>
      </c>
      <c r="J523">
        <v>1</v>
      </c>
      <c r="K523">
        <v>6246</v>
      </c>
      <c r="L523">
        <v>3123</v>
      </c>
      <c r="M523">
        <v>65588</v>
      </c>
      <c r="N523">
        <v>3123</v>
      </c>
      <c r="O523">
        <v>71834</v>
      </c>
    </row>
    <row r="524" spans="1:15" x14ac:dyDescent="0.35">
      <c r="A524">
        <v>523</v>
      </c>
      <c r="B524" s="2" t="s">
        <v>14</v>
      </c>
      <c r="C524" s="2" t="s">
        <v>15</v>
      </c>
      <c r="D524">
        <v>58</v>
      </c>
      <c r="E524" s="2" t="s">
        <v>24</v>
      </c>
      <c r="F524" s="2" t="s">
        <v>21</v>
      </c>
      <c r="G524">
        <v>34442</v>
      </c>
      <c r="H524" s="1">
        <v>45269</v>
      </c>
      <c r="I524">
        <v>1</v>
      </c>
      <c r="J524">
        <v>5</v>
      </c>
      <c r="K524">
        <v>3444</v>
      </c>
      <c r="L524">
        <v>1722</v>
      </c>
      <c r="M524">
        <v>36164</v>
      </c>
      <c r="N524">
        <v>0</v>
      </c>
      <c r="O524">
        <v>37886</v>
      </c>
    </row>
    <row r="525" spans="1:15" x14ac:dyDescent="0.35">
      <c r="A525">
        <v>524</v>
      </c>
      <c r="B525" s="2" t="s">
        <v>26</v>
      </c>
      <c r="C525" s="2" t="s">
        <v>15</v>
      </c>
      <c r="D525">
        <v>56</v>
      </c>
      <c r="E525" s="2" t="s">
        <v>29</v>
      </c>
      <c r="F525" s="2" t="s">
        <v>13</v>
      </c>
      <c r="G525">
        <v>89079</v>
      </c>
      <c r="H525" s="1">
        <v>44582</v>
      </c>
      <c r="I525">
        <v>17</v>
      </c>
      <c r="J525">
        <v>4</v>
      </c>
      <c r="K525">
        <v>8908</v>
      </c>
      <c r="L525">
        <v>4454</v>
      </c>
      <c r="M525">
        <v>93533</v>
      </c>
      <c r="N525">
        <v>4454</v>
      </c>
      <c r="O525">
        <v>102441</v>
      </c>
    </row>
    <row r="526" spans="1:15" x14ac:dyDescent="0.35">
      <c r="A526">
        <v>525</v>
      </c>
      <c r="B526" s="2" t="s">
        <v>23</v>
      </c>
      <c r="C526" s="2" t="s">
        <v>11</v>
      </c>
      <c r="D526">
        <v>43</v>
      </c>
      <c r="E526" s="2" t="s">
        <v>29</v>
      </c>
      <c r="F526" s="2" t="s">
        <v>13</v>
      </c>
      <c r="G526">
        <v>86011</v>
      </c>
      <c r="H526" s="1">
        <v>44695</v>
      </c>
      <c r="I526">
        <v>10</v>
      </c>
      <c r="J526">
        <v>5</v>
      </c>
      <c r="K526">
        <v>8601</v>
      </c>
      <c r="L526">
        <v>4301</v>
      </c>
      <c r="M526">
        <v>90311</v>
      </c>
      <c r="N526">
        <v>4301</v>
      </c>
      <c r="O526">
        <v>98913</v>
      </c>
    </row>
    <row r="527" spans="1:15" x14ac:dyDescent="0.35">
      <c r="A527">
        <v>526</v>
      </c>
      <c r="B527" s="2" t="s">
        <v>14</v>
      </c>
      <c r="C527" s="2" t="s">
        <v>15</v>
      </c>
      <c r="D527">
        <v>22</v>
      </c>
      <c r="E527" s="2" t="s">
        <v>29</v>
      </c>
      <c r="F527" s="2" t="s">
        <v>19</v>
      </c>
      <c r="G527">
        <v>20404</v>
      </c>
      <c r="H527" s="1">
        <v>45240</v>
      </c>
      <c r="I527">
        <v>18</v>
      </c>
      <c r="J527">
        <v>5</v>
      </c>
      <c r="K527">
        <v>2040</v>
      </c>
      <c r="L527">
        <v>1020</v>
      </c>
      <c r="M527">
        <v>21424</v>
      </c>
      <c r="N527">
        <v>1020</v>
      </c>
      <c r="O527">
        <v>23464</v>
      </c>
    </row>
    <row r="528" spans="1:15" x14ac:dyDescent="0.35">
      <c r="A528">
        <v>527</v>
      </c>
      <c r="B528" s="2" t="s">
        <v>26</v>
      </c>
      <c r="C528" s="2" t="s">
        <v>11</v>
      </c>
      <c r="D528">
        <v>46</v>
      </c>
      <c r="E528" s="2" t="s">
        <v>16</v>
      </c>
      <c r="F528" s="2" t="s">
        <v>17</v>
      </c>
      <c r="G528">
        <v>68055</v>
      </c>
      <c r="H528" s="1">
        <v>45430</v>
      </c>
      <c r="I528">
        <v>19</v>
      </c>
      <c r="J528">
        <v>4</v>
      </c>
      <c r="K528">
        <v>6806</v>
      </c>
      <c r="L528">
        <v>3403</v>
      </c>
      <c r="M528">
        <v>71458</v>
      </c>
      <c r="N528">
        <v>3403</v>
      </c>
      <c r="O528">
        <v>78264</v>
      </c>
    </row>
    <row r="529" spans="1:15" x14ac:dyDescent="0.35">
      <c r="A529">
        <v>528</v>
      </c>
      <c r="B529" s="2" t="s">
        <v>23</v>
      </c>
      <c r="C529" s="2" t="s">
        <v>15</v>
      </c>
      <c r="D529">
        <v>36</v>
      </c>
      <c r="E529" s="2" t="s">
        <v>12</v>
      </c>
      <c r="F529" s="2" t="s">
        <v>19</v>
      </c>
      <c r="G529">
        <v>81281</v>
      </c>
      <c r="H529" s="1">
        <v>44643</v>
      </c>
      <c r="I529">
        <v>7</v>
      </c>
      <c r="J529">
        <v>3</v>
      </c>
      <c r="K529">
        <v>8128</v>
      </c>
      <c r="L529">
        <v>4064</v>
      </c>
      <c r="M529">
        <v>85345</v>
      </c>
      <c r="N529">
        <v>4064</v>
      </c>
      <c r="O529">
        <v>93473</v>
      </c>
    </row>
    <row r="530" spans="1:15" x14ac:dyDescent="0.35">
      <c r="A530">
        <v>529</v>
      </c>
      <c r="B530" s="2" t="s">
        <v>30</v>
      </c>
      <c r="C530" s="2" t="s">
        <v>15</v>
      </c>
      <c r="D530">
        <v>26</v>
      </c>
      <c r="E530" s="2" t="s">
        <v>29</v>
      </c>
      <c r="F530" s="2" t="s">
        <v>13</v>
      </c>
      <c r="G530">
        <v>61141</v>
      </c>
      <c r="H530" s="1">
        <v>45022</v>
      </c>
      <c r="I530">
        <v>8</v>
      </c>
      <c r="J530">
        <v>5</v>
      </c>
      <c r="K530">
        <v>6114</v>
      </c>
      <c r="L530">
        <v>3057</v>
      </c>
      <c r="M530">
        <v>64198</v>
      </c>
      <c r="N530">
        <v>3057</v>
      </c>
      <c r="O530">
        <v>70312</v>
      </c>
    </row>
    <row r="531" spans="1:15" x14ac:dyDescent="0.35">
      <c r="A531">
        <v>530</v>
      </c>
      <c r="B531" s="2" t="s">
        <v>10</v>
      </c>
      <c r="C531" s="2" t="s">
        <v>11</v>
      </c>
      <c r="D531">
        <v>24</v>
      </c>
      <c r="E531" s="2" t="s">
        <v>28</v>
      </c>
      <c r="F531" s="2" t="s">
        <v>25</v>
      </c>
      <c r="G531">
        <v>47677</v>
      </c>
      <c r="H531" s="1">
        <v>45179</v>
      </c>
      <c r="I531">
        <v>7</v>
      </c>
      <c r="J531">
        <v>1</v>
      </c>
      <c r="K531">
        <v>4768</v>
      </c>
      <c r="L531">
        <v>2384</v>
      </c>
      <c r="M531">
        <v>50061</v>
      </c>
      <c r="N531">
        <v>2384</v>
      </c>
      <c r="O531">
        <v>54829</v>
      </c>
    </row>
    <row r="532" spans="1:15" x14ac:dyDescent="0.35">
      <c r="A532">
        <v>531</v>
      </c>
      <c r="B532" s="2" t="s">
        <v>22</v>
      </c>
      <c r="C532" s="2" t="s">
        <v>11</v>
      </c>
      <c r="D532">
        <v>36</v>
      </c>
      <c r="E532" s="2" t="s">
        <v>16</v>
      </c>
      <c r="F532" s="2" t="s">
        <v>25</v>
      </c>
      <c r="G532">
        <v>98216</v>
      </c>
      <c r="H532" s="1">
        <v>45247</v>
      </c>
      <c r="I532">
        <v>14</v>
      </c>
      <c r="J532">
        <v>1</v>
      </c>
      <c r="K532">
        <v>9822</v>
      </c>
      <c r="L532">
        <v>4911</v>
      </c>
      <c r="M532">
        <v>103127</v>
      </c>
      <c r="N532">
        <v>4911</v>
      </c>
      <c r="O532">
        <v>112949</v>
      </c>
    </row>
    <row r="533" spans="1:15" x14ac:dyDescent="0.35">
      <c r="A533">
        <v>532</v>
      </c>
      <c r="B533" s="2" t="s">
        <v>14</v>
      </c>
      <c r="C533" s="2" t="s">
        <v>11</v>
      </c>
      <c r="D533">
        <v>48</v>
      </c>
      <c r="E533" s="2" t="s">
        <v>12</v>
      </c>
      <c r="F533" s="2" t="s">
        <v>25</v>
      </c>
      <c r="G533">
        <v>94799</v>
      </c>
      <c r="H533" s="1">
        <v>44679</v>
      </c>
      <c r="I533">
        <v>8</v>
      </c>
      <c r="J533">
        <v>4</v>
      </c>
      <c r="K533">
        <v>9480</v>
      </c>
      <c r="L533">
        <v>4740</v>
      </c>
      <c r="M533">
        <v>99539</v>
      </c>
      <c r="N533">
        <v>4740</v>
      </c>
      <c r="O533">
        <v>109019</v>
      </c>
    </row>
    <row r="534" spans="1:15" x14ac:dyDescent="0.35">
      <c r="A534">
        <v>533</v>
      </c>
      <c r="B534" s="2" t="s">
        <v>22</v>
      </c>
      <c r="C534" s="2" t="s">
        <v>11</v>
      </c>
      <c r="D534">
        <v>56</v>
      </c>
      <c r="E534" s="2" t="s">
        <v>29</v>
      </c>
      <c r="F534" s="2" t="s">
        <v>13</v>
      </c>
      <c r="G534">
        <v>85059</v>
      </c>
      <c r="H534" s="1">
        <v>44842</v>
      </c>
      <c r="I534">
        <v>5</v>
      </c>
      <c r="J534">
        <v>5</v>
      </c>
      <c r="K534">
        <v>8506</v>
      </c>
      <c r="L534">
        <v>4253</v>
      </c>
      <c r="M534">
        <v>89312</v>
      </c>
      <c r="N534">
        <v>0</v>
      </c>
      <c r="O534">
        <v>93565</v>
      </c>
    </row>
    <row r="535" spans="1:15" x14ac:dyDescent="0.35">
      <c r="A535">
        <v>534</v>
      </c>
      <c r="B535" s="2" t="s">
        <v>26</v>
      </c>
      <c r="C535" s="2" t="s">
        <v>11</v>
      </c>
      <c r="D535">
        <v>27</v>
      </c>
      <c r="E535" s="2" t="s">
        <v>28</v>
      </c>
      <c r="F535" s="2" t="s">
        <v>19</v>
      </c>
      <c r="G535">
        <v>72150</v>
      </c>
      <c r="H535" s="1">
        <v>45058</v>
      </c>
      <c r="I535">
        <v>9</v>
      </c>
      <c r="J535">
        <v>5</v>
      </c>
      <c r="K535">
        <v>7215</v>
      </c>
      <c r="L535">
        <v>3608</v>
      </c>
      <c r="M535">
        <v>75757</v>
      </c>
      <c r="N535">
        <v>3608</v>
      </c>
      <c r="O535">
        <v>82973</v>
      </c>
    </row>
    <row r="536" spans="1:15" x14ac:dyDescent="0.35">
      <c r="A536">
        <v>535</v>
      </c>
      <c r="B536" s="2" t="s">
        <v>26</v>
      </c>
      <c r="C536" s="2" t="s">
        <v>15</v>
      </c>
      <c r="D536">
        <v>30</v>
      </c>
      <c r="E536" s="2" t="s">
        <v>29</v>
      </c>
      <c r="F536" s="2" t="s">
        <v>17</v>
      </c>
      <c r="G536">
        <v>77564</v>
      </c>
      <c r="H536" s="1">
        <v>44829</v>
      </c>
      <c r="I536">
        <v>13</v>
      </c>
      <c r="J536">
        <v>4</v>
      </c>
      <c r="K536">
        <v>7756</v>
      </c>
      <c r="L536">
        <v>3878</v>
      </c>
      <c r="M536">
        <v>81442</v>
      </c>
      <c r="N536">
        <v>3878</v>
      </c>
      <c r="O536">
        <v>89198</v>
      </c>
    </row>
    <row r="537" spans="1:15" x14ac:dyDescent="0.35">
      <c r="A537">
        <v>536</v>
      </c>
      <c r="B537" s="2" t="s">
        <v>26</v>
      </c>
      <c r="C537" s="2" t="s">
        <v>15</v>
      </c>
      <c r="D537">
        <v>24</v>
      </c>
      <c r="E537" s="2" t="s">
        <v>12</v>
      </c>
      <c r="F537" s="2" t="s">
        <v>13</v>
      </c>
      <c r="G537">
        <v>69264</v>
      </c>
      <c r="H537" s="1">
        <v>45407</v>
      </c>
      <c r="I537">
        <v>7</v>
      </c>
      <c r="J537">
        <v>3</v>
      </c>
      <c r="K537">
        <v>6926</v>
      </c>
      <c r="L537">
        <v>3463</v>
      </c>
      <c r="M537">
        <v>72727</v>
      </c>
      <c r="N537">
        <v>3463</v>
      </c>
      <c r="O537">
        <v>79653</v>
      </c>
    </row>
    <row r="538" spans="1:15" x14ac:dyDescent="0.35">
      <c r="A538">
        <v>537</v>
      </c>
      <c r="B538" s="2" t="s">
        <v>14</v>
      </c>
      <c r="C538" s="2" t="s">
        <v>11</v>
      </c>
      <c r="D538">
        <v>55</v>
      </c>
      <c r="E538" s="2" t="s">
        <v>12</v>
      </c>
      <c r="F538" s="2" t="s">
        <v>19</v>
      </c>
      <c r="G538">
        <v>77915</v>
      </c>
      <c r="H538" s="1">
        <v>44877</v>
      </c>
      <c r="I538">
        <v>11</v>
      </c>
      <c r="J538">
        <v>4</v>
      </c>
      <c r="K538">
        <v>7792</v>
      </c>
      <c r="L538">
        <v>3896</v>
      </c>
      <c r="M538">
        <v>81811</v>
      </c>
      <c r="N538">
        <v>3896</v>
      </c>
      <c r="O538">
        <v>89603</v>
      </c>
    </row>
    <row r="539" spans="1:15" x14ac:dyDescent="0.35">
      <c r="A539">
        <v>538</v>
      </c>
      <c r="B539" s="2" t="s">
        <v>14</v>
      </c>
      <c r="C539" s="2" t="s">
        <v>11</v>
      </c>
      <c r="D539">
        <v>36</v>
      </c>
      <c r="E539" s="2" t="s">
        <v>16</v>
      </c>
      <c r="F539" s="2" t="s">
        <v>13</v>
      </c>
      <c r="G539">
        <v>40228</v>
      </c>
      <c r="H539" s="1">
        <v>45073</v>
      </c>
      <c r="I539">
        <v>13</v>
      </c>
      <c r="J539">
        <v>4</v>
      </c>
      <c r="K539">
        <v>4023</v>
      </c>
      <c r="L539">
        <v>2011</v>
      </c>
      <c r="M539">
        <v>42240</v>
      </c>
      <c r="N539">
        <v>2011</v>
      </c>
      <c r="O539">
        <v>46262</v>
      </c>
    </row>
    <row r="540" spans="1:15" x14ac:dyDescent="0.35">
      <c r="A540">
        <v>539</v>
      </c>
      <c r="B540" s="2" t="s">
        <v>22</v>
      </c>
      <c r="C540" s="2" t="s">
        <v>15</v>
      </c>
      <c r="D540">
        <v>59</v>
      </c>
      <c r="E540" s="2" t="s">
        <v>24</v>
      </c>
      <c r="F540" s="2" t="s">
        <v>19</v>
      </c>
      <c r="G540">
        <v>64333</v>
      </c>
      <c r="H540" s="1">
        <v>44603</v>
      </c>
      <c r="I540">
        <v>11</v>
      </c>
      <c r="J540">
        <v>2</v>
      </c>
      <c r="K540">
        <v>6433</v>
      </c>
      <c r="L540">
        <v>3217</v>
      </c>
      <c r="M540">
        <v>67549</v>
      </c>
      <c r="N540">
        <v>3217</v>
      </c>
      <c r="O540">
        <v>73983</v>
      </c>
    </row>
    <row r="541" spans="1:15" x14ac:dyDescent="0.35">
      <c r="A541">
        <v>540</v>
      </c>
      <c r="B541" s="2" t="s">
        <v>23</v>
      </c>
      <c r="C541" s="2" t="s">
        <v>15</v>
      </c>
      <c r="D541">
        <v>46</v>
      </c>
      <c r="E541" s="2" t="s">
        <v>28</v>
      </c>
      <c r="F541" s="2" t="s">
        <v>13</v>
      </c>
      <c r="G541">
        <v>65503</v>
      </c>
      <c r="H541" s="1">
        <v>45149</v>
      </c>
      <c r="I541">
        <v>14</v>
      </c>
      <c r="J541">
        <v>5</v>
      </c>
      <c r="K541">
        <v>6550</v>
      </c>
      <c r="L541">
        <v>3275</v>
      </c>
      <c r="M541">
        <v>68778</v>
      </c>
      <c r="N541">
        <v>3275</v>
      </c>
      <c r="O541">
        <v>75328</v>
      </c>
    </row>
    <row r="542" spans="1:15" x14ac:dyDescent="0.35">
      <c r="A542">
        <v>541</v>
      </c>
      <c r="B542" s="2" t="s">
        <v>26</v>
      </c>
      <c r="C542" s="2" t="s">
        <v>11</v>
      </c>
      <c r="D542">
        <v>49</v>
      </c>
      <c r="E542" s="2" t="s">
        <v>16</v>
      </c>
      <c r="F542" s="2" t="s">
        <v>25</v>
      </c>
      <c r="G542">
        <v>62093</v>
      </c>
      <c r="H542" s="1">
        <v>44853</v>
      </c>
      <c r="I542">
        <v>6</v>
      </c>
      <c r="J542">
        <v>4</v>
      </c>
      <c r="K542">
        <v>6209</v>
      </c>
      <c r="L542">
        <v>3105</v>
      </c>
      <c r="M542">
        <v>65197</v>
      </c>
      <c r="N542">
        <v>3105</v>
      </c>
      <c r="O542">
        <v>71407</v>
      </c>
    </row>
    <row r="543" spans="1:15" x14ac:dyDescent="0.35">
      <c r="A543">
        <v>542</v>
      </c>
      <c r="B543" s="2" t="s">
        <v>26</v>
      </c>
      <c r="C543" s="2" t="s">
        <v>15</v>
      </c>
      <c r="D543">
        <v>41</v>
      </c>
      <c r="E543" s="2" t="s">
        <v>29</v>
      </c>
      <c r="F543" s="2" t="s">
        <v>13</v>
      </c>
      <c r="G543">
        <v>79697</v>
      </c>
      <c r="H543" s="1">
        <v>45016</v>
      </c>
      <c r="I543">
        <v>2</v>
      </c>
      <c r="J543">
        <v>5</v>
      </c>
      <c r="K543">
        <v>7970</v>
      </c>
      <c r="L543">
        <v>3985</v>
      </c>
      <c r="M543">
        <v>83682</v>
      </c>
      <c r="N543">
        <v>0</v>
      </c>
      <c r="O543">
        <v>87667</v>
      </c>
    </row>
    <row r="544" spans="1:15" x14ac:dyDescent="0.35">
      <c r="A544">
        <v>543</v>
      </c>
      <c r="B544" s="2" t="s">
        <v>20</v>
      </c>
      <c r="C544" s="2" t="s">
        <v>11</v>
      </c>
      <c r="D544">
        <v>22</v>
      </c>
      <c r="E544" s="2" t="s">
        <v>24</v>
      </c>
      <c r="F544" s="2" t="s">
        <v>21</v>
      </c>
      <c r="G544">
        <v>69963</v>
      </c>
      <c r="H544" s="1">
        <v>45224</v>
      </c>
      <c r="I544">
        <v>9</v>
      </c>
      <c r="J544">
        <v>1</v>
      </c>
      <c r="K544">
        <v>6996</v>
      </c>
      <c r="L544">
        <v>3498</v>
      </c>
      <c r="M544">
        <v>73461</v>
      </c>
      <c r="N544">
        <v>3498</v>
      </c>
      <c r="O544">
        <v>80457</v>
      </c>
    </row>
    <row r="545" spans="1:15" x14ac:dyDescent="0.35">
      <c r="A545">
        <v>544</v>
      </c>
      <c r="B545" s="2" t="s">
        <v>18</v>
      </c>
      <c r="C545" s="2" t="s">
        <v>15</v>
      </c>
      <c r="D545">
        <v>26</v>
      </c>
      <c r="E545" s="2" t="s">
        <v>28</v>
      </c>
      <c r="F545" s="2" t="s">
        <v>21</v>
      </c>
      <c r="G545">
        <v>49099</v>
      </c>
      <c r="H545" s="1">
        <v>45314</v>
      </c>
      <c r="I545">
        <v>14</v>
      </c>
      <c r="J545">
        <v>1</v>
      </c>
      <c r="K545">
        <v>4910</v>
      </c>
      <c r="L545">
        <v>2455</v>
      </c>
      <c r="M545">
        <v>51554</v>
      </c>
      <c r="N545">
        <v>2455</v>
      </c>
      <c r="O545">
        <v>56464</v>
      </c>
    </row>
    <row r="546" spans="1:15" x14ac:dyDescent="0.35">
      <c r="A546">
        <v>545</v>
      </c>
      <c r="B546" s="2" t="s">
        <v>14</v>
      </c>
      <c r="C546" s="2" t="s">
        <v>11</v>
      </c>
      <c r="D546">
        <v>39</v>
      </c>
      <c r="E546" s="2" t="s">
        <v>28</v>
      </c>
      <c r="F546" s="2" t="s">
        <v>13</v>
      </c>
      <c r="G546">
        <v>74922</v>
      </c>
      <c r="H546" s="1">
        <v>45095</v>
      </c>
      <c r="I546">
        <v>11</v>
      </c>
      <c r="J546">
        <v>2</v>
      </c>
      <c r="K546">
        <v>7492</v>
      </c>
      <c r="L546">
        <v>3746</v>
      </c>
      <c r="M546">
        <v>78668</v>
      </c>
      <c r="N546">
        <v>3746</v>
      </c>
      <c r="O546">
        <v>86160</v>
      </c>
    </row>
    <row r="547" spans="1:15" x14ac:dyDescent="0.35">
      <c r="A547">
        <v>546</v>
      </c>
      <c r="B547" s="2" t="s">
        <v>22</v>
      </c>
      <c r="C547" s="2" t="s">
        <v>11</v>
      </c>
      <c r="D547">
        <v>26</v>
      </c>
      <c r="E547" s="2" t="s">
        <v>24</v>
      </c>
      <c r="F547" s="2" t="s">
        <v>19</v>
      </c>
      <c r="G547">
        <v>23743</v>
      </c>
      <c r="H547" s="1">
        <v>45126</v>
      </c>
      <c r="I547">
        <v>8</v>
      </c>
      <c r="J547">
        <v>5</v>
      </c>
      <c r="K547">
        <v>2374</v>
      </c>
      <c r="L547">
        <v>1187</v>
      </c>
      <c r="M547">
        <v>24930</v>
      </c>
      <c r="N547">
        <v>1187</v>
      </c>
      <c r="O547">
        <v>27304</v>
      </c>
    </row>
    <row r="548" spans="1:15" x14ac:dyDescent="0.35">
      <c r="A548">
        <v>547</v>
      </c>
      <c r="B548" s="2" t="s">
        <v>23</v>
      </c>
      <c r="C548" s="2" t="s">
        <v>11</v>
      </c>
      <c r="D548">
        <v>22</v>
      </c>
      <c r="E548" s="2" t="s">
        <v>24</v>
      </c>
      <c r="F548" s="2" t="s">
        <v>13</v>
      </c>
      <c r="G548">
        <v>89044</v>
      </c>
      <c r="H548" s="1">
        <v>45062</v>
      </c>
      <c r="I548">
        <v>1</v>
      </c>
      <c r="J548">
        <v>2</v>
      </c>
      <c r="K548">
        <v>8904</v>
      </c>
      <c r="L548">
        <v>4452</v>
      </c>
      <c r="M548">
        <v>93496</v>
      </c>
      <c r="N548">
        <v>0</v>
      </c>
      <c r="O548">
        <v>97948</v>
      </c>
    </row>
    <row r="549" spans="1:15" x14ac:dyDescent="0.35">
      <c r="A549">
        <v>548</v>
      </c>
      <c r="B549" s="2" t="s">
        <v>26</v>
      </c>
      <c r="C549" s="2" t="s">
        <v>11</v>
      </c>
      <c r="D549">
        <v>60</v>
      </c>
      <c r="E549" s="2" t="s">
        <v>16</v>
      </c>
      <c r="F549" s="2" t="s">
        <v>21</v>
      </c>
      <c r="G549">
        <v>95034</v>
      </c>
      <c r="H549" s="1">
        <v>45398</v>
      </c>
      <c r="I549">
        <v>11</v>
      </c>
      <c r="J549">
        <v>2</v>
      </c>
      <c r="K549">
        <v>9503</v>
      </c>
      <c r="L549">
        <v>4752</v>
      </c>
      <c r="M549">
        <v>99785</v>
      </c>
      <c r="N549">
        <v>4752</v>
      </c>
      <c r="O549">
        <v>109289</v>
      </c>
    </row>
    <row r="550" spans="1:15" x14ac:dyDescent="0.35">
      <c r="A550">
        <v>549</v>
      </c>
      <c r="B550" s="2" t="s">
        <v>30</v>
      </c>
      <c r="C550" s="2" t="s">
        <v>15</v>
      </c>
      <c r="D550">
        <v>47</v>
      </c>
      <c r="E550" s="2" t="s">
        <v>24</v>
      </c>
      <c r="F550" s="2" t="s">
        <v>17</v>
      </c>
      <c r="G550">
        <v>82849</v>
      </c>
      <c r="H550" s="1">
        <v>44568</v>
      </c>
      <c r="I550">
        <v>3</v>
      </c>
      <c r="J550">
        <v>2</v>
      </c>
      <c r="K550">
        <v>8285</v>
      </c>
      <c r="L550">
        <v>4142</v>
      </c>
      <c r="M550">
        <v>86992</v>
      </c>
      <c r="N550">
        <v>0</v>
      </c>
      <c r="O550">
        <v>91134</v>
      </c>
    </row>
    <row r="551" spans="1:15" x14ac:dyDescent="0.35">
      <c r="A551">
        <v>550</v>
      </c>
      <c r="B551" s="2" t="s">
        <v>27</v>
      </c>
      <c r="C551" s="2" t="s">
        <v>15</v>
      </c>
      <c r="D551">
        <v>46</v>
      </c>
      <c r="E551" s="2" t="s">
        <v>12</v>
      </c>
      <c r="F551" s="2" t="s">
        <v>13</v>
      </c>
      <c r="G551">
        <v>62607</v>
      </c>
      <c r="H551" s="1">
        <v>45339</v>
      </c>
      <c r="I551">
        <v>6</v>
      </c>
      <c r="J551">
        <v>1</v>
      </c>
      <c r="K551">
        <v>6261</v>
      </c>
      <c r="L551">
        <v>3130</v>
      </c>
      <c r="M551">
        <v>65738</v>
      </c>
      <c r="N551">
        <v>3130</v>
      </c>
      <c r="O551">
        <v>71998</v>
      </c>
    </row>
    <row r="552" spans="1:15" x14ac:dyDescent="0.35">
      <c r="A552">
        <v>551</v>
      </c>
      <c r="B552" s="2" t="s">
        <v>23</v>
      </c>
      <c r="C552" s="2" t="s">
        <v>11</v>
      </c>
      <c r="D552">
        <v>44</v>
      </c>
      <c r="E552" s="2" t="s">
        <v>29</v>
      </c>
      <c r="F552" s="2" t="s">
        <v>21</v>
      </c>
      <c r="G552">
        <v>83075</v>
      </c>
      <c r="H552" s="1">
        <v>45559</v>
      </c>
      <c r="I552">
        <v>18</v>
      </c>
      <c r="J552">
        <v>5</v>
      </c>
      <c r="K552">
        <v>8308</v>
      </c>
      <c r="L552">
        <v>4154</v>
      </c>
      <c r="M552">
        <v>87229</v>
      </c>
      <c r="N552">
        <v>4154</v>
      </c>
      <c r="O552">
        <v>95537</v>
      </c>
    </row>
    <row r="553" spans="1:15" x14ac:dyDescent="0.35">
      <c r="A553">
        <v>552</v>
      </c>
      <c r="B553" s="2" t="s">
        <v>14</v>
      </c>
      <c r="C553" s="2" t="s">
        <v>11</v>
      </c>
      <c r="D553">
        <v>56</v>
      </c>
      <c r="E553" s="2" t="s">
        <v>12</v>
      </c>
      <c r="F553" s="2" t="s">
        <v>21</v>
      </c>
      <c r="G553">
        <v>96748</v>
      </c>
      <c r="H553" s="1">
        <v>44874</v>
      </c>
      <c r="I553">
        <v>11</v>
      </c>
      <c r="J553">
        <v>1</v>
      </c>
      <c r="K553">
        <v>9675</v>
      </c>
      <c r="L553">
        <v>4837</v>
      </c>
      <c r="M553">
        <v>101586</v>
      </c>
      <c r="N553">
        <v>4837</v>
      </c>
      <c r="O553">
        <v>111260</v>
      </c>
    </row>
    <row r="554" spans="1:15" x14ac:dyDescent="0.35">
      <c r="A554">
        <v>553</v>
      </c>
      <c r="B554" s="2" t="s">
        <v>18</v>
      </c>
      <c r="C554" s="2" t="s">
        <v>11</v>
      </c>
      <c r="D554">
        <v>45</v>
      </c>
      <c r="E554" s="2" t="s">
        <v>28</v>
      </c>
      <c r="F554" s="2" t="s">
        <v>17</v>
      </c>
      <c r="G554">
        <v>57854</v>
      </c>
      <c r="H554" s="1">
        <v>45350</v>
      </c>
      <c r="I554">
        <v>16</v>
      </c>
      <c r="J554">
        <v>1</v>
      </c>
      <c r="K554">
        <v>5785</v>
      </c>
      <c r="L554">
        <v>2893</v>
      </c>
      <c r="M554">
        <v>60746</v>
      </c>
      <c r="N554">
        <v>2893</v>
      </c>
      <c r="O554">
        <v>66532</v>
      </c>
    </row>
    <row r="555" spans="1:15" x14ac:dyDescent="0.35">
      <c r="A555">
        <v>554</v>
      </c>
      <c r="B555" s="2" t="s">
        <v>20</v>
      </c>
      <c r="C555" s="2" t="s">
        <v>15</v>
      </c>
      <c r="D555">
        <v>33</v>
      </c>
      <c r="E555" s="2" t="s">
        <v>16</v>
      </c>
      <c r="F555" s="2" t="s">
        <v>25</v>
      </c>
      <c r="G555">
        <v>47634</v>
      </c>
      <c r="H555" s="1">
        <v>45292</v>
      </c>
      <c r="I555">
        <v>18</v>
      </c>
      <c r="J555">
        <v>1</v>
      </c>
      <c r="K555">
        <v>4763</v>
      </c>
      <c r="L555">
        <v>2382</v>
      </c>
      <c r="M555">
        <v>50015</v>
      </c>
      <c r="N555">
        <v>2382</v>
      </c>
      <c r="O555">
        <v>54779</v>
      </c>
    </row>
    <row r="556" spans="1:15" x14ac:dyDescent="0.35">
      <c r="A556">
        <v>555</v>
      </c>
      <c r="B556" s="2" t="s">
        <v>18</v>
      </c>
      <c r="C556" s="2" t="s">
        <v>11</v>
      </c>
      <c r="D556">
        <v>56</v>
      </c>
      <c r="E556" s="2" t="s">
        <v>12</v>
      </c>
      <c r="F556" s="2" t="s">
        <v>13</v>
      </c>
      <c r="G556">
        <v>53763</v>
      </c>
      <c r="H556" s="1">
        <v>44766</v>
      </c>
      <c r="I556">
        <v>13</v>
      </c>
      <c r="J556">
        <v>1</v>
      </c>
      <c r="K556">
        <v>5376</v>
      </c>
      <c r="L556">
        <v>2688</v>
      </c>
      <c r="M556">
        <v>56451</v>
      </c>
      <c r="N556">
        <v>2688</v>
      </c>
      <c r="O556">
        <v>61827</v>
      </c>
    </row>
    <row r="557" spans="1:15" x14ac:dyDescent="0.35">
      <c r="A557">
        <v>556</v>
      </c>
      <c r="B557" s="2" t="s">
        <v>26</v>
      </c>
      <c r="C557" s="2" t="s">
        <v>15</v>
      </c>
      <c r="D557">
        <v>29</v>
      </c>
      <c r="E557" s="2" t="s">
        <v>29</v>
      </c>
      <c r="F557" s="2" t="s">
        <v>19</v>
      </c>
      <c r="G557">
        <v>39911</v>
      </c>
      <c r="H557" s="1">
        <v>44605</v>
      </c>
      <c r="I557">
        <v>17</v>
      </c>
      <c r="J557">
        <v>5</v>
      </c>
      <c r="K557">
        <v>3991</v>
      </c>
      <c r="L557">
        <v>1996</v>
      </c>
      <c r="M557">
        <v>41906</v>
      </c>
      <c r="N557">
        <v>1996</v>
      </c>
      <c r="O557">
        <v>45898</v>
      </c>
    </row>
    <row r="558" spans="1:15" x14ac:dyDescent="0.35">
      <c r="A558">
        <v>557</v>
      </c>
      <c r="B558" s="2" t="s">
        <v>31</v>
      </c>
      <c r="C558" s="2" t="s">
        <v>11</v>
      </c>
      <c r="D558">
        <v>46</v>
      </c>
      <c r="E558" s="2" t="s">
        <v>16</v>
      </c>
      <c r="F558" s="2" t="s">
        <v>19</v>
      </c>
      <c r="G558">
        <v>71213</v>
      </c>
      <c r="H558" s="1">
        <v>44594</v>
      </c>
      <c r="I558">
        <v>2</v>
      </c>
      <c r="J558">
        <v>1</v>
      </c>
      <c r="K558">
        <v>7121</v>
      </c>
      <c r="L558">
        <v>3561</v>
      </c>
      <c r="M558">
        <v>74773</v>
      </c>
      <c r="N558">
        <v>0</v>
      </c>
      <c r="O558">
        <v>78334</v>
      </c>
    </row>
    <row r="559" spans="1:15" x14ac:dyDescent="0.35">
      <c r="A559">
        <v>558</v>
      </c>
      <c r="B559" s="2" t="s">
        <v>30</v>
      </c>
      <c r="C559" s="2" t="s">
        <v>11</v>
      </c>
      <c r="D559">
        <v>38</v>
      </c>
      <c r="E559" s="2" t="s">
        <v>12</v>
      </c>
      <c r="F559" s="2" t="s">
        <v>13</v>
      </c>
      <c r="G559">
        <v>81851</v>
      </c>
      <c r="H559" s="1">
        <v>44956</v>
      </c>
      <c r="I559">
        <v>4</v>
      </c>
      <c r="J559">
        <v>5</v>
      </c>
      <c r="K559">
        <v>8185</v>
      </c>
      <c r="L559">
        <v>4093</v>
      </c>
      <c r="M559">
        <v>85943</v>
      </c>
      <c r="N559">
        <v>0</v>
      </c>
      <c r="O559">
        <v>90036</v>
      </c>
    </row>
    <row r="560" spans="1:15" x14ac:dyDescent="0.35">
      <c r="A560">
        <v>559</v>
      </c>
      <c r="B560" s="2" t="s">
        <v>23</v>
      </c>
      <c r="C560" s="2" t="s">
        <v>11</v>
      </c>
      <c r="D560">
        <v>21</v>
      </c>
      <c r="E560" s="2" t="s">
        <v>29</v>
      </c>
      <c r="F560" s="2" t="s">
        <v>19</v>
      </c>
      <c r="G560">
        <v>63556</v>
      </c>
      <c r="H560" s="1">
        <v>44765</v>
      </c>
      <c r="I560">
        <v>18</v>
      </c>
      <c r="J560">
        <v>4</v>
      </c>
      <c r="K560">
        <v>6356</v>
      </c>
      <c r="L560">
        <v>3178</v>
      </c>
      <c r="M560">
        <v>66734</v>
      </c>
      <c r="N560">
        <v>3178</v>
      </c>
      <c r="O560">
        <v>73090</v>
      </c>
    </row>
    <row r="561" spans="1:15" x14ac:dyDescent="0.35">
      <c r="A561">
        <v>560</v>
      </c>
      <c r="B561" s="2" t="s">
        <v>27</v>
      </c>
      <c r="C561" s="2" t="s">
        <v>11</v>
      </c>
      <c r="D561">
        <v>43</v>
      </c>
      <c r="E561" s="2" t="s">
        <v>28</v>
      </c>
      <c r="F561" s="2" t="s">
        <v>21</v>
      </c>
      <c r="G561">
        <v>35319</v>
      </c>
      <c r="H561" s="1">
        <v>45055</v>
      </c>
      <c r="I561">
        <v>5</v>
      </c>
      <c r="J561">
        <v>3</v>
      </c>
      <c r="K561">
        <v>3532</v>
      </c>
      <c r="L561">
        <v>1766</v>
      </c>
      <c r="M561">
        <v>37085</v>
      </c>
      <c r="N561">
        <v>0</v>
      </c>
      <c r="O561">
        <v>38851</v>
      </c>
    </row>
    <row r="562" spans="1:15" x14ac:dyDescent="0.35">
      <c r="A562">
        <v>561</v>
      </c>
      <c r="B562" s="2" t="s">
        <v>30</v>
      </c>
      <c r="C562" s="2" t="s">
        <v>11</v>
      </c>
      <c r="D562">
        <v>41</v>
      </c>
      <c r="E562" s="2" t="s">
        <v>16</v>
      </c>
      <c r="F562" s="2" t="s">
        <v>21</v>
      </c>
      <c r="G562">
        <v>22272</v>
      </c>
      <c r="H562" s="1">
        <v>45279</v>
      </c>
      <c r="I562">
        <v>17</v>
      </c>
      <c r="J562">
        <v>2</v>
      </c>
      <c r="K562">
        <v>2227</v>
      </c>
      <c r="L562">
        <v>1114</v>
      </c>
      <c r="M562">
        <v>23385</v>
      </c>
      <c r="N562">
        <v>1114</v>
      </c>
      <c r="O562">
        <v>25613</v>
      </c>
    </row>
    <row r="563" spans="1:15" x14ac:dyDescent="0.35">
      <c r="A563">
        <v>562</v>
      </c>
      <c r="B563" s="2" t="s">
        <v>20</v>
      </c>
      <c r="C563" s="2" t="s">
        <v>11</v>
      </c>
      <c r="D563">
        <v>27</v>
      </c>
      <c r="E563" s="2" t="s">
        <v>16</v>
      </c>
      <c r="F563" s="2" t="s">
        <v>17</v>
      </c>
      <c r="G563">
        <v>92904</v>
      </c>
      <c r="H563" s="1">
        <v>45290</v>
      </c>
      <c r="I563">
        <v>12</v>
      </c>
      <c r="J563">
        <v>3</v>
      </c>
      <c r="K563">
        <v>9290</v>
      </c>
      <c r="L563">
        <v>4645</v>
      </c>
      <c r="M563">
        <v>97549</v>
      </c>
      <c r="N563">
        <v>4645</v>
      </c>
      <c r="O563">
        <v>106839</v>
      </c>
    </row>
    <row r="564" spans="1:15" x14ac:dyDescent="0.35">
      <c r="A564">
        <v>563</v>
      </c>
      <c r="B564" s="2" t="s">
        <v>26</v>
      </c>
      <c r="C564" s="2" t="s">
        <v>11</v>
      </c>
      <c r="D564">
        <v>35</v>
      </c>
      <c r="E564" s="2" t="s">
        <v>28</v>
      </c>
      <c r="F564" s="2" t="s">
        <v>21</v>
      </c>
      <c r="G564">
        <v>96740</v>
      </c>
      <c r="H564" s="1">
        <v>44708</v>
      </c>
      <c r="I564">
        <v>14</v>
      </c>
      <c r="J564">
        <v>5</v>
      </c>
      <c r="K564">
        <v>9674</v>
      </c>
      <c r="L564">
        <v>4837</v>
      </c>
      <c r="M564">
        <v>101577</v>
      </c>
      <c r="N564">
        <v>4837</v>
      </c>
      <c r="O564">
        <v>111251</v>
      </c>
    </row>
    <row r="565" spans="1:15" x14ac:dyDescent="0.35">
      <c r="A565">
        <v>564</v>
      </c>
      <c r="B565" s="2" t="s">
        <v>20</v>
      </c>
      <c r="C565" s="2" t="s">
        <v>11</v>
      </c>
      <c r="D565">
        <v>45</v>
      </c>
      <c r="E565" s="2" t="s">
        <v>16</v>
      </c>
      <c r="F565" s="2" t="s">
        <v>25</v>
      </c>
      <c r="G565">
        <v>90743</v>
      </c>
      <c r="H565" s="1">
        <v>45107</v>
      </c>
      <c r="I565">
        <v>9</v>
      </c>
      <c r="J565">
        <v>1</v>
      </c>
      <c r="K565">
        <v>9074</v>
      </c>
      <c r="L565">
        <v>4537</v>
      </c>
      <c r="M565">
        <v>95280</v>
      </c>
      <c r="N565">
        <v>4537</v>
      </c>
      <c r="O565">
        <v>104354</v>
      </c>
    </row>
    <row r="566" spans="1:15" x14ac:dyDescent="0.35">
      <c r="A566">
        <v>565</v>
      </c>
      <c r="B566" s="2" t="s">
        <v>10</v>
      </c>
      <c r="C566" s="2" t="s">
        <v>15</v>
      </c>
      <c r="D566">
        <v>55</v>
      </c>
      <c r="E566" s="2" t="s">
        <v>29</v>
      </c>
      <c r="F566" s="2" t="s">
        <v>25</v>
      </c>
      <c r="G566">
        <v>71055</v>
      </c>
      <c r="H566" s="1">
        <v>45233</v>
      </c>
      <c r="I566">
        <v>18</v>
      </c>
      <c r="J566">
        <v>4</v>
      </c>
      <c r="K566">
        <v>7106</v>
      </c>
      <c r="L566">
        <v>3553</v>
      </c>
      <c r="M566">
        <v>74608</v>
      </c>
      <c r="N566">
        <v>3553</v>
      </c>
      <c r="O566">
        <v>81714</v>
      </c>
    </row>
    <row r="567" spans="1:15" x14ac:dyDescent="0.35">
      <c r="A567">
        <v>566</v>
      </c>
      <c r="B567" s="2" t="s">
        <v>10</v>
      </c>
      <c r="C567" s="2" t="s">
        <v>11</v>
      </c>
      <c r="D567">
        <v>21</v>
      </c>
      <c r="E567" s="2" t="s">
        <v>12</v>
      </c>
      <c r="F567" s="2" t="s">
        <v>17</v>
      </c>
      <c r="G567">
        <v>89558</v>
      </c>
      <c r="H567" s="1">
        <v>44783</v>
      </c>
      <c r="I567">
        <v>2</v>
      </c>
      <c r="J567">
        <v>4</v>
      </c>
      <c r="K567">
        <v>8956</v>
      </c>
      <c r="L567">
        <v>4478</v>
      </c>
      <c r="M567">
        <v>94036</v>
      </c>
      <c r="N567">
        <v>0</v>
      </c>
      <c r="O567">
        <v>98514</v>
      </c>
    </row>
    <row r="568" spans="1:15" x14ac:dyDescent="0.35">
      <c r="A568">
        <v>567</v>
      </c>
      <c r="B568" s="2" t="s">
        <v>30</v>
      </c>
      <c r="C568" s="2" t="s">
        <v>11</v>
      </c>
      <c r="D568">
        <v>29</v>
      </c>
      <c r="E568" s="2" t="s">
        <v>24</v>
      </c>
      <c r="F568" s="2" t="s">
        <v>19</v>
      </c>
      <c r="G568">
        <v>25587</v>
      </c>
      <c r="H568" s="1">
        <v>45361</v>
      </c>
      <c r="I568">
        <v>17</v>
      </c>
      <c r="J568">
        <v>2</v>
      </c>
      <c r="K568">
        <v>2559</v>
      </c>
      <c r="L568">
        <v>1279</v>
      </c>
      <c r="M568">
        <v>26867</v>
      </c>
      <c r="N568">
        <v>1279</v>
      </c>
      <c r="O568">
        <v>29425</v>
      </c>
    </row>
    <row r="569" spans="1:15" x14ac:dyDescent="0.35">
      <c r="A569">
        <v>568</v>
      </c>
      <c r="B569" s="2" t="s">
        <v>14</v>
      </c>
      <c r="C569" s="2" t="s">
        <v>15</v>
      </c>
      <c r="D569">
        <v>28</v>
      </c>
      <c r="E569" s="2" t="s">
        <v>28</v>
      </c>
      <c r="F569" s="2" t="s">
        <v>21</v>
      </c>
      <c r="G569">
        <v>75630</v>
      </c>
      <c r="H569" s="1">
        <v>45134</v>
      </c>
      <c r="I569">
        <v>3</v>
      </c>
      <c r="J569">
        <v>1</v>
      </c>
      <c r="K569">
        <v>7563</v>
      </c>
      <c r="L569">
        <v>3782</v>
      </c>
      <c r="M569">
        <v>79411</v>
      </c>
      <c r="N569">
        <v>0</v>
      </c>
      <c r="O569">
        <v>83193</v>
      </c>
    </row>
    <row r="570" spans="1:15" x14ac:dyDescent="0.35">
      <c r="A570">
        <v>569</v>
      </c>
      <c r="B570" s="2" t="s">
        <v>26</v>
      </c>
      <c r="C570" s="2" t="s">
        <v>15</v>
      </c>
      <c r="D570">
        <v>49</v>
      </c>
      <c r="E570" s="2" t="s">
        <v>28</v>
      </c>
      <c r="F570" s="2" t="s">
        <v>13</v>
      </c>
      <c r="G570">
        <v>36335</v>
      </c>
      <c r="H570" s="1">
        <v>44599</v>
      </c>
      <c r="I570">
        <v>13</v>
      </c>
      <c r="J570">
        <v>1</v>
      </c>
      <c r="K570">
        <v>3634</v>
      </c>
      <c r="L570">
        <v>1817</v>
      </c>
      <c r="M570">
        <v>38152</v>
      </c>
      <c r="N570">
        <v>1817</v>
      </c>
      <c r="O570">
        <v>41786</v>
      </c>
    </row>
    <row r="571" spans="1:15" x14ac:dyDescent="0.35">
      <c r="A571">
        <v>570</v>
      </c>
      <c r="B571" s="2" t="s">
        <v>18</v>
      </c>
      <c r="C571" s="2" t="s">
        <v>15</v>
      </c>
      <c r="D571">
        <v>36</v>
      </c>
      <c r="E571" s="2" t="s">
        <v>29</v>
      </c>
      <c r="F571" s="2" t="s">
        <v>25</v>
      </c>
      <c r="G571">
        <v>55681</v>
      </c>
      <c r="H571" s="1">
        <v>45462</v>
      </c>
      <c r="I571">
        <v>16</v>
      </c>
      <c r="J571">
        <v>5</v>
      </c>
      <c r="K571">
        <v>5568</v>
      </c>
      <c r="L571">
        <v>2784</v>
      </c>
      <c r="M571">
        <v>58465</v>
      </c>
      <c r="N571">
        <v>2784</v>
      </c>
      <c r="O571">
        <v>64033</v>
      </c>
    </row>
    <row r="572" spans="1:15" x14ac:dyDescent="0.35">
      <c r="A572">
        <v>571</v>
      </c>
      <c r="B572" s="2" t="s">
        <v>31</v>
      </c>
      <c r="C572" s="2" t="s">
        <v>15</v>
      </c>
      <c r="D572">
        <v>54</v>
      </c>
      <c r="E572" s="2" t="s">
        <v>12</v>
      </c>
      <c r="F572" s="2" t="s">
        <v>25</v>
      </c>
      <c r="G572">
        <v>99740</v>
      </c>
      <c r="H572" s="1">
        <v>44667</v>
      </c>
      <c r="I572">
        <v>4</v>
      </c>
      <c r="J572">
        <v>1</v>
      </c>
      <c r="K572">
        <v>9974</v>
      </c>
      <c r="L572">
        <v>4987</v>
      </c>
      <c r="M572">
        <v>104727</v>
      </c>
      <c r="N572">
        <v>0</v>
      </c>
      <c r="O572">
        <v>109714</v>
      </c>
    </row>
    <row r="573" spans="1:15" x14ac:dyDescent="0.35">
      <c r="A573">
        <v>572</v>
      </c>
      <c r="B573" s="2" t="s">
        <v>30</v>
      </c>
      <c r="C573" s="2" t="s">
        <v>11</v>
      </c>
      <c r="D573">
        <v>49</v>
      </c>
      <c r="E573" s="2" t="s">
        <v>12</v>
      </c>
      <c r="F573" s="2" t="s">
        <v>19</v>
      </c>
      <c r="G573">
        <v>64325</v>
      </c>
      <c r="H573" s="1">
        <v>45463</v>
      </c>
      <c r="I573">
        <v>1</v>
      </c>
      <c r="J573">
        <v>3</v>
      </c>
      <c r="K573">
        <v>6432</v>
      </c>
      <c r="L573">
        <v>3216</v>
      </c>
      <c r="M573">
        <v>67541</v>
      </c>
      <c r="N573">
        <v>0</v>
      </c>
      <c r="O573">
        <v>70757</v>
      </c>
    </row>
    <row r="574" spans="1:15" x14ac:dyDescent="0.35">
      <c r="A574">
        <v>573</v>
      </c>
      <c r="B574" s="2" t="s">
        <v>27</v>
      </c>
      <c r="C574" s="2" t="s">
        <v>11</v>
      </c>
      <c r="D574">
        <v>36</v>
      </c>
      <c r="E574" s="2" t="s">
        <v>12</v>
      </c>
      <c r="F574" s="2" t="s">
        <v>25</v>
      </c>
      <c r="G574">
        <v>81235</v>
      </c>
      <c r="H574" s="1">
        <v>45458</v>
      </c>
      <c r="I574">
        <v>20</v>
      </c>
      <c r="J574">
        <v>2</v>
      </c>
      <c r="K574">
        <v>8124</v>
      </c>
      <c r="L574">
        <v>4062</v>
      </c>
      <c r="M574">
        <v>85297</v>
      </c>
      <c r="N574">
        <v>4062</v>
      </c>
      <c r="O574">
        <v>93421</v>
      </c>
    </row>
    <row r="575" spans="1:15" x14ac:dyDescent="0.35">
      <c r="A575">
        <v>574</v>
      </c>
      <c r="B575" s="2" t="s">
        <v>20</v>
      </c>
      <c r="C575" s="2" t="s">
        <v>15</v>
      </c>
      <c r="D575">
        <v>44</v>
      </c>
      <c r="E575" s="2" t="s">
        <v>16</v>
      </c>
      <c r="F575" s="2" t="s">
        <v>25</v>
      </c>
      <c r="G575">
        <v>53220</v>
      </c>
      <c r="H575" s="1">
        <v>44877</v>
      </c>
      <c r="I575">
        <v>10</v>
      </c>
      <c r="J575">
        <v>5</v>
      </c>
      <c r="K575">
        <v>5322</v>
      </c>
      <c r="L575">
        <v>2661</v>
      </c>
      <c r="M575">
        <v>55881</v>
      </c>
      <c r="N575">
        <v>2661</v>
      </c>
      <c r="O575">
        <v>61203</v>
      </c>
    </row>
    <row r="576" spans="1:15" x14ac:dyDescent="0.35">
      <c r="A576">
        <v>575</v>
      </c>
      <c r="B576" s="2" t="s">
        <v>14</v>
      </c>
      <c r="C576" s="2" t="s">
        <v>15</v>
      </c>
      <c r="D576">
        <v>49</v>
      </c>
      <c r="E576" s="2" t="s">
        <v>12</v>
      </c>
      <c r="F576" s="2" t="s">
        <v>21</v>
      </c>
      <c r="G576">
        <v>84883</v>
      </c>
      <c r="H576" s="1">
        <v>44910</v>
      </c>
      <c r="I576">
        <v>2</v>
      </c>
      <c r="J576">
        <v>3</v>
      </c>
      <c r="K576">
        <v>8488</v>
      </c>
      <c r="L576">
        <v>4244</v>
      </c>
      <c r="M576">
        <v>89127</v>
      </c>
      <c r="N576">
        <v>0</v>
      </c>
      <c r="O576">
        <v>93371</v>
      </c>
    </row>
    <row r="577" spans="1:15" x14ac:dyDescent="0.35">
      <c r="A577">
        <v>576</v>
      </c>
      <c r="B577" s="2" t="s">
        <v>22</v>
      </c>
      <c r="C577" s="2" t="s">
        <v>11</v>
      </c>
      <c r="D577">
        <v>32</v>
      </c>
      <c r="E577" s="2" t="s">
        <v>12</v>
      </c>
      <c r="F577" s="2" t="s">
        <v>17</v>
      </c>
      <c r="G577">
        <v>47017</v>
      </c>
      <c r="H577" s="1">
        <v>44594</v>
      </c>
      <c r="I577">
        <v>11</v>
      </c>
      <c r="J577">
        <v>5</v>
      </c>
      <c r="K577">
        <v>4702</v>
      </c>
      <c r="L577">
        <v>2351</v>
      </c>
      <c r="M577">
        <v>49368</v>
      </c>
      <c r="N577">
        <v>2351</v>
      </c>
      <c r="O577">
        <v>54070</v>
      </c>
    </row>
    <row r="578" spans="1:15" x14ac:dyDescent="0.35">
      <c r="A578">
        <v>577</v>
      </c>
      <c r="B578" s="2" t="s">
        <v>20</v>
      </c>
      <c r="C578" s="2" t="s">
        <v>11</v>
      </c>
      <c r="D578">
        <v>22</v>
      </c>
      <c r="E578" s="2" t="s">
        <v>28</v>
      </c>
      <c r="F578" s="2" t="s">
        <v>21</v>
      </c>
      <c r="G578">
        <v>92293</v>
      </c>
      <c r="H578" s="1">
        <v>45216</v>
      </c>
      <c r="I578">
        <v>16</v>
      </c>
      <c r="J578">
        <v>4</v>
      </c>
      <c r="K578">
        <v>9229</v>
      </c>
      <c r="L578">
        <v>4615</v>
      </c>
      <c r="M578">
        <v>96907</v>
      </c>
      <c r="N578">
        <v>4615</v>
      </c>
      <c r="O578">
        <v>106137</v>
      </c>
    </row>
    <row r="579" spans="1:15" x14ac:dyDescent="0.35">
      <c r="A579">
        <v>578</v>
      </c>
      <c r="B579" s="2" t="s">
        <v>27</v>
      </c>
      <c r="C579" s="2" t="s">
        <v>11</v>
      </c>
      <c r="D579">
        <v>38</v>
      </c>
      <c r="E579" s="2" t="s">
        <v>12</v>
      </c>
      <c r="F579" s="2" t="s">
        <v>13</v>
      </c>
      <c r="G579">
        <v>95580</v>
      </c>
      <c r="H579" s="1">
        <v>44732</v>
      </c>
      <c r="I579">
        <v>20</v>
      </c>
      <c r="J579">
        <v>4</v>
      </c>
      <c r="K579">
        <v>9558</v>
      </c>
      <c r="L579">
        <v>4779</v>
      </c>
      <c r="M579">
        <v>100359</v>
      </c>
      <c r="N579">
        <v>4779</v>
      </c>
      <c r="O579">
        <v>109917</v>
      </c>
    </row>
    <row r="580" spans="1:15" x14ac:dyDescent="0.35">
      <c r="A580">
        <v>579</v>
      </c>
      <c r="B580" s="2" t="s">
        <v>31</v>
      </c>
      <c r="C580" s="2" t="s">
        <v>11</v>
      </c>
      <c r="D580">
        <v>51</v>
      </c>
      <c r="E580" s="2" t="s">
        <v>24</v>
      </c>
      <c r="F580" s="2" t="s">
        <v>17</v>
      </c>
      <c r="G580">
        <v>49794</v>
      </c>
      <c r="H580" s="1">
        <v>45209</v>
      </c>
      <c r="I580">
        <v>2</v>
      </c>
      <c r="J580">
        <v>2</v>
      </c>
      <c r="K580">
        <v>4979</v>
      </c>
      <c r="L580">
        <v>2490</v>
      </c>
      <c r="M580">
        <v>52283</v>
      </c>
      <c r="N580">
        <v>0</v>
      </c>
      <c r="O580">
        <v>54773</v>
      </c>
    </row>
    <row r="581" spans="1:15" x14ac:dyDescent="0.35">
      <c r="A581">
        <v>580</v>
      </c>
      <c r="B581" s="2" t="s">
        <v>31</v>
      </c>
      <c r="C581" s="2" t="s">
        <v>15</v>
      </c>
      <c r="D581">
        <v>52</v>
      </c>
      <c r="E581" s="2" t="s">
        <v>12</v>
      </c>
      <c r="F581" s="2" t="s">
        <v>17</v>
      </c>
      <c r="G581">
        <v>66196</v>
      </c>
      <c r="H581" s="1">
        <v>45371</v>
      </c>
      <c r="I581">
        <v>6</v>
      </c>
      <c r="J581">
        <v>2</v>
      </c>
      <c r="K581">
        <v>6620</v>
      </c>
      <c r="L581">
        <v>3310</v>
      </c>
      <c r="M581">
        <v>69506</v>
      </c>
      <c r="N581">
        <v>3310</v>
      </c>
      <c r="O581">
        <v>76126</v>
      </c>
    </row>
    <row r="582" spans="1:15" x14ac:dyDescent="0.35">
      <c r="A582">
        <v>581</v>
      </c>
      <c r="B582" s="2" t="s">
        <v>31</v>
      </c>
      <c r="C582" s="2" t="s">
        <v>11</v>
      </c>
      <c r="D582">
        <v>23</v>
      </c>
      <c r="E582" s="2" t="s">
        <v>16</v>
      </c>
      <c r="F582" s="2" t="s">
        <v>17</v>
      </c>
      <c r="G582">
        <v>65133</v>
      </c>
      <c r="H582" s="1">
        <v>44652</v>
      </c>
      <c r="I582">
        <v>18</v>
      </c>
      <c r="J582">
        <v>5</v>
      </c>
      <c r="K582">
        <v>6513</v>
      </c>
      <c r="L582">
        <v>3257</v>
      </c>
      <c r="M582">
        <v>68389</v>
      </c>
      <c r="N582">
        <v>3257</v>
      </c>
      <c r="O582">
        <v>74903</v>
      </c>
    </row>
    <row r="583" spans="1:15" x14ac:dyDescent="0.35">
      <c r="A583">
        <v>582</v>
      </c>
      <c r="B583" s="2" t="s">
        <v>27</v>
      </c>
      <c r="C583" s="2" t="s">
        <v>11</v>
      </c>
      <c r="D583">
        <v>55</v>
      </c>
      <c r="E583" s="2" t="s">
        <v>12</v>
      </c>
      <c r="F583" s="2" t="s">
        <v>21</v>
      </c>
      <c r="G583">
        <v>96062</v>
      </c>
      <c r="H583" s="1">
        <v>45059</v>
      </c>
      <c r="I583">
        <v>8</v>
      </c>
      <c r="J583">
        <v>2</v>
      </c>
      <c r="K583">
        <v>9606</v>
      </c>
      <c r="L583">
        <v>4803</v>
      </c>
      <c r="M583">
        <v>100865</v>
      </c>
      <c r="N583">
        <v>4803</v>
      </c>
      <c r="O583">
        <v>110471</v>
      </c>
    </row>
    <row r="584" spans="1:15" x14ac:dyDescent="0.35">
      <c r="A584">
        <v>583</v>
      </c>
      <c r="B584" s="2" t="s">
        <v>30</v>
      </c>
      <c r="C584" s="2" t="s">
        <v>11</v>
      </c>
      <c r="D584">
        <v>30</v>
      </c>
      <c r="E584" s="2" t="s">
        <v>12</v>
      </c>
      <c r="F584" s="2" t="s">
        <v>13</v>
      </c>
      <c r="G584">
        <v>91184</v>
      </c>
      <c r="H584" s="1">
        <v>44564</v>
      </c>
      <c r="I584">
        <v>4</v>
      </c>
      <c r="J584">
        <v>2</v>
      </c>
      <c r="K584">
        <v>9118</v>
      </c>
      <c r="L584">
        <v>4559</v>
      </c>
      <c r="M584">
        <v>95743</v>
      </c>
      <c r="N584">
        <v>0</v>
      </c>
      <c r="O584">
        <v>100302</v>
      </c>
    </row>
    <row r="585" spans="1:15" x14ac:dyDescent="0.35">
      <c r="A585">
        <v>584</v>
      </c>
      <c r="B585" s="2" t="s">
        <v>20</v>
      </c>
      <c r="C585" s="2" t="s">
        <v>11</v>
      </c>
      <c r="D585">
        <v>39</v>
      </c>
      <c r="E585" s="2" t="s">
        <v>28</v>
      </c>
      <c r="F585" s="2" t="s">
        <v>25</v>
      </c>
      <c r="G585">
        <v>71085</v>
      </c>
      <c r="H585" s="1">
        <v>45380</v>
      </c>
      <c r="I585">
        <v>5</v>
      </c>
      <c r="J585">
        <v>1</v>
      </c>
      <c r="K585">
        <v>7108</v>
      </c>
      <c r="L585">
        <v>3554</v>
      </c>
      <c r="M585">
        <v>74639</v>
      </c>
      <c r="N585">
        <v>0</v>
      </c>
      <c r="O585">
        <v>78193</v>
      </c>
    </row>
    <row r="586" spans="1:15" x14ac:dyDescent="0.35">
      <c r="A586">
        <v>585</v>
      </c>
      <c r="B586" s="2" t="s">
        <v>14</v>
      </c>
      <c r="C586" s="2" t="s">
        <v>15</v>
      </c>
      <c r="D586">
        <v>57</v>
      </c>
      <c r="E586" s="2" t="s">
        <v>12</v>
      </c>
      <c r="F586" s="2" t="s">
        <v>21</v>
      </c>
      <c r="G586">
        <v>27309</v>
      </c>
      <c r="H586" s="1">
        <v>45334</v>
      </c>
      <c r="I586">
        <v>15</v>
      </c>
      <c r="J586">
        <v>3</v>
      </c>
      <c r="K586">
        <v>2731</v>
      </c>
      <c r="L586">
        <v>1365</v>
      </c>
      <c r="M586">
        <v>28675</v>
      </c>
      <c r="N586">
        <v>1365</v>
      </c>
      <c r="O586">
        <v>31405</v>
      </c>
    </row>
    <row r="587" spans="1:15" x14ac:dyDescent="0.35">
      <c r="A587">
        <v>586</v>
      </c>
      <c r="B587" s="2" t="s">
        <v>27</v>
      </c>
      <c r="C587" s="2" t="s">
        <v>15</v>
      </c>
      <c r="D587">
        <v>59</v>
      </c>
      <c r="E587" s="2" t="s">
        <v>28</v>
      </c>
      <c r="F587" s="2" t="s">
        <v>19</v>
      </c>
      <c r="G587">
        <v>57343</v>
      </c>
      <c r="H587" s="1">
        <v>44991</v>
      </c>
      <c r="I587">
        <v>14</v>
      </c>
      <c r="J587">
        <v>5</v>
      </c>
      <c r="K587">
        <v>5734</v>
      </c>
      <c r="L587">
        <v>2867</v>
      </c>
      <c r="M587">
        <v>60210</v>
      </c>
      <c r="N587">
        <v>2867</v>
      </c>
      <c r="O587">
        <v>65944</v>
      </c>
    </row>
    <row r="588" spans="1:15" x14ac:dyDescent="0.35">
      <c r="A588">
        <v>587</v>
      </c>
      <c r="B588" s="2" t="s">
        <v>14</v>
      </c>
      <c r="C588" s="2" t="s">
        <v>11</v>
      </c>
      <c r="D588">
        <v>31</v>
      </c>
      <c r="E588" s="2" t="s">
        <v>28</v>
      </c>
      <c r="F588" s="2" t="s">
        <v>25</v>
      </c>
      <c r="G588">
        <v>33847</v>
      </c>
      <c r="H588" s="1">
        <v>45239</v>
      </c>
      <c r="I588">
        <v>14</v>
      </c>
      <c r="J588">
        <v>3</v>
      </c>
      <c r="K588">
        <v>3385</v>
      </c>
      <c r="L588">
        <v>1692</v>
      </c>
      <c r="M588">
        <v>35540</v>
      </c>
      <c r="N588">
        <v>1692</v>
      </c>
      <c r="O588">
        <v>38924</v>
      </c>
    </row>
    <row r="589" spans="1:15" x14ac:dyDescent="0.35">
      <c r="A589">
        <v>588</v>
      </c>
      <c r="B589" s="2" t="s">
        <v>20</v>
      </c>
      <c r="C589" s="2" t="s">
        <v>11</v>
      </c>
      <c r="D589">
        <v>39</v>
      </c>
      <c r="E589" s="2" t="s">
        <v>12</v>
      </c>
      <c r="F589" s="2" t="s">
        <v>25</v>
      </c>
      <c r="G589">
        <v>81092</v>
      </c>
      <c r="H589" s="1">
        <v>45158</v>
      </c>
      <c r="I589">
        <v>7</v>
      </c>
      <c r="J589">
        <v>5</v>
      </c>
      <c r="K589">
        <v>8109</v>
      </c>
      <c r="L589">
        <v>4055</v>
      </c>
      <c r="M589">
        <v>85146</v>
      </c>
      <c r="N589">
        <v>4055</v>
      </c>
      <c r="O589">
        <v>93256</v>
      </c>
    </row>
    <row r="590" spans="1:15" x14ac:dyDescent="0.35">
      <c r="A590">
        <v>589</v>
      </c>
      <c r="B590" s="2" t="s">
        <v>18</v>
      </c>
      <c r="C590" s="2" t="s">
        <v>15</v>
      </c>
      <c r="D590">
        <v>33</v>
      </c>
      <c r="E590" s="2" t="s">
        <v>24</v>
      </c>
      <c r="F590" s="2" t="s">
        <v>13</v>
      </c>
      <c r="G590">
        <v>23134</v>
      </c>
      <c r="H590" s="1">
        <v>44740</v>
      </c>
      <c r="I590">
        <v>2</v>
      </c>
      <c r="J590">
        <v>4</v>
      </c>
      <c r="K590">
        <v>2313</v>
      </c>
      <c r="L590">
        <v>1157</v>
      </c>
      <c r="M590">
        <v>24290</v>
      </c>
      <c r="N590">
        <v>0</v>
      </c>
      <c r="O590">
        <v>25447</v>
      </c>
    </row>
    <row r="591" spans="1:15" x14ac:dyDescent="0.35">
      <c r="A591">
        <v>590</v>
      </c>
      <c r="B591" s="2" t="s">
        <v>30</v>
      </c>
      <c r="C591" s="2" t="s">
        <v>11</v>
      </c>
      <c r="D591">
        <v>52</v>
      </c>
      <c r="E591" s="2" t="s">
        <v>24</v>
      </c>
      <c r="F591" s="2" t="s">
        <v>19</v>
      </c>
      <c r="G591">
        <v>56695</v>
      </c>
      <c r="H591" s="1">
        <v>45204</v>
      </c>
      <c r="I591">
        <v>14</v>
      </c>
      <c r="J591">
        <v>2</v>
      </c>
      <c r="K591">
        <v>5670</v>
      </c>
      <c r="L591">
        <v>2835</v>
      </c>
      <c r="M591">
        <v>59530</v>
      </c>
      <c r="N591">
        <v>2835</v>
      </c>
      <c r="O591">
        <v>65200</v>
      </c>
    </row>
    <row r="592" spans="1:15" x14ac:dyDescent="0.35">
      <c r="A592">
        <v>591</v>
      </c>
      <c r="B592" s="2" t="s">
        <v>26</v>
      </c>
      <c r="C592" s="2" t="s">
        <v>11</v>
      </c>
      <c r="D592">
        <v>34</v>
      </c>
      <c r="E592" s="2" t="s">
        <v>24</v>
      </c>
      <c r="F592" s="2" t="s">
        <v>21</v>
      </c>
      <c r="G592">
        <v>98122</v>
      </c>
      <c r="H592" s="1">
        <v>44950</v>
      </c>
      <c r="I592">
        <v>9</v>
      </c>
      <c r="J592">
        <v>5</v>
      </c>
      <c r="K592">
        <v>9812</v>
      </c>
      <c r="L592">
        <v>4906</v>
      </c>
      <c r="M592">
        <v>103028</v>
      </c>
      <c r="N592">
        <v>4906</v>
      </c>
      <c r="O592">
        <v>112840</v>
      </c>
    </row>
    <row r="593" spans="1:15" x14ac:dyDescent="0.35">
      <c r="A593">
        <v>592</v>
      </c>
      <c r="B593" s="2" t="s">
        <v>18</v>
      </c>
      <c r="C593" s="2" t="s">
        <v>15</v>
      </c>
      <c r="D593">
        <v>27</v>
      </c>
      <c r="E593" s="2" t="s">
        <v>28</v>
      </c>
      <c r="F593" s="2" t="s">
        <v>19</v>
      </c>
      <c r="G593">
        <v>32172</v>
      </c>
      <c r="H593" s="1">
        <v>44652</v>
      </c>
      <c r="I593">
        <v>7</v>
      </c>
      <c r="J593">
        <v>2</v>
      </c>
      <c r="K593">
        <v>3217</v>
      </c>
      <c r="L593">
        <v>1609</v>
      </c>
      <c r="M593">
        <v>33780</v>
      </c>
      <c r="N593">
        <v>1609</v>
      </c>
      <c r="O593">
        <v>36998</v>
      </c>
    </row>
    <row r="594" spans="1:15" x14ac:dyDescent="0.35">
      <c r="A594">
        <v>593</v>
      </c>
      <c r="B594" s="2" t="s">
        <v>22</v>
      </c>
      <c r="C594" s="2" t="s">
        <v>15</v>
      </c>
      <c r="D594">
        <v>22</v>
      </c>
      <c r="E594" s="2" t="s">
        <v>28</v>
      </c>
      <c r="F594" s="2" t="s">
        <v>19</v>
      </c>
      <c r="G594">
        <v>32179</v>
      </c>
      <c r="H594" s="1">
        <v>44944</v>
      </c>
      <c r="I594">
        <v>11</v>
      </c>
      <c r="J594">
        <v>2</v>
      </c>
      <c r="K594">
        <v>3218</v>
      </c>
      <c r="L594">
        <v>1609</v>
      </c>
      <c r="M594">
        <v>33788</v>
      </c>
      <c r="N594">
        <v>1609</v>
      </c>
      <c r="O594">
        <v>37006</v>
      </c>
    </row>
    <row r="595" spans="1:15" x14ac:dyDescent="0.35">
      <c r="A595">
        <v>594</v>
      </c>
      <c r="B595" s="2" t="s">
        <v>23</v>
      </c>
      <c r="C595" s="2" t="s">
        <v>15</v>
      </c>
      <c r="D595">
        <v>42</v>
      </c>
      <c r="E595" s="2" t="s">
        <v>12</v>
      </c>
      <c r="F595" s="2" t="s">
        <v>13</v>
      </c>
      <c r="G595">
        <v>56300</v>
      </c>
      <c r="H595" s="1">
        <v>45523</v>
      </c>
      <c r="I595">
        <v>8</v>
      </c>
      <c r="J595">
        <v>5</v>
      </c>
      <c r="K595">
        <v>5630</v>
      </c>
      <c r="L595">
        <v>2815</v>
      </c>
      <c r="M595">
        <v>59115</v>
      </c>
      <c r="N595">
        <v>2815</v>
      </c>
      <c r="O595">
        <v>64745</v>
      </c>
    </row>
    <row r="596" spans="1:15" x14ac:dyDescent="0.35">
      <c r="A596">
        <v>595</v>
      </c>
      <c r="B596" s="2" t="s">
        <v>23</v>
      </c>
      <c r="C596" s="2" t="s">
        <v>11</v>
      </c>
      <c r="D596">
        <v>25</v>
      </c>
      <c r="E596" s="2" t="s">
        <v>28</v>
      </c>
      <c r="F596" s="2" t="s">
        <v>13</v>
      </c>
      <c r="G596">
        <v>35607</v>
      </c>
      <c r="H596" s="1">
        <v>45560</v>
      </c>
      <c r="I596">
        <v>2</v>
      </c>
      <c r="J596">
        <v>2</v>
      </c>
      <c r="K596">
        <v>3561</v>
      </c>
      <c r="L596">
        <v>1780</v>
      </c>
      <c r="M596">
        <v>37388</v>
      </c>
      <c r="N596">
        <v>0</v>
      </c>
      <c r="O596">
        <v>39168</v>
      </c>
    </row>
    <row r="597" spans="1:15" x14ac:dyDescent="0.35">
      <c r="A597">
        <v>596</v>
      </c>
      <c r="B597" s="2" t="s">
        <v>10</v>
      </c>
      <c r="C597" s="2" t="s">
        <v>11</v>
      </c>
      <c r="D597">
        <v>40</v>
      </c>
      <c r="E597" s="2" t="s">
        <v>29</v>
      </c>
      <c r="F597" s="2" t="s">
        <v>19</v>
      </c>
      <c r="G597">
        <v>40466</v>
      </c>
      <c r="H597" s="1">
        <v>45526</v>
      </c>
      <c r="I597">
        <v>3</v>
      </c>
      <c r="J597">
        <v>4</v>
      </c>
      <c r="K597">
        <v>4047</v>
      </c>
      <c r="L597">
        <v>2023</v>
      </c>
      <c r="M597">
        <v>42490</v>
      </c>
      <c r="N597">
        <v>0</v>
      </c>
      <c r="O597">
        <v>44513</v>
      </c>
    </row>
    <row r="598" spans="1:15" x14ac:dyDescent="0.35">
      <c r="A598">
        <v>597</v>
      </c>
      <c r="B598" s="2" t="s">
        <v>20</v>
      </c>
      <c r="C598" s="2" t="s">
        <v>15</v>
      </c>
      <c r="D598">
        <v>32</v>
      </c>
      <c r="E598" s="2" t="s">
        <v>12</v>
      </c>
      <c r="F598" s="2" t="s">
        <v>21</v>
      </c>
      <c r="G598">
        <v>38352</v>
      </c>
      <c r="H598" s="1">
        <v>44658</v>
      </c>
      <c r="I598">
        <v>7</v>
      </c>
      <c r="J598">
        <v>4</v>
      </c>
      <c r="K598">
        <v>3835</v>
      </c>
      <c r="L598">
        <v>1918</v>
      </c>
      <c r="M598">
        <v>40269</v>
      </c>
      <c r="N598">
        <v>1918</v>
      </c>
      <c r="O598">
        <v>44105</v>
      </c>
    </row>
    <row r="599" spans="1:15" x14ac:dyDescent="0.35">
      <c r="A599">
        <v>598</v>
      </c>
      <c r="B599" s="2" t="s">
        <v>20</v>
      </c>
      <c r="C599" s="2" t="s">
        <v>11</v>
      </c>
      <c r="D599">
        <v>51</v>
      </c>
      <c r="E599" s="2" t="s">
        <v>12</v>
      </c>
      <c r="F599" s="2" t="s">
        <v>13</v>
      </c>
      <c r="G599">
        <v>21910</v>
      </c>
      <c r="H599" s="1">
        <v>45241</v>
      </c>
      <c r="I599">
        <v>4</v>
      </c>
      <c r="J599">
        <v>1</v>
      </c>
      <c r="K599">
        <v>2191</v>
      </c>
      <c r="L599">
        <v>1096</v>
      </c>
      <c r="M599">
        <v>23005</v>
      </c>
      <c r="N599">
        <v>0</v>
      </c>
      <c r="O599">
        <v>24101</v>
      </c>
    </row>
    <row r="600" spans="1:15" x14ac:dyDescent="0.35">
      <c r="A600">
        <v>599</v>
      </c>
      <c r="B600" s="2" t="s">
        <v>27</v>
      </c>
      <c r="C600" s="2" t="s">
        <v>11</v>
      </c>
      <c r="D600">
        <v>45</v>
      </c>
      <c r="E600" s="2" t="s">
        <v>16</v>
      </c>
      <c r="F600" s="2" t="s">
        <v>21</v>
      </c>
      <c r="G600">
        <v>98072</v>
      </c>
      <c r="H600" s="1">
        <v>45539</v>
      </c>
      <c r="I600">
        <v>9</v>
      </c>
      <c r="J600">
        <v>3</v>
      </c>
      <c r="K600">
        <v>9807</v>
      </c>
      <c r="L600">
        <v>4904</v>
      </c>
      <c r="M600">
        <v>102975</v>
      </c>
      <c r="N600">
        <v>4904</v>
      </c>
      <c r="O600">
        <v>112783</v>
      </c>
    </row>
    <row r="601" spans="1:15" x14ac:dyDescent="0.35">
      <c r="A601">
        <v>600</v>
      </c>
      <c r="B601" s="2" t="s">
        <v>30</v>
      </c>
      <c r="C601" s="2" t="s">
        <v>15</v>
      </c>
      <c r="D601">
        <v>32</v>
      </c>
      <c r="E601" s="2" t="s">
        <v>24</v>
      </c>
      <c r="F601" s="2" t="s">
        <v>13</v>
      </c>
      <c r="G601">
        <v>79417</v>
      </c>
      <c r="H601" s="1">
        <v>44990</v>
      </c>
      <c r="I601">
        <v>17</v>
      </c>
      <c r="J601">
        <v>3</v>
      </c>
      <c r="K601">
        <v>7942</v>
      </c>
      <c r="L601">
        <v>3971</v>
      </c>
      <c r="M601">
        <v>83388</v>
      </c>
      <c r="N601">
        <v>3971</v>
      </c>
      <c r="O601">
        <v>91330</v>
      </c>
    </row>
    <row r="602" spans="1:15" x14ac:dyDescent="0.35">
      <c r="A602">
        <v>601</v>
      </c>
      <c r="B602" s="2" t="s">
        <v>31</v>
      </c>
      <c r="C602" s="2" t="s">
        <v>11</v>
      </c>
      <c r="D602">
        <v>57</v>
      </c>
      <c r="E602" s="2" t="s">
        <v>16</v>
      </c>
      <c r="F602" s="2" t="s">
        <v>19</v>
      </c>
      <c r="G602">
        <v>90065</v>
      </c>
      <c r="H602" s="1">
        <v>44572</v>
      </c>
      <c r="I602">
        <v>19</v>
      </c>
      <c r="J602">
        <v>1</v>
      </c>
      <c r="K602">
        <v>9006</v>
      </c>
      <c r="L602">
        <v>4503</v>
      </c>
      <c r="M602">
        <v>94568</v>
      </c>
      <c r="N602">
        <v>4503</v>
      </c>
      <c r="O602">
        <v>103574</v>
      </c>
    </row>
    <row r="603" spans="1:15" x14ac:dyDescent="0.35">
      <c r="A603">
        <v>602</v>
      </c>
      <c r="B603" s="2" t="s">
        <v>27</v>
      </c>
      <c r="C603" s="2" t="s">
        <v>15</v>
      </c>
      <c r="D603">
        <v>49</v>
      </c>
      <c r="E603" s="2" t="s">
        <v>12</v>
      </c>
      <c r="F603" s="2" t="s">
        <v>21</v>
      </c>
      <c r="G603">
        <v>49277</v>
      </c>
      <c r="H603" s="1">
        <v>45524</v>
      </c>
      <c r="I603">
        <v>8</v>
      </c>
      <c r="J603">
        <v>5</v>
      </c>
      <c r="K603">
        <v>4928</v>
      </c>
      <c r="L603">
        <v>2464</v>
      </c>
      <c r="M603">
        <v>51741</v>
      </c>
      <c r="N603">
        <v>2464</v>
      </c>
      <c r="O603">
        <v>56669</v>
      </c>
    </row>
    <row r="604" spans="1:15" x14ac:dyDescent="0.35">
      <c r="A604">
        <v>603</v>
      </c>
      <c r="B604" s="2" t="s">
        <v>27</v>
      </c>
      <c r="C604" s="2" t="s">
        <v>15</v>
      </c>
      <c r="D604">
        <v>21</v>
      </c>
      <c r="E604" s="2" t="s">
        <v>24</v>
      </c>
      <c r="F604" s="2" t="s">
        <v>13</v>
      </c>
      <c r="G604">
        <v>55077</v>
      </c>
      <c r="H604" s="1">
        <v>45269</v>
      </c>
      <c r="I604">
        <v>19</v>
      </c>
      <c r="J604">
        <v>1</v>
      </c>
      <c r="K604">
        <v>5508</v>
      </c>
      <c r="L604">
        <v>2754</v>
      </c>
      <c r="M604">
        <v>57831</v>
      </c>
      <c r="N604">
        <v>2754</v>
      </c>
      <c r="O604">
        <v>63339</v>
      </c>
    </row>
    <row r="605" spans="1:15" x14ac:dyDescent="0.35">
      <c r="A605">
        <v>604</v>
      </c>
      <c r="B605" s="2" t="s">
        <v>27</v>
      </c>
      <c r="C605" s="2" t="s">
        <v>11</v>
      </c>
      <c r="D605">
        <v>53</v>
      </c>
      <c r="E605" s="2" t="s">
        <v>28</v>
      </c>
      <c r="F605" s="2" t="s">
        <v>21</v>
      </c>
      <c r="G605">
        <v>73135</v>
      </c>
      <c r="H605" s="1">
        <v>45408</v>
      </c>
      <c r="I605">
        <v>11</v>
      </c>
      <c r="J605">
        <v>5</v>
      </c>
      <c r="K605">
        <v>7314</v>
      </c>
      <c r="L605">
        <v>3657</v>
      </c>
      <c r="M605">
        <v>76792</v>
      </c>
      <c r="N605">
        <v>3657</v>
      </c>
      <c r="O605">
        <v>84106</v>
      </c>
    </row>
    <row r="606" spans="1:15" x14ac:dyDescent="0.35">
      <c r="A606">
        <v>605</v>
      </c>
      <c r="B606" s="2" t="s">
        <v>26</v>
      </c>
      <c r="C606" s="2" t="s">
        <v>15</v>
      </c>
      <c r="D606">
        <v>30</v>
      </c>
      <c r="E606" s="2" t="s">
        <v>12</v>
      </c>
      <c r="F606" s="2" t="s">
        <v>19</v>
      </c>
      <c r="G606">
        <v>95628</v>
      </c>
      <c r="H606" s="1">
        <v>44849</v>
      </c>
      <c r="I606">
        <v>19</v>
      </c>
      <c r="J606">
        <v>3</v>
      </c>
      <c r="K606">
        <v>9563</v>
      </c>
      <c r="L606">
        <v>4781</v>
      </c>
      <c r="M606">
        <v>100410</v>
      </c>
      <c r="N606">
        <v>4781</v>
      </c>
      <c r="O606">
        <v>109972</v>
      </c>
    </row>
    <row r="607" spans="1:15" x14ac:dyDescent="0.35">
      <c r="A607">
        <v>606</v>
      </c>
      <c r="B607" s="2" t="s">
        <v>30</v>
      </c>
      <c r="C607" s="2" t="s">
        <v>15</v>
      </c>
      <c r="D607">
        <v>41</v>
      </c>
      <c r="E607" s="2" t="s">
        <v>12</v>
      </c>
      <c r="F607" s="2" t="s">
        <v>19</v>
      </c>
      <c r="G607">
        <v>55334</v>
      </c>
      <c r="H607" s="1">
        <v>45308</v>
      </c>
      <c r="I607">
        <v>13</v>
      </c>
      <c r="J607">
        <v>5</v>
      </c>
      <c r="K607">
        <v>5533</v>
      </c>
      <c r="L607">
        <v>2767</v>
      </c>
      <c r="M607">
        <v>58100</v>
      </c>
      <c r="N607">
        <v>2767</v>
      </c>
      <c r="O607">
        <v>63634</v>
      </c>
    </row>
    <row r="608" spans="1:15" x14ac:dyDescent="0.35">
      <c r="A608">
        <v>607</v>
      </c>
      <c r="B608" s="2" t="s">
        <v>27</v>
      </c>
      <c r="C608" s="2" t="s">
        <v>11</v>
      </c>
      <c r="D608">
        <v>21</v>
      </c>
      <c r="E608" s="2" t="s">
        <v>29</v>
      </c>
      <c r="F608" s="2" t="s">
        <v>19</v>
      </c>
      <c r="G608">
        <v>67943</v>
      </c>
      <c r="H608" s="1">
        <v>45175</v>
      </c>
      <c r="I608">
        <v>4</v>
      </c>
      <c r="J608">
        <v>2</v>
      </c>
      <c r="K608">
        <v>6794</v>
      </c>
      <c r="L608">
        <v>3397</v>
      </c>
      <c r="M608">
        <v>71340</v>
      </c>
      <c r="N608">
        <v>0</v>
      </c>
      <c r="O608">
        <v>74737</v>
      </c>
    </row>
    <row r="609" spans="1:15" x14ac:dyDescent="0.35">
      <c r="A609">
        <v>608</v>
      </c>
      <c r="B609" s="2" t="s">
        <v>18</v>
      </c>
      <c r="C609" s="2" t="s">
        <v>15</v>
      </c>
      <c r="D609">
        <v>41</v>
      </c>
      <c r="E609" s="2" t="s">
        <v>24</v>
      </c>
      <c r="F609" s="2" t="s">
        <v>21</v>
      </c>
      <c r="G609">
        <v>43826</v>
      </c>
      <c r="H609" s="1">
        <v>44992</v>
      </c>
      <c r="I609">
        <v>6</v>
      </c>
      <c r="J609">
        <v>3</v>
      </c>
      <c r="K609">
        <v>4383</v>
      </c>
      <c r="L609">
        <v>2191</v>
      </c>
      <c r="M609">
        <v>46018</v>
      </c>
      <c r="N609">
        <v>2191</v>
      </c>
      <c r="O609">
        <v>50400</v>
      </c>
    </row>
    <row r="610" spans="1:15" x14ac:dyDescent="0.35">
      <c r="A610">
        <v>609</v>
      </c>
      <c r="B610" s="2" t="s">
        <v>18</v>
      </c>
      <c r="C610" s="2" t="s">
        <v>15</v>
      </c>
      <c r="D610">
        <v>41</v>
      </c>
      <c r="E610" s="2" t="s">
        <v>12</v>
      </c>
      <c r="F610" s="2" t="s">
        <v>13</v>
      </c>
      <c r="G610">
        <v>92773</v>
      </c>
      <c r="H610" s="1">
        <v>44880</v>
      </c>
      <c r="I610">
        <v>18</v>
      </c>
      <c r="J610">
        <v>4</v>
      </c>
      <c r="K610">
        <v>9277</v>
      </c>
      <c r="L610">
        <v>4639</v>
      </c>
      <c r="M610">
        <v>97411</v>
      </c>
      <c r="N610">
        <v>4639</v>
      </c>
      <c r="O610">
        <v>106689</v>
      </c>
    </row>
    <row r="611" spans="1:15" x14ac:dyDescent="0.35">
      <c r="A611">
        <v>610</v>
      </c>
      <c r="B611" s="2" t="s">
        <v>26</v>
      </c>
      <c r="C611" s="2" t="s">
        <v>15</v>
      </c>
      <c r="D611">
        <v>44</v>
      </c>
      <c r="E611" s="2" t="s">
        <v>28</v>
      </c>
      <c r="F611" s="2" t="s">
        <v>17</v>
      </c>
      <c r="G611">
        <v>85411</v>
      </c>
      <c r="H611" s="1">
        <v>45034</v>
      </c>
      <c r="I611">
        <v>12</v>
      </c>
      <c r="J611">
        <v>5</v>
      </c>
      <c r="K611">
        <v>8541</v>
      </c>
      <c r="L611">
        <v>4271</v>
      </c>
      <c r="M611">
        <v>89681</v>
      </c>
      <c r="N611">
        <v>4271</v>
      </c>
      <c r="O611">
        <v>98223</v>
      </c>
    </row>
    <row r="612" spans="1:15" x14ac:dyDescent="0.35">
      <c r="A612">
        <v>611</v>
      </c>
      <c r="B612" s="2" t="s">
        <v>20</v>
      </c>
      <c r="C612" s="2" t="s">
        <v>15</v>
      </c>
      <c r="D612">
        <v>28</v>
      </c>
      <c r="E612" s="2" t="s">
        <v>12</v>
      </c>
      <c r="F612" s="2" t="s">
        <v>25</v>
      </c>
      <c r="G612">
        <v>22870</v>
      </c>
      <c r="H612" s="1">
        <v>45327</v>
      </c>
      <c r="I612">
        <v>13</v>
      </c>
      <c r="J612">
        <v>4</v>
      </c>
      <c r="K612">
        <v>2287</v>
      </c>
      <c r="L612">
        <v>1144</v>
      </c>
      <c r="M612">
        <v>24013</v>
      </c>
      <c r="N612">
        <v>1144</v>
      </c>
      <c r="O612">
        <v>26301</v>
      </c>
    </row>
    <row r="613" spans="1:15" x14ac:dyDescent="0.35">
      <c r="A613">
        <v>612</v>
      </c>
      <c r="B613" s="2" t="s">
        <v>14</v>
      </c>
      <c r="C613" s="2" t="s">
        <v>11</v>
      </c>
      <c r="D613">
        <v>55</v>
      </c>
      <c r="E613" s="2" t="s">
        <v>29</v>
      </c>
      <c r="F613" s="2" t="s">
        <v>13</v>
      </c>
      <c r="G613">
        <v>58670</v>
      </c>
      <c r="H613" s="1">
        <v>45041</v>
      </c>
      <c r="I613">
        <v>18</v>
      </c>
      <c r="J613">
        <v>3</v>
      </c>
      <c r="K613">
        <v>5867</v>
      </c>
      <c r="L613">
        <v>2934</v>
      </c>
      <c r="M613">
        <v>61603</v>
      </c>
      <c r="N613">
        <v>2934</v>
      </c>
      <c r="O613">
        <v>67471</v>
      </c>
    </row>
    <row r="614" spans="1:15" x14ac:dyDescent="0.35">
      <c r="A614">
        <v>613</v>
      </c>
      <c r="B614" s="2" t="s">
        <v>23</v>
      </c>
      <c r="C614" s="2" t="s">
        <v>15</v>
      </c>
      <c r="D614">
        <v>26</v>
      </c>
      <c r="E614" s="2" t="s">
        <v>28</v>
      </c>
      <c r="F614" s="2" t="s">
        <v>21</v>
      </c>
      <c r="G614">
        <v>95776</v>
      </c>
      <c r="H614" s="1">
        <v>45206</v>
      </c>
      <c r="I614">
        <v>6</v>
      </c>
      <c r="J614">
        <v>1</v>
      </c>
      <c r="K614">
        <v>9578</v>
      </c>
      <c r="L614">
        <v>4789</v>
      </c>
      <c r="M614">
        <v>100565</v>
      </c>
      <c r="N614">
        <v>4789</v>
      </c>
      <c r="O614">
        <v>110143</v>
      </c>
    </row>
    <row r="615" spans="1:15" x14ac:dyDescent="0.35">
      <c r="A615">
        <v>614</v>
      </c>
      <c r="B615" s="2" t="s">
        <v>14</v>
      </c>
      <c r="C615" s="2" t="s">
        <v>15</v>
      </c>
      <c r="D615">
        <v>32</v>
      </c>
      <c r="E615" s="2" t="s">
        <v>12</v>
      </c>
      <c r="F615" s="2" t="s">
        <v>17</v>
      </c>
      <c r="G615">
        <v>34615</v>
      </c>
      <c r="H615" s="1">
        <v>44634</v>
      </c>
      <c r="I615">
        <v>7</v>
      </c>
      <c r="J615">
        <v>1</v>
      </c>
      <c r="K615">
        <v>3462</v>
      </c>
      <c r="L615">
        <v>1731</v>
      </c>
      <c r="M615">
        <v>36346</v>
      </c>
      <c r="N615">
        <v>1731</v>
      </c>
      <c r="O615">
        <v>39808</v>
      </c>
    </row>
    <row r="616" spans="1:15" x14ac:dyDescent="0.35">
      <c r="A616">
        <v>615</v>
      </c>
      <c r="B616" s="2" t="s">
        <v>31</v>
      </c>
      <c r="C616" s="2" t="s">
        <v>15</v>
      </c>
      <c r="D616">
        <v>36</v>
      </c>
      <c r="E616" s="2" t="s">
        <v>16</v>
      </c>
      <c r="F616" s="2" t="s">
        <v>21</v>
      </c>
      <c r="G616">
        <v>64124</v>
      </c>
      <c r="H616" s="1">
        <v>45388</v>
      </c>
      <c r="I616">
        <v>19</v>
      </c>
      <c r="J616">
        <v>4</v>
      </c>
      <c r="K616">
        <v>6412</v>
      </c>
      <c r="L616">
        <v>3206</v>
      </c>
      <c r="M616">
        <v>67330</v>
      </c>
      <c r="N616">
        <v>3206</v>
      </c>
      <c r="O616">
        <v>73742</v>
      </c>
    </row>
    <row r="617" spans="1:15" x14ac:dyDescent="0.35">
      <c r="A617">
        <v>616</v>
      </c>
      <c r="B617" s="2" t="s">
        <v>14</v>
      </c>
      <c r="C617" s="2" t="s">
        <v>11</v>
      </c>
      <c r="D617">
        <v>25</v>
      </c>
      <c r="E617" s="2" t="s">
        <v>12</v>
      </c>
      <c r="F617" s="2" t="s">
        <v>25</v>
      </c>
      <c r="G617">
        <v>45507</v>
      </c>
      <c r="H617" s="1">
        <v>45172</v>
      </c>
      <c r="I617">
        <v>18</v>
      </c>
      <c r="J617">
        <v>3</v>
      </c>
      <c r="K617">
        <v>4551</v>
      </c>
      <c r="L617">
        <v>2275</v>
      </c>
      <c r="M617">
        <v>47783</v>
      </c>
      <c r="N617">
        <v>2275</v>
      </c>
      <c r="O617">
        <v>52333</v>
      </c>
    </row>
    <row r="618" spans="1:15" x14ac:dyDescent="0.35">
      <c r="A618">
        <v>617</v>
      </c>
      <c r="B618" s="2" t="s">
        <v>27</v>
      </c>
      <c r="C618" s="2" t="s">
        <v>11</v>
      </c>
      <c r="D618">
        <v>29</v>
      </c>
      <c r="E618" s="2" t="s">
        <v>12</v>
      </c>
      <c r="F618" s="2" t="s">
        <v>19</v>
      </c>
      <c r="G618">
        <v>82924</v>
      </c>
      <c r="H618" s="1">
        <v>44745</v>
      </c>
      <c r="I618">
        <v>20</v>
      </c>
      <c r="J618">
        <v>3</v>
      </c>
      <c r="K618">
        <v>8292</v>
      </c>
      <c r="L618">
        <v>4146</v>
      </c>
      <c r="M618">
        <v>87070</v>
      </c>
      <c r="N618">
        <v>4146</v>
      </c>
      <c r="O618">
        <v>95362</v>
      </c>
    </row>
    <row r="619" spans="1:15" x14ac:dyDescent="0.35">
      <c r="A619">
        <v>618</v>
      </c>
      <c r="B619" s="2" t="s">
        <v>10</v>
      </c>
      <c r="C619" s="2" t="s">
        <v>11</v>
      </c>
      <c r="D619">
        <v>45</v>
      </c>
      <c r="E619" s="2" t="s">
        <v>28</v>
      </c>
      <c r="F619" s="2" t="s">
        <v>13</v>
      </c>
      <c r="G619">
        <v>56573</v>
      </c>
      <c r="H619" s="1">
        <v>45404</v>
      </c>
      <c r="I619">
        <v>9</v>
      </c>
      <c r="J619">
        <v>1</v>
      </c>
      <c r="K619">
        <v>5657</v>
      </c>
      <c r="L619">
        <v>2829</v>
      </c>
      <c r="M619">
        <v>59401</v>
      </c>
      <c r="N619">
        <v>2829</v>
      </c>
      <c r="O619">
        <v>65059</v>
      </c>
    </row>
    <row r="620" spans="1:15" x14ac:dyDescent="0.35">
      <c r="A620">
        <v>619</v>
      </c>
      <c r="B620" s="2" t="s">
        <v>31</v>
      </c>
      <c r="C620" s="2" t="s">
        <v>15</v>
      </c>
      <c r="D620">
        <v>52</v>
      </c>
      <c r="E620" s="2" t="s">
        <v>28</v>
      </c>
      <c r="F620" s="2" t="s">
        <v>21</v>
      </c>
      <c r="G620">
        <v>31113</v>
      </c>
      <c r="H620" s="1">
        <v>45002</v>
      </c>
      <c r="I620">
        <v>16</v>
      </c>
      <c r="J620">
        <v>4</v>
      </c>
      <c r="K620">
        <v>3111</v>
      </c>
      <c r="L620">
        <v>1556</v>
      </c>
      <c r="M620">
        <v>32668</v>
      </c>
      <c r="N620">
        <v>1556</v>
      </c>
      <c r="O620">
        <v>35780</v>
      </c>
    </row>
    <row r="621" spans="1:15" x14ac:dyDescent="0.35">
      <c r="A621">
        <v>620</v>
      </c>
      <c r="B621" s="2" t="s">
        <v>10</v>
      </c>
      <c r="C621" s="2" t="s">
        <v>15</v>
      </c>
      <c r="D621">
        <v>58</v>
      </c>
      <c r="E621" s="2" t="s">
        <v>28</v>
      </c>
      <c r="F621" s="2" t="s">
        <v>19</v>
      </c>
      <c r="G621">
        <v>83694</v>
      </c>
      <c r="H621" s="1">
        <v>45325</v>
      </c>
      <c r="I621">
        <v>19</v>
      </c>
      <c r="J621">
        <v>1</v>
      </c>
      <c r="K621">
        <v>8369</v>
      </c>
      <c r="L621">
        <v>4185</v>
      </c>
      <c r="M621">
        <v>87878</v>
      </c>
      <c r="N621">
        <v>4185</v>
      </c>
      <c r="O621">
        <v>96248</v>
      </c>
    </row>
    <row r="622" spans="1:15" x14ac:dyDescent="0.35">
      <c r="A622">
        <v>621</v>
      </c>
      <c r="B622" s="2" t="s">
        <v>20</v>
      </c>
      <c r="C622" s="2" t="s">
        <v>15</v>
      </c>
      <c r="D622">
        <v>41</v>
      </c>
      <c r="E622" s="2" t="s">
        <v>16</v>
      </c>
      <c r="F622" s="2" t="s">
        <v>21</v>
      </c>
      <c r="G622">
        <v>33092</v>
      </c>
      <c r="H622" s="1">
        <v>45274</v>
      </c>
      <c r="I622">
        <v>17</v>
      </c>
      <c r="J622">
        <v>3</v>
      </c>
      <c r="K622">
        <v>3309</v>
      </c>
      <c r="L622">
        <v>1655</v>
      </c>
      <c r="M622">
        <v>34746</v>
      </c>
      <c r="N622">
        <v>1655</v>
      </c>
      <c r="O622">
        <v>38056</v>
      </c>
    </row>
    <row r="623" spans="1:15" x14ac:dyDescent="0.35">
      <c r="A623">
        <v>622</v>
      </c>
      <c r="B623" s="2" t="s">
        <v>18</v>
      </c>
      <c r="C623" s="2" t="s">
        <v>11</v>
      </c>
      <c r="D623">
        <v>28</v>
      </c>
      <c r="E623" s="2" t="s">
        <v>16</v>
      </c>
      <c r="F623" s="2" t="s">
        <v>13</v>
      </c>
      <c r="G623">
        <v>96984</v>
      </c>
      <c r="H623" s="1">
        <v>44698</v>
      </c>
      <c r="I623">
        <v>16</v>
      </c>
      <c r="J623">
        <v>4</v>
      </c>
      <c r="K623">
        <v>9698</v>
      </c>
      <c r="L623">
        <v>4849</v>
      </c>
      <c r="M623">
        <v>101833</v>
      </c>
      <c r="N623">
        <v>4849</v>
      </c>
      <c r="O623">
        <v>111531</v>
      </c>
    </row>
    <row r="624" spans="1:15" x14ac:dyDescent="0.35">
      <c r="A624">
        <v>623</v>
      </c>
      <c r="B624" s="2" t="s">
        <v>22</v>
      </c>
      <c r="C624" s="2" t="s">
        <v>11</v>
      </c>
      <c r="D624">
        <v>48</v>
      </c>
      <c r="E624" s="2" t="s">
        <v>12</v>
      </c>
      <c r="F624" s="2" t="s">
        <v>17</v>
      </c>
      <c r="G624">
        <v>96520</v>
      </c>
      <c r="H624" s="1">
        <v>45017</v>
      </c>
      <c r="I624">
        <v>8</v>
      </c>
      <c r="J624">
        <v>4</v>
      </c>
      <c r="K624">
        <v>9652</v>
      </c>
      <c r="L624">
        <v>4826</v>
      </c>
      <c r="M624">
        <v>101346</v>
      </c>
      <c r="N624">
        <v>4826</v>
      </c>
      <c r="O624">
        <v>110998</v>
      </c>
    </row>
    <row r="625" spans="1:15" x14ac:dyDescent="0.35">
      <c r="A625">
        <v>624</v>
      </c>
      <c r="B625" s="2" t="s">
        <v>20</v>
      </c>
      <c r="C625" s="2" t="s">
        <v>11</v>
      </c>
      <c r="D625">
        <v>39</v>
      </c>
      <c r="E625" s="2" t="s">
        <v>16</v>
      </c>
      <c r="F625" s="2" t="s">
        <v>19</v>
      </c>
      <c r="G625">
        <v>77028</v>
      </c>
      <c r="H625" s="1">
        <v>45376</v>
      </c>
      <c r="I625">
        <v>10</v>
      </c>
      <c r="J625">
        <v>4</v>
      </c>
      <c r="K625">
        <v>7703</v>
      </c>
      <c r="L625">
        <v>3851</v>
      </c>
      <c r="M625">
        <v>80880</v>
      </c>
      <c r="N625">
        <v>3851</v>
      </c>
      <c r="O625">
        <v>88582</v>
      </c>
    </row>
    <row r="626" spans="1:15" x14ac:dyDescent="0.35">
      <c r="A626">
        <v>625</v>
      </c>
      <c r="B626" s="2" t="s">
        <v>18</v>
      </c>
      <c r="C626" s="2" t="s">
        <v>15</v>
      </c>
      <c r="D626">
        <v>50</v>
      </c>
      <c r="E626" s="2" t="s">
        <v>24</v>
      </c>
      <c r="F626" s="2" t="s">
        <v>13</v>
      </c>
      <c r="G626">
        <v>23719</v>
      </c>
      <c r="H626" s="1">
        <v>44829</v>
      </c>
      <c r="I626">
        <v>2</v>
      </c>
      <c r="J626">
        <v>4</v>
      </c>
      <c r="K626">
        <v>2372</v>
      </c>
      <c r="L626">
        <v>1186</v>
      </c>
      <c r="M626">
        <v>24905</v>
      </c>
      <c r="N626">
        <v>0</v>
      </c>
      <c r="O626">
        <v>26091</v>
      </c>
    </row>
    <row r="627" spans="1:15" x14ac:dyDescent="0.35">
      <c r="A627">
        <v>626</v>
      </c>
      <c r="B627" s="2" t="s">
        <v>26</v>
      </c>
      <c r="C627" s="2" t="s">
        <v>15</v>
      </c>
      <c r="D627">
        <v>43</v>
      </c>
      <c r="E627" s="2" t="s">
        <v>24</v>
      </c>
      <c r="F627" s="2" t="s">
        <v>13</v>
      </c>
      <c r="G627">
        <v>37138</v>
      </c>
      <c r="H627" s="1">
        <v>44754</v>
      </c>
      <c r="I627">
        <v>12</v>
      </c>
      <c r="J627">
        <v>3</v>
      </c>
      <c r="K627">
        <v>3714</v>
      </c>
      <c r="L627">
        <v>1857</v>
      </c>
      <c r="M627">
        <v>38995</v>
      </c>
      <c r="N627">
        <v>1857</v>
      </c>
      <c r="O627">
        <v>42709</v>
      </c>
    </row>
    <row r="628" spans="1:15" x14ac:dyDescent="0.35">
      <c r="A628">
        <v>627</v>
      </c>
      <c r="B628" s="2" t="s">
        <v>27</v>
      </c>
      <c r="C628" s="2" t="s">
        <v>15</v>
      </c>
      <c r="D628">
        <v>56</v>
      </c>
      <c r="E628" s="2" t="s">
        <v>28</v>
      </c>
      <c r="F628" s="2" t="s">
        <v>17</v>
      </c>
      <c r="G628">
        <v>80721</v>
      </c>
      <c r="H628" s="1">
        <v>45073</v>
      </c>
      <c r="I628">
        <v>4</v>
      </c>
      <c r="J628">
        <v>4</v>
      </c>
      <c r="K628">
        <v>8072</v>
      </c>
      <c r="L628">
        <v>4036</v>
      </c>
      <c r="M628">
        <v>84757</v>
      </c>
      <c r="N628">
        <v>0</v>
      </c>
      <c r="O628">
        <v>88793</v>
      </c>
    </row>
    <row r="629" spans="1:15" x14ac:dyDescent="0.35">
      <c r="A629">
        <v>628</v>
      </c>
      <c r="B629" s="2" t="s">
        <v>22</v>
      </c>
      <c r="C629" s="2" t="s">
        <v>11</v>
      </c>
      <c r="D629">
        <v>51</v>
      </c>
      <c r="E629" s="2" t="s">
        <v>24</v>
      </c>
      <c r="F629" s="2" t="s">
        <v>19</v>
      </c>
      <c r="G629">
        <v>35991</v>
      </c>
      <c r="H629" s="1">
        <v>45395</v>
      </c>
      <c r="I629">
        <v>12</v>
      </c>
      <c r="J629">
        <v>3</v>
      </c>
      <c r="K629">
        <v>3599</v>
      </c>
      <c r="L629">
        <v>1800</v>
      </c>
      <c r="M629">
        <v>37790</v>
      </c>
      <c r="N629">
        <v>1800</v>
      </c>
      <c r="O629">
        <v>41390</v>
      </c>
    </row>
    <row r="630" spans="1:15" x14ac:dyDescent="0.35">
      <c r="A630">
        <v>629</v>
      </c>
      <c r="B630" s="2" t="s">
        <v>18</v>
      </c>
      <c r="C630" s="2" t="s">
        <v>15</v>
      </c>
      <c r="D630">
        <v>33</v>
      </c>
      <c r="E630" s="2" t="s">
        <v>29</v>
      </c>
      <c r="F630" s="2" t="s">
        <v>19</v>
      </c>
      <c r="G630">
        <v>98897</v>
      </c>
      <c r="H630" s="1">
        <v>45088</v>
      </c>
      <c r="I630">
        <v>12</v>
      </c>
      <c r="J630">
        <v>1</v>
      </c>
      <c r="K630">
        <v>9890</v>
      </c>
      <c r="L630">
        <v>4945</v>
      </c>
      <c r="M630">
        <v>103842</v>
      </c>
      <c r="N630">
        <v>4945</v>
      </c>
      <c r="O630">
        <v>113732</v>
      </c>
    </row>
    <row r="631" spans="1:15" x14ac:dyDescent="0.35">
      <c r="A631">
        <v>630</v>
      </c>
      <c r="B631" s="2" t="s">
        <v>23</v>
      </c>
      <c r="C631" s="2" t="s">
        <v>15</v>
      </c>
      <c r="D631">
        <v>59</v>
      </c>
      <c r="E631" s="2" t="s">
        <v>16</v>
      </c>
      <c r="F631" s="2" t="s">
        <v>17</v>
      </c>
      <c r="G631">
        <v>37815</v>
      </c>
      <c r="H631" s="1">
        <v>44623</v>
      </c>
      <c r="I631">
        <v>2</v>
      </c>
      <c r="J631">
        <v>2</v>
      </c>
      <c r="K631">
        <v>3782</v>
      </c>
      <c r="L631">
        <v>1891</v>
      </c>
      <c r="M631">
        <v>39706</v>
      </c>
      <c r="N631">
        <v>0</v>
      </c>
      <c r="O631">
        <v>41597</v>
      </c>
    </row>
    <row r="632" spans="1:15" x14ac:dyDescent="0.35">
      <c r="A632">
        <v>631</v>
      </c>
      <c r="B632" s="2" t="s">
        <v>23</v>
      </c>
      <c r="C632" s="2" t="s">
        <v>11</v>
      </c>
      <c r="D632">
        <v>22</v>
      </c>
      <c r="E632" s="2" t="s">
        <v>28</v>
      </c>
      <c r="F632" s="2" t="s">
        <v>17</v>
      </c>
      <c r="G632">
        <v>39542</v>
      </c>
      <c r="H632" s="1">
        <v>44730</v>
      </c>
      <c r="I632">
        <v>6</v>
      </c>
      <c r="J632">
        <v>4</v>
      </c>
      <c r="K632">
        <v>3954</v>
      </c>
      <c r="L632">
        <v>1977</v>
      </c>
      <c r="M632">
        <v>41519</v>
      </c>
      <c r="N632">
        <v>1977</v>
      </c>
      <c r="O632">
        <v>45473</v>
      </c>
    </row>
    <row r="633" spans="1:15" x14ac:dyDescent="0.35">
      <c r="A633">
        <v>632</v>
      </c>
      <c r="B633" s="2" t="s">
        <v>14</v>
      </c>
      <c r="C633" s="2" t="s">
        <v>11</v>
      </c>
      <c r="D633">
        <v>29</v>
      </c>
      <c r="E633" s="2" t="s">
        <v>28</v>
      </c>
      <c r="F633" s="2" t="s">
        <v>13</v>
      </c>
      <c r="G633">
        <v>40451</v>
      </c>
      <c r="H633" s="1">
        <v>44872</v>
      </c>
      <c r="I633">
        <v>7</v>
      </c>
      <c r="J633">
        <v>4</v>
      </c>
      <c r="K633">
        <v>4045</v>
      </c>
      <c r="L633">
        <v>2023</v>
      </c>
      <c r="M633">
        <v>42473</v>
      </c>
      <c r="N633">
        <v>2023</v>
      </c>
      <c r="O633">
        <v>46519</v>
      </c>
    </row>
    <row r="634" spans="1:15" x14ac:dyDescent="0.35">
      <c r="A634">
        <v>633</v>
      </c>
      <c r="B634" s="2" t="s">
        <v>18</v>
      </c>
      <c r="C634" s="2" t="s">
        <v>11</v>
      </c>
      <c r="D634">
        <v>34</v>
      </c>
      <c r="E634" s="2" t="s">
        <v>29</v>
      </c>
      <c r="F634" s="2" t="s">
        <v>19</v>
      </c>
      <c r="G634">
        <v>29624</v>
      </c>
      <c r="H634" s="1">
        <v>44999</v>
      </c>
      <c r="I634">
        <v>18</v>
      </c>
      <c r="J634">
        <v>5</v>
      </c>
      <c r="K634">
        <v>2962</v>
      </c>
      <c r="L634">
        <v>1481</v>
      </c>
      <c r="M634">
        <v>31105</v>
      </c>
      <c r="N634">
        <v>1481</v>
      </c>
      <c r="O634">
        <v>34067</v>
      </c>
    </row>
    <row r="635" spans="1:15" x14ac:dyDescent="0.35">
      <c r="A635">
        <v>634</v>
      </c>
      <c r="B635" s="2" t="s">
        <v>23</v>
      </c>
      <c r="C635" s="2" t="s">
        <v>11</v>
      </c>
      <c r="D635">
        <v>23</v>
      </c>
      <c r="E635" s="2" t="s">
        <v>24</v>
      </c>
      <c r="F635" s="2" t="s">
        <v>21</v>
      </c>
      <c r="G635">
        <v>31685</v>
      </c>
      <c r="H635" s="1">
        <v>44809</v>
      </c>
      <c r="I635">
        <v>17</v>
      </c>
      <c r="J635">
        <v>3</v>
      </c>
      <c r="K635">
        <v>3168</v>
      </c>
      <c r="L635">
        <v>1584</v>
      </c>
      <c r="M635">
        <v>33269</v>
      </c>
      <c r="N635">
        <v>1584</v>
      </c>
      <c r="O635">
        <v>36437</v>
      </c>
    </row>
    <row r="636" spans="1:15" x14ac:dyDescent="0.35">
      <c r="A636">
        <v>635</v>
      </c>
      <c r="B636" s="2" t="s">
        <v>18</v>
      </c>
      <c r="C636" s="2" t="s">
        <v>15</v>
      </c>
      <c r="D636">
        <v>55</v>
      </c>
      <c r="E636" s="2" t="s">
        <v>29</v>
      </c>
      <c r="F636" s="2" t="s">
        <v>19</v>
      </c>
      <c r="G636">
        <v>69724</v>
      </c>
      <c r="H636" s="1">
        <v>44593</v>
      </c>
      <c r="I636">
        <v>4</v>
      </c>
      <c r="J636">
        <v>4</v>
      </c>
      <c r="K636">
        <v>6972</v>
      </c>
      <c r="L636">
        <v>3486</v>
      </c>
      <c r="M636">
        <v>73210</v>
      </c>
      <c r="N636">
        <v>0</v>
      </c>
      <c r="O636">
        <v>76696</v>
      </c>
    </row>
    <row r="637" spans="1:15" x14ac:dyDescent="0.35">
      <c r="A637">
        <v>636</v>
      </c>
      <c r="B637" s="2" t="s">
        <v>23</v>
      </c>
      <c r="C637" s="2" t="s">
        <v>15</v>
      </c>
      <c r="D637">
        <v>49</v>
      </c>
      <c r="E637" s="2" t="s">
        <v>28</v>
      </c>
      <c r="F637" s="2" t="s">
        <v>17</v>
      </c>
      <c r="G637">
        <v>90764</v>
      </c>
      <c r="H637" s="1">
        <v>44754</v>
      </c>
      <c r="I637">
        <v>7</v>
      </c>
      <c r="J637">
        <v>5</v>
      </c>
      <c r="K637">
        <v>9076</v>
      </c>
      <c r="L637">
        <v>4538</v>
      </c>
      <c r="M637">
        <v>95302</v>
      </c>
      <c r="N637">
        <v>4538</v>
      </c>
      <c r="O637">
        <v>104378</v>
      </c>
    </row>
    <row r="638" spans="1:15" x14ac:dyDescent="0.35">
      <c r="A638">
        <v>637</v>
      </c>
      <c r="B638" s="2" t="s">
        <v>22</v>
      </c>
      <c r="C638" s="2" t="s">
        <v>11</v>
      </c>
      <c r="D638">
        <v>26</v>
      </c>
      <c r="E638" s="2" t="s">
        <v>24</v>
      </c>
      <c r="F638" s="2" t="s">
        <v>25</v>
      </c>
      <c r="G638">
        <v>25783</v>
      </c>
      <c r="H638" s="1">
        <v>44991</v>
      </c>
      <c r="I638">
        <v>2</v>
      </c>
      <c r="J638">
        <v>2</v>
      </c>
      <c r="K638">
        <v>2578</v>
      </c>
      <c r="L638">
        <v>1289</v>
      </c>
      <c r="M638">
        <v>27072</v>
      </c>
      <c r="N638">
        <v>0</v>
      </c>
      <c r="O638">
        <v>28361</v>
      </c>
    </row>
    <row r="639" spans="1:15" x14ac:dyDescent="0.35">
      <c r="A639">
        <v>638</v>
      </c>
      <c r="B639" s="2" t="s">
        <v>22</v>
      </c>
      <c r="C639" s="2" t="s">
        <v>15</v>
      </c>
      <c r="D639">
        <v>34</v>
      </c>
      <c r="E639" s="2" t="s">
        <v>28</v>
      </c>
      <c r="F639" s="2" t="s">
        <v>17</v>
      </c>
      <c r="G639">
        <v>35468</v>
      </c>
      <c r="H639" s="1">
        <v>44633</v>
      </c>
      <c r="I639">
        <v>12</v>
      </c>
      <c r="J639">
        <v>2</v>
      </c>
      <c r="K639">
        <v>3547</v>
      </c>
      <c r="L639">
        <v>1773</v>
      </c>
      <c r="M639">
        <v>37242</v>
      </c>
      <c r="N639">
        <v>1773</v>
      </c>
      <c r="O639">
        <v>40788</v>
      </c>
    </row>
    <row r="640" spans="1:15" x14ac:dyDescent="0.35">
      <c r="A640">
        <v>639</v>
      </c>
      <c r="B640" s="2" t="s">
        <v>10</v>
      </c>
      <c r="C640" s="2" t="s">
        <v>11</v>
      </c>
      <c r="D640">
        <v>51</v>
      </c>
      <c r="E640" s="2" t="s">
        <v>24</v>
      </c>
      <c r="F640" s="2" t="s">
        <v>21</v>
      </c>
      <c r="G640">
        <v>40686</v>
      </c>
      <c r="H640" s="1">
        <v>45346</v>
      </c>
      <c r="I640">
        <v>16</v>
      </c>
      <c r="J640">
        <v>5</v>
      </c>
      <c r="K640">
        <v>4069</v>
      </c>
      <c r="L640">
        <v>2034</v>
      </c>
      <c r="M640">
        <v>42721</v>
      </c>
      <c r="N640">
        <v>2034</v>
      </c>
      <c r="O640">
        <v>46789</v>
      </c>
    </row>
    <row r="641" spans="1:15" x14ac:dyDescent="0.35">
      <c r="A641">
        <v>640</v>
      </c>
      <c r="B641" s="2" t="s">
        <v>31</v>
      </c>
      <c r="C641" s="2" t="s">
        <v>15</v>
      </c>
      <c r="D641">
        <v>34</v>
      </c>
      <c r="E641" s="2" t="s">
        <v>12</v>
      </c>
      <c r="F641" s="2" t="s">
        <v>17</v>
      </c>
      <c r="G641">
        <v>35517</v>
      </c>
      <c r="H641" s="1">
        <v>45524</v>
      </c>
      <c r="I641">
        <v>3</v>
      </c>
      <c r="J641">
        <v>2</v>
      </c>
      <c r="K641">
        <v>3552</v>
      </c>
      <c r="L641">
        <v>1776</v>
      </c>
      <c r="M641">
        <v>37293</v>
      </c>
      <c r="N641">
        <v>0</v>
      </c>
      <c r="O641">
        <v>39069</v>
      </c>
    </row>
    <row r="642" spans="1:15" x14ac:dyDescent="0.35">
      <c r="A642">
        <v>641</v>
      </c>
      <c r="B642" s="2" t="s">
        <v>30</v>
      </c>
      <c r="C642" s="2" t="s">
        <v>15</v>
      </c>
      <c r="D642">
        <v>32</v>
      </c>
      <c r="E642" s="2" t="s">
        <v>16</v>
      </c>
      <c r="F642" s="2" t="s">
        <v>13</v>
      </c>
      <c r="G642">
        <v>44223</v>
      </c>
      <c r="H642" s="1">
        <v>45543</v>
      </c>
      <c r="I642">
        <v>10</v>
      </c>
      <c r="J642">
        <v>2</v>
      </c>
      <c r="K642">
        <v>4422</v>
      </c>
      <c r="L642">
        <v>2211</v>
      </c>
      <c r="M642">
        <v>46434</v>
      </c>
      <c r="N642">
        <v>2211</v>
      </c>
      <c r="O642">
        <v>50856</v>
      </c>
    </row>
    <row r="643" spans="1:15" x14ac:dyDescent="0.35">
      <c r="A643">
        <v>642</v>
      </c>
      <c r="B643" s="2" t="s">
        <v>27</v>
      </c>
      <c r="C643" s="2" t="s">
        <v>11</v>
      </c>
      <c r="D643">
        <v>24</v>
      </c>
      <c r="E643" s="2" t="s">
        <v>12</v>
      </c>
      <c r="F643" s="2" t="s">
        <v>17</v>
      </c>
      <c r="G643">
        <v>60659</v>
      </c>
      <c r="H643" s="1">
        <v>45126</v>
      </c>
      <c r="I643">
        <v>14</v>
      </c>
      <c r="J643">
        <v>4</v>
      </c>
      <c r="K643">
        <v>6066</v>
      </c>
      <c r="L643">
        <v>3033</v>
      </c>
      <c r="M643">
        <v>63692</v>
      </c>
      <c r="N643">
        <v>3033</v>
      </c>
      <c r="O643">
        <v>69758</v>
      </c>
    </row>
    <row r="644" spans="1:15" x14ac:dyDescent="0.35">
      <c r="A644">
        <v>643</v>
      </c>
      <c r="B644" s="2" t="s">
        <v>14</v>
      </c>
      <c r="C644" s="2" t="s">
        <v>11</v>
      </c>
      <c r="D644">
        <v>25</v>
      </c>
      <c r="E644" s="2" t="s">
        <v>29</v>
      </c>
      <c r="F644" s="2" t="s">
        <v>13</v>
      </c>
      <c r="G644">
        <v>42237</v>
      </c>
      <c r="H644" s="1">
        <v>44612</v>
      </c>
      <c r="I644">
        <v>16</v>
      </c>
      <c r="J644">
        <v>2</v>
      </c>
      <c r="K644">
        <v>4224</v>
      </c>
      <c r="L644">
        <v>2112</v>
      </c>
      <c r="M644">
        <v>44349</v>
      </c>
      <c r="N644">
        <v>2112</v>
      </c>
      <c r="O644">
        <v>48573</v>
      </c>
    </row>
    <row r="645" spans="1:15" x14ac:dyDescent="0.35">
      <c r="A645">
        <v>644</v>
      </c>
      <c r="B645" s="2" t="s">
        <v>14</v>
      </c>
      <c r="C645" s="2" t="s">
        <v>11</v>
      </c>
      <c r="D645">
        <v>28</v>
      </c>
      <c r="E645" s="2" t="s">
        <v>29</v>
      </c>
      <c r="F645" s="2" t="s">
        <v>19</v>
      </c>
      <c r="G645">
        <v>99594</v>
      </c>
      <c r="H645" s="1">
        <v>44638</v>
      </c>
      <c r="I645">
        <v>9</v>
      </c>
      <c r="J645">
        <v>4</v>
      </c>
      <c r="K645">
        <v>9959</v>
      </c>
      <c r="L645">
        <v>4980</v>
      </c>
      <c r="M645">
        <v>104573</v>
      </c>
      <c r="N645">
        <v>4980</v>
      </c>
      <c r="O645">
        <v>114533</v>
      </c>
    </row>
    <row r="646" spans="1:15" x14ac:dyDescent="0.35">
      <c r="A646">
        <v>645</v>
      </c>
      <c r="B646" s="2" t="s">
        <v>22</v>
      </c>
      <c r="C646" s="2" t="s">
        <v>11</v>
      </c>
      <c r="D646">
        <v>58</v>
      </c>
      <c r="E646" s="2" t="s">
        <v>16</v>
      </c>
      <c r="F646" s="2" t="s">
        <v>13</v>
      </c>
      <c r="G646">
        <v>69359</v>
      </c>
      <c r="H646" s="1">
        <v>45257</v>
      </c>
      <c r="I646">
        <v>17</v>
      </c>
      <c r="J646">
        <v>5</v>
      </c>
      <c r="K646">
        <v>6936</v>
      </c>
      <c r="L646">
        <v>3468</v>
      </c>
      <c r="M646">
        <v>72827</v>
      </c>
      <c r="N646">
        <v>3468</v>
      </c>
      <c r="O646">
        <v>79763</v>
      </c>
    </row>
    <row r="647" spans="1:15" x14ac:dyDescent="0.35">
      <c r="A647">
        <v>646</v>
      </c>
      <c r="B647" s="2" t="s">
        <v>14</v>
      </c>
      <c r="C647" s="2" t="s">
        <v>11</v>
      </c>
      <c r="D647">
        <v>32</v>
      </c>
      <c r="E647" s="2" t="s">
        <v>12</v>
      </c>
      <c r="F647" s="2" t="s">
        <v>25</v>
      </c>
      <c r="G647">
        <v>73137</v>
      </c>
      <c r="H647" s="1">
        <v>44622</v>
      </c>
      <c r="I647">
        <v>6</v>
      </c>
      <c r="J647">
        <v>4</v>
      </c>
      <c r="K647">
        <v>7314</v>
      </c>
      <c r="L647">
        <v>3657</v>
      </c>
      <c r="M647">
        <v>76794</v>
      </c>
      <c r="N647">
        <v>3657</v>
      </c>
      <c r="O647">
        <v>84108</v>
      </c>
    </row>
    <row r="648" spans="1:15" x14ac:dyDescent="0.35">
      <c r="A648">
        <v>647</v>
      </c>
      <c r="B648" s="2" t="s">
        <v>23</v>
      </c>
      <c r="C648" s="2" t="s">
        <v>15</v>
      </c>
      <c r="D648">
        <v>33</v>
      </c>
      <c r="E648" s="2" t="s">
        <v>28</v>
      </c>
      <c r="F648" s="2" t="s">
        <v>13</v>
      </c>
      <c r="G648">
        <v>61990</v>
      </c>
      <c r="H648" s="1">
        <v>45296</v>
      </c>
      <c r="I648">
        <v>15</v>
      </c>
      <c r="J648">
        <v>2</v>
      </c>
      <c r="K648">
        <v>6199</v>
      </c>
      <c r="L648">
        <v>3100</v>
      </c>
      <c r="M648">
        <v>65089</v>
      </c>
      <c r="N648">
        <v>3100</v>
      </c>
      <c r="O648">
        <v>71289</v>
      </c>
    </row>
    <row r="649" spans="1:15" x14ac:dyDescent="0.35">
      <c r="A649">
        <v>648</v>
      </c>
      <c r="B649" s="2" t="s">
        <v>23</v>
      </c>
      <c r="C649" s="2" t="s">
        <v>11</v>
      </c>
      <c r="D649">
        <v>58</v>
      </c>
      <c r="E649" s="2" t="s">
        <v>29</v>
      </c>
      <c r="F649" s="2" t="s">
        <v>19</v>
      </c>
      <c r="G649">
        <v>61384</v>
      </c>
      <c r="H649" s="1">
        <v>44977</v>
      </c>
      <c r="I649">
        <v>9</v>
      </c>
      <c r="J649">
        <v>1</v>
      </c>
      <c r="K649">
        <v>6138</v>
      </c>
      <c r="L649">
        <v>3069</v>
      </c>
      <c r="M649">
        <v>64453</v>
      </c>
      <c r="N649">
        <v>3069</v>
      </c>
      <c r="O649">
        <v>70591</v>
      </c>
    </row>
    <row r="650" spans="1:15" x14ac:dyDescent="0.35">
      <c r="A650">
        <v>649</v>
      </c>
      <c r="B650" s="2" t="s">
        <v>23</v>
      </c>
      <c r="C650" s="2" t="s">
        <v>15</v>
      </c>
      <c r="D650">
        <v>51</v>
      </c>
      <c r="E650" s="2" t="s">
        <v>24</v>
      </c>
      <c r="F650" s="2" t="s">
        <v>17</v>
      </c>
      <c r="G650">
        <v>22694</v>
      </c>
      <c r="H650" s="1">
        <v>45025</v>
      </c>
      <c r="I650">
        <v>4</v>
      </c>
      <c r="J650">
        <v>1</v>
      </c>
      <c r="K650">
        <v>2269</v>
      </c>
      <c r="L650">
        <v>1135</v>
      </c>
      <c r="M650">
        <v>23828</v>
      </c>
      <c r="N650">
        <v>0</v>
      </c>
      <c r="O650">
        <v>24963</v>
      </c>
    </row>
    <row r="651" spans="1:15" x14ac:dyDescent="0.35">
      <c r="A651">
        <v>650</v>
      </c>
      <c r="B651" s="2" t="s">
        <v>23</v>
      </c>
      <c r="C651" s="2" t="s">
        <v>11</v>
      </c>
      <c r="D651">
        <v>35</v>
      </c>
      <c r="E651" s="2" t="s">
        <v>29</v>
      </c>
      <c r="F651" s="2" t="s">
        <v>19</v>
      </c>
      <c r="G651">
        <v>86798</v>
      </c>
      <c r="H651" s="1">
        <v>45449</v>
      </c>
      <c r="I651">
        <v>13</v>
      </c>
      <c r="J651">
        <v>4</v>
      </c>
      <c r="K651">
        <v>8680</v>
      </c>
      <c r="L651">
        <v>4340</v>
      </c>
      <c r="M651">
        <v>91138</v>
      </c>
      <c r="N651">
        <v>4340</v>
      </c>
      <c r="O651">
        <v>99818</v>
      </c>
    </row>
    <row r="652" spans="1:15" x14ac:dyDescent="0.35">
      <c r="A652">
        <v>651</v>
      </c>
      <c r="B652" s="2" t="s">
        <v>23</v>
      </c>
      <c r="C652" s="2" t="s">
        <v>15</v>
      </c>
      <c r="D652">
        <v>34</v>
      </c>
      <c r="E652" s="2" t="s">
        <v>12</v>
      </c>
      <c r="F652" s="2" t="s">
        <v>21</v>
      </c>
      <c r="G652">
        <v>39475</v>
      </c>
      <c r="H652" s="1">
        <v>45439</v>
      </c>
      <c r="I652">
        <v>9</v>
      </c>
      <c r="J652">
        <v>1</v>
      </c>
      <c r="K652">
        <v>3948</v>
      </c>
      <c r="L652">
        <v>1974</v>
      </c>
      <c r="M652">
        <v>41449</v>
      </c>
      <c r="N652">
        <v>1974</v>
      </c>
      <c r="O652">
        <v>45397</v>
      </c>
    </row>
    <row r="653" spans="1:15" x14ac:dyDescent="0.35">
      <c r="A653">
        <v>652</v>
      </c>
      <c r="B653" s="2" t="s">
        <v>23</v>
      </c>
      <c r="C653" s="2" t="s">
        <v>15</v>
      </c>
      <c r="D653">
        <v>56</v>
      </c>
      <c r="E653" s="2" t="s">
        <v>29</v>
      </c>
      <c r="F653" s="2" t="s">
        <v>21</v>
      </c>
      <c r="G653">
        <v>92280</v>
      </c>
      <c r="H653" s="1">
        <v>45390</v>
      </c>
      <c r="I653">
        <v>2</v>
      </c>
      <c r="J653">
        <v>1</v>
      </c>
      <c r="K653">
        <v>9228</v>
      </c>
      <c r="L653">
        <v>4614</v>
      </c>
      <c r="M653">
        <v>96894</v>
      </c>
      <c r="N653">
        <v>0</v>
      </c>
      <c r="O653">
        <v>101508</v>
      </c>
    </row>
    <row r="654" spans="1:15" x14ac:dyDescent="0.35">
      <c r="A654">
        <v>653</v>
      </c>
      <c r="B654" s="2" t="s">
        <v>22</v>
      </c>
      <c r="C654" s="2" t="s">
        <v>15</v>
      </c>
      <c r="D654">
        <v>40</v>
      </c>
      <c r="E654" s="2" t="s">
        <v>29</v>
      </c>
      <c r="F654" s="2" t="s">
        <v>25</v>
      </c>
      <c r="G654">
        <v>70311</v>
      </c>
      <c r="H654" s="1">
        <v>45057</v>
      </c>
      <c r="I654">
        <v>14</v>
      </c>
      <c r="J654">
        <v>4</v>
      </c>
      <c r="K654">
        <v>7031</v>
      </c>
      <c r="L654">
        <v>3516</v>
      </c>
      <c r="M654">
        <v>73826</v>
      </c>
      <c r="N654">
        <v>3516</v>
      </c>
      <c r="O654">
        <v>80858</v>
      </c>
    </row>
    <row r="655" spans="1:15" x14ac:dyDescent="0.35">
      <c r="A655">
        <v>654</v>
      </c>
      <c r="B655" s="2" t="s">
        <v>18</v>
      </c>
      <c r="C655" s="2" t="s">
        <v>15</v>
      </c>
      <c r="D655">
        <v>46</v>
      </c>
      <c r="E655" s="2" t="s">
        <v>28</v>
      </c>
      <c r="F655" s="2" t="s">
        <v>21</v>
      </c>
      <c r="G655">
        <v>70802</v>
      </c>
      <c r="H655" s="1">
        <v>44697</v>
      </c>
      <c r="I655">
        <v>5</v>
      </c>
      <c r="J655">
        <v>5</v>
      </c>
      <c r="K655">
        <v>7080</v>
      </c>
      <c r="L655">
        <v>3540</v>
      </c>
      <c r="M655">
        <v>74342</v>
      </c>
      <c r="N655">
        <v>0</v>
      </c>
      <c r="O655">
        <v>77882</v>
      </c>
    </row>
    <row r="656" spans="1:15" x14ac:dyDescent="0.35">
      <c r="A656">
        <v>655</v>
      </c>
      <c r="B656" s="2" t="s">
        <v>26</v>
      </c>
      <c r="C656" s="2" t="s">
        <v>15</v>
      </c>
      <c r="D656">
        <v>42</v>
      </c>
      <c r="E656" s="2" t="s">
        <v>12</v>
      </c>
      <c r="F656" s="2" t="s">
        <v>25</v>
      </c>
      <c r="G656">
        <v>93402</v>
      </c>
      <c r="H656" s="1">
        <v>44687</v>
      </c>
      <c r="I656">
        <v>2</v>
      </c>
      <c r="J656">
        <v>3</v>
      </c>
      <c r="K656">
        <v>9340</v>
      </c>
      <c r="L656">
        <v>4670</v>
      </c>
      <c r="M656">
        <v>98072</v>
      </c>
      <c r="N656">
        <v>0</v>
      </c>
      <c r="O656">
        <v>102742</v>
      </c>
    </row>
    <row r="657" spans="1:15" x14ac:dyDescent="0.35">
      <c r="A657">
        <v>656</v>
      </c>
      <c r="B657" s="2" t="s">
        <v>23</v>
      </c>
      <c r="C657" s="2" t="s">
        <v>11</v>
      </c>
      <c r="D657">
        <v>37</v>
      </c>
      <c r="E657" s="2" t="s">
        <v>28</v>
      </c>
      <c r="F657" s="2" t="s">
        <v>21</v>
      </c>
      <c r="G657">
        <v>54541</v>
      </c>
      <c r="H657" s="1">
        <v>45534</v>
      </c>
      <c r="I657">
        <v>11</v>
      </c>
      <c r="J657">
        <v>4</v>
      </c>
      <c r="K657">
        <v>5454</v>
      </c>
      <c r="L657">
        <v>2727</v>
      </c>
      <c r="M657">
        <v>57268</v>
      </c>
      <c r="N657">
        <v>2727</v>
      </c>
      <c r="O657">
        <v>62722</v>
      </c>
    </row>
    <row r="658" spans="1:15" x14ac:dyDescent="0.35">
      <c r="A658">
        <v>657</v>
      </c>
      <c r="B658" s="2" t="s">
        <v>18</v>
      </c>
      <c r="C658" s="2" t="s">
        <v>15</v>
      </c>
      <c r="D658">
        <v>32</v>
      </c>
      <c r="E658" s="2" t="s">
        <v>28</v>
      </c>
      <c r="F658" s="2" t="s">
        <v>25</v>
      </c>
      <c r="G658">
        <v>80333</v>
      </c>
      <c r="H658" s="1">
        <v>44865</v>
      </c>
      <c r="I658">
        <v>18</v>
      </c>
      <c r="J658">
        <v>4</v>
      </c>
      <c r="K658">
        <v>8033</v>
      </c>
      <c r="L658">
        <v>4017</v>
      </c>
      <c r="M658">
        <v>84349</v>
      </c>
      <c r="N658">
        <v>4017</v>
      </c>
      <c r="O658">
        <v>92383</v>
      </c>
    </row>
    <row r="659" spans="1:15" x14ac:dyDescent="0.35">
      <c r="A659">
        <v>658</v>
      </c>
      <c r="B659" s="2" t="s">
        <v>26</v>
      </c>
      <c r="C659" s="2" t="s">
        <v>15</v>
      </c>
      <c r="D659">
        <v>21</v>
      </c>
      <c r="E659" s="2" t="s">
        <v>24</v>
      </c>
      <c r="F659" s="2" t="s">
        <v>25</v>
      </c>
      <c r="G659">
        <v>68332</v>
      </c>
      <c r="H659" s="1">
        <v>45205</v>
      </c>
      <c r="I659">
        <v>20</v>
      </c>
      <c r="J659">
        <v>5</v>
      </c>
      <c r="K659">
        <v>6833</v>
      </c>
      <c r="L659">
        <v>3417</v>
      </c>
      <c r="M659">
        <v>71748</v>
      </c>
      <c r="N659">
        <v>3417</v>
      </c>
      <c r="O659">
        <v>78582</v>
      </c>
    </row>
    <row r="660" spans="1:15" x14ac:dyDescent="0.35">
      <c r="A660">
        <v>659</v>
      </c>
      <c r="B660" s="2" t="s">
        <v>18</v>
      </c>
      <c r="C660" s="2" t="s">
        <v>11</v>
      </c>
      <c r="D660">
        <v>33</v>
      </c>
      <c r="E660" s="2" t="s">
        <v>28</v>
      </c>
      <c r="F660" s="2" t="s">
        <v>25</v>
      </c>
      <c r="G660">
        <v>84489</v>
      </c>
      <c r="H660" s="1">
        <v>45342</v>
      </c>
      <c r="I660">
        <v>12</v>
      </c>
      <c r="J660">
        <v>4</v>
      </c>
      <c r="K660">
        <v>8449</v>
      </c>
      <c r="L660">
        <v>4224</v>
      </c>
      <c r="M660">
        <v>88714</v>
      </c>
      <c r="N660">
        <v>4224</v>
      </c>
      <c r="O660">
        <v>97162</v>
      </c>
    </row>
    <row r="661" spans="1:15" x14ac:dyDescent="0.35">
      <c r="A661">
        <v>660</v>
      </c>
      <c r="B661" s="2" t="s">
        <v>20</v>
      </c>
      <c r="C661" s="2" t="s">
        <v>11</v>
      </c>
      <c r="D661">
        <v>36</v>
      </c>
      <c r="E661" s="2" t="s">
        <v>29</v>
      </c>
      <c r="F661" s="2" t="s">
        <v>21</v>
      </c>
      <c r="G661">
        <v>93314</v>
      </c>
      <c r="H661" s="1">
        <v>44669</v>
      </c>
      <c r="I661">
        <v>10</v>
      </c>
      <c r="J661">
        <v>1</v>
      </c>
      <c r="K661">
        <v>9331</v>
      </c>
      <c r="L661">
        <v>4666</v>
      </c>
      <c r="M661">
        <v>97979</v>
      </c>
      <c r="N661">
        <v>4666</v>
      </c>
      <c r="O661">
        <v>107311</v>
      </c>
    </row>
    <row r="662" spans="1:15" x14ac:dyDescent="0.35">
      <c r="A662">
        <v>661</v>
      </c>
      <c r="B662" s="2" t="s">
        <v>27</v>
      </c>
      <c r="C662" s="2" t="s">
        <v>15</v>
      </c>
      <c r="D662">
        <v>55</v>
      </c>
      <c r="E662" s="2" t="s">
        <v>16</v>
      </c>
      <c r="F662" s="2" t="s">
        <v>17</v>
      </c>
      <c r="G662">
        <v>70510</v>
      </c>
      <c r="H662" s="1">
        <v>45388</v>
      </c>
      <c r="I662">
        <v>15</v>
      </c>
      <c r="J662">
        <v>2</v>
      </c>
      <c r="K662">
        <v>7051</v>
      </c>
      <c r="L662">
        <v>3526</v>
      </c>
      <c r="M662">
        <v>74035</v>
      </c>
      <c r="N662">
        <v>3526</v>
      </c>
      <c r="O662">
        <v>81087</v>
      </c>
    </row>
    <row r="663" spans="1:15" x14ac:dyDescent="0.35">
      <c r="A663">
        <v>662</v>
      </c>
      <c r="B663" s="2" t="s">
        <v>23</v>
      </c>
      <c r="C663" s="2" t="s">
        <v>11</v>
      </c>
      <c r="D663">
        <v>41</v>
      </c>
      <c r="E663" s="2" t="s">
        <v>29</v>
      </c>
      <c r="F663" s="2" t="s">
        <v>19</v>
      </c>
      <c r="G663">
        <v>39855</v>
      </c>
      <c r="H663" s="1">
        <v>45168</v>
      </c>
      <c r="I663">
        <v>3</v>
      </c>
      <c r="J663">
        <v>1</v>
      </c>
      <c r="K663">
        <v>3986</v>
      </c>
      <c r="L663">
        <v>1993</v>
      </c>
      <c r="M663">
        <v>41848</v>
      </c>
      <c r="N663">
        <v>0</v>
      </c>
      <c r="O663">
        <v>43841</v>
      </c>
    </row>
    <row r="664" spans="1:15" x14ac:dyDescent="0.35">
      <c r="A664">
        <v>663</v>
      </c>
      <c r="B664" s="2" t="s">
        <v>30</v>
      </c>
      <c r="C664" s="2" t="s">
        <v>11</v>
      </c>
      <c r="D664">
        <v>53</v>
      </c>
      <c r="E664" s="2" t="s">
        <v>28</v>
      </c>
      <c r="F664" s="2" t="s">
        <v>17</v>
      </c>
      <c r="G664">
        <v>25260</v>
      </c>
      <c r="H664" s="1">
        <v>44853</v>
      </c>
      <c r="I664">
        <v>12</v>
      </c>
      <c r="J664">
        <v>3</v>
      </c>
      <c r="K664">
        <v>2526</v>
      </c>
      <c r="L664">
        <v>1263</v>
      </c>
      <c r="M664">
        <v>26523</v>
      </c>
      <c r="N664">
        <v>1263</v>
      </c>
      <c r="O664">
        <v>29049</v>
      </c>
    </row>
    <row r="665" spans="1:15" x14ac:dyDescent="0.35">
      <c r="A665">
        <v>664</v>
      </c>
      <c r="B665" s="2" t="s">
        <v>27</v>
      </c>
      <c r="C665" s="2" t="s">
        <v>11</v>
      </c>
      <c r="D665">
        <v>25</v>
      </c>
      <c r="E665" s="2" t="s">
        <v>12</v>
      </c>
      <c r="F665" s="2" t="s">
        <v>21</v>
      </c>
      <c r="G665">
        <v>72945</v>
      </c>
      <c r="H665" s="1">
        <v>44895</v>
      </c>
      <c r="I665">
        <v>5</v>
      </c>
      <c r="J665">
        <v>4</v>
      </c>
      <c r="K665">
        <v>7294</v>
      </c>
      <c r="L665">
        <v>3647</v>
      </c>
      <c r="M665">
        <v>76592</v>
      </c>
      <c r="N665">
        <v>0</v>
      </c>
      <c r="O665">
        <v>80239</v>
      </c>
    </row>
    <row r="666" spans="1:15" x14ac:dyDescent="0.35">
      <c r="A666">
        <v>665</v>
      </c>
      <c r="B666" s="2" t="s">
        <v>31</v>
      </c>
      <c r="C666" s="2" t="s">
        <v>11</v>
      </c>
      <c r="D666">
        <v>33</v>
      </c>
      <c r="E666" s="2" t="s">
        <v>28</v>
      </c>
      <c r="F666" s="2" t="s">
        <v>17</v>
      </c>
      <c r="G666">
        <v>61240</v>
      </c>
      <c r="H666" s="1">
        <v>45001</v>
      </c>
      <c r="I666">
        <v>9</v>
      </c>
      <c r="J666">
        <v>1</v>
      </c>
      <c r="K666">
        <v>6124</v>
      </c>
      <c r="L666">
        <v>3062</v>
      </c>
      <c r="M666">
        <v>64302</v>
      </c>
      <c r="N666">
        <v>3062</v>
      </c>
      <c r="O666">
        <v>70426</v>
      </c>
    </row>
    <row r="667" spans="1:15" x14ac:dyDescent="0.35">
      <c r="A667">
        <v>666</v>
      </c>
      <c r="B667" s="2" t="s">
        <v>26</v>
      </c>
      <c r="C667" s="2" t="s">
        <v>15</v>
      </c>
      <c r="D667">
        <v>37</v>
      </c>
      <c r="E667" s="2" t="s">
        <v>28</v>
      </c>
      <c r="F667" s="2" t="s">
        <v>13</v>
      </c>
      <c r="G667">
        <v>94845</v>
      </c>
      <c r="H667" s="1">
        <v>45065</v>
      </c>
      <c r="I667">
        <v>19</v>
      </c>
      <c r="J667">
        <v>1</v>
      </c>
      <c r="K667">
        <v>9484</v>
      </c>
      <c r="L667">
        <v>4742</v>
      </c>
      <c r="M667">
        <v>99587</v>
      </c>
      <c r="N667">
        <v>4742</v>
      </c>
      <c r="O667">
        <v>109071</v>
      </c>
    </row>
    <row r="668" spans="1:15" x14ac:dyDescent="0.35">
      <c r="A668">
        <v>667</v>
      </c>
      <c r="B668" s="2" t="s">
        <v>27</v>
      </c>
      <c r="C668" s="2" t="s">
        <v>11</v>
      </c>
      <c r="D668">
        <v>46</v>
      </c>
      <c r="E668" s="2" t="s">
        <v>12</v>
      </c>
      <c r="F668" s="2" t="s">
        <v>19</v>
      </c>
      <c r="G668">
        <v>47575</v>
      </c>
      <c r="H668" s="1">
        <v>44608</v>
      </c>
      <c r="I668">
        <v>16</v>
      </c>
      <c r="J668">
        <v>3</v>
      </c>
      <c r="K668">
        <v>4758</v>
      </c>
      <c r="L668">
        <v>2379</v>
      </c>
      <c r="M668">
        <v>49954</v>
      </c>
      <c r="N668">
        <v>2379</v>
      </c>
      <c r="O668">
        <v>54712</v>
      </c>
    </row>
    <row r="669" spans="1:15" x14ac:dyDescent="0.35">
      <c r="A669">
        <v>668</v>
      </c>
      <c r="B669" s="2" t="s">
        <v>30</v>
      </c>
      <c r="C669" s="2" t="s">
        <v>11</v>
      </c>
      <c r="D669">
        <v>26</v>
      </c>
      <c r="E669" s="2" t="s">
        <v>29</v>
      </c>
      <c r="F669" s="2" t="s">
        <v>19</v>
      </c>
      <c r="G669">
        <v>27955</v>
      </c>
      <c r="H669" s="1">
        <v>45120</v>
      </c>
      <c r="I669">
        <v>8</v>
      </c>
      <c r="J669">
        <v>2</v>
      </c>
      <c r="K669">
        <v>2796</v>
      </c>
      <c r="L669">
        <v>1398</v>
      </c>
      <c r="M669">
        <v>29353</v>
      </c>
      <c r="N669">
        <v>1398</v>
      </c>
      <c r="O669">
        <v>32149</v>
      </c>
    </row>
    <row r="670" spans="1:15" x14ac:dyDescent="0.35">
      <c r="A670">
        <v>669</v>
      </c>
      <c r="B670" s="2" t="s">
        <v>31</v>
      </c>
      <c r="C670" s="2" t="s">
        <v>11</v>
      </c>
      <c r="D670">
        <v>28</v>
      </c>
      <c r="E670" s="2" t="s">
        <v>24</v>
      </c>
      <c r="F670" s="2" t="s">
        <v>25</v>
      </c>
      <c r="G670">
        <v>66912</v>
      </c>
      <c r="H670" s="1">
        <v>44918</v>
      </c>
      <c r="I670">
        <v>15</v>
      </c>
      <c r="J670">
        <v>2</v>
      </c>
      <c r="K670">
        <v>6691</v>
      </c>
      <c r="L670">
        <v>3346</v>
      </c>
      <c r="M670">
        <v>70257</v>
      </c>
      <c r="N670">
        <v>3346</v>
      </c>
      <c r="O670">
        <v>76949</v>
      </c>
    </row>
    <row r="671" spans="1:15" x14ac:dyDescent="0.35">
      <c r="A671">
        <v>670</v>
      </c>
      <c r="B671" s="2" t="s">
        <v>31</v>
      </c>
      <c r="C671" s="2" t="s">
        <v>11</v>
      </c>
      <c r="D671">
        <v>28</v>
      </c>
      <c r="E671" s="2" t="s">
        <v>12</v>
      </c>
      <c r="F671" s="2" t="s">
        <v>13</v>
      </c>
      <c r="G671">
        <v>97638</v>
      </c>
      <c r="H671" s="1">
        <v>44662</v>
      </c>
      <c r="I671">
        <v>9</v>
      </c>
      <c r="J671">
        <v>3</v>
      </c>
      <c r="K671">
        <v>9764</v>
      </c>
      <c r="L671">
        <v>4882</v>
      </c>
      <c r="M671">
        <v>102520</v>
      </c>
      <c r="N671">
        <v>4882</v>
      </c>
      <c r="O671">
        <v>112284</v>
      </c>
    </row>
    <row r="672" spans="1:15" x14ac:dyDescent="0.35">
      <c r="A672">
        <v>671</v>
      </c>
      <c r="B672" s="2" t="s">
        <v>10</v>
      </c>
      <c r="C672" s="2" t="s">
        <v>11</v>
      </c>
      <c r="D672">
        <v>28</v>
      </c>
      <c r="E672" s="2" t="s">
        <v>16</v>
      </c>
      <c r="F672" s="2" t="s">
        <v>21</v>
      </c>
      <c r="G672">
        <v>81618</v>
      </c>
      <c r="H672" s="1">
        <v>44991</v>
      </c>
      <c r="I672">
        <v>8</v>
      </c>
      <c r="J672">
        <v>4</v>
      </c>
      <c r="K672">
        <v>8162</v>
      </c>
      <c r="L672">
        <v>4081</v>
      </c>
      <c r="M672">
        <v>85699</v>
      </c>
      <c r="N672">
        <v>4081</v>
      </c>
      <c r="O672">
        <v>93861</v>
      </c>
    </row>
    <row r="673" spans="1:15" x14ac:dyDescent="0.35">
      <c r="A673">
        <v>672</v>
      </c>
      <c r="B673" s="2" t="s">
        <v>22</v>
      </c>
      <c r="C673" s="2" t="s">
        <v>15</v>
      </c>
      <c r="D673">
        <v>31</v>
      </c>
      <c r="E673" s="2" t="s">
        <v>24</v>
      </c>
      <c r="F673" s="2" t="s">
        <v>13</v>
      </c>
      <c r="G673">
        <v>74638</v>
      </c>
      <c r="H673" s="1">
        <v>44705</v>
      </c>
      <c r="I673">
        <v>16</v>
      </c>
      <c r="J673">
        <v>2</v>
      </c>
      <c r="K673">
        <v>7464</v>
      </c>
      <c r="L673">
        <v>3732</v>
      </c>
      <c r="M673">
        <v>78370</v>
      </c>
      <c r="N673">
        <v>3732</v>
      </c>
      <c r="O673">
        <v>85834</v>
      </c>
    </row>
    <row r="674" spans="1:15" x14ac:dyDescent="0.35">
      <c r="A674">
        <v>673</v>
      </c>
      <c r="B674" s="2" t="s">
        <v>23</v>
      </c>
      <c r="C674" s="2" t="s">
        <v>11</v>
      </c>
      <c r="D674">
        <v>30</v>
      </c>
      <c r="E674" s="2" t="s">
        <v>16</v>
      </c>
      <c r="F674" s="2" t="s">
        <v>21</v>
      </c>
      <c r="G674">
        <v>38472</v>
      </c>
      <c r="H674" s="1">
        <v>44853</v>
      </c>
      <c r="I674">
        <v>7</v>
      </c>
      <c r="J674">
        <v>4</v>
      </c>
      <c r="K674">
        <v>3847</v>
      </c>
      <c r="L674">
        <v>1924</v>
      </c>
      <c r="M674">
        <v>40395</v>
      </c>
      <c r="N674">
        <v>1924</v>
      </c>
      <c r="O674">
        <v>44243</v>
      </c>
    </row>
    <row r="675" spans="1:15" x14ac:dyDescent="0.35">
      <c r="A675">
        <v>674</v>
      </c>
      <c r="B675" s="2" t="s">
        <v>22</v>
      </c>
      <c r="C675" s="2" t="s">
        <v>15</v>
      </c>
      <c r="D675">
        <v>43</v>
      </c>
      <c r="E675" s="2" t="s">
        <v>16</v>
      </c>
      <c r="F675" s="2" t="s">
        <v>25</v>
      </c>
      <c r="G675">
        <v>24817</v>
      </c>
      <c r="H675" s="1">
        <v>45217</v>
      </c>
      <c r="I675">
        <v>9</v>
      </c>
      <c r="J675">
        <v>5</v>
      </c>
      <c r="K675">
        <v>2482</v>
      </c>
      <c r="L675">
        <v>1241</v>
      </c>
      <c r="M675">
        <v>26058</v>
      </c>
      <c r="N675">
        <v>1241</v>
      </c>
      <c r="O675">
        <v>28540</v>
      </c>
    </row>
    <row r="676" spans="1:15" x14ac:dyDescent="0.35">
      <c r="A676">
        <v>675</v>
      </c>
      <c r="B676" s="2" t="s">
        <v>20</v>
      </c>
      <c r="C676" s="2" t="s">
        <v>11</v>
      </c>
      <c r="D676">
        <v>27</v>
      </c>
      <c r="E676" s="2" t="s">
        <v>28</v>
      </c>
      <c r="F676" s="2" t="s">
        <v>13</v>
      </c>
      <c r="G676">
        <v>85440</v>
      </c>
      <c r="H676" s="1">
        <v>44701</v>
      </c>
      <c r="I676">
        <v>14</v>
      </c>
      <c r="J676">
        <v>3</v>
      </c>
      <c r="K676">
        <v>8544</v>
      </c>
      <c r="L676">
        <v>4272</v>
      </c>
      <c r="M676">
        <v>89712</v>
      </c>
      <c r="N676">
        <v>4272</v>
      </c>
      <c r="O676">
        <v>98256</v>
      </c>
    </row>
    <row r="677" spans="1:15" x14ac:dyDescent="0.35">
      <c r="A677">
        <v>676</v>
      </c>
      <c r="B677" s="2" t="s">
        <v>31</v>
      </c>
      <c r="C677" s="2" t="s">
        <v>15</v>
      </c>
      <c r="D677">
        <v>38</v>
      </c>
      <c r="E677" s="2" t="s">
        <v>16</v>
      </c>
      <c r="F677" s="2" t="s">
        <v>21</v>
      </c>
      <c r="G677">
        <v>78972</v>
      </c>
      <c r="H677" s="1">
        <v>45554</v>
      </c>
      <c r="I677">
        <v>1</v>
      </c>
      <c r="J677">
        <v>5</v>
      </c>
      <c r="K677">
        <v>7897</v>
      </c>
      <c r="L677">
        <v>3949</v>
      </c>
      <c r="M677">
        <v>82920</v>
      </c>
      <c r="N677">
        <v>0</v>
      </c>
      <c r="O677">
        <v>86869</v>
      </c>
    </row>
    <row r="678" spans="1:15" x14ac:dyDescent="0.35">
      <c r="A678">
        <v>677</v>
      </c>
      <c r="B678" s="2" t="s">
        <v>31</v>
      </c>
      <c r="C678" s="2" t="s">
        <v>15</v>
      </c>
      <c r="D678">
        <v>25</v>
      </c>
      <c r="E678" s="2" t="s">
        <v>16</v>
      </c>
      <c r="F678" s="2" t="s">
        <v>21</v>
      </c>
      <c r="G678">
        <v>27899</v>
      </c>
      <c r="H678" s="1">
        <v>45502</v>
      </c>
      <c r="I678">
        <v>5</v>
      </c>
      <c r="J678">
        <v>1</v>
      </c>
      <c r="K678">
        <v>2790</v>
      </c>
      <c r="L678">
        <v>1395</v>
      </c>
      <c r="M678">
        <v>29294</v>
      </c>
      <c r="N678">
        <v>0</v>
      </c>
      <c r="O678">
        <v>30689</v>
      </c>
    </row>
    <row r="679" spans="1:15" x14ac:dyDescent="0.35">
      <c r="A679">
        <v>678</v>
      </c>
      <c r="B679" s="2" t="s">
        <v>10</v>
      </c>
      <c r="C679" s="2" t="s">
        <v>11</v>
      </c>
      <c r="D679">
        <v>53</v>
      </c>
      <c r="E679" s="2" t="s">
        <v>16</v>
      </c>
      <c r="F679" s="2" t="s">
        <v>17</v>
      </c>
      <c r="G679">
        <v>58632</v>
      </c>
      <c r="H679" s="1">
        <v>44998</v>
      </c>
      <c r="I679">
        <v>6</v>
      </c>
      <c r="J679">
        <v>4</v>
      </c>
      <c r="K679">
        <v>5863</v>
      </c>
      <c r="L679">
        <v>2932</v>
      </c>
      <c r="M679">
        <v>61563</v>
      </c>
      <c r="N679">
        <v>2932</v>
      </c>
      <c r="O679">
        <v>67427</v>
      </c>
    </row>
    <row r="680" spans="1:15" x14ac:dyDescent="0.35">
      <c r="A680">
        <v>679</v>
      </c>
      <c r="B680" s="2" t="s">
        <v>22</v>
      </c>
      <c r="C680" s="2" t="s">
        <v>11</v>
      </c>
      <c r="D680">
        <v>60</v>
      </c>
      <c r="E680" s="2" t="s">
        <v>24</v>
      </c>
      <c r="F680" s="2" t="s">
        <v>21</v>
      </c>
      <c r="G680">
        <v>95335</v>
      </c>
      <c r="H680" s="1">
        <v>45035</v>
      </c>
      <c r="I680">
        <v>19</v>
      </c>
      <c r="J680">
        <v>5</v>
      </c>
      <c r="K680">
        <v>9534</v>
      </c>
      <c r="L680">
        <v>4767</v>
      </c>
      <c r="M680">
        <v>100102</v>
      </c>
      <c r="N680">
        <v>4767</v>
      </c>
      <c r="O680">
        <v>109636</v>
      </c>
    </row>
    <row r="681" spans="1:15" x14ac:dyDescent="0.35">
      <c r="A681">
        <v>680</v>
      </c>
      <c r="B681" s="2" t="s">
        <v>30</v>
      </c>
      <c r="C681" s="2" t="s">
        <v>11</v>
      </c>
      <c r="D681">
        <v>43</v>
      </c>
      <c r="E681" s="2" t="s">
        <v>29</v>
      </c>
      <c r="F681" s="2" t="s">
        <v>25</v>
      </c>
      <c r="G681">
        <v>56405</v>
      </c>
      <c r="H681" s="1">
        <v>45494</v>
      </c>
      <c r="I681">
        <v>9</v>
      </c>
      <c r="J681">
        <v>4</v>
      </c>
      <c r="K681">
        <v>5640</v>
      </c>
      <c r="L681">
        <v>2820</v>
      </c>
      <c r="M681">
        <v>59225</v>
      </c>
      <c r="N681">
        <v>2820</v>
      </c>
      <c r="O681">
        <v>64865</v>
      </c>
    </row>
    <row r="682" spans="1:15" x14ac:dyDescent="0.35">
      <c r="A682">
        <v>681</v>
      </c>
      <c r="B682" s="2" t="s">
        <v>10</v>
      </c>
      <c r="C682" s="2" t="s">
        <v>15</v>
      </c>
      <c r="D682">
        <v>59</v>
      </c>
      <c r="E682" s="2" t="s">
        <v>28</v>
      </c>
      <c r="F682" s="2" t="s">
        <v>13</v>
      </c>
      <c r="G682">
        <v>99974</v>
      </c>
      <c r="H682" s="1">
        <v>45490</v>
      </c>
      <c r="I682">
        <v>18</v>
      </c>
      <c r="J682">
        <v>5</v>
      </c>
      <c r="K682">
        <v>9997</v>
      </c>
      <c r="L682">
        <v>4999</v>
      </c>
      <c r="M682">
        <v>104972</v>
      </c>
      <c r="N682">
        <v>4999</v>
      </c>
      <c r="O682">
        <v>114970</v>
      </c>
    </row>
    <row r="683" spans="1:15" x14ac:dyDescent="0.35">
      <c r="A683">
        <v>682</v>
      </c>
      <c r="B683" s="2" t="s">
        <v>26</v>
      </c>
      <c r="C683" s="2" t="s">
        <v>15</v>
      </c>
      <c r="D683">
        <v>34</v>
      </c>
      <c r="E683" s="2" t="s">
        <v>16</v>
      </c>
      <c r="F683" s="2" t="s">
        <v>19</v>
      </c>
      <c r="G683">
        <v>93640</v>
      </c>
      <c r="H683" s="1">
        <v>45359</v>
      </c>
      <c r="I683">
        <v>3</v>
      </c>
      <c r="J683">
        <v>2</v>
      </c>
      <c r="K683">
        <v>9364</v>
      </c>
      <c r="L683">
        <v>4682</v>
      </c>
      <c r="M683">
        <v>98322</v>
      </c>
      <c r="N683">
        <v>0</v>
      </c>
      <c r="O683">
        <v>103004</v>
      </c>
    </row>
    <row r="684" spans="1:15" x14ac:dyDescent="0.35">
      <c r="A684">
        <v>683</v>
      </c>
      <c r="B684" s="2" t="s">
        <v>31</v>
      </c>
      <c r="C684" s="2" t="s">
        <v>11</v>
      </c>
      <c r="D684">
        <v>21</v>
      </c>
      <c r="E684" s="2" t="s">
        <v>16</v>
      </c>
      <c r="F684" s="2" t="s">
        <v>19</v>
      </c>
      <c r="G684">
        <v>63650</v>
      </c>
      <c r="H684" s="1">
        <v>45401</v>
      </c>
      <c r="I684">
        <v>18</v>
      </c>
      <c r="J684">
        <v>3</v>
      </c>
      <c r="K684">
        <v>6365</v>
      </c>
      <c r="L684">
        <v>3182</v>
      </c>
      <c r="M684">
        <v>66833</v>
      </c>
      <c r="N684">
        <v>3182</v>
      </c>
      <c r="O684">
        <v>73197</v>
      </c>
    </row>
    <row r="685" spans="1:15" x14ac:dyDescent="0.35">
      <c r="A685">
        <v>684</v>
      </c>
      <c r="B685" s="2" t="s">
        <v>23</v>
      </c>
      <c r="C685" s="2" t="s">
        <v>15</v>
      </c>
      <c r="D685">
        <v>27</v>
      </c>
      <c r="E685" s="2" t="s">
        <v>28</v>
      </c>
      <c r="F685" s="2" t="s">
        <v>25</v>
      </c>
      <c r="G685">
        <v>63421</v>
      </c>
      <c r="H685" s="1">
        <v>45300</v>
      </c>
      <c r="I685">
        <v>17</v>
      </c>
      <c r="J685">
        <v>2</v>
      </c>
      <c r="K685">
        <v>6342</v>
      </c>
      <c r="L685">
        <v>3171</v>
      </c>
      <c r="M685">
        <v>66592</v>
      </c>
      <c r="N685">
        <v>3171</v>
      </c>
      <c r="O685">
        <v>72934</v>
      </c>
    </row>
    <row r="686" spans="1:15" x14ac:dyDescent="0.35">
      <c r="A686">
        <v>685</v>
      </c>
      <c r="B686" s="2" t="s">
        <v>30</v>
      </c>
      <c r="C686" s="2" t="s">
        <v>15</v>
      </c>
      <c r="D686">
        <v>52</v>
      </c>
      <c r="E686" s="2" t="s">
        <v>29</v>
      </c>
      <c r="F686" s="2" t="s">
        <v>13</v>
      </c>
      <c r="G686">
        <v>95869</v>
      </c>
      <c r="H686" s="1">
        <v>44923</v>
      </c>
      <c r="I686">
        <v>3</v>
      </c>
      <c r="J686">
        <v>1</v>
      </c>
      <c r="K686">
        <v>9587</v>
      </c>
      <c r="L686">
        <v>4793</v>
      </c>
      <c r="M686">
        <v>100663</v>
      </c>
      <c r="N686">
        <v>0</v>
      </c>
      <c r="O686">
        <v>105456</v>
      </c>
    </row>
    <row r="687" spans="1:15" x14ac:dyDescent="0.35">
      <c r="A687">
        <v>686</v>
      </c>
      <c r="B687" s="2" t="s">
        <v>14</v>
      </c>
      <c r="C687" s="2" t="s">
        <v>15</v>
      </c>
      <c r="D687">
        <v>38</v>
      </c>
      <c r="E687" s="2" t="s">
        <v>29</v>
      </c>
      <c r="F687" s="2" t="s">
        <v>19</v>
      </c>
      <c r="G687">
        <v>74175</v>
      </c>
      <c r="H687" s="1">
        <v>45238</v>
      </c>
      <c r="I687">
        <v>5</v>
      </c>
      <c r="J687">
        <v>1</v>
      </c>
      <c r="K687">
        <v>7418</v>
      </c>
      <c r="L687">
        <v>3709</v>
      </c>
      <c r="M687">
        <v>77884</v>
      </c>
      <c r="N687">
        <v>0</v>
      </c>
      <c r="O687">
        <v>81593</v>
      </c>
    </row>
    <row r="688" spans="1:15" x14ac:dyDescent="0.35">
      <c r="A688">
        <v>687</v>
      </c>
      <c r="B688" s="2" t="s">
        <v>14</v>
      </c>
      <c r="C688" s="2" t="s">
        <v>15</v>
      </c>
      <c r="D688">
        <v>46</v>
      </c>
      <c r="E688" s="2" t="s">
        <v>28</v>
      </c>
      <c r="F688" s="2" t="s">
        <v>25</v>
      </c>
      <c r="G688">
        <v>82625</v>
      </c>
      <c r="H688" s="1">
        <v>45170</v>
      </c>
      <c r="I688">
        <v>1</v>
      </c>
      <c r="J688">
        <v>5</v>
      </c>
      <c r="K688">
        <v>8262</v>
      </c>
      <c r="L688">
        <v>4131</v>
      </c>
      <c r="M688">
        <v>86756</v>
      </c>
      <c r="N688">
        <v>0</v>
      </c>
      <c r="O688">
        <v>90887</v>
      </c>
    </row>
    <row r="689" spans="1:15" x14ac:dyDescent="0.35">
      <c r="A689">
        <v>688</v>
      </c>
      <c r="B689" s="2" t="s">
        <v>18</v>
      </c>
      <c r="C689" s="2" t="s">
        <v>11</v>
      </c>
      <c r="D689">
        <v>51</v>
      </c>
      <c r="E689" s="2" t="s">
        <v>12</v>
      </c>
      <c r="F689" s="2" t="s">
        <v>25</v>
      </c>
      <c r="G689">
        <v>33678</v>
      </c>
      <c r="H689" s="1">
        <v>45378</v>
      </c>
      <c r="I689">
        <v>7</v>
      </c>
      <c r="J689">
        <v>5</v>
      </c>
      <c r="K689">
        <v>3368</v>
      </c>
      <c r="L689">
        <v>1684</v>
      </c>
      <c r="M689">
        <v>35362</v>
      </c>
      <c r="N689">
        <v>1684</v>
      </c>
      <c r="O689">
        <v>38730</v>
      </c>
    </row>
    <row r="690" spans="1:15" x14ac:dyDescent="0.35">
      <c r="A690">
        <v>689</v>
      </c>
      <c r="B690" s="2" t="s">
        <v>20</v>
      </c>
      <c r="C690" s="2" t="s">
        <v>11</v>
      </c>
      <c r="D690">
        <v>32</v>
      </c>
      <c r="E690" s="2" t="s">
        <v>16</v>
      </c>
      <c r="F690" s="2" t="s">
        <v>13</v>
      </c>
      <c r="G690">
        <v>41639</v>
      </c>
      <c r="H690" s="1">
        <v>44803</v>
      </c>
      <c r="I690">
        <v>10</v>
      </c>
      <c r="J690">
        <v>4</v>
      </c>
      <c r="K690">
        <v>4164</v>
      </c>
      <c r="L690">
        <v>2082</v>
      </c>
      <c r="M690">
        <v>43721</v>
      </c>
      <c r="N690">
        <v>2082</v>
      </c>
      <c r="O690">
        <v>47885</v>
      </c>
    </row>
    <row r="691" spans="1:15" x14ac:dyDescent="0.35">
      <c r="A691">
        <v>690</v>
      </c>
      <c r="B691" s="2" t="s">
        <v>31</v>
      </c>
      <c r="C691" s="2" t="s">
        <v>11</v>
      </c>
      <c r="D691">
        <v>37</v>
      </c>
      <c r="E691" s="2" t="s">
        <v>12</v>
      </c>
      <c r="F691" s="2" t="s">
        <v>25</v>
      </c>
      <c r="G691">
        <v>20573</v>
      </c>
      <c r="H691" s="1">
        <v>45549</v>
      </c>
      <c r="I691">
        <v>19</v>
      </c>
      <c r="J691">
        <v>4</v>
      </c>
      <c r="K691">
        <v>2057</v>
      </c>
      <c r="L691">
        <v>1029</v>
      </c>
      <c r="M691">
        <v>21601</v>
      </c>
      <c r="N691">
        <v>1029</v>
      </c>
      <c r="O691">
        <v>23659</v>
      </c>
    </row>
    <row r="692" spans="1:15" x14ac:dyDescent="0.35">
      <c r="A692">
        <v>691</v>
      </c>
      <c r="B692" s="2" t="s">
        <v>27</v>
      </c>
      <c r="C692" s="2" t="s">
        <v>11</v>
      </c>
      <c r="D692">
        <v>60</v>
      </c>
      <c r="E692" s="2" t="s">
        <v>12</v>
      </c>
      <c r="F692" s="2" t="s">
        <v>25</v>
      </c>
      <c r="G692">
        <v>76433</v>
      </c>
      <c r="H692" s="1">
        <v>45049</v>
      </c>
      <c r="I692">
        <v>13</v>
      </c>
      <c r="J692">
        <v>3</v>
      </c>
      <c r="K692">
        <v>7643</v>
      </c>
      <c r="L692">
        <v>3822</v>
      </c>
      <c r="M692">
        <v>80254</v>
      </c>
      <c r="N692">
        <v>3822</v>
      </c>
      <c r="O692">
        <v>87898</v>
      </c>
    </row>
    <row r="693" spans="1:15" x14ac:dyDescent="0.35">
      <c r="A693">
        <v>692</v>
      </c>
      <c r="B693" s="2" t="s">
        <v>31</v>
      </c>
      <c r="C693" s="2" t="s">
        <v>15</v>
      </c>
      <c r="D693">
        <v>34</v>
      </c>
      <c r="E693" s="2" t="s">
        <v>28</v>
      </c>
      <c r="F693" s="2" t="s">
        <v>21</v>
      </c>
      <c r="G693">
        <v>42964</v>
      </c>
      <c r="H693" s="1">
        <v>45152</v>
      </c>
      <c r="I693">
        <v>2</v>
      </c>
      <c r="J693">
        <v>5</v>
      </c>
      <c r="K693">
        <v>4296</v>
      </c>
      <c r="L693">
        <v>2148</v>
      </c>
      <c r="M693">
        <v>45112</v>
      </c>
      <c r="N693">
        <v>0</v>
      </c>
      <c r="O693">
        <v>47260</v>
      </c>
    </row>
    <row r="694" spans="1:15" x14ac:dyDescent="0.35">
      <c r="A694">
        <v>693</v>
      </c>
      <c r="B694" s="2" t="s">
        <v>23</v>
      </c>
      <c r="C694" s="2" t="s">
        <v>11</v>
      </c>
      <c r="D694">
        <v>54</v>
      </c>
      <c r="E694" s="2" t="s">
        <v>24</v>
      </c>
      <c r="F694" s="2" t="s">
        <v>21</v>
      </c>
      <c r="G694">
        <v>36779</v>
      </c>
      <c r="H694" s="1">
        <v>45500</v>
      </c>
      <c r="I694">
        <v>16</v>
      </c>
      <c r="J694">
        <v>3</v>
      </c>
      <c r="K694">
        <v>3678</v>
      </c>
      <c r="L694">
        <v>1839</v>
      </c>
      <c r="M694">
        <v>38618</v>
      </c>
      <c r="N694">
        <v>1839</v>
      </c>
      <c r="O694">
        <v>42296</v>
      </c>
    </row>
    <row r="695" spans="1:15" x14ac:dyDescent="0.35">
      <c r="A695">
        <v>694</v>
      </c>
      <c r="B695" s="2" t="s">
        <v>26</v>
      </c>
      <c r="C695" s="2" t="s">
        <v>15</v>
      </c>
      <c r="D695">
        <v>57</v>
      </c>
      <c r="E695" s="2" t="s">
        <v>28</v>
      </c>
      <c r="F695" s="2" t="s">
        <v>21</v>
      </c>
      <c r="G695">
        <v>68128</v>
      </c>
      <c r="H695" s="1">
        <v>45151</v>
      </c>
      <c r="I695">
        <v>3</v>
      </c>
      <c r="J695">
        <v>1</v>
      </c>
      <c r="K695">
        <v>6813</v>
      </c>
      <c r="L695">
        <v>3406</v>
      </c>
      <c r="M695">
        <v>71535</v>
      </c>
      <c r="N695">
        <v>0</v>
      </c>
      <c r="O695">
        <v>74941</v>
      </c>
    </row>
    <row r="696" spans="1:15" x14ac:dyDescent="0.35">
      <c r="A696">
        <v>695</v>
      </c>
      <c r="B696" s="2" t="s">
        <v>18</v>
      </c>
      <c r="C696" s="2" t="s">
        <v>11</v>
      </c>
      <c r="D696">
        <v>47</v>
      </c>
      <c r="E696" s="2" t="s">
        <v>28</v>
      </c>
      <c r="F696" s="2" t="s">
        <v>25</v>
      </c>
      <c r="G696">
        <v>76673</v>
      </c>
      <c r="H696" s="1">
        <v>44975</v>
      </c>
      <c r="I696">
        <v>9</v>
      </c>
      <c r="J696">
        <v>2</v>
      </c>
      <c r="K696">
        <v>7667</v>
      </c>
      <c r="L696">
        <v>3834</v>
      </c>
      <c r="M696">
        <v>80506</v>
      </c>
      <c r="N696">
        <v>3834</v>
      </c>
      <c r="O696">
        <v>88174</v>
      </c>
    </row>
    <row r="697" spans="1:15" x14ac:dyDescent="0.35">
      <c r="A697">
        <v>696</v>
      </c>
      <c r="B697" s="2" t="s">
        <v>22</v>
      </c>
      <c r="C697" s="2" t="s">
        <v>15</v>
      </c>
      <c r="D697">
        <v>40</v>
      </c>
      <c r="E697" s="2" t="s">
        <v>12</v>
      </c>
      <c r="F697" s="2" t="s">
        <v>13</v>
      </c>
      <c r="G697">
        <v>85370</v>
      </c>
      <c r="H697" s="1">
        <v>44966</v>
      </c>
      <c r="I697">
        <v>5</v>
      </c>
      <c r="J697">
        <v>1</v>
      </c>
      <c r="K697">
        <v>8537</v>
      </c>
      <c r="L697">
        <v>4268</v>
      </c>
      <c r="M697">
        <v>89639</v>
      </c>
      <c r="N697">
        <v>0</v>
      </c>
      <c r="O697">
        <v>93907</v>
      </c>
    </row>
    <row r="698" spans="1:15" x14ac:dyDescent="0.35">
      <c r="A698">
        <v>697</v>
      </c>
      <c r="B698" s="2" t="s">
        <v>30</v>
      </c>
      <c r="C698" s="2" t="s">
        <v>15</v>
      </c>
      <c r="D698">
        <v>22</v>
      </c>
      <c r="E698" s="2" t="s">
        <v>29</v>
      </c>
      <c r="F698" s="2" t="s">
        <v>25</v>
      </c>
      <c r="G698">
        <v>83678</v>
      </c>
      <c r="H698" s="1">
        <v>44871</v>
      </c>
      <c r="I698">
        <v>2</v>
      </c>
      <c r="J698">
        <v>2</v>
      </c>
      <c r="K698">
        <v>8368</v>
      </c>
      <c r="L698">
        <v>4184</v>
      </c>
      <c r="M698">
        <v>87862</v>
      </c>
      <c r="N698">
        <v>0</v>
      </c>
      <c r="O698">
        <v>92046</v>
      </c>
    </row>
    <row r="699" spans="1:15" x14ac:dyDescent="0.35">
      <c r="A699">
        <v>698</v>
      </c>
      <c r="B699" s="2" t="s">
        <v>23</v>
      </c>
      <c r="C699" s="2" t="s">
        <v>11</v>
      </c>
      <c r="D699">
        <v>35</v>
      </c>
      <c r="E699" s="2" t="s">
        <v>28</v>
      </c>
      <c r="F699" s="2" t="s">
        <v>17</v>
      </c>
      <c r="G699">
        <v>52465</v>
      </c>
      <c r="H699" s="1">
        <v>45169</v>
      </c>
      <c r="I699">
        <v>15</v>
      </c>
      <c r="J699">
        <v>3</v>
      </c>
      <c r="K699">
        <v>5246</v>
      </c>
      <c r="L699">
        <v>2623</v>
      </c>
      <c r="M699">
        <v>55088</v>
      </c>
      <c r="N699">
        <v>2623</v>
      </c>
      <c r="O699">
        <v>60334</v>
      </c>
    </row>
    <row r="700" spans="1:15" x14ac:dyDescent="0.35">
      <c r="A700">
        <v>699</v>
      </c>
      <c r="B700" s="2" t="s">
        <v>22</v>
      </c>
      <c r="C700" s="2" t="s">
        <v>11</v>
      </c>
      <c r="D700">
        <v>40</v>
      </c>
      <c r="E700" s="2" t="s">
        <v>12</v>
      </c>
      <c r="F700" s="2" t="s">
        <v>21</v>
      </c>
      <c r="G700">
        <v>49688</v>
      </c>
      <c r="H700" s="1">
        <v>45158</v>
      </c>
      <c r="I700">
        <v>8</v>
      </c>
      <c r="J700">
        <v>1</v>
      </c>
      <c r="K700">
        <v>4969</v>
      </c>
      <c r="L700">
        <v>2484</v>
      </c>
      <c r="M700">
        <v>52173</v>
      </c>
      <c r="N700">
        <v>2484</v>
      </c>
      <c r="O700">
        <v>57141</v>
      </c>
    </row>
    <row r="701" spans="1:15" x14ac:dyDescent="0.35">
      <c r="A701">
        <v>700</v>
      </c>
      <c r="B701" s="2" t="s">
        <v>26</v>
      </c>
      <c r="C701" s="2" t="s">
        <v>15</v>
      </c>
      <c r="D701">
        <v>49</v>
      </c>
      <c r="E701" s="2" t="s">
        <v>24</v>
      </c>
      <c r="F701" s="2" t="s">
        <v>25</v>
      </c>
      <c r="G701">
        <v>53703</v>
      </c>
      <c r="H701" s="1">
        <v>45125</v>
      </c>
      <c r="I701">
        <v>6</v>
      </c>
      <c r="J701">
        <v>5</v>
      </c>
      <c r="K701">
        <v>5370</v>
      </c>
      <c r="L701">
        <v>2685</v>
      </c>
      <c r="M701">
        <v>56388</v>
      </c>
      <c r="N701">
        <v>2685</v>
      </c>
      <c r="O701">
        <v>61758</v>
      </c>
    </row>
    <row r="702" spans="1:15" x14ac:dyDescent="0.35">
      <c r="A702">
        <v>701</v>
      </c>
      <c r="B702" s="2" t="s">
        <v>22</v>
      </c>
      <c r="C702" s="2" t="s">
        <v>15</v>
      </c>
      <c r="D702">
        <v>58</v>
      </c>
      <c r="E702" s="2" t="s">
        <v>16</v>
      </c>
      <c r="F702" s="2" t="s">
        <v>25</v>
      </c>
      <c r="G702">
        <v>79897</v>
      </c>
      <c r="H702" s="1">
        <v>45453</v>
      </c>
      <c r="I702">
        <v>11</v>
      </c>
      <c r="J702">
        <v>4</v>
      </c>
      <c r="K702">
        <v>7990</v>
      </c>
      <c r="L702">
        <v>3995</v>
      </c>
      <c r="M702">
        <v>83892</v>
      </c>
      <c r="N702">
        <v>3995</v>
      </c>
      <c r="O702">
        <v>91882</v>
      </c>
    </row>
    <row r="703" spans="1:15" x14ac:dyDescent="0.35">
      <c r="A703">
        <v>702</v>
      </c>
      <c r="B703" s="2" t="s">
        <v>14</v>
      </c>
      <c r="C703" s="2" t="s">
        <v>15</v>
      </c>
      <c r="D703">
        <v>44</v>
      </c>
      <c r="E703" s="2" t="s">
        <v>12</v>
      </c>
      <c r="F703" s="2" t="s">
        <v>13</v>
      </c>
      <c r="G703">
        <v>20254</v>
      </c>
      <c r="H703" s="1">
        <v>45056</v>
      </c>
      <c r="I703">
        <v>13</v>
      </c>
      <c r="J703">
        <v>2</v>
      </c>
      <c r="K703">
        <v>2025</v>
      </c>
      <c r="L703">
        <v>1013</v>
      </c>
      <c r="M703">
        <v>21266</v>
      </c>
      <c r="N703">
        <v>1013</v>
      </c>
      <c r="O703">
        <v>23292</v>
      </c>
    </row>
    <row r="704" spans="1:15" x14ac:dyDescent="0.35">
      <c r="A704">
        <v>703</v>
      </c>
      <c r="B704" s="2" t="s">
        <v>27</v>
      </c>
      <c r="C704" s="2" t="s">
        <v>11</v>
      </c>
      <c r="D704">
        <v>41</v>
      </c>
      <c r="E704" s="2" t="s">
        <v>29</v>
      </c>
      <c r="F704" s="2" t="s">
        <v>17</v>
      </c>
      <c r="G704">
        <v>21203</v>
      </c>
      <c r="H704" s="1">
        <v>45082</v>
      </c>
      <c r="I704">
        <v>4</v>
      </c>
      <c r="J704">
        <v>4</v>
      </c>
      <c r="K704">
        <v>2120</v>
      </c>
      <c r="L704">
        <v>1060</v>
      </c>
      <c r="M704">
        <v>22263</v>
      </c>
      <c r="N704">
        <v>0</v>
      </c>
      <c r="O704">
        <v>23323</v>
      </c>
    </row>
    <row r="705" spans="1:15" x14ac:dyDescent="0.35">
      <c r="A705">
        <v>704</v>
      </c>
      <c r="B705" s="2" t="s">
        <v>14</v>
      </c>
      <c r="C705" s="2" t="s">
        <v>15</v>
      </c>
      <c r="D705">
        <v>29</v>
      </c>
      <c r="E705" s="2" t="s">
        <v>29</v>
      </c>
      <c r="F705" s="2" t="s">
        <v>21</v>
      </c>
      <c r="G705">
        <v>27815</v>
      </c>
      <c r="H705" s="1">
        <v>45507</v>
      </c>
      <c r="I705">
        <v>9</v>
      </c>
      <c r="J705">
        <v>3</v>
      </c>
      <c r="K705">
        <v>2782</v>
      </c>
      <c r="L705">
        <v>1391</v>
      </c>
      <c r="M705">
        <v>29206</v>
      </c>
      <c r="N705">
        <v>1391</v>
      </c>
      <c r="O705">
        <v>31988</v>
      </c>
    </row>
    <row r="706" spans="1:15" x14ac:dyDescent="0.35">
      <c r="A706">
        <v>705</v>
      </c>
      <c r="B706" s="2" t="s">
        <v>10</v>
      </c>
      <c r="C706" s="2" t="s">
        <v>11</v>
      </c>
      <c r="D706">
        <v>40</v>
      </c>
      <c r="E706" s="2" t="s">
        <v>12</v>
      </c>
      <c r="F706" s="2" t="s">
        <v>19</v>
      </c>
      <c r="G706">
        <v>89395</v>
      </c>
      <c r="H706" s="1">
        <v>44794</v>
      </c>
      <c r="I706">
        <v>16</v>
      </c>
      <c r="J706">
        <v>1</v>
      </c>
      <c r="K706">
        <v>8940</v>
      </c>
      <c r="L706">
        <v>4470</v>
      </c>
      <c r="M706">
        <v>93865</v>
      </c>
      <c r="N706">
        <v>4470</v>
      </c>
      <c r="O706">
        <v>102805</v>
      </c>
    </row>
    <row r="707" spans="1:15" x14ac:dyDescent="0.35">
      <c r="A707">
        <v>706</v>
      </c>
      <c r="B707" s="2" t="s">
        <v>10</v>
      </c>
      <c r="C707" s="2" t="s">
        <v>15</v>
      </c>
      <c r="D707">
        <v>60</v>
      </c>
      <c r="E707" s="2" t="s">
        <v>12</v>
      </c>
      <c r="F707" s="2" t="s">
        <v>19</v>
      </c>
      <c r="G707">
        <v>42862</v>
      </c>
      <c r="H707" s="1">
        <v>45542</v>
      </c>
      <c r="I707">
        <v>14</v>
      </c>
      <c r="J707">
        <v>5</v>
      </c>
      <c r="K707">
        <v>4286</v>
      </c>
      <c r="L707">
        <v>2143</v>
      </c>
      <c r="M707">
        <v>45005</v>
      </c>
      <c r="N707">
        <v>2143</v>
      </c>
      <c r="O707">
        <v>49291</v>
      </c>
    </row>
    <row r="708" spans="1:15" x14ac:dyDescent="0.35">
      <c r="A708">
        <v>707</v>
      </c>
      <c r="B708" s="2" t="s">
        <v>23</v>
      </c>
      <c r="C708" s="2" t="s">
        <v>15</v>
      </c>
      <c r="D708">
        <v>56</v>
      </c>
      <c r="E708" s="2" t="s">
        <v>28</v>
      </c>
      <c r="F708" s="2" t="s">
        <v>19</v>
      </c>
      <c r="G708">
        <v>79764</v>
      </c>
      <c r="H708" s="1">
        <v>44666</v>
      </c>
      <c r="I708">
        <v>16</v>
      </c>
      <c r="J708">
        <v>1</v>
      </c>
      <c r="K708">
        <v>7976</v>
      </c>
      <c r="L708">
        <v>3988</v>
      </c>
      <c r="M708">
        <v>83752</v>
      </c>
      <c r="N708">
        <v>3988</v>
      </c>
      <c r="O708">
        <v>91728</v>
      </c>
    </row>
    <row r="709" spans="1:15" x14ac:dyDescent="0.35">
      <c r="A709">
        <v>708</v>
      </c>
      <c r="B709" s="2" t="s">
        <v>18</v>
      </c>
      <c r="C709" s="2" t="s">
        <v>11</v>
      </c>
      <c r="D709">
        <v>39</v>
      </c>
      <c r="E709" s="2" t="s">
        <v>24</v>
      </c>
      <c r="F709" s="2" t="s">
        <v>21</v>
      </c>
      <c r="G709">
        <v>68542</v>
      </c>
      <c r="H709" s="1">
        <v>44605</v>
      </c>
      <c r="I709">
        <v>7</v>
      </c>
      <c r="J709">
        <v>2</v>
      </c>
      <c r="K709">
        <v>6854</v>
      </c>
      <c r="L709">
        <v>3427</v>
      </c>
      <c r="M709">
        <v>71969</v>
      </c>
      <c r="N709">
        <v>3427</v>
      </c>
      <c r="O709">
        <v>78823</v>
      </c>
    </row>
    <row r="710" spans="1:15" x14ac:dyDescent="0.35">
      <c r="A710">
        <v>709</v>
      </c>
      <c r="B710" s="2" t="s">
        <v>26</v>
      </c>
      <c r="C710" s="2" t="s">
        <v>11</v>
      </c>
      <c r="D710">
        <v>52</v>
      </c>
      <c r="E710" s="2" t="s">
        <v>28</v>
      </c>
      <c r="F710" s="2" t="s">
        <v>19</v>
      </c>
      <c r="G710">
        <v>28899</v>
      </c>
      <c r="H710" s="1">
        <v>44974</v>
      </c>
      <c r="I710">
        <v>11</v>
      </c>
      <c r="J710">
        <v>4</v>
      </c>
      <c r="K710">
        <v>2890</v>
      </c>
      <c r="L710">
        <v>1445</v>
      </c>
      <c r="M710">
        <v>30344</v>
      </c>
      <c r="N710">
        <v>1445</v>
      </c>
      <c r="O710">
        <v>33234</v>
      </c>
    </row>
    <row r="711" spans="1:15" x14ac:dyDescent="0.35">
      <c r="A711">
        <v>710</v>
      </c>
      <c r="B711" s="2" t="s">
        <v>31</v>
      </c>
      <c r="C711" s="2" t="s">
        <v>15</v>
      </c>
      <c r="D711">
        <v>47</v>
      </c>
      <c r="E711" s="2" t="s">
        <v>12</v>
      </c>
      <c r="F711" s="2" t="s">
        <v>17</v>
      </c>
      <c r="G711">
        <v>34133</v>
      </c>
      <c r="H711" s="1">
        <v>44986</v>
      </c>
      <c r="I711">
        <v>1</v>
      </c>
      <c r="J711">
        <v>3</v>
      </c>
      <c r="K711">
        <v>3413</v>
      </c>
      <c r="L711">
        <v>1707</v>
      </c>
      <c r="M711">
        <v>35839</v>
      </c>
      <c r="N711">
        <v>0</v>
      </c>
      <c r="O711">
        <v>37546</v>
      </c>
    </row>
    <row r="712" spans="1:15" x14ac:dyDescent="0.35">
      <c r="A712">
        <v>711</v>
      </c>
      <c r="B712" s="2" t="s">
        <v>27</v>
      </c>
      <c r="C712" s="2" t="s">
        <v>11</v>
      </c>
      <c r="D712">
        <v>57</v>
      </c>
      <c r="E712" s="2" t="s">
        <v>24</v>
      </c>
      <c r="F712" s="2" t="s">
        <v>19</v>
      </c>
      <c r="G712">
        <v>60536</v>
      </c>
      <c r="H712" s="1">
        <v>45170</v>
      </c>
      <c r="I712">
        <v>1</v>
      </c>
      <c r="J712">
        <v>5</v>
      </c>
      <c r="K712">
        <v>6054</v>
      </c>
      <c r="L712">
        <v>3027</v>
      </c>
      <c r="M712">
        <v>63563</v>
      </c>
      <c r="N712">
        <v>0</v>
      </c>
      <c r="O712">
        <v>66590</v>
      </c>
    </row>
    <row r="713" spans="1:15" x14ac:dyDescent="0.35">
      <c r="A713">
        <v>712</v>
      </c>
      <c r="B713" s="2" t="s">
        <v>20</v>
      </c>
      <c r="C713" s="2" t="s">
        <v>15</v>
      </c>
      <c r="D713">
        <v>29</v>
      </c>
      <c r="E713" s="2" t="s">
        <v>28</v>
      </c>
      <c r="F713" s="2" t="s">
        <v>19</v>
      </c>
      <c r="G713">
        <v>95221</v>
      </c>
      <c r="H713" s="1">
        <v>44895</v>
      </c>
      <c r="I713">
        <v>11</v>
      </c>
      <c r="J713">
        <v>3</v>
      </c>
      <c r="K713">
        <v>9522</v>
      </c>
      <c r="L713">
        <v>4761</v>
      </c>
      <c r="M713">
        <v>99982</v>
      </c>
      <c r="N713">
        <v>4761</v>
      </c>
      <c r="O713">
        <v>109504</v>
      </c>
    </row>
    <row r="714" spans="1:15" x14ac:dyDescent="0.35">
      <c r="A714">
        <v>713</v>
      </c>
      <c r="B714" s="2" t="s">
        <v>23</v>
      </c>
      <c r="C714" s="2" t="s">
        <v>15</v>
      </c>
      <c r="D714">
        <v>35</v>
      </c>
      <c r="E714" s="2" t="s">
        <v>16</v>
      </c>
      <c r="F714" s="2" t="s">
        <v>17</v>
      </c>
      <c r="G714">
        <v>83055</v>
      </c>
      <c r="H714" s="1">
        <v>44899</v>
      </c>
      <c r="I714">
        <v>15</v>
      </c>
      <c r="J714">
        <v>5</v>
      </c>
      <c r="K714">
        <v>8306</v>
      </c>
      <c r="L714">
        <v>4153</v>
      </c>
      <c r="M714">
        <v>87208</v>
      </c>
      <c r="N714">
        <v>4153</v>
      </c>
      <c r="O714">
        <v>95514</v>
      </c>
    </row>
    <row r="715" spans="1:15" x14ac:dyDescent="0.35">
      <c r="A715">
        <v>714</v>
      </c>
      <c r="B715" s="2" t="s">
        <v>31</v>
      </c>
      <c r="C715" s="2" t="s">
        <v>15</v>
      </c>
      <c r="D715">
        <v>51</v>
      </c>
      <c r="E715" s="2" t="s">
        <v>16</v>
      </c>
      <c r="F715" s="2" t="s">
        <v>25</v>
      </c>
      <c r="G715">
        <v>65624</v>
      </c>
      <c r="H715" s="1">
        <v>45349</v>
      </c>
      <c r="I715">
        <v>13</v>
      </c>
      <c r="J715">
        <v>4</v>
      </c>
      <c r="K715">
        <v>6562</v>
      </c>
      <c r="L715">
        <v>3281</v>
      </c>
      <c r="M715">
        <v>68905</v>
      </c>
      <c r="N715">
        <v>3281</v>
      </c>
      <c r="O715">
        <v>75467</v>
      </c>
    </row>
    <row r="716" spans="1:15" x14ac:dyDescent="0.35">
      <c r="A716">
        <v>715</v>
      </c>
      <c r="B716" s="2" t="s">
        <v>18</v>
      </c>
      <c r="C716" s="2" t="s">
        <v>15</v>
      </c>
      <c r="D716">
        <v>33</v>
      </c>
      <c r="E716" s="2" t="s">
        <v>16</v>
      </c>
      <c r="F716" s="2" t="s">
        <v>21</v>
      </c>
      <c r="G716">
        <v>42490</v>
      </c>
      <c r="H716" s="1">
        <v>44810</v>
      </c>
      <c r="I716">
        <v>3</v>
      </c>
      <c r="J716">
        <v>1</v>
      </c>
      <c r="K716">
        <v>4249</v>
      </c>
      <c r="L716">
        <v>2124</v>
      </c>
      <c r="M716">
        <v>44615</v>
      </c>
      <c r="N716">
        <v>0</v>
      </c>
      <c r="O716">
        <v>46739</v>
      </c>
    </row>
    <row r="717" spans="1:15" x14ac:dyDescent="0.35">
      <c r="A717">
        <v>716</v>
      </c>
      <c r="B717" s="2" t="s">
        <v>10</v>
      </c>
      <c r="C717" s="2" t="s">
        <v>11</v>
      </c>
      <c r="D717">
        <v>22</v>
      </c>
      <c r="E717" s="2" t="s">
        <v>28</v>
      </c>
      <c r="F717" s="2" t="s">
        <v>19</v>
      </c>
      <c r="G717">
        <v>25207</v>
      </c>
      <c r="H717" s="1">
        <v>45169</v>
      </c>
      <c r="I717">
        <v>15</v>
      </c>
      <c r="J717">
        <v>5</v>
      </c>
      <c r="K717">
        <v>2521</v>
      </c>
      <c r="L717">
        <v>1260</v>
      </c>
      <c r="M717">
        <v>26468</v>
      </c>
      <c r="N717">
        <v>1260</v>
      </c>
      <c r="O717">
        <v>28988</v>
      </c>
    </row>
    <row r="718" spans="1:15" x14ac:dyDescent="0.35">
      <c r="A718">
        <v>717</v>
      </c>
      <c r="B718" s="2" t="s">
        <v>26</v>
      </c>
      <c r="C718" s="2" t="s">
        <v>11</v>
      </c>
      <c r="D718">
        <v>40</v>
      </c>
      <c r="E718" s="2" t="s">
        <v>24</v>
      </c>
      <c r="F718" s="2" t="s">
        <v>17</v>
      </c>
      <c r="G718">
        <v>77507</v>
      </c>
      <c r="H718" s="1">
        <v>45357</v>
      </c>
      <c r="I718">
        <v>6</v>
      </c>
      <c r="J718">
        <v>1</v>
      </c>
      <c r="K718">
        <v>7751</v>
      </c>
      <c r="L718">
        <v>3875</v>
      </c>
      <c r="M718">
        <v>81383</v>
      </c>
      <c r="N718">
        <v>3875</v>
      </c>
      <c r="O718">
        <v>89133</v>
      </c>
    </row>
    <row r="719" spans="1:15" x14ac:dyDescent="0.35">
      <c r="A719">
        <v>718</v>
      </c>
      <c r="B719" s="2" t="s">
        <v>27</v>
      </c>
      <c r="C719" s="2" t="s">
        <v>15</v>
      </c>
      <c r="D719">
        <v>60</v>
      </c>
      <c r="E719" s="2" t="s">
        <v>16</v>
      </c>
      <c r="F719" s="2" t="s">
        <v>21</v>
      </c>
      <c r="G719">
        <v>36581</v>
      </c>
      <c r="H719" s="1">
        <v>45077</v>
      </c>
      <c r="I719">
        <v>2</v>
      </c>
      <c r="J719">
        <v>1</v>
      </c>
      <c r="K719">
        <v>3658</v>
      </c>
      <c r="L719">
        <v>1829</v>
      </c>
      <c r="M719">
        <v>38410</v>
      </c>
      <c r="N719">
        <v>0</v>
      </c>
      <c r="O719">
        <v>40239</v>
      </c>
    </row>
    <row r="720" spans="1:15" x14ac:dyDescent="0.35">
      <c r="A720">
        <v>719</v>
      </c>
      <c r="B720" s="2" t="s">
        <v>30</v>
      </c>
      <c r="C720" s="2" t="s">
        <v>15</v>
      </c>
      <c r="D720">
        <v>53</v>
      </c>
      <c r="E720" s="2" t="s">
        <v>29</v>
      </c>
      <c r="F720" s="2" t="s">
        <v>21</v>
      </c>
      <c r="G720">
        <v>70872</v>
      </c>
      <c r="H720" s="1">
        <v>44837</v>
      </c>
      <c r="I720">
        <v>11</v>
      </c>
      <c r="J720">
        <v>5</v>
      </c>
      <c r="K720">
        <v>7087</v>
      </c>
      <c r="L720">
        <v>3544</v>
      </c>
      <c r="M720">
        <v>74415</v>
      </c>
      <c r="N720">
        <v>3544</v>
      </c>
      <c r="O720">
        <v>81503</v>
      </c>
    </row>
    <row r="721" spans="1:15" x14ac:dyDescent="0.35">
      <c r="A721">
        <v>720</v>
      </c>
      <c r="B721" s="2" t="s">
        <v>18</v>
      </c>
      <c r="C721" s="2" t="s">
        <v>11</v>
      </c>
      <c r="D721">
        <v>43</v>
      </c>
      <c r="E721" s="2" t="s">
        <v>12</v>
      </c>
      <c r="F721" s="2" t="s">
        <v>19</v>
      </c>
      <c r="G721">
        <v>83778</v>
      </c>
      <c r="H721" s="1">
        <v>45214</v>
      </c>
      <c r="I721">
        <v>15</v>
      </c>
      <c r="J721">
        <v>1</v>
      </c>
      <c r="K721">
        <v>8378</v>
      </c>
      <c r="L721">
        <v>4189</v>
      </c>
      <c r="M721">
        <v>87967</v>
      </c>
      <c r="N721">
        <v>4189</v>
      </c>
      <c r="O721">
        <v>96345</v>
      </c>
    </row>
    <row r="722" spans="1:15" x14ac:dyDescent="0.35">
      <c r="A722">
        <v>721</v>
      </c>
      <c r="B722" s="2" t="s">
        <v>26</v>
      </c>
      <c r="C722" s="2" t="s">
        <v>11</v>
      </c>
      <c r="D722">
        <v>38</v>
      </c>
      <c r="E722" s="2" t="s">
        <v>12</v>
      </c>
      <c r="F722" s="2" t="s">
        <v>17</v>
      </c>
      <c r="G722">
        <v>78750</v>
      </c>
      <c r="H722" s="1">
        <v>45286</v>
      </c>
      <c r="I722">
        <v>4</v>
      </c>
      <c r="J722">
        <v>4</v>
      </c>
      <c r="K722">
        <v>7875</v>
      </c>
      <c r="L722">
        <v>3938</v>
      </c>
      <c r="M722">
        <v>82687</v>
      </c>
      <c r="N722">
        <v>0</v>
      </c>
      <c r="O722">
        <v>86625</v>
      </c>
    </row>
    <row r="723" spans="1:15" x14ac:dyDescent="0.35">
      <c r="A723">
        <v>722</v>
      </c>
      <c r="B723" s="2" t="s">
        <v>10</v>
      </c>
      <c r="C723" s="2" t="s">
        <v>11</v>
      </c>
      <c r="D723">
        <v>57</v>
      </c>
      <c r="E723" s="2" t="s">
        <v>12</v>
      </c>
      <c r="F723" s="2" t="s">
        <v>13</v>
      </c>
      <c r="G723">
        <v>31712</v>
      </c>
      <c r="H723" s="1">
        <v>45324</v>
      </c>
      <c r="I723">
        <v>6</v>
      </c>
      <c r="J723">
        <v>3</v>
      </c>
      <c r="K723">
        <v>3171</v>
      </c>
      <c r="L723">
        <v>1586</v>
      </c>
      <c r="M723">
        <v>33297</v>
      </c>
      <c r="N723">
        <v>1586</v>
      </c>
      <c r="O723">
        <v>36469</v>
      </c>
    </row>
    <row r="724" spans="1:15" x14ac:dyDescent="0.35">
      <c r="A724">
        <v>723</v>
      </c>
      <c r="B724" s="2" t="s">
        <v>26</v>
      </c>
      <c r="C724" s="2" t="s">
        <v>15</v>
      </c>
      <c r="D724">
        <v>31</v>
      </c>
      <c r="E724" s="2" t="s">
        <v>28</v>
      </c>
      <c r="F724" s="2" t="s">
        <v>19</v>
      </c>
      <c r="G724">
        <v>62806</v>
      </c>
      <c r="H724" s="1">
        <v>45097</v>
      </c>
      <c r="I724">
        <v>10</v>
      </c>
      <c r="J724">
        <v>3</v>
      </c>
      <c r="K724">
        <v>6281</v>
      </c>
      <c r="L724">
        <v>3140</v>
      </c>
      <c r="M724">
        <v>65947</v>
      </c>
      <c r="N724">
        <v>3140</v>
      </c>
      <c r="O724">
        <v>72227</v>
      </c>
    </row>
    <row r="725" spans="1:15" x14ac:dyDescent="0.35">
      <c r="A725">
        <v>724</v>
      </c>
      <c r="B725" s="2" t="s">
        <v>23</v>
      </c>
      <c r="C725" s="2" t="s">
        <v>11</v>
      </c>
      <c r="D725">
        <v>43</v>
      </c>
      <c r="E725" s="2" t="s">
        <v>12</v>
      </c>
      <c r="F725" s="2" t="s">
        <v>25</v>
      </c>
      <c r="G725">
        <v>81249</v>
      </c>
      <c r="H725" s="1">
        <v>45010</v>
      </c>
      <c r="I725">
        <v>3</v>
      </c>
      <c r="J725">
        <v>5</v>
      </c>
      <c r="K725">
        <v>8125</v>
      </c>
      <c r="L725">
        <v>4062</v>
      </c>
      <c r="M725">
        <v>85312</v>
      </c>
      <c r="N725">
        <v>0</v>
      </c>
      <c r="O725">
        <v>89374</v>
      </c>
    </row>
    <row r="726" spans="1:15" x14ac:dyDescent="0.35">
      <c r="A726">
        <v>725</v>
      </c>
      <c r="B726" s="2" t="s">
        <v>14</v>
      </c>
      <c r="C726" s="2" t="s">
        <v>11</v>
      </c>
      <c r="D726">
        <v>22</v>
      </c>
      <c r="E726" s="2" t="s">
        <v>28</v>
      </c>
      <c r="F726" s="2" t="s">
        <v>21</v>
      </c>
      <c r="G726">
        <v>37864</v>
      </c>
      <c r="H726" s="1">
        <v>44925</v>
      </c>
      <c r="I726">
        <v>10</v>
      </c>
      <c r="J726">
        <v>4</v>
      </c>
      <c r="K726">
        <v>3786</v>
      </c>
      <c r="L726">
        <v>1893</v>
      </c>
      <c r="M726">
        <v>39757</v>
      </c>
      <c r="N726">
        <v>1893</v>
      </c>
      <c r="O726">
        <v>43543</v>
      </c>
    </row>
    <row r="727" spans="1:15" x14ac:dyDescent="0.35">
      <c r="A727">
        <v>726</v>
      </c>
      <c r="B727" s="2" t="s">
        <v>10</v>
      </c>
      <c r="C727" s="2" t="s">
        <v>11</v>
      </c>
      <c r="D727">
        <v>57</v>
      </c>
      <c r="E727" s="2" t="s">
        <v>28</v>
      </c>
      <c r="F727" s="2" t="s">
        <v>19</v>
      </c>
      <c r="G727">
        <v>97094</v>
      </c>
      <c r="H727" s="1">
        <v>44748</v>
      </c>
      <c r="I727">
        <v>6</v>
      </c>
      <c r="J727">
        <v>1</v>
      </c>
      <c r="K727">
        <v>9709</v>
      </c>
      <c r="L727">
        <v>4855</v>
      </c>
      <c r="M727">
        <v>101948</v>
      </c>
      <c r="N727">
        <v>4855</v>
      </c>
      <c r="O727">
        <v>111658</v>
      </c>
    </row>
    <row r="728" spans="1:15" x14ac:dyDescent="0.35">
      <c r="A728">
        <v>727</v>
      </c>
      <c r="B728" s="2" t="s">
        <v>10</v>
      </c>
      <c r="C728" s="2" t="s">
        <v>15</v>
      </c>
      <c r="D728">
        <v>44</v>
      </c>
      <c r="E728" s="2" t="s">
        <v>16</v>
      </c>
      <c r="F728" s="2" t="s">
        <v>19</v>
      </c>
      <c r="G728">
        <v>84564</v>
      </c>
      <c r="H728" s="1">
        <v>45204</v>
      </c>
      <c r="I728">
        <v>1</v>
      </c>
      <c r="J728">
        <v>5</v>
      </c>
      <c r="K728">
        <v>8456</v>
      </c>
      <c r="L728">
        <v>4228</v>
      </c>
      <c r="M728">
        <v>88792</v>
      </c>
      <c r="N728">
        <v>0</v>
      </c>
      <c r="O728">
        <v>93020</v>
      </c>
    </row>
    <row r="729" spans="1:15" x14ac:dyDescent="0.35">
      <c r="A729">
        <v>728</v>
      </c>
      <c r="B729" s="2" t="s">
        <v>20</v>
      </c>
      <c r="C729" s="2" t="s">
        <v>11</v>
      </c>
      <c r="D729">
        <v>55</v>
      </c>
      <c r="E729" s="2" t="s">
        <v>16</v>
      </c>
      <c r="F729" s="2" t="s">
        <v>21</v>
      </c>
      <c r="G729">
        <v>72425</v>
      </c>
      <c r="H729" s="1">
        <v>45400</v>
      </c>
      <c r="I729">
        <v>4</v>
      </c>
      <c r="J729">
        <v>1</v>
      </c>
      <c r="K729">
        <v>7242</v>
      </c>
      <c r="L729">
        <v>3621</v>
      </c>
      <c r="M729">
        <v>76046</v>
      </c>
      <c r="N729">
        <v>0</v>
      </c>
      <c r="O729">
        <v>79667</v>
      </c>
    </row>
    <row r="730" spans="1:15" x14ac:dyDescent="0.35">
      <c r="A730">
        <v>729</v>
      </c>
      <c r="B730" s="2" t="s">
        <v>14</v>
      </c>
      <c r="C730" s="2" t="s">
        <v>15</v>
      </c>
      <c r="D730">
        <v>28</v>
      </c>
      <c r="E730" s="2" t="s">
        <v>29</v>
      </c>
      <c r="F730" s="2" t="s">
        <v>13</v>
      </c>
      <c r="G730">
        <v>63447</v>
      </c>
      <c r="H730" s="1">
        <v>45039</v>
      </c>
      <c r="I730">
        <v>5</v>
      </c>
      <c r="J730">
        <v>4</v>
      </c>
      <c r="K730">
        <v>6345</v>
      </c>
      <c r="L730">
        <v>3172</v>
      </c>
      <c r="M730">
        <v>66620</v>
      </c>
      <c r="N730">
        <v>0</v>
      </c>
      <c r="O730">
        <v>69792</v>
      </c>
    </row>
    <row r="731" spans="1:15" x14ac:dyDescent="0.35">
      <c r="A731">
        <v>730</v>
      </c>
      <c r="B731" s="2" t="s">
        <v>26</v>
      </c>
      <c r="C731" s="2" t="s">
        <v>11</v>
      </c>
      <c r="D731">
        <v>30</v>
      </c>
      <c r="E731" s="2" t="s">
        <v>12</v>
      </c>
      <c r="F731" s="2" t="s">
        <v>17</v>
      </c>
      <c r="G731">
        <v>75331</v>
      </c>
      <c r="H731" s="1">
        <v>45150</v>
      </c>
      <c r="I731">
        <v>10</v>
      </c>
      <c r="J731">
        <v>4</v>
      </c>
      <c r="K731">
        <v>7533</v>
      </c>
      <c r="L731">
        <v>3767</v>
      </c>
      <c r="M731">
        <v>79097</v>
      </c>
      <c r="N731">
        <v>3767</v>
      </c>
      <c r="O731">
        <v>86631</v>
      </c>
    </row>
    <row r="732" spans="1:15" x14ac:dyDescent="0.35">
      <c r="A732">
        <v>731</v>
      </c>
      <c r="B732" s="2" t="s">
        <v>14</v>
      </c>
      <c r="C732" s="2" t="s">
        <v>15</v>
      </c>
      <c r="D732">
        <v>21</v>
      </c>
      <c r="E732" s="2" t="s">
        <v>28</v>
      </c>
      <c r="F732" s="2" t="s">
        <v>17</v>
      </c>
      <c r="G732">
        <v>95907</v>
      </c>
      <c r="H732" s="1">
        <v>44598</v>
      </c>
      <c r="I732">
        <v>10</v>
      </c>
      <c r="J732">
        <v>4</v>
      </c>
      <c r="K732">
        <v>9591</v>
      </c>
      <c r="L732">
        <v>4795</v>
      </c>
      <c r="M732">
        <v>100703</v>
      </c>
      <c r="N732">
        <v>4795</v>
      </c>
      <c r="O732">
        <v>110293</v>
      </c>
    </row>
    <row r="733" spans="1:15" x14ac:dyDescent="0.35">
      <c r="A733">
        <v>732</v>
      </c>
      <c r="B733" s="2" t="s">
        <v>30</v>
      </c>
      <c r="C733" s="2" t="s">
        <v>15</v>
      </c>
      <c r="D733">
        <v>49</v>
      </c>
      <c r="E733" s="2" t="s">
        <v>12</v>
      </c>
      <c r="F733" s="2" t="s">
        <v>17</v>
      </c>
      <c r="G733">
        <v>83103</v>
      </c>
      <c r="H733" s="1">
        <v>44690</v>
      </c>
      <c r="I733">
        <v>2</v>
      </c>
      <c r="J733">
        <v>2</v>
      </c>
      <c r="K733">
        <v>8310</v>
      </c>
      <c r="L733">
        <v>4155</v>
      </c>
      <c r="M733">
        <v>87258</v>
      </c>
      <c r="N733">
        <v>0</v>
      </c>
      <c r="O733">
        <v>91413</v>
      </c>
    </row>
    <row r="734" spans="1:15" x14ac:dyDescent="0.35">
      <c r="A734">
        <v>733</v>
      </c>
      <c r="B734" s="2" t="s">
        <v>22</v>
      </c>
      <c r="C734" s="2" t="s">
        <v>15</v>
      </c>
      <c r="D734">
        <v>27</v>
      </c>
      <c r="E734" s="2" t="s">
        <v>24</v>
      </c>
      <c r="F734" s="2" t="s">
        <v>25</v>
      </c>
      <c r="G734">
        <v>80570</v>
      </c>
      <c r="H734" s="1">
        <v>45396</v>
      </c>
      <c r="I734">
        <v>5</v>
      </c>
      <c r="J734">
        <v>5</v>
      </c>
      <c r="K734">
        <v>8057</v>
      </c>
      <c r="L734">
        <v>4028</v>
      </c>
      <c r="M734">
        <v>84599</v>
      </c>
      <c r="N734">
        <v>0</v>
      </c>
      <c r="O734">
        <v>88627</v>
      </c>
    </row>
    <row r="735" spans="1:15" x14ac:dyDescent="0.35">
      <c r="A735">
        <v>734</v>
      </c>
      <c r="B735" s="2" t="s">
        <v>10</v>
      </c>
      <c r="C735" s="2" t="s">
        <v>11</v>
      </c>
      <c r="D735">
        <v>53</v>
      </c>
      <c r="E735" s="2" t="s">
        <v>28</v>
      </c>
      <c r="F735" s="2" t="s">
        <v>17</v>
      </c>
      <c r="G735">
        <v>41309</v>
      </c>
      <c r="H735" s="1">
        <v>44650</v>
      </c>
      <c r="I735">
        <v>10</v>
      </c>
      <c r="J735">
        <v>2</v>
      </c>
      <c r="K735">
        <v>4131</v>
      </c>
      <c r="L735">
        <v>2065</v>
      </c>
      <c r="M735">
        <v>43375</v>
      </c>
      <c r="N735">
        <v>2065</v>
      </c>
      <c r="O735">
        <v>47505</v>
      </c>
    </row>
    <row r="736" spans="1:15" x14ac:dyDescent="0.35">
      <c r="A736">
        <v>735</v>
      </c>
      <c r="B736" s="2" t="s">
        <v>26</v>
      </c>
      <c r="C736" s="2" t="s">
        <v>15</v>
      </c>
      <c r="D736">
        <v>54</v>
      </c>
      <c r="E736" s="2" t="s">
        <v>29</v>
      </c>
      <c r="F736" s="2" t="s">
        <v>21</v>
      </c>
      <c r="G736">
        <v>31664</v>
      </c>
      <c r="H736" s="1">
        <v>45371</v>
      </c>
      <c r="I736">
        <v>2</v>
      </c>
      <c r="J736">
        <v>3</v>
      </c>
      <c r="K736">
        <v>3166</v>
      </c>
      <c r="L736">
        <v>1583</v>
      </c>
      <c r="M736">
        <v>33247</v>
      </c>
      <c r="N736">
        <v>0</v>
      </c>
      <c r="O736">
        <v>34830</v>
      </c>
    </row>
    <row r="737" spans="1:15" x14ac:dyDescent="0.35">
      <c r="A737">
        <v>736</v>
      </c>
      <c r="B737" s="2" t="s">
        <v>18</v>
      </c>
      <c r="C737" s="2" t="s">
        <v>11</v>
      </c>
      <c r="D737">
        <v>60</v>
      </c>
      <c r="E737" s="2" t="s">
        <v>16</v>
      </c>
      <c r="F737" s="2" t="s">
        <v>25</v>
      </c>
      <c r="G737">
        <v>95539</v>
      </c>
      <c r="H737" s="1">
        <v>44632</v>
      </c>
      <c r="I737">
        <v>18</v>
      </c>
      <c r="J737">
        <v>5</v>
      </c>
      <c r="K737">
        <v>9554</v>
      </c>
      <c r="L737">
        <v>4777</v>
      </c>
      <c r="M737">
        <v>100316</v>
      </c>
      <c r="N737">
        <v>4777</v>
      </c>
      <c r="O737">
        <v>109870</v>
      </c>
    </row>
    <row r="738" spans="1:15" x14ac:dyDescent="0.35">
      <c r="A738">
        <v>737</v>
      </c>
      <c r="B738" s="2" t="s">
        <v>31</v>
      </c>
      <c r="C738" s="2" t="s">
        <v>15</v>
      </c>
      <c r="D738">
        <v>50</v>
      </c>
      <c r="E738" s="2" t="s">
        <v>24</v>
      </c>
      <c r="F738" s="2" t="s">
        <v>13</v>
      </c>
      <c r="G738">
        <v>50235</v>
      </c>
      <c r="H738" s="1">
        <v>45397</v>
      </c>
      <c r="I738">
        <v>18</v>
      </c>
      <c r="J738">
        <v>2</v>
      </c>
      <c r="K738">
        <v>5024</v>
      </c>
      <c r="L738">
        <v>2512</v>
      </c>
      <c r="M738">
        <v>52747</v>
      </c>
      <c r="N738">
        <v>2512</v>
      </c>
      <c r="O738">
        <v>57771</v>
      </c>
    </row>
    <row r="739" spans="1:15" x14ac:dyDescent="0.35">
      <c r="A739">
        <v>738</v>
      </c>
      <c r="B739" s="2" t="s">
        <v>14</v>
      </c>
      <c r="C739" s="2" t="s">
        <v>15</v>
      </c>
      <c r="D739">
        <v>26</v>
      </c>
      <c r="E739" s="2" t="s">
        <v>24</v>
      </c>
      <c r="F739" s="2" t="s">
        <v>19</v>
      </c>
      <c r="G739">
        <v>80701</v>
      </c>
      <c r="H739" s="1">
        <v>44890</v>
      </c>
      <c r="I739">
        <v>12</v>
      </c>
      <c r="J739">
        <v>1</v>
      </c>
      <c r="K739">
        <v>8070</v>
      </c>
      <c r="L739">
        <v>4035</v>
      </c>
      <c r="M739">
        <v>84736</v>
      </c>
      <c r="N739">
        <v>4035</v>
      </c>
      <c r="O739">
        <v>92806</v>
      </c>
    </row>
    <row r="740" spans="1:15" x14ac:dyDescent="0.35">
      <c r="A740">
        <v>739</v>
      </c>
      <c r="B740" s="2" t="s">
        <v>26</v>
      </c>
      <c r="C740" s="2" t="s">
        <v>11</v>
      </c>
      <c r="D740">
        <v>50</v>
      </c>
      <c r="E740" s="2" t="s">
        <v>12</v>
      </c>
      <c r="F740" s="2" t="s">
        <v>25</v>
      </c>
      <c r="G740">
        <v>35591</v>
      </c>
      <c r="H740" s="1">
        <v>45004</v>
      </c>
      <c r="I740">
        <v>8</v>
      </c>
      <c r="J740">
        <v>3</v>
      </c>
      <c r="K740">
        <v>3559</v>
      </c>
      <c r="L740">
        <v>1780</v>
      </c>
      <c r="M740">
        <v>37370</v>
      </c>
      <c r="N740">
        <v>1780</v>
      </c>
      <c r="O740">
        <v>40930</v>
      </c>
    </row>
    <row r="741" spans="1:15" x14ac:dyDescent="0.35">
      <c r="A741">
        <v>740</v>
      </c>
      <c r="B741" s="2" t="s">
        <v>31</v>
      </c>
      <c r="C741" s="2" t="s">
        <v>11</v>
      </c>
      <c r="D741">
        <v>46</v>
      </c>
      <c r="E741" s="2" t="s">
        <v>12</v>
      </c>
      <c r="F741" s="2" t="s">
        <v>25</v>
      </c>
      <c r="G741">
        <v>25654</v>
      </c>
      <c r="H741" s="1">
        <v>45433</v>
      </c>
      <c r="I741">
        <v>12</v>
      </c>
      <c r="J741">
        <v>5</v>
      </c>
      <c r="K741">
        <v>2565</v>
      </c>
      <c r="L741">
        <v>1283</v>
      </c>
      <c r="M741">
        <v>26936</v>
      </c>
      <c r="N741">
        <v>1283</v>
      </c>
      <c r="O741">
        <v>29502</v>
      </c>
    </row>
    <row r="742" spans="1:15" x14ac:dyDescent="0.35">
      <c r="A742">
        <v>741</v>
      </c>
      <c r="B742" s="2" t="s">
        <v>31</v>
      </c>
      <c r="C742" s="2" t="s">
        <v>11</v>
      </c>
      <c r="D742">
        <v>21</v>
      </c>
      <c r="E742" s="2" t="s">
        <v>16</v>
      </c>
      <c r="F742" s="2" t="s">
        <v>17</v>
      </c>
      <c r="G742">
        <v>28971</v>
      </c>
      <c r="H742" s="1">
        <v>44916</v>
      </c>
      <c r="I742">
        <v>3</v>
      </c>
      <c r="J742">
        <v>5</v>
      </c>
      <c r="K742">
        <v>2897</v>
      </c>
      <c r="L742">
        <v>1449</v>
      </c>
      <c r="M742">
        <v>30419</v>
      </c>
      <c r="N742">
        <v>0</v>
      </c>
      <c r="O742">
        <v>31868</v>
      </c>
    </row>
    <row r="743" spans="1:15" x14ac:dyDescent="0.35">
      <c r="A743">
        <v>742</v>
      </c>
      <c r="B743" s="2" t="s">
        <v>10</v>
      </c>
      <c r="C743" s="2" t="s">
        <v>11</v>
      </c>
      <c r="D743">
        <v>24</v>
      </c>
      <c r="E743" s="2" t="s">
        <v>28</v>
      </c>
      <c r="F743" s="2" t="s">
        <v>17</v>
      </c>
      <c r="G743">
        <v>28099</v>
      </c>
      <c r="H743" s="1">
        <v>44777</v>
      </c>
      <c r="I743">
        <v>5</v>
      </c>
      <c r="J743">
        <v>5</v>
      </c>
      <c r="K743">
        <v>2810</v>
      </c>
      <c r="L743">
        <v>1405</v>
      </c>
      <c r="M743">
        <v>29504</v>
      </c>
      <c r="N743">
        <v>0</v>
      </c>
      <c r="O743">
        <v>30909</v>
      </c>
    </row>
    <row r="744" spans="1:15" x14ac:dyDescent="0.35">
      <c r="A744">
        <v>743</v>
      </c>
      <c r="B744" s="2" t="s">
        <v>27</v>
      </c>
      <c r="C744" s="2" t="s">
        <v>15</v>
      </c>
      <c r="D744">
        <v>24</v>
      </c>
      <c r="E744" s="2" t="s">
        <v>28</v>
      </c>
      <c r="F744" s="2" t="s">
        <v>21</v>
      </c>
      <c r="G744">
        <v>69994</v>
      </c>
      <c r="H744" s="1">
        <v>44724</v>
      </c>
      <c r="I744">
        <v>5</v>
      </c>
      <c r="J744">
        <v>4</v>
      </c>
      <c r="K744">
        <v>6999</v>
      </c>
      <c r="L744">
        <v>3500</v>
      </c>
      <c r="M744">
        <v>73493</v>
      </c>
      <c r="N744">
        <v>0</v>
      </c>
      <c r="O744">
        <v>76993</v>
      </c>
    </row>
    <row r="745" spans="1:15" x14ac:dyDescent="0.35">
      <c r="A745">
        <v>744</v>
      </c>
      <c r="B745" s="2" t="s">
        <v>18</v>
      </c>
      <c r="C745" s="2" t="s">
        <v>11</v>
      </c>
      <c r="D745">
        <v>40</v>
      </c>
      <c r="E745" s="2" t="s">
        <v>24</v>
      </c>
      <c r="F745" s="2" t="s">
        <v>13</v>
      </c>
      <c r="G745">
        <v>97770</v>
      </c>
      <c r="H745" s="1">
        <v>45544</v>
      </c>
      <c r="I745">
        <v>15</v>
      </c>
      <c r="J745">
        <v>1</v>
      </c>
      <c r="K745">
        <v>9777</v>
      </c>
      <c r="L745">
        <v>4888</v>
      </c>
      <c r="M745">
        <v>102659</v>
      </c>
      <c r="N745">
        <v>4888</v>
      </c>
      <c r="O745">
        <v>112435</v>
      </c>
    </row>
    <row r="746" spans="1:15" x14ac:dyDescent="0.35">
      <c r="A746">
        <v>745</v>
      </c>
      <c r="B746" s="2" t="s">
        <v>30</v>
      </c>
      <c r="C746" s="2" t="s">
        <v>15</v>
      </c>
      <c r="D746">
        <v>24</v>
      </c>
      <c r="E746" s="2" t="s">
        <v>12</v>
      </c>
      <c r="F746" s="2" t="s">
        <v>19</v>
      </c>
      <c r="G746">
        <v>57120</v>
      </c>
      <c r="H746" s="1">
        <v>44966</v>
      </c>
      <c r="I746">
        <v>10</v>
      </c>
      <c r="J746">
        <v>3</v>
      </c>
      <c r="K746">
        <v>5712</v>
      </c>
      <c r="L746">
        <v>2856</v>
      </c>
      <c r="M746">
        <v>59976</v>
      </c>
      <c r="N746">
        <v>2856</v>
      </c>
      <c r="O746">
        <v>65688</v>
      </c>
    </row>
    <row r="747" spans="1:15" x14ac:dyDescent="0.35">
      <c r="A747">
        <v>746</v>
      </c>
      <c r="B747" s="2" t="s">
        <v>26</v>
      </c>
      <c r="C747" s="2" t="s">
        <v>15</v>
      </c>
      <c r="D747">
        <v>43</v>
      </c>
      <c r="E747" s="2" t="s">
        <v>28</v>
      </c>
      <c r="F747" s="2" t="s">
        <v>25</v>
      </c>
      <c r="G747">
        <v>26266</v>
      </c>
      <c r="H747" s="1">
        <v>44671</v>
      </c>
      <c r="I747">
        <v>3</v>
      </c>
      <c r="J747">
        <v>4</v>
      </c>
      <c r="K747">
        <v>2627</v>
      </c>
      <c r="L747">
        <v>1313</v>
      </c>
      <c r="M747">
        <v>27580</v>
      </c>
      <c r="N747">
        <v>0</v>
      </c>
      <c r="O747">
        <v>28893</v>
      </c>
    </row>
    <row r="748" spans="1:15" x14ac:dyDescent="0.35">
      <c r="A748">
        <v>747</v>
      </c>
      <c r="B748" s="2" t="s">
        <v>30</v>
      </c>
      <c r="C748" s="2" t="s">
        <v>15</v>
      </c>
      <c r="D748">
        <v>39</v>
      </c>
      <c r="E748" s="2" t="s">
        <v>16</v>
      </c>
      <c r="F748" s="2" t="s">
        <v>19</v>
      </c>
      <c r="G748">
        <v>49598</v>
      </c>
      <c r="H748" s="1">
        <v>45162</v>
      </c>
      <c r="I748">
        <v>20</v>
      </c>
      <c r="J748">
        <v>1</v>
      </c>
      <c r="K748">
        <v>4960</v>
      </c>
      <c r="L748">
        <v>2480</v>
      </c>
      <c r="M748">
        <v>52078</v>
      </c>
      <c r="N748">
        <v>2480</v>
      </c>
      <c r="O748">
        <v>57038</v>
      </c>
    </row>
    <row r="749" spans="1:15" x14ac:dyDescent="0.35">
      <c r="A749">
        <v>748</v>
      </c>
      <c r="B749" s="2" t="s">
        <v>14</v>
      </c>
      <c r="C749" s="2" t="s">
        <v>11</v>
      </c>
      <c r="D749">
        <v>53</v>
      </c>
      <c r="E749" s="2" t="s">
        <v>29</v>
      </c>
      <c r="F749" s="2" t="s">
        <v>21</v>
      </c>
      <c r="G749">
        <v>68653</v>
      </c>
      <c r="H749" s="1">
        <v>44648</v>
      </c>
      <c r="I749">
        <v>10</v>
      </c>
      <c r="J749">
        <v>1</v>
      </c>
      <c r="K749">
        <v>6865</v>
      </c>
      <c r="L749">
        <v>3433</v>
      </c>
      <c r="M749">
        <v>72085</v>
      </c>
      <c r="N749">
        <v>3433</v>
      </c>
      <c r="O749">
        <v>78951</v>
      </c>
    </row>
    <row r="750" spans="1:15" x14ac:dyDescent="0.35">
      <c r="A750">
        <v>749</v>
      </c>
      <c r="B750" s="2" t="s">
        <v>18</v>
      </c>
      <c r="C750" s="2" t="s">
        <v>11</v>
      </c>
      <c r="D750">
        <v>51</v>
      </c>
      <c r="E750" s="2" t="s">
        <v>24</v>
      </c>
      <c r="F750" s="2" t="s">
        <v>13</v>
      </c>
      <c r="G750">
        <v>49749</v>
      </c>
      <c r="H750" s="1">
        <v>44645</v>
      </c>
      <c r="I750">
        <v>3</v>
      </c>
      <c r="J750">
        <v>5</v>
      </c>
      <c r="K750">
        <v>4975</v>
      </c>
      <c r="L750">
        <v>2487</v>
      </c>
      <c r="M750">
        <v>52237</v>
      </c>
      <c r="N750">
        <v>0</v>
      </c>
      <c r="O750">
        <v>54724</v>
      </c>
    </row>
    <row r="751" spans="1:15" x14ac:dyDescent="0.35">
      <c r="A751">
        <v>750</v>
      </c>
      <c r="B751" s="2" t="s">
        <v>23</v>
      </c>
      <c r="C751" s="2" t="s">
        <v>11</v>
      </c>
      <c r="D751">
        <v>28</v>
      </c>
      <c r="E751" s="2" t="s">
        <v>29</v>
      </c>
      <c r="F751" s="2" t="s">
        <v>19</v>
      </c>
      <c r="G751">
        <v>32832</v>
      </c>
      <c r="H751" s="1">
        <v>44772</v>
      </c>
      <c r="I751">
        <v>17</v>
      </c>
      <c r="J751">
        <v>2</v>
      </c>
      <c r="K751">
        <v>3283</v>
      </c>
      <c r="L751">
        <v>1642</v>
      </c>
      <c r="M751">
        <v>34473</v>
      </c>
      <c r="N751">
        <v>1642</v>
      </c>
      <c r="O751">
        <v>37757</v>
      </c>
    </row>
    <row r="752" spans="1:15" x14ac:dyDescent="0.35">
      <c r="A752">
        <v>751</v>
      </c>
      <c r="B752" s="2" t="s">
        <v>23</v>
      </c>
      <c r="C752" s="2" t="s">
        <v>11</v>
      </c>
      <c r="D752">
        <v>40</v>
      </c>
      <c r="E752" s="2" t="s">
        <v>29</v>
      </c>
      <c r="F752" s="2" t="s">
        <v>17</v>
      </c>
      <c r="G752">
        <v>81538</v>
      </c>
      <c r="H752" s="1">
        <v>44842</v>
      </c>
      <c r="I752">
        <v>1</v>
      </c>
      <c r="J752">
        <v>3</v>
      </c>
      <c r="K752">
        <v>8154</v>
      </c>
      <c r="L752">
        <v>4077</v>
      </c>
      <c r="M752">
        <v>85615</v>
      </c>
      <c r="N752">
        <v>0</v>
      </c>
      <c r="O752">
        <v>89692</v>
      </c>
    </row>
    <row r="753" spans="1:15" x14ac:dyDescent="0.35">
      <c r="A753">
        <v>752</v>
      </c>
      <c r="B753" s="2" t="s">
        <v>23</v>
      </c>
      <c r="C753" s="2" t="s">
        <v>15</v>
      </c>
      <c r="D753">
        <v>46</v>
      </c>
      <c r="E753" s="2" t="s">
        <v>12</v>
      </c>
      <c r="F753" s="2" t="s">
        <v>21</v>
      </c>
      <c r="G753">
        <v>41439</v>
      </c>
      <c r="H753" s="1">
        <v>45004</v>
      </c>
      <c r="I753">
        <v>3</v>
      </c>
      <c r="J753">
        <v>4</v>
      </c>
      <c r="K753">
        <v>4144</v>
      </c>
      <c r="L753">
        <v>2072</v>
      </c>
      <c r="M753">
        <v>43511</v>
      </c>
      <c r="N753">
        <v>0</v>
      </c>
      <c r="O753">
        <v>45583</v>
      </c>
    </row>
    <row r="754" spans="1:15" x14ac:dyDescent="0.35">
      <c r="A754">
        <v>753</v>
      </c>
      <c r="B754" s="2" t="s">
        <v>18</v>
      </c>
      <c r="C754" s="2" t="s">
        <v>15</v>
      </c>
      <c r="D754">
        <v>53</v>
      </c>
      <c r="E754" s="2" t="s">
        <v>28</v>
      </c>
      <c r="F754" s="2" t="s">
        <v>21</v>
      </c>
      <c r="G754">
        <v>76867</v>
      </c>
      <c r="H754" s="1">
        <v>44601</v>
      </c>
      <c r="I754">
        <v>19</v>
      </c>
      <c r="J754">
        <v>5</v>
      </c>
      <c r="K754">
        <v>7687</v>
      </c>
      <c r="L754">
        <v>3843</v>
      </c>
      <c r="M754">
        <v>80711</v>
      </c>
      <c r="N754">
        <v>3843</v>
      </c>
      <c r="O754">
        <v>88397</v>
      </c>
    </row>
    <row r="755" spans="1:15" x14ac:dyDescent="0.35">
      <c r="A755">
        <v>754</v>
      </c>
      <c r="B755" s="2" t="s">
        <v>27</v>
      </c>
      <c r="C755" s="2" t="s">
        <v>11</v>
      </c>
      <c r="D755">
        <v>23</v>
      </c>
      <c r="E755" s="2" t="s">
        <v>12</v>
      </c>
      <c r="F755" s="2" t="s">
        <v>19</v>
      </c>
      <c r="G755">
        <v>31931</v>
      </c>
      <c r="H755" s="1">
        <v>45108</v>
      </c>
      <c r="I755">
        <v>18</v>
      </c>
      <c r="J755">
        <v>4</v>
      </c>
      <c r="K755">
        <v>3193</v>
      </c>
      <c r="L755">
        <v>1597</v>
      </c>
      <c r="M755">
        <v>33527</v>
      </c>
      <c r="N755">
        <v>1597</v>
      </c>
      <c r="O755">
        <v>36721</v>
      </c>
    </row>
    <row r="756" spans="1:15" x14ac:dyDescent="0.35">
      <c r="A756">
        <v>755</v>
      </c>
      <c r="B756" s="2" t="s">
        <v>23</v>
      </c>
      <c r="C756" s="2" t="s">
        <v>11</v>
      </c>
      <c r="D756">
        <v>32</v>
      </c>
      <c r="E756" s="2" t="s">
        <v>12</v>
      </c>
      <c r="F756" s="2" t="s">
        <v>25</v>
      </c>
      <c r="G756">
        <v>21147</v>
      </c>
      <c r="H756" s="1">
        <v>45108</v>
      </c>
      <c r="I756">
        <v>2</v>
      </c>
      <c r="J756">
        <v>5</v>
      </c>
      <c r="K756">
        <v>2115</v>
      </c>
      <c r="L756">
        <v>1057</v>
      </c>
      <c r="M756">
        <v>22205</v>
      </c>
      <c r="N756">
        <v>0</v>
      </c>
      <c r="O756">
        <v>23262</v>
      </c>
    </row>
    <row r="757" spans="1:15" x14ac:dyDescent="0.35">
      <c r="A757">
        <v>756</v>
      </c>
      <c r="B757" s="2" t="s">
        <v>18</v>
      </c>
      <c r="C757" s="2" t="s">
        <v>15</v>
      </c>
      <c r="D757">
        <v>26</v>
      </c>
      <c r="E757" s="2" t="s">
        <v>16</v>
      </c>
      <c r="F757" s="2" t="s">
        <v>17</v>
      </c>
      <c r="G757">
        <v>88426</v>
      </c>
      <c r="H757" s="1">
        <v>45398</v>
      </c>
      <c r="I757">
        <v>13</v>
      </c>
      <c r="J757">
        <v>3</v>
      </c>
      <c r="K757">
        <v>8843</v>
      </c>
      <c r="L757">
        <v>4421</v>
      </c>
      <c r="M757">
        <v>92848</v>
      </c>
      <c r="N757">
        <v>4421</v>
      </c>
      <c r="O757">
        <v>101690</v>
      </c>
    </row>
    <row r="758" spans="1:15" x14ac:dyDescent="0.35">
      <c r="A758">
        <v>757</v>
      </c>
      <c r="B758" s="2" t="s">
        <v>18</v>
      </c>
      <c r="C758" s="2" t="s">
        <v>11</v>
      </c>
      <c r="D758">
        <v>43</v>
      </c>
      <c r="E758" s="2" t="s">
        <v>24</v>
      </c>
      <c r="F758" s="2" t="s">
        <v>25</v>
      </c>
      <c r="G758">
        <v>49343</v>
      </c>
      <c r="H758" s="1">
        <v>44604</v>
      </c>
      <c r="I758">
        <v>10</v>
      </c>
      <c r="J758">
        <v>4</v>
      </c>
      <c r="K758">
        <v>4934</v>
      </c>
      <c r="L758">
        <v>2467</v>
      </c>
      <c r="M758">
        <v>51810</v>
      </c>
      <c r="N758">
        <v>2467</v>
      </c>
      <c r="O758">
        <v>56744</v>
      </c>
    </row>
    <row r="759" spans="1:15" x14ac:dyDescent="0.35">
      <c r="A759">
        <v>758</v>
      </c>
      <c r="B759" s="2" t="s">
        <v>23</v>
      </c>
      <c r="C759" s="2" t="s">
        <v>15</v>
      </c>
      <c r="D759">
        <v>54</v>
      </c>
      <c r="E759" s="2" t="s">
        <v>16</v>
      </c>
      <c r="F759" s="2" t="s">
        <v>13</v>
      </c>
      <c r="G759">
        <v>24089</v>
      </c>
      <c r="H759" s="1">
        <v>44877</v>
      </c>
      <c r="I759">
        <v>17</v>
      </c>
      <c r="J759">
        <v>2</v>
      </c>
      <c r="K759">
        <v>2409</v>
      </c>
      <c r="L759">
        <v>1204</v>
      </c>
      <c r="M759">
        <v>25294</v>
      </c>
      <c r="N759">
        <v>1204</v>
      </c>
      <c r="O759">
        <v>27702</v>
      </c>
    </row>
    <row r="760" spans="1:15" x14ac:dyDescent="0.35">
      <c r="A760">
        <v>759</v>
      </c>
      <c r="B760" s="2" t="s">
        <v>30</v>
      </c>
      <c r="C760" s="2" t="s">
        <v>11</v>
      </c>
      <c r="D760">
        <v>25</v>
      </c>
      <c r="E760" s="2" t="s">
        <v>29</v>
      </c>
      <c r="F760" s="2" t="s">
        <v>21</v>
      </c>
      <c r="G760">
        <v>22023</v>
      </c>
      <c r="H760" s="1">
        <v>45400</v>
      </c>
      <c r="I760">
        <v>1</v>
      </c>
      <c r="J760">
        <v>5</v>
      </c>
      <c r="K760">
        <v>2202</v>
      </c>
      <c r="L760">
        <v>1101</v>
      </c>
      <c r="M760">
        <v>23124</v>
      </c>
      <c r="N760">
        <v>0</v>
      </c>
      <c r="O760">
        <v>24225</v>
      </c>
    </row>
    <row r="761" spans="1:15" x14ac:dyDescent="0.35">
      <c r="A761">
        <v>760</v>
      </c>
      <c r="B761" s="2" t="s">
        <v>10</v>
      </c>
      <c r="C761" s="2" t="s">
        <v>11</v>
      </c>
      <c r="D761">
        <v>44</v>
      </c>
      <c r="E761" s="2" t="s">
        <v>29</v>
      </c>
      <c r="F761" s="2" t="s">
        <v>17</v>
      </c>
      <c r="G761">
        <v>96627</v>
      </c>
      <c r="H761" s="1">
        <v>44951</v>
      </c>
      <c r="I761">
        <v>4</v>
      </c>
      <c r="J761">
        <v>2</v>
      </c>
      <c r="K761">
        <v>9663</v>
      </c>
      <c r="L761">
        <v>4831</v>
      </c>
      <c r="M761">
        <v>101459</v>
      </c>
      <c r="N761">
        <v>0</v>
      </c>
      <c r="O761">
        <v>106290</v>
      </c>
    </row>
    <row r="762" spans="1:15" x14ac:dyDescent="0.35">
      <c r="A762">
        <v>761</v>
      </c>
      <c r="B762" s="2" t="s">
        <v>30</v>
      </c>
      <c r="C762" s="2" t="s">
        <v>11</v>
      </c>
      <c r="D762">
        <v>51</v>
      </c>
      <c r="E762" s="2" t="s">
        <v>12</v>
      </c>
      <c r="F762" s="2" t="s">
        <v>19</v>
      </c>
      <c r="G762">
        <v>82123</v>
      </c>
      <c r="H762" s="1">
        <v>44931</v>
      </c>
      <c r="I762">
        <v>2</v>
      </c>
      <c r="J762">
        <v>5</v>
      </c>
      <c r="K762">
        <v>8212</v>
      </c>
      <c r="L762">
        <v>4106</v>
      </c>
      <c r="M762">
        <v>86229</v>
      </c>
      <c r="N762">
        <v>0</v>
      </c>
      <c r="O762">
        <v>90335</v>
      </c>
    </row>
    <row r="763" spans="1:15" x14ac:dyDescent="0.35">
      <c r="A763">
        <v>762</v>
      </c>
      <c r="B763" s="2" t="s">
        <v>20</v>
      </c>
      <c r="C763" s="2" t="s">
        <v>11</v>
      </c>
      <c r="D763">
        <v>42</v>
      </c>
      <c r="E763" s="2" t="s">
        <v>12</v>
      </c>
      <c r="F763" s="2" t="s">
        <v>21</v>
      </c>
      <c r="G763">
        <v>66732</v>
      </c>
      <c r="H763" s="1">
        <v>44674</v>
      </c>
      <c r="I763">
        <v>6</v>
      </c>
      <c r="J763">
        <v>3</v>
      </c>
      <c r="K763">
        <v>6673</v>
      </c>
      <c r="L763">
        <v>3337</v>
      </c>
      <c r="M763">
        <v>70068</v>
      </c>
      <c r="N763">
        <v>3337</v>
      </c>
      <c r="O763">
        <v>76742</v>
      </c>
    </row>
    <row r="764" spans="1:15" x14ac:dyDescent="0.35">
      <c r="A764">
        <v>763</v>
      </c>
      <c r="B764" s="2" t="s">
        <v>31</v>
      </c>
      <c r="C764" s="2" t="s">
        <v>15</v>
      </c>
      <c r="D764">
        <v>49</v>
      </c>
      <c r="E764" s="2" t="s">
        <v>28</v>
      </c>
      <c r="F764" s="2" t="s">
        <v>21</v>
      </c>
      <c r="G764">
        <v>27081</v>
      </c>
      <c r="H764" s="1">
        <v>45175</v>
      </c>
      <c r="I764">
        <v>3</v>
      </c>
      <c r="J764">
        <v>4</v>
      </c>
      <c r="K764">
        <v>2708</v>
      </c>
      <c r="L764">
        <v>1354</v>
      </c>
      <c r="M764">
        <v>28435</v>
      </c>
      <c r="N764">
        <v>0</v>
      </c>
      <c r="O764">
        <v>29789</v>
      </c>
    </row>
    <row r="765" spans="1:15" x14ac:dyDescent="0.35">
      <c r="A765">
        <v>764</v>
      </c>
      <c r="B765" s="2" t="s">
        <v>20</v>
      </c>
      <c r="C765" s="2" t="s">
        <v>11</v>
      </c>
      <c r="D765">
        <v>51</v>
      </c>
      <c r="E765" s="2" t="s">
        <v>12</v>
      </c>
      <c r="F765" s="2" t="s">
        <v>19</v>
      </c>
      <c r="G765">
        <v>41934</v>
      </c>
      <c r="H765" s="1">
        <v>44840</v>
      </c>
      <c r="I765">
        <v>4</v>
      </c>
      <c r="J765">
        <v>2</v>
      </c>
      <c r="K765">
        <v>4193</v>
      </c>
      <c r="L765">
        <v>2097</v>
      </c>
      <c r="M765">
        <v>44030</v>
      </c>
      <c r="N765">
        <v>0</v>
      </c>
      <c r="O765">
        <v>46127</v>
      </c>
    </row>
    <row r="766" spans="1:15" x14ac:dyDescent="0.35">
      <c r="A766">
        <v>765</v>
      </c>
      <c r="B766" s="2" t="s">
        <v>30</v>
      </c>
      <c r="C766" s="2" t="s">
        <v>11</v>
      </c>
      <c r="D766">
        <v>28</v>
      </c>
      <c r="E766" s="2" t="s">
        <v>29</v>
      </c>
      <c r="F766" s="2" t="s">
        <v>21</v>
      </c>
      <c r="G766">
        <v>60223</v>
      </c>
      <c r="H766" s="1">
        <v>44701</v>
      </c>
      <c r="I766">
        <v>4</v>
      </c>
      <c r="J766">
        <v>1</v>
      </c>
      <c r="K766">
        <v>6022</v>
      </c>
      <c r="L766">
        <v>3011</v>
      </c>
      <c r="M766">
        <v>63234</v>
      </c>
      <c r="N766">
        <v>0</v>
      </c>
      <c r="O766">
        <v>66245</v>
      </c>
    </row>
    <row r="767" spans="1:15" x14ac:dyDescent="0.35">
      <c r="A767">
        <v>766</v>
      </c>
      <c r="B767" s="2" t="s">
        <v>26</v>
      </c>
      <c r="C767" s="2" t="s">
        <v>11</v>
      </c>
      <c r="D767">
        <v>57</v>
      </c>
      <c r="E767" s="2" t="s">
        <v>12</v>
      </c>
      <c r="F767" s="2" t="s">
        <v>19</v>
      </c>
      <c r="G767">
        <v>36359</v>
      </c>
      <c r="H767" s="1">
        <v>45283</v>
      </c>
      <c r="I767">
        <v>19</v>
      </c>
      <c r="J767">
        <v>1</v>
      </c>
      <c r="K767">
        <v>3636</v>
      </c>
      <c r="L767">
        <v>1818</v>
      </c>
      <c r="M767">
        <v>38177</v>
      </c>
      <c r="N767">
        <v>1818</v>
      </c>
      <c r="O767">
        <v>41813</v>
      </c>
    </row>
    <row r="768" spans="1:15" x14ac:dyDescent="0.35">
      <c r="A768">
        <v>767</v>
      </c>
      <c r="B768" s="2" t="s">
        <v>26</v>
      </c>
      <c r="C768" s="2" t="s">
        <v>11</v>
      </c>
      <c r="D768">
        <v>39</v>
      </c>
      <c r="E768" s="2" t="s">
        <v>24</v>
      </c>
      <c r="F768" s="2" t="s">
        <v>25</v>
      </c>
      <c r="G768">
        <v>39729</v>
      </c>
      <c r="H768" s="1">
        <v>44587</v>
      </c>
      <c r="I768">
        <v>4</v>
      </c>
      <c r="J768">
        <v>4</v>
      </c>
      <c r="K768">
        <v>3973</v>
      </c>
      <c r="L768">
        <v>1986</v>
      </c>
      <c r="M768">
        <v>41716</v>
      </c>
      <c r="N768">
        <v>0</v>
      </c>
      <c r="O768">
        <v>43702</v>
      </c>
    </row>
    <row r="769" spans="1:15" x14ac:dyDescent="0.35">
      <c r="A769">
        <v>768</v>
      </c>
      <c r="B769" s="2" t="s">
        <v>30</v>
      </c>
      <c r="C769" s="2" t="s">
        <v>11</v>
      </c>
      <c r="D769">
        <v>53</v>
      </c>
      <c r="E769" s="2" t="s">
        <v>29</v>
      </c>
      <c r="F769" s="2" t="s">
        <v>13</v>
      </c>
      <c r="G769">
        <v>24571</v>
      </c>
      <c r="H769" s="1">
        <v>45529</v>
      </c>
      <c r="I769">
        <v>8</v>
      </c>
      <c r="J769">
        <v>5</v>
      </c>
      <c r="K769">
        <v>2457</v>
      </c>
      <c r="L769">
        <v>1229</v>
      </c>
      <c r="M769">
        <v>25799</v>
      </c>
      <c r="N769">
        <v>1229</v>
      </c>
      <c r="O769">
        <v>28257</v>
      </c>
    </row>
    <row r="770" spans="1:15" x14ac:dyDescent="0.35">
      <c r="A770">
        <v>769</v>
      </c>
      <c r="B770" s="2" t="s">
        <v>27</v>
      </c>
      <c r="C770" s="2" t="s">
        <v>15</v>
      </c>
      <c r="D770">
        <v>56</v>
      </c>
      <c r="E770" s="2" t="s">
        <v>29</v>
      </c>
      <c r="F770" s="2" t="s">
        <v>21</v>
      </c>
      <c r="G770">
        <v>87968</v>
      </c>
      <c r="H770" s="1">
        <v>45446</v>
      </c>
      <c r="I770">
        <v>16</v>
      </c>
      <c r="J770">
        <v>2</v>
      </c>
      <c r="K770">
        <v>8797</v>
      </c>
      <c r="L770">
        <v>4398</v>
      </c>
      <c r="M770">
        <v>92367</v>
      </c>
      <c r="N770">
        <v>4398</v>
      </c>
      <c r="O770">
        <v>101163</v>
      </c>
    </row>
    <row r="771" spans="1:15" x14ac:dyDescent="0.35">
      <c r="A771">
        <v>770</v>
      </c>
      <c r="B771" s="2" t="s">
        <v>27</v>
      </c>
      <c r="C771" s="2" t="s">
        <v>11</v>
      </c>
      <c r="D771">
        <v>42</v>
      </c>
      <c r="E771" s="2" t="s">
        <v>28</v>
      </c>
      <c r="F771" s="2" t="s">
        <v>25</v>
      </c>
      <c r="G771">
        <v>94630</v>
      </c>
      <c r="H771" s="1">
        <v>45485</v>
      </c>
      <c r="I771">
        <v>6</v>
      </c>
      <c r="J771">
        <v>1</v>
      </c>
      <c r="K771">
        <v>9463</v>
      </c>
      <c r="L771">
        <v>4732</v>
      </c>
      <c r="M771">
        <v>99361</v>
      </c>
      <c r="N771">
        <v>4732</v>
      </c>
      <c r="O771">
        <v>108825</v>
      </c>
    </row>
    <row r="772" spans="1:15" x14ac:dyDescent="0.35">
      <c r="A772">
        <v>771</v>
      </c>
      <c r="B772" s="2" t="s">
        <v>27</v>
      </c>
      <c r="C772" s="2" t="s">
        <v>11</v>
      </c>
      <c r="D772">
        <v>31</v>
      </c>
      <c r="E772" s="2" t="s">
        <v>12</v>
      </c>
      <c r="F772" s="2" t="s">
        <v>19</v>
      </c>
      <c r="G772">
        <v>45598</v>
      </c>
      <c r="H772" s="1">
        <v>45069</v>
      </c>
      <c r="I772">
        <v>4</v>
      </c>
      <c r="J772">
        <v>1</v>
      </c>
      <c r="K772">
        <v>4560</v>
      </c>
      <c r="L772">
        <v>2280</v>
      </c>
      <c r="M772">
        <v>47878</v>
      </c>
      <c r="N772">
        <v>0</v>
      </c>
      <c r="O772">
        <v>50158</v>
      </c>
    </row>
    <row r="773" spans="1:15" x14ac:dyDescent="0.35">
      <c r="A773">
        <v>772</v>
      </c>
      <c r="B773" s="2" t="s">
        <v>23</v>
      </c>
      <c r="C773" s="2" t="s">
        <v>11</v>
      </c>
      <c r="D773">
        <v>44</v>
      </c>
      <c r="E773" s="2" t="s">
        <v>29</v>
      </c>
      <c r="F773" s="2" t="s">
        <v>17</v>
      </c>
      <c r="G773">
        <v>46760</v>
      </c>
      <c r="H773" s="1">
        <v>45408</v>
      </c>
      <c r="I773">
        <v>8</v>
      </c>
      <c r="J773">
        <v>1</v>
      </c>
      <c r="K773">
        <v>4676</v>
      </c>
      <c r="L773">
        <v>2338</v>
      </c>
      <c r="M773">
        <v>49098</v>
      </c>
      <c r="N773">
        <v>2338</v>
      </c>
      <c r="O773">
        <v>53774</v>
      </c>
    </row>
    <row r="774" spans="1:15" x14ac:dyDescent="0.35">
      <c r="A774">
        <v>773</v>
      </c>
      <c r="B774" s="2" t="s">
        <v>10</v>
      </c>
      <c r="C774" s="2" t="s">
        <v>15</v>
      </c>
      <c r="D774">
        <v>59</v>
      </c>
      <c r="E774" s="2" t="s">
        <v>12</v>
      </c>
      <c r="F774" s="2" t="s">
        <v>25</v>
      </c>
      <c r="G774">
        <v>91859</v>
      </c>
      <c r="H774" s="1">
        <v>45276</v>
      </c>
      <c r="I774">
        <v>17</v>
      </c>
      <c r="J774">
        <v>1</v>
      </c>
      <c r="K774">
        <v>9186</v>
      </c>
      <c r="L774">
        <v>4593</v>
      </c>
      <c r="M774">
        <v>96452</v>
      </c>
      <c r="N774">
        <v>4593</v>
      </c>
      <c r="O774">
        <v>105638</v>
      </c>
    </row>
    <row r="775" spans="1:15" x14ac:dyDescent="0.35">
      <c r="A775">
        <v>774</v>
      </c>
      <c r="B775" s="2" t="s">
        <v>10</v>
      </c>
      <c r="C775" s="2" t="s">
        <v>15</v>
      </c>
      <c r="D775">
        <v>55</v>
      </c>
      <c r="E775" s="2" t="s">
        <v>28</v>
      </c>
      <c r="F775" s="2" t="s">
        <v>19</v>
      </c>
      <c r="G775">
        <v>32027</v>
      </c>
      <c r="H775" s="1">
        <v>45094</v>
      </c>
      <c r="I775">
        <v>15</v>
      </c>
      <c r="J775">
        <v>1</v>
      </c>
      <c r="K775">
        <v>3203</v>
      </c>
      <c r="L775">
        <v>1601</v>
      </c>
      <c r="M775">
        <v>33629</v>
      </c>
      <c r="N775">
        <v>1601</v>
      </c>
      <c r="O775">
        <v>36831</v>
      </c>
    </row>
    <row r="776" spans="1:15" x14ac:dyDescent="0.35">
      <c r="A776">
        <v>775</v>
      </c>
      <c r="B776" s="2" t="s">
        <v>10</v>
      </c>
      <c r="C776" s="2" t="s">
        <v>15</v>
      </c>
      <c r="D776">
        <v>43</v>
      </c>
      <c r="E776" s="2" t="s">
        <v>16</v>
      </c>
      <c r="F776" s="2" t="s">
        <v>25</v>
      </c>
      <c r="G776">
        <v>30173</v>
      </c>
      <c r="H776" s="1">
        <v>45281</v>
      </c>
      <c r="I776">
        <v>9</v>
      </c>
      <c r="J776">
        <v>5</v>
      </c>
      <c r="K776">
        <v>3017</v>
      </c>
      <c r="L776">
        <v>1509</v>
      </c>
      <c r="M776">
        <v>31681</v>
      </c>
      <c r="N776">
        <v>1509</v>
      </c>
      <c r="O776">
        <v>34699</v>
      </c>
    </row>
    <row r="777" spans="1:15" x14ac:dyDescent="0.35">
      <c r="A777">
        <v>776</v>
      </c>
      <c r="B777" s="2" t="s">
        <v>26</v>
      </c>
      <c r="C777" s="2" t="s">
        <v>15</v>
      </c>
      <c r="D777">
        <v>51</v>
      </c>
      <c r="E777" s="2" t="s">
        <v>16</v>
      </c>
      <c r="F777" s="2" t="s">
        <v>25</v>
      </c>
      <c r="G777">
        <v>20570</v>
      </c>
      <c r="H777" s="1">
        <v>44937</v>
      </c>
      <c r="I777">
        <v>5</v>
      </c>
      <c r="J777">
        <v>4</v>
      </c>
      <c r="K777">
        <v>2057</v>
      </c>
      <c r="L777">
        <v>1028</v>
      </c>
      <c r="M777">
        <v>21599</v>
      </c>
      <c r="N777">
        <v>0</v>
      </c>
      <c r="O777">
        <v>22627</v>
      </c>
    </row>
    <row r="778" spans="1:15" x14ac:dyDescent="0.35">
      <c r="A778">
        <v>777</v>
      </c>
      <c r="B778" s="2" t="s">
        <v>23</v>
      </c>
      <c r="C778" s="2" t="s">
        <v>15</v>
      </c>
      <c r="D778">
        <v>21</v>
      </c>
      <c r="E778" s="2" t="s">
        <v>28</v>
      </c>
      <c r="F778" s="2" t="s">
        <v>13</v>
      </c>
      <c r="G778">
        <v>66700</v>
      </c>
      <c r="H778" s="1">
        <v>45151</v>
      </c>
      <c r="I778">
        <v>3</v>
      </c>
      <c r="J778">
        <v>1</v>
      </c>
      <c r="K778">
        <v>6670</v>
      </c>
      <c r="L778">
        <v>3335</v>
      </c>
      <c r="M778">
        <v>70035</v>
      </c>
      <c r="N778">
        <v>0</v>
      </c>
      <c r="O778">
        <v>73370</v>
      </c>
    </row>
    <row r="779" spans="1:15" x14ac:dyDescent="0.35">
      <c r="A779">
        <v>778</v>
      </c>
      <c r="B779" s="2" t="s">
        <v>31</v>
      </c>
      <c r="C779" s="2" t="s">
        <v>15</v>
      </c>
      <c r="D779">
        <v>44</v>
      </c>
      <c r="E779" s="2" t="s">
        <v>12</v>
      </c>
      <c r="F779" s="2" t="s">
        <v>19</v>
      </c>
      <c r="G779">
        <v>27297</v>
      </c>
      <c r="H779" s="1">
        <v>45262</v>
      </c>
      <c r="I779">
        <v>19</v>
      </c>
      <c r="J779">
        <v>2</v>
      </c>
      <c r="K779">
        <v>2730</v>
      </c>
      <c r="L779">
        <v>1365</v>
      </c>
      <c r="M779">
        <v>28662</v>
      </c>
      <c r="N779">
        <v>1365</v>
      </c>
      <c r="O779">
        <v>31392</v>
      </c>
    </row>
    <row r="780" spans="1:15" x14ac:dyDescent="0.35">
      <c r="A780">
        <v>779</v>
      </c>
      <c r="B780" s="2" t="s">
        <v>31</v>
      </c>
      <c r="C780" s="2" t="s">
        <v>11</v>
      </c>
      <c r="D780">
        <v>29</v>
      </c>
      <c r="E780" s="2" t="s">
        <v>29</v>
      </c>
      <c r="F780" s="2" t="s">
        <v>13</v>
      </c>
      <c r="G780">
        <v>52327</v>
      </c>
      <c r="H780" s="1">
        <v>45064</v>
      </c>
      <c r="I780">
        <v>20</v>
      </c>
      <c r="J780">
        <v>5</v>
      </c>
      <c r="K780">
        <v>5233</v>
      </c>
      <c r="L780">
        <v>2616</v>
      </c>
      <c r="M780">
        <v>54944</v>
      </c>
      <c r="N780">
        <v>2616</v>
      </c>
      <c r="O780">
        <v>60176</v>
      </c>
    </row>
    <row r="781" spans="1:15" x14ac:dyDescent="0.35">
      <c r="A781">
        <v>780</v>
      </c>
      <c r="B781" s="2" t="s">
        <v>23</v>
      </c>
      <c r="C781" s="2" t="s">
        <v>11</v>
      </c>
      <c r="D781">
        <v>40</v>
      </c>
      <c r="E781" s="2" t="s">
        <v>12</v>
      </c>
      <c r="F781" s="2" t="s">
        <v>25</v>
      </c>
      <c r="G781">
        <v>60328</v>
      </c>
      <c r="H781" s="1">
        <v>44632</v>
      </c>
      <c r="I781">
        <v>20</v>
      </c>
      <c r="J781">
        <v>4</v>
      </c>
      <c r="K781">
        <v>6033</v>
      </c>
      <c r="L781">
        <v>3016</v>
      </c>
      <c r="M781">
        <v>63345</v>
      </c>
      <c r="N781">
        <v>3016</v>
      </c>
      <c r="O781">
        <v>69377</v>
      </c>
    </row>
    <row r="782" spans="1:15" x14ac:dyDescent="0.35">
      <c r="A782">
        <v>781</v>
      </c>
      <c r="B782" s="2" t="s">
        <v>14</v>
      </c>
      <c r="C782" s="2" t="s">
        <v>11</v>
      </c>
      <c r="D782">
        <v>24</v>
      </c>
      <c r="E782" s="2" t="s">
        <v>24</v>
      </c>
      <c r="F782" s="2" t="s">
        <v>21</v>
      </c>
      <c r="G782">
        <v>65234</v>
      </c>
      <c r="H782" s="1">
        <v>44764</v>
      </c>
      <c r="I782">
        <v>7</v>
      </c>
      <c r="J782">
        <v>1</v>
      </c>
      <c r="K782">
        <v>6523</v>
      </c>
      <c r="L782">
        <v>3262</v>
      </c>
      <c r="M782">
        <v>68495</v>
      </c>
      <c r="N782">
        <v>3262</v>
      </c>
      <c r="O782">
        <v>75019</v>
      </c>
    </row>
    <row r="783" spans="1:15" x14ac:dyDescent="0.35">
      <c r="A783">
        <v>782</v>
      </c>
      <c r="B783" s="2" t="s">
        <v>18</v>
      </c>
      <c r="C783" s="2" t="s">
        <v>15</v>
      </c>
      <c r="D783">
        <v>44</v>
      </c>
      <c r="E783" s="2" t="s">
        <v>28</v>
      </c>
      <c r="F783" s="2" t="s">
        <v>21</v>
      </c>
      <c r="G783">
        <v>85428</v>
      </c>
      <c r="H783" s="1">
        <v>44570</v>
      </c>
      <c r="I783">
        <v>5</v>
      </c>
      <c r="J783">
        <v>4</v>
      </c>
      <c r="K783">
        <v>8543</v>
      </c>
      <c r="L783">
        <v>4271</v>
      </c>
      <c r="M783">
        <v>89700</v>
      </c>
      <c r="N783">
        <v>0</v>
      </c>
      <c r="O783">
        <v>93971</v>
      </c>
    </row>
    <row r="784" spans="1:15" x14ac:dyDescent="0.35">
      <c r="A784">
        <v>783</v>
      </c>
      <c r="B784" s="2" t="s">
        <v>27</v>
      </c>
      <c r="C784" s="2" t="s">
        <v>11</v>
      </c>
      <c r="D784">
        <v>59</v>
      </c>
      <c r="E784" s="2" t="s">
        <v>16</v>
      </c>
      <c r="F784" s="2" t="s">
        <v>13</v>
      </c>
      <c r="G784">
        <v>81701</v>
      </c>
      <c r="H784" s="1">
        <v>44960</v>
      </c>
      <c r="I784">
        <v>19</v>
      </c>
      <c r="J784">
        <v>5</v>
      </c>
      <c r="K784">
        <v>8170</v>
      </c>
      <c r="L784">
        <v>4085</v>
      </c>
      <c r="M784">
        <v>85786</v>
      </c>
      <c r="N784">
        <v>4085</v>
      </c>
      <c r="O784">
        <v>93956</v>
      </c>
    </row>
    <row r="785" spans="1:15" x14ac:dyDescent="0.35">
      <c r="A785">
        <v>784</v>
      </c>
      <c r="B785" s="2" t="s">
        <v>22</v>
      </c>
      <c r="C785" s="2" t="s">
        <v>11</v>
      </c>
      <c r="D785">
        <v>45</v>
      </c>
      <c r="E785" s="2" t="s">
        <v>24</v>
      </c>
      <c r="F785" s="2" t="s">
        <v>17</v>
      </c>
      <c r="G785">
        <v>34361</v>
      </c>
      <c r="H785" s="1">
        <v>45433</v>
      </c>
      <c r="I785">
        <v>4</v>
      </c>
      <c r="J785">
        <v>4</v>
      </c>
      <c r="K785">
        <v>3436</v>
      </c>
      <c r="L785">
        <v>1718</v>
      </c>
      <c r="M785">
        <v>36079</v>
      </c>
      <c r="N785">
        <v>0</v>
      </c>
      <c r="O785">
        <v>37797</v>
      </c>
    </row>
    <row r="786" spans="1:15" x14ac:dyDescent="0.35">
      <c r="A786">
        <v>785</v>
      </c>
      <c r="B786" s="2" t="s">
        <v>18</v>
      </c>
      <c r="C786" s="2" t="s">
        <v>11</v>
      </c>
      <c r="D786">
        <v>42</v>
      </c>
      <c r="E786" s="2" t="s">
        <v>16</v>
      </c>
      <c r="F786" s="2" t="s">
        <v>19</v>
      </c>
      <c r="G786">
        <v>43205</v>
      </c>
      <c r="H786" s="1">
        <v>45201</v>
      </c>
      <c r="I786">
        <v>1</v>
      </c>
      <c r="J786">
        <v>1</v>
      </c>
      <c r="K786">
        <v>4320</v>
      </c>
      <c r="L786">
        <v>2160</v>
      </c>
      <c r="M786">
        <v>45365</v>
      </c>
      <c r="N786">
        <v>0</v>
      </c>
      <c r="O786">
        <v>47525</v>
      </c>
    </row>
    <row r="787" spans="1:15" x14ac:dyDescent="0.35">
      <c r="A787">
        <v>786</v>
      </c>
      <c r="B787" s="2" t="s">
        <v>27</v>
      </c>
      <c r="C787" s="2" t="s">
        <v>11</v>
      </c>
      <c r="D787">
        <v>43</v>
      </c>
      <c r="E787" s="2" t="s">
        <v>12</v>
      </c>
      <c r="F787" s="2" t="s">
        <v>21</v>
      </c>
      <c r="G787">
        <v>34961</v>
      </c>
      <c r="H787" s="1">
        <v>45230</v>
      </c>
      <c r="I787">
        <v>17</v>
      </c>
      <c r="J787">
        <v>4</v>
      </c>
      <c r="K787">
        <v>3496</v>
      </c>
      <c r="L787">
        <v>1748</v>
      </c>
      <c r="M787">
        <v>36709</v>
      </c>
      <c r="N787">
        <v>1748</v>
      </c>
      <c r="O787">
        <v>40205</v>
      </c>
    </row>
    <row r="788" spans="1:15" x14ac:dyDescent="0.35">
      <c r="A788">
        <v>787</v>
      </c>
      <c r="B788" s="2" t="s">
        <v>18</v>
      </c>
      <c r="C788" s="2" t="s">
        <v>15</v>
      </c>
      <c r="D788">
        <v>31</v>
      </c>
      <c r="E788" s="2" t="s">
        <v>16</v>
      </c>
      <c r="F788" s="2" t="s">
        <v>17</v>
      </c>
      <c r="G788">
        <v>68395</v>
      </c>
      <c r="H788" s="1">
        <v>44663</v>
      </c>
      <c r="I788">
        <v>18</v>
      </c>
      <c r="J788">
        <v>3</v>
      </c>
      <c r="K788">
        <v>6840</v>
      </c>
      <c r="L788">
        <v>3420</v>
      </c>
      <c r="M788">
        <v>71815</v>
      </c>
      <c r="N788">
        <v>3420</v>
      </c>
      <c r="O788">
        <v>78655</v>
      </c>
    </row>
    <row r="789" spans="1:15" x14ac:dyDescent="0.35">
      <c r="A789">
        <v>788</v>
      </c>
      <c r="B789" s="2" t="s">
        <v>23</v>
      </c>
      <c r="C789" s="2" t="s">
        <v>15</v>
      </c>
      <c r="D789">
        <v>57</v>
      </c>
      <c r="E789" s="2" t="s">
        <v>12</v>
      </c>
      <c r="F789" s="2" t="s">
        <v>13</v>
      </c>
      <c r="G789">
        <v>59691</v>
      </c>
      <c r="H789" s="1">
        <v>44667</v>
      </c>
      <c r="I789">
        <v>17</v>
      </c>
      <c r="J789">
        <v>5</v>
      </c>
      <c r="K789">
        <v>5969</v>
      </c>
      <c r="L789">
        <v>2985</v>
      </c>
      <c r="M789">
        <v>62675</v>
      </c>
      <c r="N789">
        <v>2985</v>
      </c>
      <c r="O789">
        <v>68645</v>
      </c>
    </row>
    <row r="790" spans="1:15" x14ac:dyDescent="0.35">
      <c r="A790">
        <v>789</v>
      </c>
      <c r="B790" s="2" t="s">
        <v>23</v>
      </c>
      <c r="C790" s="2" t="s">
        <v>11</v>
      </c>
      <c r="D790">
        <v>30</v>
      </c>
      <c r="E790" s="2" t="s">
        <v>24</v>
      </c>
      <c r="F790" s="2" t="s">
        <v>17</v>
      </c>
      <c r="G790">
        <v>63282</v>
      </c>
      <c r="H790" s="1">
        <v>44972</v>
      </c>
      <c r="I790">
        <v>5</v>
      </c>
      <c r="J790">
        <v>1</v>
      </c>
      <c r="K790">
        <v>6328</v>
      </c>
      <c r="L790">
        <v>3164</v>
      </c>
      <c r="M790">
        <v>66446</v>
      </c>
      <c r="N790">
        <v>0</v>
      </c>
      <c r="O790">
        <v>69610</v>
      </c>
    </row>
    <row r="791" spans="1:15" x14ac:dyDescent="0.35">
      <c r="A791">
        <v>790</v>
      </c>
      <c r="B791" s="2" t="s">
        <v>23</v>
      </c>
      <c r="C791" s="2" t="s">
        <v>15</v>
      </c>
      <c r="D791">
        <v>44</v>
      </c>
      <c r="E791" s="2" t="s">
        <v>16</v>
      </c>
      <c r="F791" s="2" t="s">
        <v>21</v>
      </c>
      <c r="G791">
        <v>35411</v>
      </c>
      <c r="H791" s="1">
        <v>44586</v>
      </c>
      <c r="I791">
        <v>18</v>
      </c>
      <c r="J791">
        <v>2</v>
      </c>
      <c r="K791">
        <v>3541</v>
      </c>
      <c r="L791">
        <v>1771</v>
      </c>
      <c r="M791">
        <v>37181</v>
      </c>
      <c r="N791">
        <v>1771</v>
      </c>
      <c r="O791">
        <v>40723</v>
      </c>
    </row>
    <row r="792" spans="1:15" x14ac:dyDescent="0.35">
      <c r="A792">
        <v>791</v>
      </c>
      <c r="B792" s="2" t="s">
        <v>10</v>
      </c>
      <c r="C792" s="2" t="s">
        <v>15</v>
      </c>
      <c r="D792">
        <v>35</v>
      </c>
      <c r="E792" s="2" t="s">
        <v>12</v>
      </c>
      <c r="F792" s="2" t="s">
        <v>19</v>
      </c>
      <c r="G792">
        <v>64445</v>
      </c>
      <c r="H792" s="1">
        <v>44624</v>
      </c>
      <c r="I792">
        <v>9</v>
      </c>
      <c r="J792">
        <v>4</v>
      </c>
      <c r="K792">
        <v>6444</v>
      </c>
      <c r="L792">
        <v>3222</v>
      </c>
      <c r="M792">
        <v>67667</v>
      </c>
      <c r="N792">
        <v>3222</v>
      </c>
      <c r="O792">
        <v>74111</v>
      </c>
    </row>
    <row r="793" spans="1:15" x14ac:dyDescent="0.35">
      <c r="A793">
        <v>792</v>
      </c>
      <c r="B793" s="2" t="s">
        <v>26</v>
      </c>
      <c r="C793" s="2" t="s">
        <v>11</v>
      </c>
      <c r="D793">
        <v>32</v>
      </c>
      <c r="E793" s="2" t="s">
        <v>12</v>
      </c>
      <c r="F793" s="2" t="s">
        <v>19</v>
      </c>
      <c r="G793">
        <v>62585</v>
      </c>
      <c r="H793" s="1">
        <v>45022</v>
      </c>
      <c r="I793">
        <v>5</v>
      </c>
      <c r="J793">
        <v>1</v>
      </c>
      <c r="K793">
        <v>6258</v>
      </c>
      <c r="L793">
        <v>3129</v>
      </c>
      <c r="M793">
        <v>65714</v>
      </c>
      <c r="N793">
        <v>0</v>
      </c>
      <c r="O793">
        <v>68843</v>
      </c>
    </row>
    <row r="794" spans="1:15" x14ac:dyDescent="0.35">
      <c r="A794">
        <v>793</v>
      </c>
      <c r="B794" s="2" t="s">
        <v>10</v>
      </c>
      <c r="C794" s="2" t="s">
        <v>11</v>
      </c>
      <c r="D794">
        <v>49</v>
      </c>
      <c r="E794" s="2" t="s">
        <v>29</v>
      </c>
      <c r="F794" s="2" t="s">
        <v>19</v>
      </c>
      <c r="G794">
        <v>23271</v>
      </c>
      <c r="H794" s="1">
        <v>45120</v>
      </c>
      <c r="I794">
        <v>7</v>
      </c>
      <c r="J794">
        <v>3</v>
      </c>
      <c r="K794">
        <v>2327</v>
      </c>
      <c r="L794">
        <v>1164</v>
      </c>
      <c r="M794">
        <v>24434</v>
      </c>
      <c r="N794">
        <v>1164</v>
      </c>
      <c r="O794">
        <v>26762</v>
      </c>
    </row>
    <row r="795" spans="1:15" x14ac:dyDescent="0.35">
      <c r="A795">
        <v>794</v>
      </c>
      <c r="B795" s="2" t="s">
        <v>27</v>
      </c>
      <c r="C795" s="2" t="s">
        <v>15</v>
      </c>
      <c r="D795">
        <v>34</v>
      </c>
      <c r="E795" s="2" t="s">
        <v>12</v>
      </c>
      <c r="F795" s="2" t="s">
        <v>25</v>
      </c>
      <c r="G795">
        <v>37048</v>
      </c>
      <c r="H795" s="1">
        <v>45322</v>
      </c>
      <c r="I795">
        <v>7</v>
      </c>
      <c r="J795">
        <v>2</v>
      </c>
      <c r="K795">
        <v>3705</v>
      </c>
      <c r="L795">
        <v>1852</v>
      </c>
      <c r="M795">
        <v>38901</v>
      </c>
      <c r="N795">
        <v>1852</v>
      </c>
      <c r="O795">
        <v>42605</v>
      </c>
    </row>
    <row r="796" spans="1:15" x14ac:dyDescent="0.35">
      <c r="A796">
        <v>795</v>
      </c>
      <c r="B796" s="2" t="s">
        <v>23</v>
      </c>
      <c r="C796" s="2" t="s">
        <v>15</v>
      </c>
      <c r="D796">
        <v>37</v>
      </c>
      <c r="E796" s="2" t="s">
        <v>24</v>
      </c>
      <c r="F796" s="2" t="s">
        <v>13</v>
      </c>
      <c r="G796">
        <v>35276</v>
      </c>
      <c r="H796" s="1">
        <v>45423</v>
      </c>
      <c r="I796">
        <v>16</v>
      </c>
      <c r="J796">
        <v>2</v>
      </c>
      <c r="K796">
        <v>3528</v>
      </c>
      <c r="L796">
        <v>1764</v>
      </c>
      <c r="M796">
        <v>37040</v>
      </c>
      <c r="N796">
        <v>1764</v>
      </c>
      <c r="O796">
        <v>40568</v>
      </c>
    </row>
    <row r="797" spans="1:15" x14ac:dyDescent="0.35">
      <c r="A797">
        <v>796</v>
      </c>
      <c r="B797" s="2" t="s">
        <v>20</v>
      </c>
      <c r="C797" s="2" t="s">
        <v>15</v>
      </c>
      <c r="D797">
        <v>27</v>
      </c>
      <c r="E797" s="2" t="s">
        <v>16</v>
      </c>
      <c r="F797" s="2" t="s">
        <v>13</v>
      </c>
      <c r="G797">
        <v>29339</v>
      </c>
      <c r="H797" s="1">
        <v>44721</v>
      </c>
      <c r="I797">
        <v>12</v>
      </c>
      <c r="J797">
        <v>3</v>
      </c>
      <c r="K797">
        <v>2934</v>
      </c>
      <c r="L797">
        <v>1467</v>
      </c>
      <c r="M797">
        <v>30806</v>
      </c>
      <c r="N797">
        <v>1467</v>
      </c>
      <c r="O797">
        <v>33740</v>
      </c>
    </row>
    <row r="798" spans="1:15" x14ac:dyDescent="0.35">
      <c r="A798">
        <v>797</v>
      </c>
      <c r="B798" s="2" t="s">
        <v>30</v>
      </c>
      <c r="C798" s="2" t="s">
        <v>11</v>
      </c>
      <c r="D798">
        <v>42</v>
      </c>
      <c r="E798" s="2" t="s">
        <v>12</v>
      </c>
      <c r="F798" s="2" t="s">
        <v>25</v>
      </c>
      <c r="G798">
        <v>27214</v>
      </c>
      <c r="H798" s="1">
        <v>45071</v>
      </c>
      <c r="I798">
        <v>3</v>
      </c>
      <c r="J798">
        <v>3</v>
      </c>
      <c r="K798">
        <v>2721</v>
      </c>
      <c r="L798">
        <v>1361</v>
      </c>
      <c r="M798">
        <v>28574</v>
      </c>
      <c r="N798">
        <v>0</v>
      </c>
      <c r="O798">
        <v>29935</v>
      </c>
    </row>
    <row r="799" spans="1:15" x14ac:dyDescent="0.35">
      <c r="A799">
        <v>798</v>
      </c>
      <c r="B799" s="2" t="s">
        <v>18</v>
      </c>
      <c r="C799" s="2" t="s">
        <v>11</v>
      </c>
      <c r="D799">
        <v>42</v>
      </c>
      <c r="E799" s="2" t="s">
        <v>16</v>
      </c>
      <c r="F799" s="2" t="s">
        <v>21</v>
      </c>
      <c r="G799">
        <v>55097</v>
      </c>
      <c r="H799" s="1">
        <v>45430</v>
      </c>
      <c r="I799">
        <v>5</v>
      </c>
      <c r="J799">
        <v>1</v>
      </c>
      <c r="K799">
        <v>5510</v>
      </c>
      <c r="L799">
        <v>2755</v>
      </c>
      <c r="M799">
        <v>57852</v>
      </c>
      <c r="N799">
        <v>0</v>
      </c>
      <c r="O799">
        <v>60607</v>
      </c>
    </row>
    <row r="800" spans="1:15" x14ac:dyDescent="0.35">
      <c r="A800">
        <v>799</v>
      </c>
      <c r="B800" s="2" t="s">
        <v>20</v>
      </c>
      <c r="C800" s="2" t="s">
        <v>15</v>
      </c>
      <c r="D800">
        <v>29</v>
      </c>
      <c r="E800" s="2" t="s">
        <v>28</v>
      </c>
      <c r="F800" s="2" t="s">
        <v>13</v>
      </c>
      <c r="G800">
        <v>33144</v>
      </c>
      <c r="H800" s="1">
        <v>45488</v>
      </c>
      <c r="I800">
        <v>14</v>
      </c>
      <c r="J800">
        <v>3</v>
      </c>
      <c r="K800">
        <v>3314</v>
      </c>
      <c r="L800">
        <v>1657</v>
      </c>
      <c r="M800">
        <v>34801</v>
      </c>
      <c r="N800">
        <v>1657</v>
      </c>
      <c r="O800">
        <v>38115</v>
      </c>
    </row>
    <row r="801" spans="1:15" x14ac:dyDescent="0.35">
      <c r="A801">
        <v>800</v>
      </c>
      <c r="B801" s="2" t="s">
        <v>30</v>
      </c>
      <c r="C801" s="2" t="s">
        <v>11</v>
      </c>
      <c r="D801">
        <v>47</v>
      </c>
      <c r="E801" s="2" t="s">
        <v>28</v>
      </c>
      <c r="F801" s="2" t="s">
        <v>25</v>
      </c>
      <c r="G801">
        <v>49193</v>
      </c>
      <c r="H801" s="1">
        <v>44815</v>
      </c>
      <c r="I801">
        <v>17</v>
      </c>
      <c r="J801">
        <v>2</v>
      </c>
      <c r="K801">
        <v>4919</v>
      </c>
      <c r="L801">
        <v>2460</v>
      </c>
      <c r="M801">
        <v>51652</v>
      </c>
      <c r="N801">
        <v>2460</v>
      </c>
      <c r="O801">
        <v>56572</v>
      </c>
    </row>
    <row r="802" spans="1:15" x14ac:dyDescent="0.35">
      <c r="A802">
        <v>801</v>
      </c>
      <c r="B802" s="2" t="s">
        <v>27</v>
      </c>
      <c r="C802" s="2" t="s">
        <v>11</v>
      </c>
      <c r="D802">
        <v>48</v>
      </c>
      <c r="E802" s="2" t="s">
        <v>12</v>
      </c>
      <c r="F802" s="2" t="s">
        <v>19</v>
      </c>
      <c r="G802">
        <v>33320</v>
      </c>
      <c r="H802" s="1">
        <v>45109</v>
      </c>
      <c r="I802">
        <v>20</v>
      </c>
      <c r="J802">
        <v>3</v>
      </c>
      <c r="K802">
        <v>3332</v>
      </c>
      <c r="L802">
        <v>1666</v>
      </c>
      <c r="M802">
        <v>34986</v>
      </c>
      <c r="N802">
        <v>1666</v>
      </c>
      <c r="O802">
        <v>38318</v>
      </c>
    </row>
    <row r="803" spans="1:15" x14ac:dyDescent="0.35">
      <c r="A803">
        <v>802</v>
      </c>
      <c r="B803" s="2" t="s">
        <v>30</v>
      </c>
      <c r="C803" s="2" t="s">
        <v>11</v>
      </c>
      <c r="D803">
        <v>45</v>
      </c>
      <c r="E803" s="2" t="s">
        <v>28</v>
      </c>
      <c r="F803" s="2" t="s">
        <v>17</v>
      </c>
      <c r="G803">
        <v>35693</v>
      </c>
      <c r="H803" s="1">
        <v>45313</v>
      </c>
      <c r="I803">
        <v>4</v>
      </c>
      <c r="J803">
        <v>3</v>
      </c>
      <c r="K803">
        <v>3569</v>
      </c>
      <c r="L803">
        <v>1785</v>
      </c>
      <c r="M803">
        <v>37477</v>
      </c>
      <c r="N803">
        <v>0</v>
      </c>
      <c r="O803">
        <v>39262</v>
      </c>
    </row>
    <row r="804" spans="1:15" x14ac:dyDescent="0.35">
      <c r="A804">
        <v>803</v>
      </c>
      <c r="B804" s="2" t="s">
        <v>20</v>
      </c>
      <c r="C804" s="2" t="s">
        <v>11</v>
      </c>
      <c r="D804">
        <v>27</v>
      </c>
      <c r="E804" s="2" t="s">
        <v>12</v>
      </c>
      <c r="F804" s="2" t="s">
        <v>19</v>
      </c>
      <c r="G804">
        <v>31500</v>
      </c>
      <c r="H804" s="1">
        <v>45502</v>
      </c>
      <c r="I804">
        <v>18</v>
      </c>
      <c r="J804">
        <v>5</v>
      </c>
      <c r="K804">
        <v>3150</v>
      </c>
      <c r="L804">
        <v>1575</v>
      </c>
      <c r="M804">
        <v>33075</v>
      </c>
      <c r="N804">
        <v>1575</v>
      </c>
      <c r="O804">
        <v>36225</v>
      </c>
    </row>
    <row r="805" spans="1:15" x14ac:dyDescent="0.35">
      <c r="A805">
        <v>804</v>
      </c>
      <c r="B805" s="2" t="s">
        <v>10</v>
      </c>
      <c r="C805" s="2" t="s">
        <v>15</v>
      </c>
      <c r="D805">
        <v>30</v>
      </c>
      <c r="E805" s="2" t="s">
        <v>29</v>
      </c>
      <c r="F805" s="2" t="s">
        <v>19</v>
      </c>
      <c r="G805">
        <v>55922</v>
      </c>
      <c r="H805" s="1">
        <v>44797</v>
      </c>
      <c r="I805">
        <v>6</v>
      </c>
      <c r="J805">
        <v>2</v>
      </c>
      <c r="K805">
        <v>5592</v>
      </c>
      <c r="L805">
        <v>2796</v>
      </c>
      <c r="M805">
        <v>58718</v>
      </c>
      <c r="N805">
        <v>2796</v>
      </c>
      <c r="O805">
        <v>64310</v>
      </c>
    </row>
    <row r="806" spans="1:15" x14ac:dyDescent="0.35">
      <c r="A806">
        <v>805</v>
      </c>
      <c r="B806" s="2" t="s">
        <v>18</v>
      </c>
      <c r="C806" s="2" t="s">
        <v>11</v>
      </c>
      <c r="D806">
        <v>26</v>
      </c>
      <c r="E806" s="2" t="s">
        <v>28</v>
      </c>
      <c r="F806" s="2" t="s">
        <v>21</v>
      </c>
      <c r="G806">
        <v>20036</v>
      </c>
      <c r="H806" s="1">
        <v>45090</v>
      </c>
      <c r="I806">
        <v>20</v>
      </c>
      <c r="J806">
        <v>5</v>
      </c>
      <c r="K806">
        <v>2004</v>
      </c>
      <c r="L806">
        <v>1002</v>
      </c>
      <c r="M806">
        <v>21038</v>
      </c>
      <c r="N806">
        <v>1002</v>
      </c>
      <c r="O806">
        <v>23042</v>
      </c>
    </row>
    <row r="807" spans="1:15" x14ac:dyDescent="0.35">
      <c r="A807">
        <v>806</v>
      </c>
      <c r="B807" s="2" t="s">
        <v>31</v>
      </c>
      <c r="C807" s="2" t="s">
        <v>11</v>
      </c>
      <c r="D807">
        <v>55</v>
      </c>
      <c r="E807" s="2" t="s">
        <v>16</v>
      </c>
      <c r="F807" s="2" t="s">
        <v>17</v>
      </c>
      <c r="G807">
        <v>71274</v>
      </c>
      <c r="H807" s="1">
        <v>44865</v>
      </c>
      <c r="I807">
        <v>19</v>
      </c>
      <c r="J807">
        <v>3</v>
      </c>
      <c r="K807">
        <v>7127</v>
      </c>
      <c r="L807">
        <v>3564</v>
      </c>
      <c r="M807">
        <v>74837</v>
      </c>
      <c r="N807">
        <v>3564</v>
      </c>
      <c r="O807">
        <v>81965</v>
      </c>
    </row>
    <row r="808" spans="1:15" x14ac:dyDescent="0.35">
      <c r="A808">
        <v>807</v>
      </c>
      <c r="B808" s="2" t="s">
        <v>18</v>
      </c>
      <c r="C808" s="2" t="s">
        <v>11</v>
      </c>
      <c r="D808">
        <v>37</v>
      </c>
      <c r="E808" s="2" t="s">
        <v>12</v>
      </c>
      <c r="F808" s="2" t="s">
        <v>13</v>
      </c>
      <c r="G808">
        <v>60559</v>
      </c>
      <c r="H808" s="1">
        <v>45539</v>
      </c>
      <c r="I808">
        <v>4</v>
      </c>
      <c r="J808">
        <v>2</v>
      </c>
      <c r="K808">
        <v>6056</v>
      </c>
      <c r="L808">
        <v>3028</v>
      </c>
      <c r="M808">
        <v>63587</v>
      </c>
      <c r="N808">
        <v>0</v>
      </c>
      <c r="O808">
        <v>66615</v>
      </c>
    </row>
    <row r="809" spans="1:15" x14ac:dyDescent="0.35">
      <c r="A809">
        <v>808</v>
      </c>
      <c r="B809" s="2" t="s">
        <v>18</v>
      </c>
      <c r="C809" s="2" t="s">
        <v>15</v>
      </c>
      <c r="D809">
        <v>21</v>
      </c>
      <c r="E809" s="2" t="s">
        <v>29</v>
      </c>
      <c r="F809" s="2" t="s">
        <v>21</v>
      </c>
      <c r="G809">
        <v>42969</v>
      </c>
      <c r="H809" s="1">
        <v>45017</v>
      </c>
      <c r="I809">
        <v>11</v>
      </c>
      <c r="J809">
        <v>1</v>
      </c>
      <c r="K809">
        <v>4297</v>
      </c>
      <c r="L809">
        <v>2148</v>
      </c>
      <c r="M809">
        <v>45118</v>
      </c>
      <c r="N809">
        <v>2148</v>
      </c>
      <c r="O809">
        <v>49414</v>
      </c>
    </row>
    <row r="810" spans="1:15" x14ac:dyDescent="0.35">
      <c r="A810">
        <v>809</v>
      </c>
      <c r="B810" s="2" t="s">
        <v>22</v>
      </c>
      <c r="C810" s="2" t="s">
        <v>11</v>
      </c>
      <c r="D810">
        <v>51</v>
      </c>
      <c r="E810" s="2" t="s">
        <v>28</v>
      </c>
      <c r="F810" s="2" t="s">
        <v>25</v>
      </c>
      <c r="G810">
        <v>69111</v>
      </c>
      <c r="H810" s="1">
        <v>45368</v>
      </c>
      <c r="I810">
        <v>5</v>
      </c>
      <c r="J810">
        <v>1</v>
      </c>
      <c r="K810">
        <v>6911</v>
      </c>
      <c r="L810">
        <v>3456</v>
      </c>
      <c r="M810">
        <v>72566</v>
      </c>
      <c r="N810">
        <v>0</v>
      </c>
      <c r="O810">
        <v>76022</v>
      </c>
    </row>
    <row r="811" spans="1:15" x14ac:dyDescent="0.35">
      <c r="A811">
        <v>810</v>
      </c>
      <c r="B811" s="2" t="s">
        <v>31</v>
      </c>
      <c r="C811" s="2" t="s">
        <v>15</v>
      </c>
      <c r="D811">
        <v>25</v>
      </c>
      <c r="E811" s="2" t="s">
        <v>16</v>
      </c>
      <c r="F811" s="2" t="s">
        <v>17</v>
      </c>
      <c r="G811">
        <v>80800</v>
      </c>
      <c r="H811" s="1">
        <v>45329</v>
      </c>
      <c r="I811">
        <v>6</v>
      </c>
      <c r="J811">
        <v>4</v>
      </c>
      <c r="K811">
        <v>8080</v>
      </c>
      <c r="L811">
        <v>4040</v>
      </c>
      <c r="M811">
        <v>84840</v>
      </c>
      <c r="N811">
        <v>4040</v>
      </c>
      <c r="O811">
        <v>92920</v>
      </c>
    </row>
    <row r="812" spans="1:15" x14ac:dyDescent="0.35">
      <c r="A812">
        <v>811</v>
      </c>
      <c r="B812" s="2" t="s">
        <v>22</v>
      </c>
      <c r="C812" s="2" t="s">
        <v>15</v>
      </c>
      <c r="D812">
        <v>40</v>
      </c>
      <c r="E812" s="2" t="s">
        <v>29</v>
      </c>
      <c r="F812" s="2" t="s">
        <v>21</v>
      </c>
      <c r="G812">
        <v>66721</v>
      </c>
      <c r="H812" s="1">
        <v>44973</v>
      </c>
      <c r="I812">
        <v>4</v>
      </c>
      <c r="J812">
        <v>1</v>
      </c>
      <c r="K812">
        <v>6672</v>
      </c>
      <c r="L812">
        <v>3336</v>
      </c>
      <c r="M812">
        <v>70057</v>
      </c>
      <c r="N812">
        <v>0</v>
      </c>
      <c r="O812">
        <v>73393</v>
      </c>
    </row>
    <row r="813" spans="1:15" x14ac:dyDescent="0.35">
      <c r="A813">
        <v>812</v>
      </c>
      <c r="B813" s="2" t="s">
        <v>10</v>
      </c>
      <c r="C813" s="2" t="s">
        <v>11</v>
      </c>
      <c r="D813">
        <v>35</v>
      </c>
      <c r="E813" s="2" t="s">
        <v>24</v>
      </c>
      <c r="F813" s="2" t="s">
        <v>19</v>
      </c>
      <c r="G813">
        <v>56568</v>
      </c>
      <c r="H813" s="1">
        <v>45385</v>
      </c>
      <c r="I813">
        <v>16</v>
      </c>
      <c r="J813">
        <v>3</v>
      </c>
      <c r="K813">
        <v>5657</v>
      </c>
      <c r="L813">
        <v>2828</v>
      </c>
      <c r="M813">
        <v>59397</v>
      </c>
      <c r="N813">
        <v>2828</v>
      </c>
      <c r="O813">
        <v>65053</v>
      </c>
    </row>
    <row r="814" spans="1:15" x14ac:dyDescent="0.35">
      <c r="A814">
        <v>813</v>
      </c>
      <c r="B814" s="2" t="s">
        <v>30</v>
      </c>
      <c r="C814" s="2" t="s">
        <v>11</v>
      </c>
      <c r="D814">
        <v>50</v>
      </c>
      <c r="E814" s="2" t="s">
        <v>12</v>
      </c>
      <c r="F814" s="2" t="s">
        <v>13</v>
      </c>
      <c r="G814">
        <v>41746</v>
      </c>
      <c r="H814" s="1">
        <v>44774</v>
      </c>
      <c r="I814">
        <v>15</v>
      </c>
      <c r="J814">
        <v>1</v>
      </c>
      <c r="K814">
        <v>4175</v>
      </c>
      <c r="L814">
        <v>2087</v>
      </c>
      <c r="M814">
        <v>43834</v>
      </c>
      <c r="N814">
        <v>2087</v>
      </c>
      <c r="O814">
        <v>48008</v>
      </c>
    </row>
    <row r="815" spans="1:15" x14ac:dyDescent="0.35">
      <c r="A815">
        <v>814</v>
      </c>
      <c r="B815" s="2" t="s">
        <v>10</v>
      </c>
      <c r="C815" s="2" t="s">
        <v>11</v>
      </c>
      <c r="D815">
        <v>39</v>
      </c>
      <c r="E815" s="2" t="s">
        <v>24</v>
      </c>
      <c r="F815" s="2" t="s">
        <v>13</v>
      </c>
      <c r="G815">
        <v>33726</v>
      </c>
      <c r="H815" s="1">
        <v>45177</v>
      </c>
      <c r="I815">
        <v>3</v>
      </c>
      <c r="J815">
        <v>1</v>
      </c>
      <c r="K815">
        <v>3373</v>
      </c>
      <c r="L815">
        <v>1686</v>
      </c>
      <c r="M815">
        <v>35413</v>
      </c>
      <c r="N815">
        <v>0</v>
      </c>
      <c r="O815">
        <v>37099</v>
      </c>
    </row>
    <row r="816" spans="1:15" x14ac:dyDescent="0.35">
      <c r="A816">
        <v>815</v>
      </c>
      <c r="B816" s="2" t="s">
        <v>18</v>
      </c>
      <c r="C816" s="2" t="s">
        <v>15</v>
      </c>
      <c r="D816">
        <v>43</v>
      </c>
      <c r="E816" s="2" t="s">
        <v>29</v>
      </c>
      <c r="F816" s="2" t="s">
        <v>25</v>
      </c>
      <c r="G816">
        <v>67148</v>
      </c>
      <c r="H816" s="1">
        <v>45149</v>
      </c>
      <c r="I816">
        <v>18</v>
      </c>
      <c r="J816">
        <v>4</v>
      </c>
      <c r="K816">
        <v>6715</v>
      </c>
      <c r="L816">
        <v>3357</v>
      </c>
      <c r="M816">
        <v>70506</v>
      </c>
      <c r="N816">
        <v>3357</v>
      </c>
      <c r="O816">
        <v>77220</v>
      </c>
    </row>
    <row r="817" spans="1:15" x14ac:dyDescent="0.35">
      <c r="A817">
        <v>816</v>
      </c>
      <c r="B817" s="2" t="s">
        <v>20</v>
      </c>
      <c r="C817" s="2" t="s">
        <v>15</v>
      </c>
      <c r="D817">
        <v>49</v>
      </c>
      <c r="E817" s="2" t="s">
        <v>12</v>
      </c>
      <c r="F817" s="2" t="s">
        <v>19</v>
      </c>
      <c r="G817">
        <v>75555</v>
      </c>
      <c r="H817" s="1">
        <v>44808</v>
      </c>
      <c r="I817">
        <v>4</v>
      </c>
      <c r="J817">
        <v>2</v>
      </c>
      <c r="K817">
        <v>7556</v>
      </c>
      <c r="L817">
        <v>3778</v>
      </c>
      <c r="M817">
        <v>79333</v>
      </c>
      <c r="N817">
        <v>0</v>
      </c>
      <c r="O817">
        <v>83111</v>
      </c>
    </row>
    <row r="818" spans="1:15" x14ac:dyDescent="0.35">
      <c r="A818">
        <v>817</v>
      </c>
      <c r="B818" s="2" t="s">
        <v>10</v>
      </c>
      <c r="C818" s="2" t="s">
        <v>11</v>
      </c>
      <c r="D818">
        <v>38</v>
      </c>
      <c r="E818" s="2" t="s">
        <v>16</v>
      </c>
      <c r="F818" s="2" t="s">
        <v>25</v>
      </c>
      <c r="G818">
        <v>94257</v>
      </c>
      <c r="H818" s="1">
        <v>44958</v>
      </c>
      <c r="I818">
        <v>14</v>
      </c>
      <c r="J818">
        <v>3</v>
      </c>
      <c r="K818">
        <v>9426</v>
      </c>
      <c r="L818">
        <v>4713</v>
      </c>
      <c r="M818">
        <v>98970</v>
      </c>
      <c r="N818">
        <v>4713</v>
      </c>
      <c r="O818">
        <v>108396</v>
      </c>
    </row>
    <row r="819" spans="1:15" x14ac:dyDescent="0.35">
      <c r="A819">
        <v>818</v>
      </c>
      <c r="B819" s="2" t="s">
        <v>10</v>
      </c>
      <c r="C819" s="2" t="s">
        <v>11</v>
      </c>
      <c r="D819">
        <v>48</v>
      </c>
      <c r="E819" s="2" t="s">
        <v>16</v>
      </c>
      <c r="F819" s="2" t="s">
        <v>17</v>
      </c>
      <c r="G819">
        <v>70743</v>
      </c>
      <c r="H819" s="1">
        <v>44608</v>
      </c>
      <c r="I819">
        <v>16</v>
      </c>
      <c r="J819">
        <v>5</v>
      </c>
      <c r="K819">
        <v>7074</v>
      </c>
      <c r="L819">
        <v>3537</v>
      </c>
      <c r="M819">
        <v>74280</v>
      </c>
      <c r="N819">
        <v>3537</v>
      </c>
      <c r="O819">
        <v>81354</v>
      </c>
    </row>
    <row r="820" spans="1:15" x14ac:dyDescent="0.35">
      <c r="A820">
        <v>819</v>
      </c>
      <c r="B820" s="2" t="s">
        <v>30</v>
      </c>
      <c r="C820" s="2" t="s">
        <v>15</v>
      </c>
      <c r="D820">
        <v>46</v>
      </c>
      <c r="E820" s="2" t="s">
        <v>16</v>
      </c>
      <c r="F820" s="2" t="s">
        <v>25</v>
      </c>
      <c r="G820">
        <v>87103</v>
      </c>
      <c r="H820" s="1">
        <v>44992</v>
      </c>
      <c r="I820">
        <v>15</v>
      </c>
      <c r="J820">
        <v>2</v>
      </c>
      <c r="K820">
        <v>8710</v>
      </c>
      <c r="L820">
        <v>4355</v>
      </c>
      <c r="M820">
        <v>91458</v>
      </c>
      <c r="N820">
        <v>4355</v>
      </c>
      <c r="O820">
        <v>100168</v>
      </c>
    </row>
    <row r="821" spans="1:15" x14ac:dyDescent="0.35">
      <c r="A821">
        <v>820</v>
      </c>
      <c r="B821" s="2" t="s">
        <v>20</v>
      </c>
      <c r="C821" s="2" t="s">
        <v>11</v>
      </c>
      <c r="D821">
        <v>56</v>
      </c>
      <c r="E821" s="2" t="s">
        <v>28</v>
      </c>
      <c r="F821" s="2" t="s">
        <v>13</v>
      </c>
      <c r="G821">
        <v>60932</v>
      </c>
      <c r="H821" s="1">
        <v>45259</v>
      </c>
      <c r="I821">
        <v>11</v>
      </c>
      <c r="J821">
        <v>4</v>
      </c>
      <c r="K821">
        <v>6093</v>
      </c>
      <c r="L821">
        <v>3047</v>
      </c>
      <c r="M821">
        <v>63978</v>
      </c>
      <c r="N821">
        <v>3047</v>
      </c>
      <c r="O821">
        <v>70072</v>
      </c>
    </row>
    <row r="822" spans="1:15" x14ac:dyDescent="0.35">
      <c r="A822">
        <v>821</v>
      </c>
      <c r="B822" s="2" t="s">
        <v>27</v>
      </c>
      <c r="C822" s="2" t="s">
        <v>11</v>
      </c>
      <c r="D822">
        <v>39</v>
      </c>
      <c r="E822" s="2" t="s">
        <v>29</v>
      </c>
      <c r="F822" s="2" t="s">
        <v>19</v>
      </c>
      <c r="G822">
        <v>63822</v>
      </c>
      <c r="H822" s="1">
        <v>44950</v>
      </c>
      <c r="I822">
        <v>14</v>
      </c>
      <c r="J822">
        <v>5</v>
      </c>
      <c r="K822">
        <v>6382</v>
      </c>
      <c r="L822">
        <v>3191</v>
      </c>
      <c r="M822">
        <v>67013</v>
      </c>
      <c r="N822">
        <v>3191</v>
      </c>
      <c r="O822">
        <v>73395</v>
      </c>
    </row>
    <row r="823" spans="1:15" x14ac:dyDescent="0.35">
      <c r="A823">
        <v>822</v>
      </c>
      <c r="B823" s="2" t="s">
        <v>26</v>
      </c>
      <c r="C823" s="2" t="s">
        <v>11</v>
      </c>
      <c r="D823">
        <v>46</v>
      </c>
      <c r="E823" s="2" t="s">
        <v>12</v>
      </c>
      <c r="F823" s="2" t="s">
        <v>13</v>
      </c>
      <c r="G823">
        <v>89576</v>
      </c>
      <c r="H823" s="1">
        <v>45254</v>
      </c>
      <c r="I823">
        <v>16</v>
      </c>
      <c r="J823">
        <v>2</v>
      </c>
      <c r="K823">
        <v>8958</v>
      </c>
      <c r="L823">
        <v>4479</v>
      </c>
      <c r="M823">
        <v>94055</v>
      </c>
      <c r="N823">
        <v>4479</v>
      </c>
      <c r="O823">
        <v>103013</v>
      </c>
    </row>
    <row r="824" spans="1:15" x14ac:dyDescent="0.35">
      <c r="A824">
        <v>823</v>
      </c>
      <c r="B824" s="2" t="s">
        <v>10</v>
      </c>
      <c r="C824" s="2" t="s">
        <v>15</v>
      </c>
      <c r="D824">
        <v>30</v>
      </c>
      <c r="E824" s="2" t="s">
        <v>16</v>
      </c>
      <c r="F824" s="2" t="s">
        <v>17</v>
      </c>
      <c r="G824">
        <v>43173</v>
      </c>
      <c r="H824" s="1">
        <v>45436</v>
      </c>
      <c r="I824">
        <v>4</v>
      </c>
      <c r="J824">
        <v>2</v>
      </c>
      <c r="K824">
        <v>4317</v>
      </c>
      <c r="L824">
        <v>2159</v>
      </c>
      <c r="M824">
        <v>45331</v>
      </c>
      <c r="N824">
        <v>0</v>
      </c>
      <c r="O824">
        <v>47490</v>
      </c>
    </row>
    <row r="825" spans="1:15" x14ac:dyDescent="0.35">
      <c r="A825">
        <v>824</v>
      </c>
      <c r="B825" s="2" t="s">
        <v>20</v>
      </c>
      <c r="C825" s="2" t="s">
        <v>11</v>
      </c>
      <c r="D825">
        <v>44</v>
      </c>
      <c r="E825" s="2" t="s">
        <v>12</v>
      </c>
      <c r="F825" s="2" t="s">
        <v>19</v>
      </c>
      <c r="G825">
        <v>34044</v>
      </c>
      <c r="H825" s="1">
        <v>45245</v>
      </c>
      <c r="I825">
        <v>3</v>
      </c>
      <c r="J825">
        <v>2</v>
      </c>
      <c r="K825">
        <v>3404</v>
      </c>
      <c r="L825">
        <v>1702</v>
      </c>
      <c r="M825">
        <v>35746</v>
      </c>
      <c r="N825">
        <v>0</v>
      </c>
      <c r="O825">
        <v>37448</v>
      </c>
    </row>
    <row r="826" spans="1:15" x14ac:dyDescent="0.35">
      <c r="A826">
        <v>825</v>
      </c>
      <c r="B826" s="2" t="s">
        <v>22</v>
      </c>
      <c r="C826" s="2" t="s">
        <v>15</v>
      </c>
      <c r="D826">
        <v>39</v>
      </c>
      <c r="E826" s="2" t="s">
        <v>12</v>
      </c>
      <c r="F826" s="2" t="s">
        <v>21</v>
      </c>
      <c r="G826">
        <v>80111</v>
      </c>
      <c r="H826" s="1">
        <v>45293</v>
      </c>
      <c r="I826">
        <v>5</v>
      </c>
      <c r="J826">
        <v>3</v>
      </c>
      <c r="K826">
        <v>8011</v>
      </c>
      <c r="L826">
        <v>4006</v>
      </c>
      <c r="M826">
        <v>84116</v>
      </c>
      <c r="N826">
        <v>0</v>
      </c>
      <c r="O826">
        <v>88122</v>
      </c>
    </row>
    <row r="827" spans="1:15" x14ac:dyDescent="0.35">
      <c r="A827">
        <v>826</v>
      </c>
      <c r="B827" s="2" t="s">
        <v>10</v>
      </c>
      <c r="C827" s="2" t="s">
        <v>15</v>
      </c>
      <c r="D827">
        <v>58</v>
      </c>
      <c r="E827" s="2" t="s">
        <v>24</v>
      </c>
      <c r="F827" s="2" t="s">
        <v>13</v>
      </c>
      <c r="G827">
        <v>33505</v>
      </c>
      <c r="H827" s="1">
        <v>45430</v>
      </c>
      <c r="I827">
        <v>10</v>
      </c>
      <c r="J827">
        <v>4</v>
      </c>
      <c r="K827">
        <v>3350</v>
      </c>
      <c r="L827">
        <v>1675</v>
      </c>
      <c r="M827">
        <v>35180</v>
      </c>
      <c r="N827">
        <v>1675</v>
      </c>
      <c r="O827">
        <v>38530</v>
      </c>
    </row>
    <row r="828" spans="1:15" x14ac:dyDescent="0.35">
      <c r="A828">
        <v>827</v>
      </c>
      <c r="B828" s="2" t="s">
        <v>14</v>
      </c>
      <c r="C828" s="2" t="s">
        <v>15</v>
      </c>
      <c r="D828">
        <v>57</v>
      </c>
      <c r="E828" s="2" t="s">
        <v>12</v>
      </c>
      <c r="F828" s="2" t="s">
        <v>21</v>
      </c>
      <c r="G828">
        <v>81563</v>
      </c>
      <c r="H828" s="1">
        <v>44850</v>
      </c>
      <c r="I828">
        <v>3</v>
      </c>
      <c r="J828">
        <v>1</v>
      </c>
      <c r="K828">
        <v>8156</v>
      </c>
      <c r="L828">
        <v>4078</v>
      </c>
      <c r="M828">
        <v>85641</v>
      </c>
      <c r="N828">
        <v>0</v>
      </c>
      <c r="O828">
        <v>89719</v>
      </c>
    </row>
    <row r="829" spans="1:15" x14ac:dyDescent="0.35">
      <c r="A829">
        <v>828</v>
      </c>
      <c r="B829" s="2" t="s">
        <v>30</v>
      </c>
      <c r="C829" s="2" t="s">
        <v>15</v>
      </c>
      <c r="D829">
        <v>40</v>
      </c>
      <c r="E829" s="2" t="s">
        <v>12</v>
      </c>
      <c r="F829" s="2" t="s">
        <v>19</v>
      </c>
      <c r="G829">
        <v>25678</v>
      </c>
      <c r="H829" s="1">
        <v>45114</v>
      </c>
      <c r="I829">
        <v>7</v>
      </c>
      <c r="J829">
        <v>1</v>
      </c>
      <c r="K829">
        <v>2568</v>
      </c>
      <c r="L829">
        <v>1284</v>
      </c>
      <c r="M829">
        <v>26962</v>
      </c>
      <c r="N829">
        <v>1284</v>
      </c>
      <c r="O829">
        <v>29530</v>
      </c>
    </row>
    <row r="830" spans="1:15" x14ac:dyDescent="0.35">
      <c r="A830">
        <v>829</v>
      </c>
      <c r="B830" s="2" t="s">
        <v>27</v>
      </c>
      <c r="C830" s="2" t="s">
        <v>15</v>
      </c>
      <c r="D830">
        <v>24</v>
      </c>
      <c r="E830" s="2" t="s">
        <v>12</v>
      </c>
      <c r="F830" s="2" t="s">
        <v>13</v>
      </c>
      <c r="G830">
        <v>44336</v>
      </c>
      <c r="H830" s="1">
        <v>45132</v>
      </c>
      <c r="I830">
        <v>16</v>
      </c>
      <c r="J830">
        <v>2</v>
      </c>
      <c r="K830">
        <v>4434</v>
      </c>
      <c r="L830">
        <v>2217</v>
      </c>
      <c r="M830">
        <v>46553</v>
      </c>
      <c r="N830">
        <v>2217</v>
      </c>
      <c r="O830">
        <v>50987</v>
      </c>
    </row>
    <row r="831" spans="1:15" x14ac:dyDescent="0.35">
      <c r="A831">
        <v>830</v>
      </c>
      <c r="B831" s="2" t="s">
        <v>14</v>
      </c>
      <c r="C831" s="2" t="s">
        <v>11</v>
      </c>
      <c r="D831">
        <v>58</v>
      </c>
      <c r="E831" s="2" t="s">
        <v>28</v>
      </c>
      <c r="F831" s="2" t="s">
        <v>17</v>
      </c>
      <c r="G831">
        <v>92059</v>
      </c>
      <c r="H831" s="1">
        <v>45292</v>
      </c>
      <c r="I831">
        <v>14</v>
      </c>
      <c r="J831">
        <v>3</v>
      </c>
      <c r="K831">
        <v>9206</v>
      </c>
      <c r="L831">
        <v>4603</v>
      </c>
      <c r="M831">
        <v>96662</v>
      </c>
      <c r="N831">
        <v>4603</v>
      </c>
      <c r="O831">
        <v>105868</v>
      </c>
    </row>
    <row r="832" spans="1:15" x14ac:dyDescent="0.35">
      <c r="A832">
        <v>831</v>
      </c>
      <c r="B832" s="2" t="s">
        <v>22</v>
      </c>
      <c r="C832" s="2" t="s">
        <v>15</v>
      </c>
      <c r="D832">
        <v>34</v>
      </c>
      <c r="E832" s="2" t="s">
        <v>24</v>
      </c>
      <c r="F832" s="2" t="s">
        <v>19</v>
      </c>
      <c r="G832">
        <v>85771</v>
      </c>
      <c r="H832" s="1">
        <v>45269</v>
      </c>
      <c r="I832">
        <v>7</v>
      </c>
      <c r="J832">
        <v>1</v>
      </c>
      <c r="K832">
        <v>8577</v>
      </c>
      <c r="L832">
        <v>4289</v>
      </c>
      <c r="M832">
        <v>90059</v>
      </c>
      <c r="N832">
        <v>4289</v>
      </c>
      <c r="O832">
        <v>98637</v>
      </c>
    </row>
    <row r="833" spans="1:15" x14ac:dyDescent="0.35">
      <c r="A833">
        <v>832</v>
      </c>
      <c r="B833" s="2" t="s">
        <v>26</v>
      </c>
      <c r="C833" s="2" t="s">
        <v>15</v>
      </c>
      <c r="D833">
        <v>44</v>
      </c>
      <c r="E833" s="2" t="s">
        <v>24</v>
      </c>
      <c r="F833" s="2" t="s">
        <v>21</v>
      </c>
      <c r="G833">
        <v>40440</v>
      </c>
      <c r="H833" s="1">
        <v>44796</v>
      </c>
      <c r="I833">
        <v>13</v>
      </c>
      <c r="J833">
        <v>2</v>
      </c>
      <c r="K833">
        <v>4044</v>
      </c>
      <c r="L833">
        <v>2022</v>
      </c>
      <c r="M833">
        <v>42462</v>
      </c>
      <c r="N833">
        <v>2022</v>
      </c>
      <c r="O833">
        <v>46506</v>
      </c>
    </row>
    <row r="834" spans="1:15" x14ac:dyDescent="0.35">
      <c r="A834">
        <v>833</v>
      </c>
      <c r="B834" s="2" t="s">
        <v>18</v>
      </c>
      <c r="C834" s="2" t="s">
        <v>11</v>
      </c>
      <c r="D834">
        <v>28</v>
      </c>
      <c r="E834" s="2" t="s">
        <v>28</v>
      </c>
      <c r="F834" s="2" t="s">
        <v>13</v>
      </c>
      <c r="G834">
        <v>93898</v>
      </c>
      <c r="H834" s="1">
        <v>45547</v>
      </c>
      <c r="I834">
        <v>16</v>
      </c>
      <c r="J834">
        <v>3</v>
      </c>
      <c r="K834">
        <v>9390</v>
      </c>
      <c r="L834">
        <v>4695</v>
      </c>
      <c r="M834">
        <v>98593</v>
      </c>
      <c r="N834">
        <v>4695</v>
      </c>
      <c r="O834">
        <v>107983</v>
      </c>
    </row>
    <row r="835" spans="1:15" x14ac:dyDescent="0.35">
      <c r="A835">
        <v>834</v>
      </c>
      <c r="B835" s="2" t="s">
        <v>30</v>
      </c>
      <c r="C835" s="2" t="s">
        <v>15</v>
      </c>
      <c r="D835">
        <v>43</v>
      </c>
      <c r="E835" s="2" t="s">
        <v>29</v>
      </c>
      <c r="F835" s="2" t="s">
        <v>21</v>
      </c>
      <c r="G835">
        <v>28932</v>
      </c>
      <c r="H835" s="1">
        <v>44902</v>
      </c>
      <c r="I835">
        <v>7</v>
      </c>
      <c r="J835">
        <v>4</v>
      </c>
      <c r="K835">
        <v>2893</v>
      </c>
      <c r="L835">
        <v>1447</v>
      </c>
      <c r="M835">
        <v>30378</v>
      </c>
      <c r="N835">
        <v>1447</v>
      </c>
      <c r="O835">
        <v>33272</v>
      </c>
    </row>
    <row r="836" spans="1:15" x14ac:dyDescent="0.35">
      <c r="A836">
        <v>835</v>
      </c>
      <c r="B836" s="2" t="s">
        <v>30</v>
      </c>
      <c r="C836" s="2" t="s">
        <v>11</v>
      </c>
      <c r="D836">
        <v>35</v>
      </c>
      <c r="E836" s="2" t="s">
        <v>29</v>
      </c>
      <c r="F836" s="2" t="s">
        <v>19</v>
      </c>
      <c r="G836">
        <v>62823</v>
      </c>
      <c r="H836" s="1">
        <v>45007</v>
      </c>
      <c r="I836">
        <v>9</v>
      </c>
      <c r="J836">
        <v>5</v>
      </c>
      <c r="K836">
        <v>6282</v>
      </c>
      <c r="L836">
        <v>3141</v>
      </c>
      <c r="M836">
        <v>65964</v>
      </c>
      <c r="N836">
        <v>3141</v>
      </c>
      <c r="O836">
        <v>72246</v>
      </c>
    </row>
    <row r="837" spans="1:15" x14ac:dyDescent="0.35">
      <c r="A837">
        <v>836</v>
      </c>
      <c r="B837" s="2" t="s">
        <v>10</v>
      </c>
      <c r="C837" s="2" t="s">
        <v>11</v>
      </c>
      <c r="D837">
        <v>22</v>
      </c>
      <c r="E837" s="2" t="s">
        <v>16</v>
      </c>
      <c r="F837" s="2" t="s">
        <v>19</v>
      </c>
      <c r="G837">
        <v>83567</v>
      </c>
      <c r="H837" s="1">
        <v>45548</v>
      </c>
      <c r="I837">
        <v>11</v>
      </c>
      <c r="J837">
        <v>5</v>
      </c>
      <c r="K837">
        <v>8357</v>
      </c>
      <c r="L837">
        <v>4178</v>
      </c>
      <c r="M837">
        <v>87746</v>
      </c>
      <c r="N837">
        <v>4178</v>
      </c>
      <c r="O837">
        <v>96102</v>
      </c>
    </row>
    <row r="838" spans="1:15" x14ac:dyDescent="0.35">
      <c r="A838">
        <v>837</v>
      </c>
      <c r="B838" s="2" t="s">
        <v>26</v>
      </c>
      <c r="C838" s="2" t="s">
        <v>11</v>
      </c>
      <c r="D838">
        <v>32</v>
      </c>
      <c r="E838" s="2" t="s">
        <v>28</v>
      </c>
      <c r="F838" s="2" t="s">
        <v>25</v>
      </c>
      <c r="G838">
        <v>48901</v>
      </c>
      <c r="H838" s="1">
        <v>45230</v>
      </c>
      <c r="I838">
        <v>19</v>
      </c>
      <c r="J838">
        <v>5</v>
      </c>
      <c r="K838">
        <v>4890</v>
      </c>
      <c r="L838">
        <v>2445</v>
      </c>
      <c r="M838">
        <v>51346</v>
      </c>
      <c r="N838">
        <v>2445</v>
      </c>
      <c r="O838">
        <v>56236</v>
      </c>
    </row>
    <row r="839" spans="1:15" x14ac:dyDescent="0.35">
      <c r="A839">
        <v>838</v>
      </c>
      <c r="B839" s="2" t="s">
        <v>27</v>
      </c>
      <c r="C839" s="2" t="s">
        <v>15</v>
      </c>
      <c r="D839">
        <v>32</v>
      </c>
      <c r="E839" s="2" t="s">
        <v>24</v>
      </c>
      <c r="F839" s="2" t="s">
        <v>13</v>
      </c>
      <c r="G839">
        <v>91942</v>
      </c>
      <c r="H839" s="1">
        <v>44602</v>
      </c>
      <c r="I839">
        <v>6</v>
      </c>
      <c r="J839">
        <v>5</v>
      </c>
      <c r="K839">
        <v>9194</v>
      </c>
      <c r="L839">
        <v>4597</v>
      </c>
      <c r="M839">
        <v>96539</v>
      </c>
      <c r="N839">
        <v>4597</v>
      </c>
      <c r="O839">
        <v>105733</v>
      </c>
    </row>
    <row r="840" spans="1:15" x14ac:dyDescent="0.35">
      <c r="A840">
        <v>839</v>
      </c>
      <c r="B840" s="2" t="s">
        <v>20</v>
      </c>
      <c r="C840" s="2" t="s">
        <v>11</v>
      </c>
      <c r="D840">
        <v>24</v>
      </c>
      <c r="E840" s="2" t="s">
        <v>28</v>
      </c>
      <c r="F840" s="2" t="s">
        <v>19</v>
      </c>
      <c r="G840">
        <v>52180</v>
      </c>
      <c r="H840" s="1">
        <v>44721</v>
      </c>
      <c r="I840">
        <v>5</v>
      </c>
      <c r="J840">
        <v>5</v>
      </c>
      <c r="K840">
        <v>5218</v>
      </c>
      <c r="L840">
        <v>2609</v>
      </c>
      <c r="M840">
        <v>54789</v>
      </c>
      <c r="N840">
        <v>0</v>
      </c>
      <c r="O840">
        <v>57398</v>
      </c>
    </row>
    <row r="841" spans="1:15" x14ac:dyDescent="0.35">
      <c r="A841">
        <v>840</v>
      </c>
      <c r="B841" s="2" t="s">
        <v>22</v>
      </c>
      <c r="C841" s="2" t="s">
        <v>11</v>
      </c>
      <c r="D841">
        <v>29</v>
      </c>
      <c r="E841" s="2" t="s">
        <v>28</v>
      </c>
      <c r="F841" s="2" t="s">
        <v>25</v>
      </c>
      <c r="G841">
        <v>66854</v>
      </c>
      <c r="H841" s="1">
        <v>44629</v>
      </c>
      <c r="I841">
        <v>5</v>
      </c>
      <c r="J841">
        <v>5</v>
      </c>
      <c r="K841">
        <v>6685</v>
      </c>
      <c r="L841">
        <v>3343</v>
      </c>
      <c r="M841">
        <v>70196</v>
      </c>
      <c r="N841">
        <v>0</v>
      </c>
      <c r="O841">
        <v>73539</v>
      </c>
    </row>
    <row r="842" spans="1:15" x14ac:dyDescent="0.35">
      <c r="A842">
        <v>841</v>
      </c>
      <c r="B842" s="2" t="s">
        <v>27</v>
      </c>
      <c r="C842" s="2" t="s">
        <v>15</v>
      </c>
      <c r="D842">
        <v>49</v>
      </c>
      <c r="E842" s="2" t="s">
        <v>28</v>
      </c>
      <c r="F842" s="2" t="s">
        <v>21</v>
      </c>
      <c r="G842">
        <v>30430</v>
      </c>
      <c r="H842" s="1">
        <v>45150</v>
      </c>
      <c r="I842">
        <v>16</v>
      </c>
      <c r="J842">
        <v>3</v>
      </c>
      <c r="K842">
        <v>3043</v>
      </c>
      <c r="L842">
        <v>1522</v>
      </c>
      <c r="M842">
        <v>31951</v>
      </c>
      <c r="N842">
        <v>1522</v>
      </c>
      <c r="O842">
        <v>34995</v>
      </c>
    </row>
    <row r="843" spans="1:15" x14ac:dyDescent="0.35">
      <c r="A843">
        <v>842</v>
      </c>
      <c r="B843" s="2" t="s">
        <v>27</v>
      </c>
      <c r="C843" s="2" t="s">
        <v>11</v>
      </c>
      <c r="D843">
        <v>57</v>
      </c>
      <c r="E843" s="2" t="s">
        <v>28</v>
      </c>
      <c r="F843" s="2" t="s">
        <v>25</v>
      </c>
      <c r="G843">
        <v>45696</v>
      </c>
      <c r="H843" s="1">
        <v>45182</v>
      </c>
      <c r="I843">
        <v>18</v>
      </c>
      <c r="J843">
        <v>2</v>
      </c>
      <c r="K843">
        <v>4570</v>
      </c>
      <c r="L843">
        <v>2285</v>
      </c>
      <c r="M843">
        <v>47981</v>
      </c>
      <c r="N843">
        <v>2285</v>
      </c>
      <c r="O843">
        <v>52551</v>
      </c>
    </row>
    <row r="844" spans="1:15" x14ac:dyDescent="0.35">
      <c r="A844">
        <v>843</v>
      </c>
      <c r="B844" s="2" t="s">
        <v>27</v>
      </c>
      <c r="C844" s="2" t="s">
        <v>11</v>
      </c>
      <c r="D844">
        <v>41</v>
      </c>
      <c r="E844" s="2" t="s">
        <v>28</v>
      </c>
      <c r="F844" s="2" t="s">
        <v>13</v>
      </c>
      <c r="G844">
        <v>30800</v>
      </c>
      <c r="H844" s="1">
        <v>45335</v>
      </c>
      <c r="I844">
        <v>15</v>
      </c>
      <c r="J844">
        <v>5</v>
      </c>
      <c r="K844">
        <v>3080</v>
      </c>
      <c r="L844">
        <v>1540</v>
      </c>
      <c r="M844">
        <v>32340</v>
      </c>
      <c r="N844">
        <v>1540</v>
      </c>
      <c r="O844">
        <v>35420</v>
      </c>
    </row>
    <row r="845" spans="1:15" x14ac:dyDescent="0.35">
      <c r="A845">
        <v>844</v>
      </c>
      <c r="B845" s="2" t="s">
        <v>26</v>
      </c>
      <c r="C845" s="2" t="s">
        <v>11</v>
      </c>
      <c r="D845">
        <v>44</v>
      </c>
      <c r="E845" s="2" t="s">
        <v>24</v>
      </c>
      <c r="F845" s="2" t="s">
        <v>21</v>
      </c>
      <c r="G845">
        <v>96677</v>
      </c>
      <c r="H845" s="1">
        <v>45007</v>
      </c>
      <c r="I845">
        <v>14</v>
      </c>
      <c r="J845">
        <v>1</v>
      </c>
      <c r="K845">
        <v>9668</v>
      </c>
      <c r="L845">
        <v>4834</v>
      </c>
      <c r="M845">
        <v>101511</v>
      </c>
      <c r="N845">
        <v>4834</v>
      </c>
      <c r="O845">
        <v>111179</v>
      </c>
    </row>
    <row r="846" spans="1:15" x14ac:dyDescent="0.35">
      <c r="A846">
        <v>845</v>
      </c>
      <c r="B846" s="2" t="s">
        <v>22</v>
      </c>
      <c r="C846" s="2" t="s">
        <v>11</v>
      </c>
      <c r="D846">
        <v>31</v>
      </c>
      <c r="E846" s="2" t="s">
        <v>24</v>
      </c>
      <c r="F846" s="2" t="s">
        <v>19</v>
      </c>
      <c r="G846">
        <v>68064</v>
      </c>
      <c r="H846" s="1">
        <v>44640</v>
      </c>
      <c r="I846">
        <v>19</v>
      </c>
      <c r="J846">
        <v>2</v>
      </c>
      <c r="K846">
        <v>6806</v>
      </c>
      <c r="L846">
        <v>3403</v>
      </c>
      <c r="M846">
        <v>71467</v>
      </c>
      <c r="N846">
        <v>3403</v>
      </c>
      <c r="O846">
        <v>78273</v>
      </c>
    </row>
    <row r="847" spans="1:15" x14ac:dyDescent="0.35">
      <c r="A847">
        <v>846</v>
      </c>
      <c r="B847" s="2" t="s">
        <v>14</v>
      </c>
      <c r="C847" s="2" t="s">
        <v>11</v>
      </c>
      <c r="D847">
        <v>37</v>
      </c>
      <c r="E847" s="2" t="s">
        <v>16</v>
      </c>
      <c r="F847" s="2" t="s">
        <v>25</v>
      </c>
      <c r="G847">
        <v>99800</v>
      </c>
      <c r="H847" s="1">
        <v>44677</v>
      </c>
      <c r="I847">
        <v>13</v>
      </c>
      <c r="J847">
        <v>3</v>
      </c>
      <c r="K847">
        <v>9980</v>
      </c>
      <c r="L847">
        <v>4990</v>
      </c>
      <c r="M847">
        <v>104790</v>
      </c>
      <c r="N847">
        <v>4990</v>
      </c>
      <c r="O847">
        <v>114770</v>
      </c>
    </row>
    <row r="848" spans="1:15" x14ac:dyDescent="0.35">
      <c r="A848">
        <v>847</v>
      </c>
      <c r="B848" s="2" t="s">
        <v>23</v>
      </c>
      <c r="C848" s="2" t="s">
        <v>11</v>
      </c>
      <c r="D848">
        <v>31</v>
      </c>
      <c r="E848" s="2" t="s">
        <v>24</v>
      </c>
      <c r="F848" s="2" t="s">
        <v>17</v>
      </c>
      <c r="G848">
        <v>74065</v>
      </c>
      <c r="H848" s="1">
        <v>44718</v>
      </c>
      <c r="I848">
        <v>16</v>
      </c>
      <c r="J848">
        <v>1</v>
      </c>
      <c r="K848">
        <v>7406</v>
      </c>
      <c r="L848">
        <v>3703</v>
      </c>
      <c r="M848">
        <v>77768</v>
      </c>
      <c r="N848">
        <v>3703</v>
      </c>
      <c r="O848">
        <v>85174</v>
      </c>
    </row>
    <row r="849" spans="1:15" x14ac:dyDescent="0.35">
      <c r="A849">
        <v>848</v>
      </c>
      <c r="B849" s="2" t="s">
        <v>18</v>
      </c>
      <c r="C849" s="2" t="s">
        <v>11</v>
      </c>
      <c r="D849">
        <v>23</v>
      </c>
      <c r="E849" s="2" t="s">
        <v>24</v>
      </c>
      <c r="F849" s="2" t="s">
        <v>17</v>
      </c>
      <c r="G849">
        <v>93099</v>
      </c>
      <c r="H849" s="1">
        <v>45029</v>
      </c>
      <c r="I849">
        <v>11</v>
      </c>
      <c r="J849">
        <v>1</v>
      </c>
      <c r="K849">
        <v>9310</v>
      </c>
      <c r="L849">
        <v>4655</v>
      </c>
      <c r="M849">
        <v>97754</v>
      </c>
      <c r="N849">
        <v>4655</v>
      </c>
      <c r="O849">
        <v>107064</v>
      </c>
    </row>
    <row r="850" spans="1:15" x14ac:dyDescent="0.35">
      <c r="A850">
        <v>849</v>
      </c>
      <c r="B850" s="2" t="s">
        <v>27</v>
      </c>
      <c r="C850" s="2" t="s">
        <v>11</v>
      </c>
      <c r="D850">
        <v>58</v>
      </c>
      <c r="E850" s="2" t="s">
        <v>28</v>
      </c>
      <c r="F850" s="2" t="s">
        <v>19</v>
      </c>
      <c r="G850">
        <v>21788</v>
      </c>
      <c r="H850" s="1">
        <v>45056</v>
      </c>
      <c r="I850">
        <v>13</v>
      </c>
      <c r="J850">
        <v>1</v>
      </c>
      <c r="K850">
        <v>2179</v>
      </c>
      <c r="L850">
        <v>1089</v>
      </c>
      <c r="M850">
        <v>22878</v>
      </c>
      <c r="N850">
        <v>1089</v>
      </c>
      <c r="O850">
        <v>25056</v>
      </c>
    </row>
    <row r="851" spans="1:15" x14ac:dyDescent="0.35">
      <c r="A851">
        <v>850</v>
      </c>
      <c r="B851" s="2" t="s">
        <v>27</v>
      </c>
      <c r="C851" s="2" t="s">
        <v>11</v>
      </c>
      <c r="D851">
        <v>26</v>
      </c>
      <c r="E851" s="2" t="s">
        <v>29</v>
      </c>
      <c r="F851" s="2" t="s">
        <v>17</v>
      </c>
      <c r="G851">
        <v>64169</v>
      </c>
      <c r="H851" s="1">
        <v>45311</v>
      </c>
      <c r="I851">
        <v>12</v>
      </c>
      <c r="J851">
        <v>5</v>
      </c>
      <c r="K851">
        <v>6417</v>
      </c>
      <c r="L851">
        <v>3208</v>
      </c>
      <c r="M851">
        <v>67378</v>
      </c>
      <c r="N851">
        <v>3208</v>
      </c>
      <c r="O851">
        <v>73794</v>
      </c>
    </row>
    <row r="852" spans="1:15" x14ac:dyDescent="0.35">
      <c r="A852">
        <v>851</v>
      </c>
      <c r="B852" s="2" t="s">
        <v>20</v>
      </c>
      <c r="C852" s="2" t="s">
        <v>15</v>
      </c>
      <c r="D852">
        <v>42</v>
      </c>
      <c r="E852" s="2" t="s">
        <v>24</v>
      </c>
      <c r="F852" s="2" t="s">
        <v>25</v>
      </c>
      <c r="G852">
        <v>98255</v>
      </c>
      <c r="H852" s="1">
        <v>44922</v>
      </c>
      <c r="I852">
        <v>17</v>
      </c>
      <c r="J852">
        <v>2</v>
      </c>
      <c r="K852">
        <v>9826</v>
      </c>
      <c r="L852">
        <v>4913</v>
      </c>
      <c r="M852">
        <v>103168</v>
      </c>
      <c r="N852">
        <v>4913</v>
      </c>
      <c r="O852">
        <v>112994</v>
      </c>
    </row>
    <row r="853" spans="1:15" x14ac:dyDescent="0.35">
      <c r="A853">
        <v>852</v>
      </c>
      <c r="B853" s="2" t="s">
        <v>23</v>
      </c>
      <c r="C853" s="2" t="s">
        <v>11</v>
      </c>
      <c r="D853">
        <v>40</v>
      </c>
      <c r="E853" s="2" t="s">
        <v>12</v>
      </c>
      <c r="F853" s="2" t="s">
        <v>13</v>
      </c>
      <c r="G853">
        <v>63483</v>
      </c>
      <c r="H853" s="1">
        <v>45036</v>
      </c>
      <c r="I853">
        <v>2</v>
      </c>
      <c r="J853">
        <v>5</v>
      </c>
      <c r="K853">
        <v>6348</v>
      </c>
      <c r="L853">
        <v>3174</v>
      </c>
      <c r="M853">
        <v>66657</v>
      </c>
      <c r="N853">
        <v>0</v>
      </c>
      <c r="O853">
        <v>69831</v>
      </c>
    </row>
    <row r="854" spans="1:15" x14ac:dyDescent="0.35">
      <c r="A854">
        <v>853</v>
      </c>
      <c r="B854" s="2" t="s">
        <v>14</v>
      </c>
      <c r="C854" s="2" t="s">
        <v>11</v>
      </c>
      <c r="D854">
        <v>60</v>
      </c>
      <c r="E854" s="2" t="s">
        <v>16</v>
      </c>
      <c r="F854" s="2" t="s">
        <v>19</v>
      </c>
      <c r="G854">
        <v>48971</v>
      </c>
      <c r="H854" s="1">
        <v>45411</v>
      </c>
      <c r="I854">
        <v>9</v>
      </c>
      <c r="J854">
        <v>2</v>
      </c>
      <c r="K854">
        <v>4897</v>
      </c>
      <c r="L854">
        <v>2449</v>
      </c>
      <c r="M854">
        <v>51419</v>
      </c>
      <c r="N854">
        <v>2449</v>
      </c>
      <c r="O854">
        <v>56317</v>
      </c>
    </row>
    <row r="855" spans="1:15" x14ac:dyDescent="0.35">
      <c r="A855">
        <v>854</v>
      </c>
      <c r="B855" s="2" t="s">
        <v>26</v>
      </c>
      <c r="C855" s="2" t="s">
        <v>15</v>
      </c>
      <c r="D855">
        <v>59</v>
      </c>
      <c r="E855" s="2" t="s">
        <v>24</v>
      </c>
      <c r="F855" s="2" t="s">
        <v>13</v>
      </c>
      <c r="G855">
        <v>40292</v>
      </c>
      <c r="H855" s="1">
        <v>45403</v>
      </c>
      <c r="I855">
        <v>4</v>
      </c>
      <c r="J855">
        <v>5</v>
      </c>
      <c r="K855">
        <v>4029</v>
      </c>
      <c r="L855">
        <v>2015</v>
      </c>
      <c r="M855">
        <v>42306</v>
      </c>
      <c r="N855">
        <v>0</v>
      </c>
      <c r="O855">
        <v>44321</v>
      </c>
    </row>
    <row r="856" spans="1:15" x14ac:dyDescent="0.35">
      <c r="A856">
        <v>855</v>
      </c>
      <c r="B856" s="2" t="s">
        <v>10</v>
      </c>
      <c r="C856" s="2" t="s">
        <v>11</v>
      </c>
      <c r="D856">
        <v>33</v>
      </c>
      <c r="E856" s="2" t="s">
        <v>16</v>
      </c>
      <c r="F856" s="2" t="s">
        <v>21</v>
      </c>
      <c r="G856">
        <v>97432</v>
      </c>
      <c r="H856" s="1">
        <v>45129</v>
      </c>
      <c r="I856">
        <v>17</v>
      </c>
      <c r="J856">
        <v>3</v>
      </c>
      <c r="K856">
        <v>9743</v>
      </c>
      <c r="L856">
        <v>4872</v>
      </c>
      <c r="M856">
        <v>102303</v>
      </c>
      <c r="N856">
        <v>4872</v>
      </c>
      <c r="O856">
        <v>112047</v>
      </c>
    </row>
    <row r="857" spans="1:15" x14ac:dyDescent="0.35">
      <c r="A857">
        <v>856</v>
      </c>
      <c r="B857" s="2" t="s">
        <v>18</v>
      </c>
      <c r="C857" s="2" t="s">
        <v>11</v>
      </c>
      <c r="D857">
        <v>52</v>
      </c>
      <c r="E857" s="2" t="s">
        <v>29</v>
      </c>
      <c r="F857" s="2" t="s">
        <v>13</v>
      </c>
      <c r="G857">
        <v>32835</v>
      </c>
      <c r="H857" s="1">
        <v>44832</v>
      </c>
      <c r="I857">
        <v>17</v>
      </c>
      <c r="J857">
        <v>1</v>
      </c>
      <c r="K857">
        <v>3284</v>
      </c>
      <c r="L857">
        <v>1642</v>
      </c>
      <c r="M857">
        <v>34477</v>
      </c>
      <c r="N857">
        <v>1642</v>
      </c>
      <c r="O857">
        <v>37761</v>
      </c>
    </row>
    <row r="858" spans="1:15" x14ac:dyDescent="0.35">
      <c r="A858">
        <v>857</v>
      </c>
      <c r="B858" s="2" t="s">
        <v>18</v>
      </c>
      <c r="C858" s="2" t="s">
        <v>15</v>
      </c>
      <c r="D858">
        <v>29</v>
      </c>
      <c r="E858" s="2" t="s">
        <v>28</v>
      </c>
      <c r="F858" s="2" t="s">
        <v>21</v>
      </c>
      <c r="G858">
        <v>79875</v>
      </c>
      <c r="H858" s="1">
        <v>44912</v>
      </c>
      <c r="I858">
        <v>11</v>
      </c>
      <c r="J858">
        <v>1</v>
      </c>
      <c r="K858">
        <v>7988</v>
      </c>
      <c r="L858">
        <v>3994</v>
      </c>
      <c r="M858">
        <v>83869</v>
      </c>
      <c r="N858">
        <v>3994</v>
      </c>
      <c r="O858">
        <v>91857</v>
      </c>
    </row>
    <row r="859" spans="1:15" x14ac:dyDescent="0.35">
      <c r="A859">
        <v>858</v>
      </c>
      <c r="B859" s="2" t="s">
        <v>30</v>
      </c>
      <c r="C859" s="2" t="s">
        <v>15</v>
      </c>
      <c r="D859">
        <v>46</v>
      </c>
      <c r="E859" s="2" t="s">
        <v>28</v>
      </c>
      <c r="F859" s="2" t="s">
        <v>21</v>
      </c>
      <c r="G859">
        <v>21869</v>
      </c>
      <c r="H859" s="1">
        <v>45456</v>
      </c>
      <c r="I859">
        <v>9</v>
      </c>
      <c r="J859">
        <v>3</v>
      </c>
      <c r="K859">
        <v>2187</v>
      </c>
      <c r="L859">
        <v>1093</v>
      </c>
      <c r="M859">
        <v>22963</v>
      </c>
      <c r="N859">
        <v>1093</v>
      </c>
      <c r="O859">
        <v>25149</v>
      </c>
    </row>
    <row r="860" spans="1:15" x14ac:dyDescent="0.35">
      <c r="A860">
        <v>859</v>
      </c>
      <c r="B860" s="2" t="s">
        <v>23</v>
      </c>
      <c r="C860" s="2" t="s">
        <v>15</v>
      </c>
      <c r="D860">
        <v>41</v>
      </c>
      <c r="E860" s="2" t="s">
        <v>28</v>
      </c>
      <c r="F860" s="2" t="s">
        <v>25</v>
      </c>
      <c r="G860">
        <v>49685</v>
      </c>
      <c r="H860" s="1">
        <v>45246</v>
      </c>
      <c r="I860">
        <v>4</v>
      </c>
      <c r="J860">
        <v>4</v>
      </c>
      <c r="K860">
        <v>4968</v>
      </c>
      <c r="L860">
        <v>2484</v>
      </c>
      <c r="M860">
        <v>52169</v>
      </c>
      <c r="N860">
        <v>0</v>
      </c>
      <c r="O860">
        <v>54653</v>
      </c>
    </row>
    <row r="861" spans="1:15" x14ac:dyDescent="0.35">
      <c r="A861">
        <v>860</v>
      </c>
      <c r="B861" s="2" t="s">
        <v>31</v>
      </c>
      <c r="C861" s="2" t="s">
        <v>11</v>
      </c>
      <c r="D861">
        <v>54</v>
      </c>
      <c r="E861" s="2" t="s">
        <v>12</v>
      </c>
      <c r="F861" s="2" t="s">
        <v>13</v>
      </c>
      <c r="G861">
        <v>89108</v>
      </c>
      <c r="H861" s="1">
        <v>44783</v>
      </c>
      <c r="I861">
        <v>18</v>
      </c>
      <c r="J861">
        <v>4</v>
      </c>
      <c r="K861">
        <v>8911</v>
      </c>
      <c r="L861">
        <v>4455</v>
      </c>
      <c r="M861">
        <v>93564</v>
      </c>
      <c r="N861">
        <v>4455</v>
      </c>
      <c r="O861">
        <v>102474</v>
      </c>
    </row>
    <row r="862" spans="1:15" x14ac:dyDescent="0.35">
      <c r="A862">
        <v>861</v>
      </c>
      <c r="B862" s="2" t="s">
        <v>18</v>
      </c>
      <c r="C862" s="2" t="s">
        <v>11</v>
      </c>
      <c r="D862">
        <v>40</v>
      </c>
      <c r="E862" s="2" t="s">
        <v>16</v>
      </c>
      <c r="F862" s="2" t="s">
        <v>19</v>
      </c>
      <c r="G862">
        <v>59002</v>
      </c>
      <c r="H862" s="1">
        <v>45157</v>
      </c>
      <c r="I862">
        <v>17</v>
      </c>
      <c r="J862">
        <v>4</v>
      </c>
      <c r="K862">
        <v>5900</v>
      </c>
      <c r="L862">
        <v>2950</v>
      </c>
      <c r="M862">
        <v>61952</v>
      </c>
      <c r="N862">
        <v>2950</v>
      </c>
      <c r="O862">
        <v>67852</v>
      </c>
    </row>
    <row r="863" spans="1:15" x14ac:dyDescent="0.35">
      <c r="A863">
        <v>862</v>
      </c>
      <c r="B863" s="2" t="s">
        <v>14</v>
      </c>
      <c r="C863" s="2" t="s">
        <v>11</v>
      </c>
      <c r="D863">
        <v>50</v>
      </c>
      <c r="E863" s="2" t="s">
        <v>28</v>
      </c>
      <c r="F863" s="2" t="s">
        <v>21</v>
      </c>
      <c r="G863">
        <v>44256</v>
      </c>
      <c r="H863" s="1">
        <v>44777</v>
      </c>
      <c r="I863">
        <v>3</v>
      </c>
      <c r="J863">
        <v>5</v>
      </c>
      <c r="K863">
        <v>4426</v>
      </c>
      <c r="L863">
        <v>2213</v>
      </c>
      <c r="M863">
        <v>46469</v>
      </c>
      <c r="N863">
        <v>0</v>
      </c>
      <c r="O863">
        <v>48682</v>
      </c>
    </row>
    <row r="864" spans="1:15" x14ac:dyDescent="0.35">
      <c r="A864">
        <v>863</v>
      </c>
      <c r="B864" s="2" t="s">
        <v>30</v>
      </c>
      <c r="C864" s="2" t="s">
        <v>11</v>
      </c>
      <c r="D864">
        <v>42</v>
      </c>
      <c r="E864" s="2" t="s">
        <v>12</v>
      </c>
      <c r="F864" s="2" t="s">
        <v>21</v>
      </c>
      <c r="G864">
        <v>64172</v>
      </c>
      <c r="H864" s="1">
        <v>45353</v>
      </c>
      <c r="I864">
        <v>13</v>
      </c>
      <c r="J864">
        <v>4</v>
      </c>
      <c r="K864">
        <v>6417</v>
      </c>
      <c r="L864">
        <v>3209</v>
      </c>
      <c r="M864">
        <v>67380</v>
      </c>
      <c r="N864">
        <v>3209</v>
      </c>
      <c r="O864">
        <v>73798</v>
      </c>
    </row>
    <row r="865" spans="1:15" x14ac:dyDescent="0.35">
      <c r="A865">
        <v>864</v>
      </c>
      <c r="B865" s="2" t="s">
        <v>18</v>
      </c>
      <c r="C865" s="2" t="s">
        <v>11</v>
      </c>
      <c r="D865">
        <v>32</v>
      </c>
      <c r="E865" s="2" t="s">
        <v>29</v>
      </c>
      <c r="F865" s="2" t="s">
        <v>21</v>
      </c>
      <c r="G865">
        <v>71046</v>
      </c>
      <c r="H865" s="1">
        <v>45009</v>
      </c>
      <c r="I865">
        <v>20</v>
      </c>
      <c r="J865">
        <v>5</v>
      </c>
      <c r="K865">
        <v>7105</v>
      </c>
      <c r="L865">
        <v>3552</v>
      </c>
      <c r="M865">
        <v>74599</v>
      </c>
      <c r="N865">
        <v>3552</v>
      </c>
      <c r="O865">
        <v>81703</v>
      </c>
    </row>
    <row r="866" spans="1:15" x14ac:dyDescent="0.35">
      <c r="A866">
        <v>865</v>
      </c>
      <c r="B866" s="2" t="s">
        <v>22</v>
      </c>
      <c r="C866" s="2" t="s">
        <v>11</v>
      </c>
      <c r="D866">
        <v>48</v>
      </c>
      <c r="E866" s="2" t="s">
        <v>29</v>
      </c>
      <c r="F866" s="2" t="s">
        <v>17</v>
      </c>
      <c r="G866">
        <v>53999</v>
      </c>
      <c r="H866" s="1">
        <v>44624</v>
      </c>
      <c r="I866">
        <v>11</v>
      </c>
      <c r="J866">
        <v>2</v>
      </c>
      <c r="K866">
        <v>5400</v>
      </c>
      <c r="L866">
        <v>2700</v>
      </c>
      <c r="M866">
        <v>56699</v>
      </c>
      <c r="N866">
        <v>2700</v>
      </c>
      <c r="O866">
        <v>62099</v>
      </c>
    </row>
    <row r="867" spans="1:15" x14ac:dyDescent="0.35">
      <c r="A867">
        <v>866</v>
      </c>
      <c r="B867" s="2" t="s">
        <v>18</v>
      </c>
      <c r="C867" s="2" t="s">
        <v>11</v>
      </c>
      <c r="D867">
        <v>24</v>
      </c>
      <c r="E867" s="2" t="s">
        <v>12</v>
      </c>
      <c r="F867" s="2" t="s">
        <v>21</v>
      </c>
      <c r="G867">
        <v>92601</v>
      </c>
      <c r="H867" s="1">
        <v>44717</v>
      </c>
      <c r="I867">
        <v>19</v>
      </c>
      <c r="J867">
        <v>5</v>
      </c>
      <c r="K867">
        <v>9260</v>
      </c>
      <c r="L867">
        <v>4630</v>
      </c>
      <c r="M867">
        <v>97231</v>
      </c>
      <c r="N867">
        <v>4630</v>
      </c>
      <c r="O867">
        <v>106491</v>
      </c>
    </row>
    <row r="868" spans="1:15" x14ac:dyDescent="0.35">
      <c r="A868">
        <v>867</v>
      </c>
      <c r="B868" s="2" t="s">
        <v>22</v>
      </c>
      <c r="C868" s="2" t="s">
        <v>11</v>
      </c>
      <c r="D868">
        <v>56</v>
      </c>
      <c r="E868" s="2" t="s">
        <v>24</v>
      </c>
      <c r="F868" s="2" t="s">
        <v>25</v>
      </c>
      <c r="G868">
        <v>48448</v>
      </c>
      <c r="H868" s="1">
        <v>44743</v>
      </c>
      <c r="I868">
        <v>13</v>
      </c>
      <c r="J868">
        <v>2</v>
      </c>
      <c r="K868">
        <v>4845</v>
      </c>
      <c r="L868">
        <v>2422</v>
      </c>
      <c r="M868">
        <v>50871</v>
      </c>
      <c r="N868">
        <v>2422</v>
      </c>
      <c r="O868">
        <v>55715</v>
      </c>
    </row>
    <row r="869" spans="1:15" x14ac:dyDescent="0.35">
      <c r="A869">
        <v>868</v>
      </c>
      <c r="B869" s="2" t="s">
        <v>22</v>
      </c>
      <c r="C869" s="2" t="s">
        <v>11</v>
      </c>
      <c r="D869">
        <v>39</v>
      </c>
      <c r="E869" s="2" t="s">
        <v>12</v>
      </c>
      <c r="F869" s="2" t="s">
        <v>13</v>
      </c>
      <c r="G869">
        <v>65536</v>
      </c>
      <c r="H869" s="1">
        <v>45001</v>
      </c>
      <c r="I869">
        <v>9</v>
      </c>
      <c r="J869">
        <v>2</v>
      </c>
      <c r="K869">
        <v>6554</v>
      </c>
      <c r="L869">
        <v>3277</v>
      </c>
      <c r="M869">
        <v>68813</v>
      </c>
      <c r="N869">
        <v>3277</v>
      </c>
      <c r="O869">
        <v>75367</v>
      </c>
    </row>
    <row r="870" spans="1:15" x14ac:dyDescent="0.35">
      <c r="A870">
        <v>869</v>
      </c>
      <c r="B870" s="2" t="s">
        <v>26</v>
      </c>
      <c r="C870" s="2" t="s">
        <v>11</v>
      </c>
      <c r="D870">
        <v>36</v>
      </c>
      <c r="E870" s="2" t="s">
        <v>28</v>
      </c>
      <c r="F870" s="2" t="s">
        <v>25</v>
      </c>
      <c r="G870">
        <v>22461</v>
      </c>
      <c r="H870" s="1">
        <v>44589</v>
      </c>
      <c r="I870">
        <v>2</v>
      </c>
      <c r="J870">
        <v>3</v>
      </c>
      <c r="K870">
        <v>2246</v>
      </c>
      <c r="L870">
        <v>1123</v>
      </c>
      <c r="M870">
        <v>23584</v>
      </c>
      <c r="N870">
        <v>0</v>
      </c>
      <c r="O870">
        <v>24707</v>
      </c>
    </row>
    <row r="871" spans="1:15" x14ac:dyDescent="0.35">
      <c r="A871">
        <v>870</v>
      </c>
      <c r="B871" s="2" t="s">
        <v>18</v>
      </c>
      <c r="C871" s="2" t="s">
        <v>15</v>
      </c>
      <c r="D871">
        <v>21</v>
      </c>
      <c r="E871" s="2" t="s">
        <v>12</v>
      </c>
      <c r="F871" s="2" t="s">
        <v>21</v>
      </c>
      <c r="G871">
        <v>44021</v>
      </c>
      <c r="H871" s="1">
        <v>45253</v>
      </c>
      <c r="I871">
        <v>15</v>
      </c>
      <c r="J871">
        <v>4</v>
      </c>
      <c r="K871">
        <v>4402</v>
      </c>
      <c r="L871">
        <v>2201</v>
      </c>
      <c r="M871">
        <v>46222</v>
      </c>
      <c r="N871">
        <v>2201</v>
      </c>
      <c r="O871">
        <v>50624</v>
      </c>
    </row>
    <row r="872" spans="1:15" x14ac:dyDescent="0.35">
      <c r="A872">
        <v>871</v>
      </c>
      <c r="B872" s="2" t="s">
        <v>23</v>
      </c>
      <c r="C872" s="2" t="s">
        <v>15</v>
      </c>
      <c r="D872">
        <v>45</v>
      </c>
      <c r="E872" s="2" t="s">
        <v>12</v>
      </c>
      <c r="F872" s="2" t="s">
        <v>21</v>
      </c>
      <c r="G872">
        <v>38167</v>
      </c>
      <c r="H872" s="1">
        <v>44611</v>
      </c>
      <c r="I872">
        <v>4</v>
      </c>
      <c r="J872">
        <v>4</v>
      </c>
      <c r="K872">
        <v>3817</v>
      </c>
      <c r="L872">
        <v>1908</v>
      </c>
      <c r="M872">
        <v>40076</v>
      </c>
      <c r="N872">
        <v>0</v>
      </c>
      <c r="O872">
        <v>41984</v>
      </c>
    </row>
    <row r="873" spans="1:15" x14ac:dyDescent="0.35">
      <c r="A873">
        <v>872</v>
      </c>
      <c r="B873" s="2" t="s">
        <v>27</v>
      </c>
      <c r="C873" s="2" t="s">
        <v>11</v>
      </c>
      <c r="D873">
        <v>50</v>
      </c>
      <c r="E873" s="2" t="s">
        <v>16</v>
      </c>
      <c r="F873" s="2" t="s">
        <v>19</v>
      </c>
      <c r="G873">
        <v>42502</v>
      </c>
      <c r="H873" s="1">
        <v>44563</v>
      </c>
      <c r="I873">
        <v>10</v>
      </c>
      <c r="J873">
        <v>3</v>
      </c>
      <c r="K873">
        <v>4250</v>
      </c>
      <c r="L873">
        <v>2125</v>
      </c>
      <c r="M873">
        <v>44627</v>
      </c>
      <c r="N873">
        <v>2125</v>
      </c>
      <c r="O873">
        <v>48877</v>
      </c>
    </row>
    <row r="874" spans="1:15" x14ac:dyDescent="0.35">
      <c r="A874">
        <v>873</v>
      </c>
      <c r="B874" s="2" t="s">
        <v>23</v>
      </c>
      <c r="C874" s="2" t="s">
        <v>11</v>
      </c>
      <c r="D874">
        <v>28</v>
      </c>
      <c r="E874" s="2" t="s">
        <v>28</v>
      </c>
      <c r="F874" s="2" t="s">
        <v>21</v>
      </c>
      <c r="G874">
        <v>34026</v>
      </c>
      <c r="H874" s="1">
        <v>44845</v>
      </c>
      <c r="I874">
        <v>7</v>
      </c>
      <c r="J874">
        <v>3</v>
      </c>
      <c r="K874">
        <v>3403</v>
      </c>
      <c r="L874">
        <v>1701</v>
      </c>
      <c r="M874">
        <v>35728</v>
      </c>
      <c r="N874">
        <v>1701</v>
      </c>
      <c r="O874">
        <v>39130</v>
      </c>
    </row>
    <row r="875" spans="1:15" x14ac:dyDescent="0.35">
      <c r="A875">
        <v>874</v>
      </c>
      <c r="B875" s="2" t="s">
        <v>18</v>
      </c>
      <c r="C875" s="2" t="s">
        <v>15</v>
      </c>
      <c r="D875">
        <v>29</v>
      </c>
      <c r="E875" s="2" t="s">
        <v>28</v>
      </c>
      <c r="F875" s="2" t="s">
        <v>13</v>
      </c>
      <c r="G875">
        <v>33928</v>
      </c>
      <c r="H875" s="1">
        <v>45464</v>
      </c>
      <c r="I875">
        <v>11</v>
      </c>
      <c r="J875">
        <v>3</v>
      </c>
      <c r="K875">
        <v>3393</v>
      </c>
      <c r="L875">
        <v>1696</v>
      </c>
      <c r="M875">
        <v>35625</v>
      </c>
      <c r="N875">
        <v>1696</v>
      </c>
      <c r="O875">
        <v>39017</v>
      </c>
    </row>
    <row r="876" spans="1:15" x14ac:dyDescent="0.35">
      <c r="A876">
        <v>875</v>
      </c>
      <c r="B876" s="2" t="s">
        <v>23</v>
      </c>
      <c r="C876" s="2" t="s">
        <v>15</v>
      </c>
      <c r="D876">
        <v>30</v>
      </c>
      <c r="E876" s="2" t="s">
        <v>16</v>
      </c>
      <c r="F876" s="2" t="s">
        <v>17</v>
      </c>
      <c r="G876">
        <v>80500</v>
      </c>
      <c r="H876" s="1">
        <v>45084</v>
      </c>
      <c r="I876">
        <v>1</v>
      </c>
      <c r="J876">
        <v>1</v>
      </c>
      <c r="K876">
        <v>8050</v>
      </c>
      <c r="L876">
        <v>4025</v>
      </c>
      <c r="M876">
        <v>84525</v>
      </c>
      <c r="N876">
        <v>0</v>
      </c>
      <c r="O876">
        <v>88550</v>
      </c>
    </row>
    <row r="877" spans="1:15" x14ac:dyDescent="0.35">
      <c r="A877">
        <v>876</v>
      </c>
      <c r="B877" s="2" t="s">
        <v>26</v>
      </c>
      <c r="C877" s="2" t="s">
        <v>11</v>
      </c>
      <c r="D877">
        <v>29</v>
      </c>
      <c r="E877" s="2" t="s">
        <v>24</v>
      </c>
      <c r="F877" s="2" t="s">
        <v>21</v>
      </c>
      <c r="G877">
        <v>65566</v>
      </c>
      <c r="H877" s="1">
        <v>44958</v>
      </c>
      <c r="I877">
        <v>15</v>
      </c>
      <c r="J877">
        <v>2</v>
      </c>
      <c r="K877">
        <v>6557</v>
      </c>
      <c r="L877">
        <v>3278</v>
      </c>
      <c r="M877">
        <v>68845</v>
      </c>
      <c r="N877">
        <v>3278</v>
      </c>
      <c r="O877">
        <v>75401</v>
      </c>
    </row>
    <row r="878" spans="1:15" x14ac:dyDescent="0.35">
      <c r="A878">
        <v>877</v>
      </c>
      <c r="B878" s="2" t="s">
        <v>18</v>
      </c>
      <c r="C878" s="2" t="s">
        <v>15</v>
      </c>
      <c r="D878">
        <v>49</v>
      </c>
      <c r="E878" s="2" t="s">
        <v>12</v>
      </c>
      <c r="F878" s="2" t="s">
        <v>17</v>
      </c>
      <c r="G878">
        <v>55437</v>
      </c>
      <c r="H878" s="1">
        <v>44724</v>
      </c>
      <c r="I878">
        <v>3</v>
      </c>
      <c r="J878">
        <v>4</v>
      </c>
      <c r="K878">
        <v>5544</v>
      </c>
      <c r="L878">
        <v>2772</v>
      </c>
      <c r="M878">
        <v>58209</v>
      </c>
      <c r="N878">
        <v>0</v>
      </c>
      <c r="O878">
        <v>60981</v>
      </c>
    </row>
    <row r="879" spans="1:15" x14ac:dyDescent="0.35">
      <c r="A879">
        <v>878</v>
      </c>
      <c r="B879" s="2" t="s">
        <v>26</v>
      </c>
      <c r="C879" s="2" t="s">
        <v>11</v>
      </c>
      <c r="D879">
        <v>23</v>
      </c>
      <c r="E879" s="2" t="s">
        <v>24</v>
      </c>
      <c r="F879" s="2" t="s">
        <v>17</v>
      </c>
      <c r="G879">
        <v>77846</v>
      </c>
      <c r="H879" s="1">
        <v>45040</v>
      </c>
      <c r="I879">
        <v>9</v>
      </c>
      <c r="J879">
        <v>2</v>
      </c>
      <c r="K879">
        <v>7785</v>
      </c>
      <c r="L879">
        <v>3892</v>
      </c>
      <c r="M879">
        <v>81739</v>
      </c>
      <c r="N879">
        <v>3892</v>
      </c>
      <c r="O879">
        <v>89523</v>
      </c>
    </row>
    <row r="880" spans="1:15" x14ac:dyDescent="0.35">
      <c r="A880">
        <v>879</v>
      </c>
      <c r="B880" s="2" t="s">
        <v>20</v>
      </c>
      <c r="C880" s="2" t="s">
        <v>15</v>
      </c>
      <c r="D880">
        <v>37</v>
      </c>
      <c r="E880" s="2" t="s">
        <v>24</v>
      </c>
      <c r="F880" s="2" t="s">
        <v>17</v>
      </c>
      <c r="G880">
        <v>99079</v>
      </c>
      <c r="H880" s="1">
        <v>44823</v>
      </c>
      <c r="I880">
        <v>9</v>
      </c>
      <c r="J880">
        <v>1</v>
      </c>
      <c r="K880">
        <v>9908</v>
      </c>
      <c r="L880">
        <v>4954</v>
      </c>
      <c r="M880">
        <v>104033</v>
      </c>
      <c r="N880">
        <v>4954</v>
      </c>
      <c r="O880">
        <v>113941</v>
      </c>
    </row>
    <row r="881" spans="1:15" x14ac:dyDescent="0.35">
      <c r="A881">
        <v>880</v>
      </c>
      <c r="B881" s="2" t="s">
        <v>30</v>
      </c>
      <c r="C881" s="2" t="s">
        <v>15</v>
      </c>
      <c r="D881">
        <v>26</v>
      </c>
      <c r="E881" s="2" t="s">
        <v>29</v>
      </c>
      <c r="F881" s="2" t="s">
        <v>17</v>
      </c>
      <c r="G881">
        <v>42409</v>
      </c>
      <c r="H881" s="1">
        <v>45318</v>
      </c>
      <c r="I881">
        <v>12</v>
      </c>
      <c r="J881">
        <v>3</v>
      </c>
      <c r="K881">
        <v>4241</v>
      </c>
      <c r="L881">
        <v>2120</v>
      </c>
      <c r="M881">
        <v>44530</v>
      </c>
      <c r="N881">
        <v>2120</v>
      </c>
      <c r="O881">
        <v>48770</v>
      </c>
    </row>
    <row r="882" spans="1:15" x14ac:dyDescent="0.35">
      <c r="A882">
        <v>881</v>
      </c>
      <c r="B882" s="2" t="s">
        <v>31</v>
      </c>
      <c r="C882" s="2" t="s">
        <v>11</v>
      </c>
      <c r="D882">
        <v>54</v>
      </c>
      <c r="E882" s="2" t="s">
        <v>28</v>
      </c>
      <c r="F882" s="2" t="s">
        <v>17</v>
      </c>
      <c r="G882">
        <v>65768</v>
      </c>
      <c r="H882" s="1">
        <v>45402</v>
      </c>
      <c r="I882">
        <v>10</v>
      </c>
      <c r="J882">
        <v>2</v>
      </c>
      <c r="K882">
        <v>6577</v>
      </c>
      <c r="L882">
        <v>3288</v>
      </c>
      <c r="M882">
        <v>69057</v>
      </c>
      <c r="N882">
        <v>3288</v>
      </c>
      <c r="O882">
        <v>75633</v>
      </c>
    </row>
    <row r="883" spans="1:15" x14ac:dyDescent="0.35">
      <c r="A883">
        <v>882</v>
      </c>
      <c r="B883" s="2" t="s">
        <v>23</v>
      </c>
      <c r="C883" s="2" t="s">
        <v>11</v>
      </c>
      <c r="D883">
        <v>27</v>
      </c>
      <c r="E883" s="2" t="s">
        <v>12</v>
      </c>
      <c r="F883" s="2" t="s">
        <v>17</v>
      </c>
      <c r="G883">
        <v>67826</v>
      </c>
      <c r="H883" s="1">
        <v>45418</v>
      </c>
      <c r="I883">
        <v>8</v>
      </c>
      <c r="J883">
        <v>5</v>
      </c>
      <c r="K883">
        <v>6783</v>
      </c>
      <c r="L883">
        <v>3391</v>
      </c>
      <c r="M883">
        <v>71218</v>
      </c>
      <c r="N883">
        <v>3391</v>
      </c>
      <c r="O883">
        <v>78000</v>
      </c>
    </row>
    <row r="884" spans="1:15" x14ac:dyDescent="0.35">
      <c r="A884">
        <v>883</v>
      </c>
      <c r="B884" s="2" t="s">
        <v>22</v>
      </c>
      <c r="C884" s="2" t="s">
        <v>15</v>
      </c>
      <c r="D884">
        <v>45</v>
      </c>
      <c r="E884" s="2" t="s">
        <v>24</v>
      </c>
      <c r="F884" s="2" t="s">
        <v>25</v>
      </c>
      <c r="G884">
        <v>91147</v>
      </c>
      <c r="H884" s="1">
        <v>45074</v>
      </c>
      <c r="I884">
        <v>2</v>
      </c>
      <c r="J884">
        <v>5</v>
      </c>
      <c r="K884">
        <v>9115</v>
      </c>
      <c r="L884">
        <v>4557</v>
      </c>
      <c r="M884">
        <v>95705</v>
      </c>
      <c r="N884">
        <v>0</v>
      </c>
      <c r="O884">
        <v>100262</v>
      </c>
    </row>
    <row r="885" spans="1:15" x14ac:dyDescent="0.35">
      <c r="A885">
        <v>884</v>
      </c>
      <c r="B885" s="2" t="s">
        <v>14</v>
      </c>
      <c r="C885" s="2" t="s">
        <v>15</v>
      </c>
      <c r="D885">
        <v>50</v>
      </c>
      <c r="E885" s="2" t="s">
        <v>29</v>
      </c>
      <c r="F885" s="2" t="s">
        <v>19</v>
      </c>
      <c r="G885">
        <v>67383</v>
      </c>
      <c r="H885" s="1">
        <v>45015</v>
      </c>
      <c r="I885">
        <v>8</v>
      </c>
      <c r="J885">
        <v>1</v>
      </c>
      <c r="K885">
        <v>6738</v>
      </c>
      <c r="L885">
        <v>3369</v>
      </c>
      <c r="M885">
        <v>70752</v>
      </c>
      <c r="N885">
        <v>3369</v>
      </c>
      <c r="O885">
        <v>77490</v>
      </c>
    </row>
    <row r="886" spans="1:15" x14ac:dyDescent="0.35">
      <c r="A886">
        <v>885</v>
      </c>
      <c r="B886" s="2" t="s">
        <v>23</v>
      </c>
      <c r="C886" s="2" t="s">
        <v>11</v>
      </c>
      <c r="D886">
        <v>38</v>
      </c>
      <c r="E886" s="2" t="s">
        <v>29</v>
      </c>
      <c r="F886" s="2" t="s">
        <v>17</v>
      </c>
      <c r="G886">
        <v>36604</v>
      </c>
      <c r="H886" s="1">
        <v>45450</v>
      </c>
      <c r="I886">
        <v>13</v>
      </c>
      <c r="J886">
        <v>5</v>
      </c>
      <c r="K886">
        <v>3660</v>
      </c>
      <c r="L886">
        <v>1830</v>
      </c>
      <c r="M886">
        <v>38434</v>
      </c>
      <c r="N886">
        <v>1830</v>
      </c>
      <c r="O886">
        <v>42094</v>
      </c>
    </row>
    <row r="887" spans="1:15" x14ac:dyDescent="0.35">
      <c r="A887">
        <v>886</v>
      </c>
      <c r="B887" s="2" t="s">
        <v>20</v>
      </c>
      <c r="C887" s="2" t="s">
        <v>11</v>
      </c>
      <c r="D887">
        <v>29</v>
      </c>
      <c r="E887" s="2" t="s">
        <v>29</v>
      </c>
      <c r="F887" s="2" t="s">
        <v>13</v>
      </c>
      <c r="G887">
        <v>50142</v>
      </c>
      <c r="H887" s="1">
        <v>45290</v>
      </c>
      <c r="I887">
        <v>16</v>
      </c>
      <c r="J887">
        <v>5</v>
      </c>
      <c r="K887">
        <v>5014</v>
      </c>
      <c r="L887">
        <v>2507</v>
      </c>
      <c r="M887">
        <v>52649</v>
      </c>
      <c r="N887">
        <v>2507</v>
      </c>
      <c r="O887">
        <v>57663</v>
      </c>
    </row>
    <row r="888" spans="1:15" x14ac:dyDescent="0.35">
      <c r="A888">
        <v>887</v>
      </c>
      <c r="B888" s="2" t="s">
        <v>26</v>
      </c>
      <c r="C888" s="2" t="s">
        <v>11</v>
      </c>
      <c r="D888">
        <v>22</v>
      </c>
      <c r="E888" s="2" t="s">
        <v>16</v>
      </c>
      <c r="F888" s="2" t="s">
        <v>17</v>
      </c>
      <c r="G888">
        <v>65746</v>
      </c>
      <c r="H888" s="1">
        <v>45557</v>
      </c>
      <c r="I888">
        <v>13</v>
      </c>
      <c r="J888">
        <v>2</v>
      </c>
      <c r="K888">
        <v>6575</v>
      </c>
      <c r="L888">
        <v>3287</v>
      </c>
      <c r="M888">
        <v>69034</v>
      </c>
      <c r="N888">
        <v>3287</v>
      </c>
      <c r="O888">
        <v>75608</v>
      </c>
    </row>
    <row r="889" spans="1:15" x14ac:dyDescent="0.35">
      <c r="A889">
        <v>888</v>
      </c>
      <c r="B889" s="2" t="s">
        <v>30</v>
      </c>
      <c r="C889" s="2" t="s">
        <v>11</v>
      </c>
      <c r="D889">
        <v>28</v>
      </c>
      <c r="E889" s="2" t="s">
        <v>29</v>
      </c>
      <c r="F889" s="2" t="s">
        <v>25</v>
      </c>
      <c r="G889">
        <v>40749</v>
      </c>
      <c r="H889" s="1">
        <v>44821</v>
      </c>
      <c r="I889">
        <v>9</v>
      </c>
      <c r="J889">
        <v>2</v>
      </c>
      <c r="K889">
        <v>4075</v>
      </c>
      <c r="L889">
        <v>2037</v>
      </c>
      <c r="M889">
        <v>42787</v>
      </c>
      <c r="N889">
        <v>2037</v>
      </c>
      <c r="O889">
        <v>46861</v>
      </c>
    </row>
    <row r="890" spans="1:15" x14ac:dyDescent="0.35">
      <c r="A890">
        <v>889</v>
      </c>
      <c r="B890" s="2" t="s">
        <v>20</v>
      </c>
      <c r="C890" s="2" t="s">
        <v>15</v>
      </c>
      <c r="D890">
        <v>27</v>
      </c>
      <c r="E890" s="2" t="s">
        <v>24</v>
      </c>
      <c r="F890" s="2" t="s">
        <v>21</v>
      </c>
      <c r="G890">
        <v>36225</v>
      </c>
      <c r="H890" s="1">
        <v>45266</v>
      </c>
      <c r="I890">
        <v>8</v>
      </c>
      <c r="J890">
        <v>1</v>
      </c>
      <c r="K890">
        <v>3622</v>
      </c>
      <c r="L890">
        <v>1811</v>
      </c>
      <c r="M890">
        <v>38036</v>
      </c>
      <c r="N890">
        <v>1811</v>
      </c>
      <c r="O890">
        <v>41658</v>
      </c>
    </row>
    <row r="891" spans="1:15" x14ac:dyDescent="0.35">
      <c r="A891">
        <v>890</v>
      </c>
      <c r="B891" s="2" t="s">
        <v>20</v>
      </c>
      <c r="C891" s="2" t="s">
        <v>11</v>
      </c>
      <c r="D891">
        <v>40</v>
      </c>
      <c r="E891" s="2" t="s">
        <v>29</v>
      </c>
      <c r="F891" s="2" t="s">
        <v>17</v>
      </c>
      <c r="G891">
        <v>91494</v>
      </c>
      <c r="H891" s="1">
        <v>45306</v>
      </c>
      <c r="I891">
        <v>19</v>
      </c>
      <c r="J891">
        <v>5</v>
      </c>
      <c r="K891">
        <v>9149</v>
      </c>
      <c r="L891">
        <v>4575</v>
      </c>
      <c r="M891">
        <v>96068</v>
      </c>
      <c r="N891">
        <v>4575</v>
      </c>
      <c r="O891">
        <v>105218</v>
      </c>
    </row>
    <row r="892" spans="1:15" x14ac:dyDescent="0.35">
      <c r="A892">
        <v>891</v>
      </c>
      <c r="B892" s="2" t="s">
        <v>23</v>
      </c>
      <c r="C892" s="2" t="s">
        <v>11</v>
      </c>
      <c r="D892">
        <v>32</v>
      </c>
      <c r="E892" s="2" t="s">
        <v>28</v>
      </c>
      <c r="F892" s="2" t="s">
        <v>17</v>
      </c>
      <c r="G892">
        <v>80256</v>
      </c>
      <c r="H892" s="1">
        <v>45274</v>
      </c>
      <c r="I892">
        <v>18</v>
      </c>
      <c r="J892">
        <v>2</v>
      </c>
      <c r="K892">
        <v>8026</v>
      </c>
      <c r="L892">
        <v>4013</v>
      </c>
      <c r="M892">
        <v>84269</v>
      </c>
      <c r="N892">
        <v>4013</v>
      </c>
      <c r="O892">
        <v>92295</v>
      </c>
    </row>
    <row r="893" spans="1:15" x14ac:dyDescent="0.35">
      <c r="A893">
        <v>892</v>
      </c>
      <c r="B893" s="2" t="s">
        <v>26</v>
      </c>
      <c r="C893" s="2" t="s">
        <v>15</v>
      </c>
      <c r="D893">
        <v>46</v>
      </c>
      <c r="E893" s="2" t="s">
        <v>29</v>
      </c>
      <c r="F893" s="2" t="s">
        <v>25</v>
      </c>
      <c r="G893">
        <v>57418</v>
      </c>
      <c r="H893" s="1">
        <v>44651</v>
      </c>
      <c r="I893">
        <v>7</v>
      </c>
      <c r="J893">
        <v>1</v>
      </c>
      <c r="K893">
        <v>5742</v>
      </c>
      <c r="L893">
        <v>2871</v>
      </c>
      <c r="M893">
        <v>60289</v>
      </c>
      <c r="N893">
        <v>2871</v>
      </c>
      <c r="O893">
        <v>66031</v>
      </c>
    </row>
    <row r="894" spans="1:15" x14ac:dyDescent="0.35">
      <c r="A894">
        <v>893</v>
      </c>
      <c r="B894" s="2" t="s">
        <v>20</v>
      </c>
      <c r="C894" s="2" t="s">
        <v>15</v>
      </c>
      <c r="D894">
        <v>53</v>
      </c>
      <c r="E894" s="2" t="s">
        <v>24</v>
      </c>
      <c r="F894" s="2" t="s">
        <v>17</v>
      </c>
      <c r="G894">
        <v>56068</v>
      </c>
      <c r="H894" s="1">
        <v>44891</v>
      </c>
      <c r="I894">
        <v>7</v>
      </c>
      <c r="J894">
        <v>1</v>
      </c>
      <c r="K894">
        <v>5607</v>
      </c>
      <c r="L894">
        <v>2803</v>
      </c>
      <c r="M894">
        <v>58872</v>
      </c>
      <c r="N894">
        <v>2803</v>
      </c>
      <c r="O894">
        <v>64478</v>
      </c>
    </row>
    <row r="895" spans="1:15" x14ac:dyDescent="0.35">
      <c r="A895">
        <v>894</v>
      </c>
      <c r="B895" s="2" t="s">
        <v>18</v>
      </c>
      <c r="C895" s="2" t="s">
        <v>11</v>
      </c>
      <c r="D895">
        <v>32</v>
      </c>
      <c r="E895" s="2" t="s">
        <v>12</v>
      </c>
      <c r="F895" s="2" t="s">
        <v>19</v>
      </c>
      <c r="G895">
        <v>56815</v>
      </c>
      <c r="H895" s="1">
        <v>45382</v>
      </c>
      <c r="I895">
        <v>9</v>
      </c>
      <c r="J895">
        <v>2</v>
      </c>
      <c r="K895">
        <v>5682</v>
      </c>
      <c r="L895">
        <v>2841</v>
      </c>
      <c r="M895">
        <v>59656</v>
      </c>
      <c r="N895">
        <v>2841</v>
      </c>
      <c r="O895">
        <v>65338</v>
      </c>
    </row>
    <row r="896" spans="1:15" x14ac:dyDescent="0.35">
      <c r="A896">
        <v>895</v>
      </c>
      <c r="B896" s="2" t="s">
        <v>22</v>
      </c>
      <c r="C896" s="2" t="s">
        <v>11</v>
      </c>
      <c r="D896">
        <v>50</v>
      </c>
      <c r="E896" s="2" t="s">
        <v>28</v>
      </c>
      <c r="F896" s="2" t="s">
        <v>19</v>
      </c>
      <c r="G896">
        <v>73947</v>
      </c>
      <c r="H896" s="1">
        <v>45436</v>
      </c>
      <c r="I896">
        <v>7</v>
      </c>
      <c r="J896">
        <v>4</v>
      </c>
      <c r="K896">
        <v>7395</v>
      </c>
      <c r="L896">
        <v>3697</v>
      </c>
      <c r="M896">
        <v>77645</v>
      </c>
      <c r="N896">
        <v>3697</v>
      </c>
      <c r="O896">
        <v>85039</v>
      </c>
    </row>
    <row r="897" spans="1:15" x14ac:dyDescent="0.35">
      <c r="A897">
        <v>896</v>
      </c>
      <c r="B897" s="2" t="s">
        <v>20</v>
      </c>
      <c r="C897" s="2" t="s">
        <v>15</v>
      </c>
      <c r="D897">
        <v>44</v>
      </c>
      <c r="E897" s="2" t="s">
        <v>24</v>
      </c>
      <c r="F897" s="2" t="s">
        <v>17</v>
      </c>
      <c r="G897">
        <v>89633</v>
      </c>
      <c r="H897" s="1">
        <v>44613</v>
      </c>
      <c r="I897">
        <v>11</v>
      </c>
      <c r="J897">
        <v>4</v>
      </c>
      <c r="K897">
        <v>8963</v>
      </c>
      <c r="L897">
        <v>4482</v>
      </c>
      <c r="M897">
        <v>94114</v>
      </c>
      <c r="N897">
        <v>4482</v>
      </c>
      <c r="O897">
        <v>103078</v>
      </c>
    </row>
    <row r="898" spans="1:15" x14ac:dyDescent="0.35">
      <c r="A898">
        <v>897</v>
      </c>
      <c r="B898" s="2" t="s">
        <v>10</v>
      </c>
      <c r="C898" s="2" t="s">
        <v>15</v>
      </c>
      <c r="D898">
        <v>59</v>
      </c>
      <c r="E898" s="2" t="s">
        <v>12</v>
      </c>
      <c r="F898" s="2" t="s">
        <v>13</v>
      </c>
      <c r="G898">
        <v>39857</v>
      </c>
      <c r="H898" s="1">
        <v>44594</v>
      </c>
      <c r="I898">
        <v>8</v>
      </c>
      <c r="J898">
        <v>3</v>
      </c>
      <c r="K898">
        <v>3986</v>
      </c>
      <c r="L898">
        <v>1993</v>
      </c>
      <c r="M898">
        <v>41850</v>
      </c>
      <c r="N898">
        <v>1993</v>
      </c>
      <c r="O898">
        <v>45836</v>
      </c>
    </row>
    <row r="899" spans="1:15" x14ac:dyDescent="0.35">
      <c r="A899">
        <v>898</v>
      </c>
      <c r="B899" s="2" t="s">
        <v>18</v>
      </c>
      <c r="C899" s="2" t="s">
        <v>11</v>
      </c>
      <c r="D899">
        <v>57</v>
      </c>
      <c r="E899" s="2" t="s">
        <v>12</v>
      </c>
      <c r="F899" s="2" t="s">
        <v>19</v>
      </c>
      <c r="G899">
        <v>41176</v>
      </c>
      <c r="H899" s="1">
        <v>44666</v>
      </c>
      <c r="I899">
        <v>5</v>
      </c>
      <c r="J899">
        <v>3</v>
      </c>
      <c r="K899">
        <v>4118</v>
      </c>
      <c r="L899">
        <v>2059</v>
      </c>
      <c r="M899">
        <v>43235</v>
      </c>
      <c r="N899">
        <v>0</v>
      </c>
      <c r="O899">
        <v>45294</v>
      </c>
    </row>
    <row r="900" spans="1:15" x14ac:dyDescent="0.35">
      <c r="A900">
        <v>899</v>
      </c>
      <c r="B900" s="2" t="s">
        <v>20</v>
      </c>
      <c r="C900" s="2" t="s">
        <v>15</v>
      </c>
      <c r="D900">
        <v>27</v>
      </c>
      <c r="E900" s="2" t="s">
        <v>24</v>
      </c>
      <c r="F900" s="2" t="s">
        <v>21</v>
      </c>
      <c r="G900">
        <v>37646</v>
      </c>
      <c r="H900" s="1">
        <v>45124</v>
      </c>
      <c r="I900">
        <v>7</v>
      </c>
      <c r="J900">
        <v>2</v>
      </c>
      <c r="K900">
        <v>3765</v>
      </c>
      <c r="L900">
        <v>1882</v>
      </c>
      <c r="M900">
        <v>39529</v>
      </c>
      <c r="N900">
        <v>1882</v>
      </c>
      <c r="O900">
        <v>43293</v>
      </c>
    </row>
    <row r="901" spans="1:15" x14ac:dyDescent="0.35">
      <c r="A901">
        <v>900</v>
      </c>
      <c r="B901" s="2" t="s">
        <v>23</v>
      </c>
      <c r="C901" s="2" t="s">
        <v>15</v>
      </c>
      <c r="D901">
        <v>50</v>
      </c>
      <c r="E901" s="2" t="s">
        <v>24</v>
      </c>
      <c r="F901" s="2" t="s">
        <v>13</v>
      </c>
      <c r="G901">
        <v>55450</v>
      </c>
      <c r="H901" s="1">
        <v>45034</v>
      </c>
      <c r="I901">
        <v>4</v>
      </c>
      <c r="J901">
        <v>3</v>
      </c>
      <c r="K901">
        <v>5545</v>
      </c>
      <c r="L901">
        <v>2772</v>
      </c>
      <c r="M901">
        <v>58223</v>
      </c>
      <c r="N901">
        <v>0</v>
      </c>
      <c r="O901">
        <v>60995</v>
      </c>
    </row>
    <row r="902" spans="1:15" x14ac:dyDescent="0.35">
      <c r="A902">
        <v>901</v>
      </c>
      <c r="B902" s="2" t="s">
        <v>31</v>
      </c>
      <c r="C902" s="2" t="s">
        <v>11</v>
      </c>
      <c r="D902">
        <v>32</v>
      </c>
      <c r="E902" s="2" t="s">
        <v>29</v>
      </c>
      <c r="F902" s="2" t="s">
        <v>19</v>
      </c>
      <c r="G902">
        <v>98015</v>
      </c>
      <c r="H902" s="1">
        <v>44649</v>
      </c>
      <c r="I902">
        <v>20</v>
      </c>
      <c r="J902">
        <v>5</v>
      </c>
      <c r="K902">
        <v>9802</v>
      </c>
      <c r="L902">
        <v>4901</v>
      </c>
      <c r="M902">
        <v>102916</v>
      </c>
      <c r="N902">
        <v>4901</v>
      </c>
      <c r="O902">
        <v>112718</v>
      </c>
    </row>
    <row r="903" spans="1:15" x14ac:dyDescent="0.35">
      <c r="A903">
        <v>902</v>
      </c>
      <c r="B903" s="2" t="s">
        <v>30</v>
      </c>
      <c r="C903" s="2" t="s">
        <v>11</v>
      </c>
      <c r="D903">
        <v>39</v>
      </c>
      <c r="E903" s="2" t="s">
        <v>28</v>
      </c>
      <c r="F903" s="2" t="s">
        <v>21</v>
      </c>
      <c r="G903">
        <v>76694</v>
      </c>
      <c r="H903" s="1">
        <v>45444</v>
      </c>
      <c r="I903">
        <v>14</v>
      </c>
      <c r="J903">
        <v>1</v>
      </c>
      <c r="K903">
        <v>7669</v>
      </c>
      <c r="L903">
        <v>3835</v>
      </c>
      <c r="M903">
        <v>80528</v>
      </c>
      <c r="N903">
        <v>3835</v>
      </c>
      <c r="O903">
        <v>88198</v>
      </c>
    </row>
    <row r="904" spans="1:15" x14ac:dyDescent="0.35">
      <c r="A904">
        <v>903</v>
      </c>
      <c r="B904" s="2" t="s">
        <v>27</v>
      </c>
      <c r="C904" s="2" t="s">
        <v>11</v>
      </c>
      <c r="D904">
        <v>25</v>
      </c>
      <c r="E904" s="2" t="s">
        <v>12</v>
      </c>
      <c r="F904" s="2" t="s">
        <v>17</v>
      </c>
      <c r="G904">
        <v>46505</v>
      </c>
      <c r="H904" s="1">
        <v>44859</v>
      </c>
      <c r="I904">
        <v>11</v>
      </c>
      <c r="J904">
        <v>2</v>
      </c>
      <c r="K904">
        <v>4650</v>
      </c>
      <c r="L904">
        <v>2325</v>
      </c>
      <c r="M904">
        <v>48830</v>
      </c>
      <c r="N904">
        <v>2325</v>
      </c>
      <c r="O904">
        <v>53480</v>
      </c>
    </row>
    <row r="905" spans="1:15" x14ac:dyDescent="0.35">
      <c r="A905">
        <v>904</v>
      </c>
      <c r="B905" s="2" t="s">
        <v>23</v>
      </c>
      <c r="C905" s="2" t="s">
        <v>11</v>
      </c>
      <c r="D905">
        <v>59</v>
      </c>
      <c r="E905" s="2" t="s">
        <v>12</v>
      </c>
      <c r="F905" s="2" t="s">
        <v>25</v>
      </c>
      <c r="G905">
        <v>56213</v>
      </c>
      <c r="H905" s="1">
        <v>45156</v>
      </c>
      <c r="I905">
        <v>20</v>
      </c>
      <c r="J905">
        <v>3</v>
      </c>
      <c r="K905">
        <v>5621</v>
      </c>
      <c r="L905">
        <v>2811</v>
      </c>
      <c r="M905">
        <v>59023</v>
      </c>
      <c r="N905">
        <v>2811</v>
      </c>
      <c r="O905">
        <v>64645</v>
      </c>
    </row>
    <row r="906" spans="1:15" x14ac:dyDescent="0.35">
      <c r="A906">
        <v>905</v>
      </c>
      <c r="B906" s="2" t="s">
        <v>26</v>
      </c>
      <c r="C906" s="2" t="s">
        <v>11</v>
      </c>
      <c r="D906">
        <v>33</v>
      </c>
      <c r="E906" s="2" t="s">
        <v>16</v>
      </c>
      <c r="F906" s="2" t="s">
        <v>17</v>
      </c>
      <c r="G906">
        <v>48905</v>
      </c>
      <c r="H906" s="1">
        <v>44751</v>
      </c>
      <c r="I906">
        <v>3</v>
      </c>
      <c r="J906">
        <v>2</v>
      </c>
      <c r="K906">
        <v>4890</v>
      </c>
      <c r="L906">
        <v>2445</v>
      </c>
      <c r="M906">
        <v>51350</v>
      </c>
      <c r="N906">
        <v>0</v>
      </c>
      <c r="O906">
        <v>53795</v>
      </c>
    </row>
    <row r="907" spans="1:15" x14ac:dyDescent="0.35">
      <c r="A907">
        <v>906</v>
      </c>
      <c r="B907" s="2" t="s">
        <v>26</v>
      </c>
      <c r="C907" s="2" t="s">
        <v>11</v>
      </c>
      <c r="D907">
        <v>43</v>
      </c>
      <c r="E907" s="2" t="s">
        <v>24</v>
      </c>
      <c r="F907" s="2" t="s">
        <v>19</v>
      </c>
      <c r="G907">
        <v>29091</v>
      </c>
      <c r="H907" s="1">
        <v>44707</v>
      </c>
      <c r="I907">
        <v>12</v>
      </c>
      <c r="J907">
        <v>3</v>
      </c>
      <c r="K907">
        <v>2909</v>
      </c>
      <c r="L907">
        <v>1455</v>
      </c>
      <c r="M907">
        <v>30545</v>
      </c>
      <c r="N907">
        <v>1455</v>
      </c>
      <c r="O907">
        <v>33455</v>
      </c>
    </row>
    <row r="908" spans="1:15" x14ac:dyDescent="0.35">
      <c r="A908">
        <v>907</v>
      </c>
      <c r="B908" s="2" t="s">
        <v>27</v>
      </c>
      <c r="C908" s="2" t="s">
        <v>11</v>
      </c>
      <c r="D908">
        <v>28</v>
      </c>
      <c r="E908" s="2" t="s">
        <v>24</v>
      </c>
      <c r="F908" s="2" t="s">
        <v>13</v>
      </c>
      <c r="G908">
        <v>36521</v>
      </c>
      <c r="H908" s="1">
        <v>44979</v>
      </c>
      <c r="I908">
        <v>8</v>
      </c>
      <c r="J908">
        <v>2</v>
      </c>
      <c r="K908">
        <v>3652</v>
      </c>
      <c r="L908">
        <v>1826</v>
      </c>
      <c r="M908">
        <v>38347</v>
      </c>
      <c r="N908">
        <v>1826</v>
      </c>
      <c r="O908">
        <v>41999</v>
      </c>
    </row>
    <row r="909" spans="1:15" x14ac:dyDescent="0.35">
      <c r="A909">
        <v>908</v>
      </c>
      <c r="B909" s="2" t="s">
        <v>14</v>
      </c>
      <c r="C909" s="2" t="s">
        <v>11</v>
      </c>
      <c r="D909">
        <v>33</v>
      </c>
      <c r="E909" s="2" t="s">
        <v>24</v>
      </c>
      <c r="F909" s="2" t="s">
        <v>19</v>
      </c>
      <c r="G909">
        <v>36734</v>
      </c>
      <c r="H909" s="1">
        <v>45399</v>
      </c>
      <c r="I909">
        <v>7</v>
      </c>
      <c r="J909">
        <v>2</v>
      </c>
      <c r="K909">
        <v>3673</v>
      </c>
      <c r="L909">
        <v>1837</v>
      </c>
      <c r="M909">
        <v>38570</v>
      </c>
      <c r="N909">
        <v>1837</v>
      </c>
      <c r="O909">
        <v>42244</v>
      </c>
    </row>
    <row r="910" spans="1:15" x14ac:dyDescent="0.35">
      <c r="A910">
        <v>909</v>
      </c>
      <c r="B910" s="2" t="s">
        <v>22</v>
      </c>
      <c r="C910" s="2" t="s">
        <v>11</v>
      </c>
      <c r="D910">
        <v>51</v>
      </c>
      <c r="E910" s="2" t="s">
        <v>24</v>
      </c>
      <c r="F910" s="2" t="s">
        <v>19</v>
      </c>
      <c r="G910">
        <v>51541</v>
      </c>
      <c r="H910" s="1">
        <v>44810</v>
      </c>
      <c r="I910">
        <v>16</v>
      </c>
      <c r="J910">
        <v>1</v>
      </c>
      <c r="K910">
        <v>5154</v>
      </c>
      <c r="L910">
        <v>2577</v>
      </c>
      <c r="M910">
        <v>54118</v>
      </c>
      <c r="N910">
        <v>2577</v>
      </c>
      <c r="O910">
        <v>59272</v>
      </c>
    </row>
    <row r="911" spans="1:15" x14ac:dyDescent="0.35">
      <c r="A911">
        <v>910</v>
      </c>
      <c r="B911" s="2" t="s">
        <v>31</v>
      </c>
      <c r="C911" s="2" t="s">
        <v>15</v>
      </c>
      <c r="D911">
        <v>42</v>
      </c>
      <c r="E911" s="2" t="s">
        <v>16</v>
      </c>
      <c r="F911" s="2" t="s">
        <v>17</v>
      </c>
      <c r="G911">
        <v>33195</v>
      </c>
      <c r="H911" s="1">
        <v>45485</v>
      </c>
      <c r="I911">
        <v>12</v>
      </c>
      <c r="J911">
        <v>1</v>
      </c>
      <c r="K911">
        <v>3320</v>
      </c>
      <c r="L911">
        <v>1660</v>
      </c>
      <c r="M911">
        <v>34855</v>
      </c>
      <c r="N911">
        <v>1660</v>
      </c>
      <c r="O911">
        <v>38175</v>
      </c>
    </row>
    <row r="912" spans="1:15" x14ac:dyDescent="0.35">
      <c r="A912">
        <v>911</v>
      </c>
      <c r="B912" s="2" t="s">
        <v>20</v>
      </c>
      <c r="C912" s="2" t="s">
        <v>15</v>
      </c>
      <c r="D912">
        <v>27</v>
      </c>
      <c r="E912" s="2" t="s">
        <v>12</v>
      </c>
      <c r="F912" s="2" t="s">
        <v>25</v>
      </c>
      <c r="G912">
        <v>28754</v>
      </c>
      <c r="H912" s="1">
        <v>45193</v>
      </c>
      <c r="I912">
        <v>16</v>
      </c>
      <c r="J912">
        <v>5</v>
      </c>
      <c r="K912">
        <v>2875</v>
      </c>
      <c r="L912">
        <v>1438</v>
      </c>
      <c r="M912">
        <v>30191</v>
      </c>
      <c r="N912">
        <v>1438</v>
      </c>
      <c r="O912">
        <v>33067</v>
      </c>
    </row>
    <row r="913" spans="1:15" x14ac:dyDescent="0.35">
      <c r="A913">
        <v>912</v>
      </c>
      <c r="B913" s="2" t="s">
        <v>18</v>
      </c>
      <c r="C913" s="2" t="s">
        <v>15</v>
      </c>
      <c r="D913">
        <v>57</v>
      </c>
      <c r="E913" s="2" t="s">
        <v>16</v>
      </c>
      <c r="F913" s="2" t="s">
        <v>25</v>
      </c>
      <c r="G913">
        <v>70530</v>
      </c>
      <c r="H913" s="1">
        <v>45313</v>
      </c>
      <c r="I913">
        <v>18</v>
      </c>
      <c r="J913">
        <v>3</v>
      </c>
      <c r="K913">
        <v>7053</v>
      </c>
      <c r="L913">
        <v>3526</v>
      </c>
      <c r="M913">
        <v>74057</v>
      </c>
      <c r="N913">
        <v>3526</v>
      </c>
      <c r="O913">
        <v>81109</v>
      </c>
    </row>
    <row r="914" spans="1:15" x14ac:dyDescent="0.35">
      <c r="A914">
        <v>913</v>
      </c>
      <c r="B914" s="2" t="s">
        <v>30</v>
      </c>
      <c r="C914" s="2" t="s">
        <v>15</v>
      </c>
      <c r="D914">
        <v>60</v>
      </c>
      <c r="E914" s="2" t="s">
        <v>29</v>
      </c>
      <c r="F914" s="2" t="s">
        <v>13</v>
      </c>
      <c r="G914">
        <v>77507</v>
      </c>
      <c r="H914" s="1">
        <v>45126</v>
      </c>
      <c r="I914">
        <v>11</v>
      </c>
      <c r="J914">
        <v>4</v>
      </c>
      <c r="K914">
        <v>7751</v>
      </c>
      <c r="L914">
        <v>3875</v>
      </c>
      <c r="M914">
        <v>81383</v>
      </c>
      <c r="N914">
        <v>3875</v>
      </c>
      <c r="O914">
        <v>89133</v>
      </c>
    </row>
    <row r="915" spans="1:15" x14ac:dyDescent="0.35">
      <c r="A915">
        <v>914</v>
      </c>
      <c r="B915" s="2" t="s">
        <v>23</v>
      </c>
      <c r="C915" s="2" t="s">
        <v>11</v>
      </c>
      <c r="D915">
        <v>59</v>
      </c>
      <c r="E915" s="2" t="s">
        <v>12</v>
      </c>
      <c r="F915" s="2" t="s">
        <v>13</v>
      </c>
      <c r="G915">
        <v>44126</v>
      </c>
      <c r="H915" s="1">
        <v>44851</v>
      </c>
      <c r="I915">
        <v>13</v>
      </c>
      <c r="J915">
        <v>5</v>
      </c>
      <c r="K915">
        <v>4413</v>
      </c>
      <c r="L915">
        <v>2206</v>
      </c>
      <c r="M915">
        <v>46333</v>
      </c>
      <c r="N915">
        <v>2206</v>
      </c>
      <c r="O915">
        <v>50745</v>
      </c>
    </row>
    <row r="916" spans="1:15" x14ac:dyDescent="0.35">
      <c r="A916">
        <v>915</v>
      </c>
      <c r="B916" s="2" t="s">
        <v>23</v>
      </c>
      <c r="C916" s="2" t="s">
        <v>15</v>
      </c>
      <c r="D916">
        <v>55</v>
      </c>
      <c r="E916" s="2" t="s">
        <v>12</v>
      </c>
      <c r="F916" s="2" t="s">
        <v>25</v>
      </c>
      <c r="G916">
        <v>93276</v>
      </c>
      <c r="H916" s="1">
        <v>44804</v>
      </c>
      <c r="I916">
        <v>1</v>
      </c>
      <c r="J916">
        <v>1</v>
      </c>
      <c r="K916">
        <v>9328</v>
      </c>
      <c r="L916">
        <v>4664</v>
      </c>
      <c r="M916">
        <v>97940</v>
      </c>
      <c r="N916">
        <v>0</v>
      </c>
      <c r="O916">
        <v>102604</v>
      </c>
    </row>
    <row r="917" spans="1:15" x14ac:dyDescent="0.35">
      <c r="A917">
        <v>916</v>
      </c>
      <c r="B917" s="2" t="s">
        <v>27</v>
      </c>
      <c r="C917" s="2" t="s">
        <v>15</v>
      </c>
      <c r="D917">
        <v>35</v>
      </c>
      <c r="E917" s="2" t="s">
        <v>24</v>
      </c>
      <c r="F917" s="2" t="s">
        <v>13</v>
      </c>
      <c r="G917">
        <v>81832</v>
      </c>
      <c r="H917" s="1">
        <v>44688</v>
      </c>
      <c r="I917">
        <v>14</v>
      </c>
      <c r="J917">
        <v>5</v>
      </c>
      <c r="K917">
        <v>8183</v>
      </c>
      <c r="L917">
        <v>4092</v>
      </c>
      <c r="M917">
        <v>85923</v>
      </c>
      <c r="N917">
        <v>4092</v>
      </c>
      <c r="O917">
        <v>94107</v>
      </c>
    </row>
    <row r="918" spans="1:15" x14ac:dyDescent="0.35">
      <c r="A918">
        <v>917</v>
      </c>
      <c r="B918" s="2" t="s">
        <v>18</v>
      </c>
      <c r="C918" s="2" t="s">
        <v>15</v>
      </c>
      <c r="D918">
        <v>43</v>
      </c>
      <c r="E918" s="2" t="s">
        <v>16</v>
      </c>
      <c r="F918" s="2" t="s">
        <v>21</v>
      </c>
      <c r="G918">
        <v>78913</v>
      </c>
      <c r="H918" s="1">
        <v>44727</v>
      </c>
      <c r="I918">
        <v>13</v>
      </c>
      <c r="J918">
        <v>2</v>
      </c>
      <c r="K918">
        <v>7891</v>
      </c>
      <c r="L918">
        <v>3946</v>
      </c>
      <c r="M918">
        <v>82858</v>
      </c>
      <c r="N918">
        <v>3946</v>
      </c>
      <c r="O918">
        <v>90750</v>
      </c>
    </row>
    <row r="919" spans="1:15" x14ac:dyDescent="0.35">
      <c r="A919">
        <v>918</v>
      </c>
      <c r="B919" s="2" t="s">
        <v>27</v>
      </c>
      <c r="C919" s="2" t="s">
        <v>15</v>
      </c>
      <c r="D919">
        <v>60</v>
      </c>
      <c r="E919" s="2" t="s">
        <v>28</v>
      </c>
      <c r="F919" s="2" t="s">
        <v>19</v>
      </c>
      <c r="G919">
        <v>48765</v>
      </c>
      <c r="H919" s="1">
        <v>45305</v>
      </c>
      <c r="I919">
        <v>6</v>
      </c>
      <c r="J919">
        <v>3</v>
      </c>
      <c r="K919">
        <v>4876</v>
      </c>
      <c r="L919">
        <v>2438</v>
      </c>
      <c r="M919">
        <v>51203</v>
      </c>
      <c r="N919">
        <v>2438</v>
      </c>
      <c r="O919">
        <v>56079</v>
      </c>
    </row>
    <row r="920" spans="1:15" x14ac:dyDescent="0.35">
      <c r="A920">
        <v>919</v>
      </c>
      <c r="B920" s="2" t="s">
        <v>30</v>
      </c>
      <c r="C920" s="2" t="s">
        <v>11</v>
      </c>
      <c r="D920">
        <v>47</v>
      </c>
      <c r="E920" s="2" t="s">
        <v>29</v>
      </c>
      <c r="F920" s="2" t="s">
        <v>21</v>
      </c>
      <c r="G920">
        <v>31985</v>
      </c>
      <c r="H920" s="1">
        <v>44942</v>
      </c>
      <c r="I920">
        <v>9</v>
      </c>
      <c r="J920">
        <v>4</v>
      </c>
      <c r="K920">
        <v>3198</v>
      </c>
      <c r="L920">
        <v>1599</v>
      </c>
      <c r="M920">
        <v>33584</v>
      </c>
      <c r="N920">
        <v>1599</v>
      </c>
      <c r="O920">
        <v>36782</v>
      </c>
    </row>
    <row r="921" spans="1:15" x14ac:dyDescent="0.35">
      <c r="A921">
        <v>920</v>
      </c>
      <c r="B921" s="2" t="s">
        <v>22</v>
      </c>
      <c r="C921" s="2" t="s">
        <v>11</v>
      </c>
      <c r="D921">
        <v>54</v>
      </c>
      <c r="E921" s="2" t="s">
        <v>29</v>
      </c>
      <c r="F921" s="2" t="s">
        <v>13</v>
      </c>
      <c r="G921">
        <v>82340</v>
      </c>
      <c r="H921" s="1">
        <v>44909</v>
      </c>
      <c r="I921">
        <v>6</v>
      </c>
      <c r="J921">
        <v>1</v>
      </c>
      <c r="K921">
        <v>8234</v>
      </c>
      <c r="L921">
        <v>4117</v>
      </c>
      <c r="M921">
        <v>86457</v>
      </c>
      <c r="N921">
        <v>4117</v>
      </c>
      <c r="O921">
        <v>94691</v>
      </c>
    </row>
    <row r="922" spans="1:15" x14ac:dyDescent="0.35">
      <c r="A922">
        <v>921</v>
      </c>
      <c r="B922" s="2" t="s">
        <v>27</v>
      </c>
      <c r="C922" s="2" t="s">
        <v>15</v>
      </c>
      <c r="D922">
        <v>41</v>
      </c>
      <c r="E922" s="2" t="s">
        <v>29</v>
      </c>
      <c r="F922" s="2" t="s">
        <v>17</v>
      </c>
      <c r="G922">
        <v>37368</v>
      </c>
      <c r="H922" s="1">
        <v>45079</v>
      </c>
      <c r="I922">
        <v>11</v>
      </c>
      <c r="J922">
        <v>1</v>
      </c>
      <c r="K922">
        <v>3737</v>
      </c>
      <c r="L922">
        <v>1868</v>
      </c>
      <c r="M922">
        <v>39237</v>
      </c>
      <c r="N922">
        <v>1868</v>
      </c>
      <c r="O922">
        <v>42973</v>
      </c>
    </row>
    <row r="923" spans="1:15" x14ac:dyDescent="0.35">
      <c r="A923">
        <v>922</v>
      </c>
      <c r="B923" s="2" t="s">
        <v>22</v>
      </c>
      <c r="C923" s="2" t="s">
        <v>11</v>
      </c>
      <c r="D923">
        <v>37</v>
      </c>
      <c r="E923" s="2" t="s">
        <v>24</v>
      </c>
      <c r="F923" s="2" t="s">
        <v>13</v>
      </c>
      <c r="G923">
        <v>32246</v>
      </c>
      <c r="H923" s="1">
        <v>45017</v>
      </c>
      <c r="I923">
        <v>17</v>
      </c>
      <c r="J923">
        <v>4</v>
      </c>
      <c r="K923">
        <v>3225</v>
      </c>
      <c r="L923">
        <v>1612</v>
      </c>
      <c r="M923">
        <v>33859</v>
      </c>
      <c r="N923">
        <v>1612</v>
      </c>
      <c r="O923">
        <v>37083</v>
      </c>
    </row>
    <row r="924" spans="1:15" x14ac:dyDescent="0.35">
      <c r="A924">
        <v>923</v>
      </c>
      <c r="B924" s="2" t="s">
        <v>23</v>
      </c>
      <c r="C924" s="2" t="s">
        <v>11</v>
      </c>
      <c r="D924">
        <v>43</v>
      </c>
      <c r="E924" s="2" t="s">
        <v>24</v>
      </c>
      <c r="F924" s="2" t="s">
        <v>21</v>
      </c>
      <c r="G924">
        <v>45819</v>
      </c>
      <c r="H924" s="1">
        <v>44567</v>
      </c>
      <c r="I924">
        <v>14</v>
      </c>
      <c r="J924">
        <v>5</v>
      </c>
      <c r="K924">
        <v>4582</v>
      </c>
      <c r="L924">
        <v>2291</v>
      </c>
      <c r="M924">
        <v>48110</v>
      </c>
      <c r="N924">
        <v>2291</v>
      </c>
      <c r="O924">
        <v>52692</v>
      </c>
    </row>
    <row r="925" spans="1:15" x14ac:dyDescent="0.35">
      <c r="A925">
        <v>924</v>
      </c>
      <c r="B925" s="2" t="s">
        <v>10</v>
      </c>
      <c r="C925" s="2" t="s">
        <v>11</v>
      </c>
      <c r="D925">
        <v>44</v>
      </c>
      <c r="E925" s="2" t="s">
        <v>12</v>
      </c>
      <c r="F925" s="2" t="s">
        <v>17</v>
      </c>
      <c r="G925">
        <v>66659</v>
      </c>
      <c r="H925" s="1">
        <v>44581</v>
      </c>
      <c r="I925">
        <v>6</v>
      </c>
      <c r="J925">
        <v>1</v>
      </c>
      <c r="K925">
        <v>6666</v>
      </c>
      <c r="L925">
        <v>3333</v>
      </c>
      <c r="M925">
        <v>69992</v>
      </c>
      <c r="N925">
        <v>3333</v>
      </c>
      <c r="O925">
        <v>76658</v>
      </c>
    </row>
    <row r="926" spans="1:15" x14ac:dyDescent="0.35">
      <c r="A926">
        <v>925</v>
      </c>
      <c r="B926" s="2" t="s">
        <v>26</v>
      </c>
      <c r="C926" s="2" t="s">
        <v>11</v>
      </c>
      <c r="D926">
        <v>35</v>
      </c>
      <c r="E926" s="2" t="s">
        <v>29</v>
      </c>
      <c r="F926" s="2" t="s">
        <v>19</v>
      </c>
      <c r="G926">
        <v>76116</v>
      </c>
      <c r="H926" s="1">
        <v>45394</v>
      </c>
      <c r="I926">
        <v>12</v>
      </c>
      <c r="J926">
        <v>1</v>
      </c>
      <c r="K926">
        <v>7612</v>
      </c>
      <c r="L926">
        <v>3806</v>
      </c>
      <c r="M926">
        <v>79922</v>
      </c>
      <c r="N926">
        <v>3806</v>
      </c>
      <c r="O926">
        <v>87534</v>
      </c>
    </row>
    <row r="927" spans="1:15" x14ac:dyDescent="0.35">
      <c r="A927">
        <v>926</v>
      </c>
      <c r="B927" s="2" t="s">
        <v>27</v>
      </c>
      <c r="C927" s="2" t="s">
        <v>15</v>
      </c>
      <c r="D927">
        <v>41</v>
      </c>
      <c r="E927" s="2" t="s">
        <v>16</v>
      </c>
      <c r="F927" s="2" t="s">
        <v>25</v>
      </c>
      <c r="G927">
        <v>53552</v>
      </c>
      <c r="H927" s="1">
        <v>44874</v>
      </c>
      <c r="I927">
        <v>5</v>
      </c>
      <c r="J927">
        <v>3</v>
      </c>
      <c r="K927">
        <v>5355</v>
      </c>
      <c r="L927">
        <v>2678</v>
      </c>
      <c r="M927">
        <v>56229</v>
      </c>
      <c r="N927">
        <v>0</v>
      </c>
      <c r="O927">
        <v>58907</v>
      </c>
    </row>
    <row r="928" spans="1:15" x14ac:dyDescent="0.35">
      <c r="A928">
        <v>927</v>
      </c>
      <c r="B928" s="2" t="s">
        <v>14</v>
      </c>
      <c r="C928" s="2" t="s">
        <v>11</v>
      </c>
      <c r="D928">
        <v>26</v>
      </c>
      <c r="E928" s="2" t="s">
        <v>28</v>
      </c>
      <c r="F928" s="2" t="s">
        <v>25</v>
      </c>
      <c r="G928">
        <v>28818</v>
      </c>
      <c r="H928" s="1">
        <v>44896</v>
      </c>
      <c r="I928">
        <v>6</v>
      </c>
      <c r="J928">
        <v>2</v>
      </c>
      <c r="K928">
        <v>2882</v>
      </c>
      <c r="L928">
        <v>1441</v>
      </c>
      <c r="M928">
        <v>30259</v>
      </c>
      <c r="N928">
        <v>1441</v>
      </c>
      <c r="O928">
        <v>33141</v>
      </c>
    </row>
    <row r="929" spans="1:15" x14ac:dyDescent="0.35">
      <c r="A929">
        <v>928</v>
      </c>
      <c r="B929" s="2" t="s">
        <v>22</v>
      </c>
      <c r="C929" s="2" t="s">
        <v>15</v>
      </c>
      <c r="D929">
        <v>37</v>
      </c>
      <c r="E929" s="2" t="s">
        <v>16</v>
      </c>
      <c r="F929" s="2" t="s">
        <v>19</v>
      </c>
      <c r="G929">
        <v>42870</v>
      </c>
      <c r="H929" s="1">
        <v>45102</v>
      </c>
      <c r="I929">
        <v>10</v>
      </c>
      <c r="J929">
        <v>1</v>
      </c>
      <c r="K929">
        <v>4287</v>
      </c>
      <c r="L929">
        <v>2144</v>
      </c>
      <c r="M929">
        <v>45013</v>
      </c>
      <c r="N929">
        <v>2144</v>
      </c>
      <c r="O929">
        <v>49301</v>
      </c>
    </row>
    <row r="930" spans="1:15" x14ac:dyDescent="0.35">
      <c r="A930">
        <v>929</v>
      </c>
      <c r="B930" s="2" t="s">
        <v>27</v>
      </c>
      <c r="C930" s="2" t="s">
        <v>11</v>
      </c>
      <c r="D930">
        <v>36</v>
      </c>
      <c r="E930" s="2" t="s">
        <v>28</v>
      </c>
      <c r="F930" s="2" t="s">
        <v>19</v>
      </c>
      <c r="G930">
        <v>40881</v>
      </c>
      <c r="H930" s="1">
        <v>45326</v>
      </c>
      <c r="I930">
        <v>14</v>
      </c>
      <c r="J930">
        <v>5</v>
      </c>
      <c r="K930">
        <v>4088</v>
      </c>
      <c r="L930">
        <v>2044</v>
      </c>
      <c r="M930">
        <v>42925</v>
      </c>
      <c r="N930">
        <v>2044</v>
      </c>
      <c r="O930">
        <v>47013</v>
      </c>
    </row>
    <row r="931" spans="1:15" x14ac:dyDescent="0.35">
      <c r="A931">
        <v>930</v>
      </c>
      <c r="B931" s="2" t="s">
        <v>31</v>
      </c>
      <c r="C931" s="2" t="s">
        <v>15</v>
      </c>
      <c r="D931">
        <v>24</v>
      </c>
      <c r="E931" s="2" t="s">
        <v>12</v>
      </c>
      <c r="F931" s="2" t="s">
        <v>13</v>
      </c>
      <c r="G931">
        <v>76411</v>
      </c>
      <c r="H931" s="1">
        <v>45310</v>
      </c>
      <c r="I931">
        <v>16</v>
      </c>
      <c r="J931">
        <v>2</v>
      </c>
      <c r="K931">
        <v>7641</v>
      </c>
      <c r="L931">
        <v>3821</v>
      </c>
      <c r="M931">
        <v>80231</v>
      </c>
      <c r="N931">
        <v>3821</v>
      </c>
      <c r="O931">
        <v>87873</v>
      </c>
    </row>
    <row r="932" spans="1:15" x14ac:dyDescent="0.35">
      <c r="A932">
        <v>931</v>
      </c>
      <c r="B932" s="2" t="s">
        <v>23</v>
      </c>
      <c r="C932" s="2" t="s">
        <v>15</v>
      </c>
      <c r="D932">
        <v>29</v>
      </c>
      <c r="E932" s="2" t="s">
        <v>29</v>
      </c>
      <c r="F932" s="2" t="s">
        <v>17</v>
      </c>
      <c r="G932">
        <v>98243</v>
      </c>
      <c r="H932" s="1">
        <v>44735</v>
      </c>
      <c r="I932">
        <v>9</v>
      </c>
      <c r="J932">
        <v>4</v>
      </c>
      <c r="K932">
        <v>9824</v>
      </c>
      <c r="L932">
        <v>4912</v>
      </c>
      <c r="M932">
        <v>103155</v>
      </c>
      <c r="N932">
        <v>4912</v>
      </c>
      <c r="O932">
        <v>112979</v>
      </c>
    </row>
    <row r="933" spans="1:15" x14ac:dyDescent="0.35">
      <c r="A933">
        <v>932</v>
      </c>
      <c r="B933" s="2" t="s">
        <v>26</v>
      </c>
      <c r="C933" s="2" t="s">
        <v>15</v>
      </c>
      <c r="D933">
        <v>34</v>
      </c>
      <c r="E933" s="2" t="s">
        <v>24</v>
      </c>
      <c r="F933" s="2" t="s">
        <v>13</v>
      </c>
      <c r="G933">
        <v>63684</v>
      </c>
      <c r="H933" s="1">
        <v>45457</v>
      </c>
      <c r="I933">
        <v>8</v>
      </c>
      <c r="J933">
        <v>3</v>
      </c>
      <c r="K933">
        <v>6368</v>
      </c>
      <c r="L933">
        <v>3184</v>
      </c>
      <c r="M933">
        <v>66868</v>
      </c>
      <c r="N933">
        <v>3184</v>
      </c>
      <c r="O933">
        <v>73236</v>
      </c>
    </row>
    <row r="934" spans="1:15" x14ac:dyDescent="0.35">
      <c r="A934">
        <v>933</v>
      </c>
      <c r="B934" s="2" t="s">
        <v>14</v>
      </c>
      <c r="C934" s="2" t="s">
        <v>11</v>
      </c>
      <c r="D934">
        <v>38</v>
      </c>
      <c r="E934" s="2" t="s">
        <v>16</v>
      </c>
      <c r="F934" s="2" t="s">
        <v>19</v>
      </c>
      <c r="G934">
        <v>42602</v>
      </c>
      <c r="H934" s="1">
        <v>44777</v>
      </c>
      <c r="I934">
        <v>2</v>
      </c>
      <c r="J934">
        <v>3</v>
      </c>
      <c r="K934">
        <v>4260</v>
      </c>
      <c r="L934">
        <v>2130</v>
      </c>
      <c r="M934">
        <v>44732</v>
      </c>
      <c r="N934">
        <v>0</v>
      </c>
      <c r="O934">
        <v>46862</v>
      </c>
    </row>
    <row r="935" spans="1:15" x14ac:dyDescent="0.35">
      <c r="A935">
        <v>934</v>
      </c>
      <c r="B935" s="2" t="s">
        <v>14</v>
      </c>
      <c r="C935" s="2" t="s">
        <v>15</v>
      </c>
      <c r="D935">
        <v>33</v>
      </c>
      <c r="E935" s="2" t="s">
        <v>16</v>
      </c>
      <c r="F935" s="2" t="s">
        <v>13</v>
      </c>
      <c r="G935">
        <v>41916</v>
      </c>
      <c r="H935" s="1">
        <v>44737</v>
      </c>
      <c r="I935">
        <v>19</v>
      </c>
      <c r="J935">
        <v>3</v>
      </c>
      <c r="K935">
        <v>4192</v>
      </c>
      <c r="L935">
        <v>2096</v>
      </c>
      <c r="M935">
        <v>44012</v>
      </c>
      <c r="N935">
        <v>2096</v>
      </c>
      <c r="O935">
        <v>48204</v>
      </c>
    </row>
    <row r="936" spans="1:15" x14ac:dyDescent="0.35">
      <c r="A936">
        <v>935</v>
      </c>
      <c r="B936" s="2" t="s">
        <v>23</v>
      </c>
      <c r="C936" s="2" t="s">
        <v>15</v>
      </c>
      <c r="D936">
        <v>53</v>
      </c>
      <c r="E936" s="2" t="s">
        <v>16</v>
      </c>
      <c r="F936" s="2" t="s">
        <v>21</v>
      </c>
      <c r="G936">
        <v>46976</v>
      </c>
      <c r="H936" s="1">
        <v>44920</v>
      </c>
      <c r="I936">
        <v>7</v>
      </c>
      <c r="J936">
        <v>4</v>
      </c>
      <c r="K936">
        <v>4698</v>
      </c>
      <c r="L936">
        <v>2349</v>
      </c>
      <c r="M936">
        <v>49325</v>
      </c>
      <c r="N936">
        <v>2349</v>
      </c>
      <c r="O936">
        <v>54023</v>
      </c>
    </row>
    <row r="937" spans="1:15" x14ac:dyDescent="0.35">
      <c r="A937">
        <v>936</v>
      </c>
      <c r="B937" s="2" t="s">
        <v>27</v>
      </c>
      <c r="C937" s="2" t="s">
        <v>11</v>
      </c>
      <c r="D937">
        <v>40</v>
      </c>
      <c r="E937" s="2" t="s">
        <v>16</v>
      </c>
      <c r="F937" s="2" t="s">
        <v>17</v>
      </c>
      <c r="G937">
        <v>38358</v>
      </c>
      <c r="H937" s="1">
        <v>45221</v>
      </c>
      <c r="I937">
        <v>12</v>
      </c>
      <c r="J937">
        <v>3</v>
      </c>
      <c r="K937">
        <v>3836</v>
      </c>
      <c r="L937">
        <v>1918</v>
      </c>
      <c r="M937">
        <v>40276</v>
      </c>
      <c r="N937">
        <v>1918</v>
      </c>
      <c r="O937">
        <v>44112</v>
      </c>
    </row>
    <row r="938" spans="1:15" x14ac:dyDescent="0.35">
      <c r="A938">
        <v>937</v>
      </c>
      <c r="B938" s="2" t="s">
        <v>18</v>
      </c>
      <c r="C938" s="2" t="s">
        <v>11</v>
      </c>
      <c r="D938">
        <v>44</v>
      </c>
      <c r="E938" s="2" t="s">
        <v>24</v>
      </c>
      <c r="F938" s="2" t="s">
        <v>25</v>
      </c>
      <c r="G938">
        <v>99476</v>
      </c>
      <c r="H938" s="1">
        <v>45092</v>
      </c>
      <c r="I938">
        <v>8</v>
      </c>
      <c r="J938">
        <v>3</v>
      </c>
      <c r="K938">
        <v>9948</v>
      </c>
      <c r="L938">
        <v>4974</v>
      </c>
      <c r="M938">
        <v>104450</v>
      </c>
      <c r="N938">
        <v>4974</v>
      </c>
      <c r="O938">
        <v>114398</v>
      </c>
    </row>
    <row r="939" spans="1:15" x14ac:dyDescent="0.35">
      <c r="A939">
        <v>938</v>
      </c>
      <c r="B939" s="2" t="s">
        <v>27</v>
      </c>
      <c r="C939" s="2" t="s">
        <v>11</v>
      </c>
      <c r="D939">
        <v>33</v>
      </c>
      <c r="E939" s="2" t="s">
        <v>16</v>
      </c>
      <c r="F939" s="2" t="s">
        <v>13</v>
      </c>
      <c r="G939">
        <v>65841</v>
      </c>
      <c r="H939" s="1">
        <v>45375</v>
      </c>
      <c r="I939">
        <v>11</v>
      </c>
      <c r="J939">
        <v>5</v>
      </c>
      <c r="K939">
        <v>6584</v>
      </c>
      <c r="L939">
        <v>3292</v>
      </c>
      <c r="M939">
        <v>69133</v>
      </c>
      <c r="N939">
        <v>3292</v>
      </c>
      <c r="O939">
        <v>75717</v>
      </c>
    </row>
    <row r="940" spans="1:15" x14ac:dyDescent="0.35">
      <c r="A940">
        <v>939</v>
      </c>
      <c r="B940" s="2" t="s">
        <v>23</v>
      </c>
      <c r="C940" s="2" t="s">
        <v>11</v>
      </c>
      <c r="D940">
        <v>21</v>
      </c>
      <c r="E940" s="2" t="s">
        <v>29</v>
      </c>
      <c r="F940" s="2" t="s">
        <v>19</v>
      </c>
      <c r="G940">
        <v>74191</v>
      </c>
      <c r="H940" s="1">
        <v>45438</v>
      </c>
      <c r="I940">
        <v>15</v>
      </c>
      <c r="J940">
        <v>3</v>
      </c>
      <c r="K940">
        <v>7419</v>
      </c>
      <c r="L940">
        <v>3710</v>
      </c>
      <c r="M940">
        <v>77900</v>
      </c>
      <c r="N940">
        <v>3710</v>
      </c>
      <c r="O940">
        <v>85320</v>
      </c>
    </row>
    <row r="941" spans="1:15" x14ac:dyDescent="0.35">
      <c r="A941">
        <v>940</v>
      </c>
      <c r="B941" s="2" t="s">
        <v>27</v>
      </c>
      <c r="C941" s="2" t="s">
        <v>11</v>
      </c>
      <c r="D941">
        <v>46</v>
      </c>
      <c r="E941" s="2" t="s">
        <v>16</v>
      </c>
      <c r="F941" s="2" t="s">
        <v>19</v>
      </c>
      <c r="G941">
        <v>46187</v>
      </c>
      <c r="H941" s="1">
        <v>45439</v>
      </c>
      <c r="I941">
        <v>11</v>
      </c>
      <c r="J941">
        <v>4</v>
      </c>
      <c r="K941">
        <v>4619</v>
      </c>
      <c r="L941">
        <v>2309</v>
      </c>
      <c r="M941">
        <v>48497</v>
      </c>
      <c r="N941">
        <v>2309</v>
      </c>
      <c r="O941">
        <v>53115</v>
      </c>
    </row>
    <row r="942" spans="1:15" x14ac:dyDescent="0.35">
      <c r="A942">
        <v>941</v>
      </c>
      <c r="B942" s="2" t="s">
        <v>10</v>
      </c>
      <c r="C942" s="2" t="s">
        <v>11</v>
      </c>
      <c r="D942">
        <v>36</v>
      </c>
      <c r="E942" s="2" t="s">
        <v>28</v>
      </c>
      <c r="F942" s="2" t="s">
        <v>25</v>
      </c>
      <c r="G942">
        <v>45402</v>
      </c>
      <c r="H942" s="1">
        <v>44653</v>
      </c>
      <c r="I942">
        <v>4</v>
      </c>
      <c r="J942">
        <v>5</v>
      </c>
      <c r="K942">
        <v>4540</v>
      </c>
      <c r="L942">
        <v>2270</v>
      </c>
      <c r="M942">
        <v>47672</v>
      </c>
      <c r="N942">
        <v>0</v>
      </c>
      <c r="O942">
        <v>49942</v>
      </c>
    </row>
    <row r="943" spans="1:15" x14ac:dyDescent="0.35">
      <c r="A943">
        <v>942</v>
      </c>
      <c r="B943" s="2" t="s">
        <v>30</v>
      </c>
      <c r="C943" s="2" t="s">
        <v>15</v>
      </c>
      <c r="D943">
        <v>22</v>
      </c>
      <c r="E943" s="2" t="s">
        <v>29</v>
      </c>
      <c r="F943" s="2" t="s">
        <v>17</v>
      </c>
      <c r="G943">
        <v>74946</v>
      </c>
      <c r="H943" s="1">
        <v>45413</v>
      </c>
      <c r="I943">
        <v>11</v>
      </c>
      <c r="J943">
        <v>5</v>
      </c>
      <c r="K943">
        <v>7495</v>
      </c>
      <c r="L943">
        <v>3747</v>
      </c>
      <c r="M943">
        <v>78694</v>
      </c>
      <c r="N943">
        <v>3747</v>
      </c>
      <c r="O943">
        <v>86188</v>
      </c>
    </row>
    <row r="944" spans="1:15" x14ac:dyDescent="0.35">
      <c r="A944">
        <v>943</v>
      </c>
      <c r="B944" s="2" t="s">
        <v>23</v>
      </c>
      <c r="C944" s="2" t="s">
        <v>11</v>
      </c>
      <c r="D944">
        <v>38</v>
      </c>
      <c r="E944" s="2" t="s">
        <v>24</v>
      </c>
      <c r="F944" s="2" t="s">
        <v>13</v>
      </c>
      <c r="G944">
        <v>41838</v>
      </c>
      <c r="H944" s="1">
        <v>44889</v>
      </c>
      <c r="I944">
        <v>13</v>
      </c>
      <c r="J944">
        <v>3</v>
      </c>
      <c r="K944">
        <v>4184</v>
      </c>
      <c r="L944">
        <v>2092</v>
      </c>
      <c r="M944">
        <v>43930</v>
      </c>
      <c r="N944">
        <v>2092</v>
      </c>
      <c r="O944">
        <v>48114</v>
      </c>
    </row>
    <row r="945" spans="1:15" x14ac:dyDescent="0.35">
      <c r="A945">
        <v>944</v>
      </c>
      <c r="B945" s="2" t="s">
        <v>18</v>
      </c>
      <c r="C945" s="2" t="s">
        <v>11</v>
      </c>
      <c r="D945">
        <v>48</v>
      </c>
      <c r="E945" s="2" t="s">
        <v>16</v>
      </c>
      <c r="F945" s="2" t="s">
        <v>19</v>
      </c>
      <c r="G945">
        <v>32687</v>
      </c>
      <c r="H945" s="1">
        <v>45004</v>
      </c>
      <c r="I945">
        <v>1</v>
      </c>
      <c r="J945">
        <v>1</v>
      </c>
      <c r="K945">
        <v>3269</v>
      </c>
      <c r="L945">
        <v>1634</v>
      </c>
      <c r="M945">
        <v>34322</v>
      </c>
      <c r="N945">
        <v>0</v>
      </c>
      <c r="O945">
        <v>35956</v>
      </c>
    </row>
    <row r="946" spans="1:15" x14ac:dyDescent="0.35">
      <c r="A946">
        <v>945</v>
      </c>
      <c r="B946" s="2" t="s">
        <v>23</v>
      </c>
      <c r="C946" s="2" t="s">
        <v>15</v>
      </c>
      <c r="D946">
        <v>27</v>
      </c>
      <c r="E946" s="2" t="s">
        <v>24</v>
      </c>
      <c r="F946" s="2" t="s">
        <v>25</v>
      </c>
      <c r="G946">
        <v>56550</v>
      </c>
      <c r="H946" s="1">
        <v>44859</v>
      </c>
      <c r="I946">
        <v>8</v>
      </c>
      <c r="J946">
        <v>3</v>
      </c>
      <c r="K946">
        <v>5655</v>
      </c>
      <c r="L946">
        <v>2828</v>
      </c>
      <c r="M946">
        <v>59377</v>
      </c>
      <c r="N946">
        <v>2828</v>
      </c>
      <c r="O946">
        <v>65033</v>
      </c>
    </row>
    <row r="947" spans="1:15" x14ac:dyDescent="0.35">
      <c r="A947">
        <v>946</v>
      </c>
      <c r="B947" s="2" t="s">
        <v>22</v>
      </c>
      <c r="C947" s="2" t="s">
        <v>11</v>
      </c>
      <c r="D947">
        <v>59</v>
      </c>
      <c r="E947" s="2" t="s">
        <v>16</v>
      </c>
      <c r="F947" s="2" t="s">
        <v>17</v>
      </c>
      <c r="G947">
        <v>97792</v>
      </c>
      <c r="H947" s="1">
        <v>45239</v>
      </c>
      <c r="I947">
        <v>17</v>
      </c>
      <c r="J947">
        <v>4</v>
      </c>
      <c r="K947">
        <v>9779</v>
      </c>
      <c r="L947">
        <v>4890</v>
      </c>
      <c r="M947">
        <v>102681</v>
      </c>
      <c r="N947">
        <v>4890</v>
      </c>
      <c r="O947">
        <v>112461</v>
      </c>
    </row>
    <row r="948" spans="1:15" x14ac:dyDescent="0.35">
      <c r="A948">
        <v>947</v>
      </c>
      <c r="B948" s="2" t="s">
        <v>23</v>
      </c>
      <c r="C948" s="2" t="s">
        <v>15</v>
      </c>
      <c r="D948">
        <v>36</v>
      </c>
      <c r="E948" s="2" t="s">
        <v>28</v>
      </c>
      <c r="F948" s="2" t="s">
        <v>21</v>
      </c>
      <c r="G948">
        <v>31667</v>
      </c>
      <c r="H948" s="1">
        <v>44583</v>
      </c>
      <c r="I948">
        <v>2</v>
      </c>
      <c r="J948">
        <v>3</v>
      </c>
      <c r="K948">
        <v>3167</v>
      </c>
      <c r="L948">
        <v>1583</v>
      </c>
      <c r="M948">
        <v>33251</v>
      </c>
      <c r="N948">
        <v>0</v>
      </c>
      <c r="O948">
        <v>34834</v>
      </c>
    </row>
    <row r="949" spans="1:15" x14ac:dyDescent="0.35">
      <c r="A949">
        <v>948</v>
      </c>
      <c r="B949" s="2" t="s">
        <v>31</v>
      </c>
      <c r="C949" s="2" t="s">
        <v>11</v>
      </c>
      <c r="D949">
        <v>54</v>
      </c>
      <c r="E949" s="2" t="s">
        <v>29</v>
      </c>
      <c r="F949" s="2" t="s">
        <v>17</v>
      </c>
      <c r="G949">
        <v>96115</v>
      </c>
      <c r="H949" s="1">
        <v>44609</v>
      </c>
      <c r="I949">
        <v>20</v>
      </c>
      <c r="J949">
        <v>2</v>
      </c>
      <c r="K949">
        <v>9612</v>
      </c>
      <c r="L949">
        <v>4806</v>
      </c>
      <c r="M949">
        <v>100921</v>
      </c>
      <c r="N949">
        <v>4806</v>
      </c>
      <c r="O949">
        <v>110533</v>
      </c>
    </row>
    <row r="950" spans="1:15" x14ac:dyDescent="0.35">
      <c r="A950">
        <v>949</v>
      </c>
      <c r="B950" s="2" t="s">
        <v>31</v>
      </c>
      <c r="C950" s="2" t="s">
        <v>15</v>
      </c>
      <c r="D950">
        <v>45</v>
      </c>
      <c r="E950" s="2" t="s">
        <v>28</v>
      </c>
      <c r="F950" s="2" t="s">
        <v>19</v>
      </c>
      <c r="G950">
        <v>72606</v>
      </c>
      <c r="H950" s="1">
        <v>45372</v>
      </c>
      <c r="I950">
        <v>5</v>
      </c>
      <c r="J950">
        <v>2</v>
      </c>
      <c r="K950">
        <v>7261</v>
      </c>
      <c r="L950">
        <v>3630</v>
      </c>
      <c r="M950">
        <v>76237</v>
      </c>
      <c r="N950">
        <v>0</v>
      </c>
      <c r="O950">
        <v>79867</v>
      </c>
    </row>
    <row r="951" spans="1:15" x14ac:dyDescent="0.35">
      <c r="A951">
        <v>950</v>
      </c>
      <c r="B951" s="2" t="s">
        <v>18</v>
      </c>
      <c r="C951" s="2" t="s">
        <v>11</v>
      </c>
      <c r="D951">
        <v>38</v>
      </c>
      <c r="E951" s="2" t="s">
        <v>24</v>
      </c>
      <c r="F951" s="2" t="s">
        <v>17</v>
      </c>
      <c r="G951">
        <v>69326</v>
      </c>
      <c r="H951" s="1">
        <v>45305</v>
      </c>
      <c r="I951">
        <v>17</v>
      </c>
      <c r="J951">
        <v>3</v>
      </c>
      <c r="K951">
        <v>6933</v>
      </c>
      <c r="L951">
        <v>3466</v>
      </c>
      <c r="M951">
        <v>72793</v>
      </c>
      <c r="N951">
        <v>3466</v>
      </c>
      <c r="O951">
        <v>79725</v>
      </c>
    </row>
    <row r="952" spans="1:15" x14ac:dyDescent="0.35">
      <c r="A952">
        <v>951</v>
      </c>
      <c r="B952" s="2" t="s">
        <v>20</v>
      </c>
      <c r="C952" s="2" t="s">
        <v>15</v>
      </c>
      <c r="D952">
        <v>37</v>
      </c>
      <c r="E952" s="2" t="s">
        <v>16</v>
      </c>
      <c r="F952" s="2" t="s">
        <v>21</v>
      </c>
      <c r="G952">
        <v>21315</v>
      </c>
      <c r="H952" s="1">
        <v>44949</v>
      </c>
      <c r="I952">
        <v>2</v>
      </c>
      <c r="J952">
        <v>1</v>
      </c>
      <c r="K952">
        <v>2132</v>
      </c>
      <c r="L952">
        <v>1066</v>
      </c>
      <c r="M952">
        <v>22381</v>
      </c>
      <c r="N952">
        <v>0</v>
      </c>
      <c r="O952">
        <v>23447</v>
      </c>
    </row>
    <row r="953" spans="1:15" x14ac:dyDescent="0.35">
      <c r="A953">
        <v>952</v>
      </c>
      <c r="B953" s="2" t="s">
        <v>27</v>
      </c>
      <c r="C953" s="2" t="s">
        <v>11</v>
      </c>
      <c r="D953">
        <v>60</v>
      </c>
      <c r="E953" s="2" t="s">
        <v>16</v>
      </c>
      <c r="F953" s="2" t="s">
        <v>13</v>
      </c>
      <c r="G953">
        <v>36113</v>
      </c>
      <c r="H953" s="1">
        <v>45149</v>
      </c>
      <c r="I953">
        <v>7</v>
      </c>
      <c r="J953">
        <v>1</v>
      </c>
      <c r="K953">
        <v>3611</v>
      </c>
      <c r="L953">
        <v>1806</v>
      </c>
      <c r="M953">
        <v>37918</v>
      </c>
      <c r="N953">
        <v>1806</v>
      </c>
      <c r="O953">
        <v>41530</v>
      </c>
    </row>
    <row r="954" spans="1:15" x14ac:dyDescent="0.35">
      <c r="A954">
        <v>953</v>
      </c>
      <c r="B954" s="2" t="s">
        <v>31</v>
      </c>
      <c r="C954" s="2" t="s">
        <v>15</v>
      </c>
      <c r="D954">
        <v>36</v>
      </c>
      <c r="E954" s="2" t="s">
        <v>28</v>
      </c>
      <c r="F954" s="2" t="s">
        <v>19</v>
      </c>
      <c r="G954">
        <v>52316</v>
      </c>
      <c r="H954" s="1">
        <v>45019</v>
      </c>
      <c r="I954">
        <v>3</v>
      </c>
      <c r="J954">
        <v>1</v>
      </c>
      <c r="K954">
        <v>5232</v>
      </c>
      <c r="L954">
        <v>2616</v>
      </c>
      <c r="M954">
        <v>54932</v>
      </c>
      <c r="N954">
        <v>0</v>
      </c>
      <c r="O954">
        <v>57548</v>
      </c>
    </row>
    <row r="955" spans="1:15" x14ac:dyDescent="0.35">
      <c r="A955">
        <v>954</v>
      </c>
      <c r="B955" s="2" t="s">
        <v>20</v>
      </c>
      <c r="C955" s="2" t="s">
        <v>11</v>
      </c>
      <c r="D955">
        <v>56</v>
      </c>
      <c r="E955" s="2" t="s">
        <v>28</v>
      </c>
      <c r="F955" s="2" t="s">
        <v>25</v>
      </c>
      <c r="G955">
        <v>45584</v>
      </c>
      <c r="H955" s="1">
        <v>45542</v>
      </c>
      <c r="I955">
        <v>15</v>
      </c>
      <c r="J955">
        <v>5</v>
      </c>
      <c r="K955">
        <v>4558</v>
      </c>
      <c r="L955">
        <v>2279</v>
      </c>
      <c r="M955">
        <v>47863</v>
      </c>
      <c r="N955">
        <v>2279</v>
      </c>
      <c r="O955">
        <v>52421</v>
      </c>
    </row>
    <row r="956" spans="1:15" x14ac:dyDescent="0.35">
      <c r="A956">
        <v>955</v>
      </c>
      <c r="B956" s="2" t="s">
        <v>10</v>
      </c>
      <c r="C956" s="2" t="s">
        <v>11</v>
      </c>
      <c r="D956">
        <v>46</v>
      </c>
      <c r="E956" s="2" t="s">
        <v>28</v>
      </c>
      <c r="F956" s="2" t="s">
        <v>13</v>
      </c>
      <c r="G956">
        <v>54238</v>
      </c>
      <c r="H956" s="1">
        <v>45308</v>
      </c>
      <c r="I956">
        <v>10</v>
      </c>
      <c r="J956">
        <v>5</v>
      </c>
      <c r="K956">
        <v>5424</v>
      </c>
      <c r="L956">
        <v>2712</v>
      </c>
      <c r="M956">
        <v>56950</v>
      </c>
      <c r="N956">
        <v>2712</v>
      </c>
      <c r="O956">
        <v>62374</v>
      </c>
    </row>
    <row r="957" spans="1:15" x14ac:dyDescent="0.35">
      <c r="A957">
        <v>956</v>
      </c>
      <c r="B957" s="2" t="s">
        <v>22</v>
      </c>
      <c r="C957" s="2" t="s">
        <v>15</v>
      </c>
      <c r="D957">
        <v>27</v>
      </c>
      <c r="E957" s="2" t="s">
        <v>24</v>
      </c>
      <c r="F957" s="2" t="s">
        <v>13</v>
      </c>
      <c r="G957">
        <v>52984</v>
      </c>
      <c r="H957" s="1">
        <v>45377</v>
      </c>
      <c r="I957">
        <v>19</v>
      </c>
      <c r="J957">
        <v>5</v>
      </c>
      <c r="K957">
        <v>5298</v>
      </c>
      <c r="L957">
        <v>2649</v>
      </c>
      <c r="M957">
        <v>55633</v>
      </c>
      <c r="N957">
        <v>2649</v>
      </c>
      <c r="O957">
        <v>60931</v>
      </c>
    </row>
    <row r="958" spans="1:15" x14ac:dyDescent="0.35">
      <c r="A958">
        <v>957</v>
      </c>
      <c r="B958" s="2" t="s">
        <v>31</v>
      </c>
      <c r="C958" s="2" t="s">
        <v>11</v>
      </c>
      <c r="D958">
        <v>56</v>
      </c>
      <c r="E958" s="2" t="s">
        <v>12</v>
      </c>
      <c r="F958" s="2" t="s">
        <v>21</v>
      </c>
      <c r="G958">
        <v>54316</v>
      </c>
      <c r="H958" s="1">
        <v>45403</v>
      </c>
      <c r="I958">
        <v>8</v>
      </c>
      <c r="J958">
        <v>3</v>
      </c>
      <c r="K958">
        <v>5432</v>
      </c>
      <c r="L958">
        <v>2716</v>
      </c>
      <c r="M958">
        <v>57032</v>
      </c>
      <c r="N958">
        <v>2716</v>
      </c>
      <c r="O958">
        <v>62464</v>
      </c>
    </row>
    <row r="959" spans="1:15" x14ac:dyDescent="0.35">
      <c r="A959">
        <v>958</v>
      </c>
      <c r="B959" s="2" t="s">
        <v>20</v>
      </c>
      <c r="C959" s="2" t="s">
        <v>11</v>
      </c>
      <c r="D959">
        <v>55</v>
      </c>
      <c r="E959" s="2" t="s">
        <v>24</v>
      </c>
      <c r="F959" s="2" t="s">
        <v>19</v>
      </c>
      <c r="G959">
        <v>27569</v>
      </c>
      <c r="H959" s="1">
        <v>44919</v>
      </c>
      <c r="I959">
        <v>16</v>
      </c>
      <c r="J959">
        <v>5</v>
      </c>
      <c r="K959">
        <v>2757</v>
      </c>
      <c r="L959">
        <v>1378</v>
      </c>
      <c r="M959">
        <v>28948</v>
      </c>
      <c r="N959">
        <v>1378</v>
      </c>
      <c r="O959">
        <v>31704</v>
      </c>
    </row>
    <row r="960" spans="1:15" x14ac:dyDescent="0.35">
      <c r="A960">
        <v>959</v>
      </c>
      <c r="B960" s="2" t="s">
        <v>10</v>
      </c>
      <c r="C960" s="2" t="s">
        <v>15</v>
      </c>
      <c r="D960">
        <v>30</v>
      </c>
      <c r="E960" s="2" t="s">
        <v>24</v>
      </c>
      <c r="F960" s="2" t="s">
        <v>25</v>
      </c>
      <c r="G960">
        <v>64332</v>
      </c>
      <c r="H960" s="1">
        <v>44772</v>
      </c>
      <c r="I960">
        <v>4</v>
      </c>
      <c r="J960">
        <v>5</v>
      </c>
      <c r="K960">
        <v>6433</v>
      </c>
      <c r="L960">
        <v>3217</v>
      </c>
      <c r="M960">
        <v>67548</v>
      </c>
      <c r="N960">
        <v>0</v>
      </c>
      <c r="O960">
        <v>70765</v>
      </c>
    </row>
    <row r="961" spans="1:15" x14ac:dyDescent="0.35">
      <c r="A961">
        <v>960</v>
      </c>
      <c r="B961" s="2" t="s">
        <v>18</v>
      </c>
      <c r="C961" s="2" t="s">
        <v>11</v>
      </c>
      <c r="D961">
        <v>31</v>
      </c>
      <c r="E961" s="2" t="s">
        <v>16</v>
      </c>
      <c r="F961" s="2" t="s">
        <v>21</v>
      </c>
      <c r="G961">
        <v>66344</v>
      </c>
      <c r="H961" s="1">
        <v>44823</v>
      </c>
      <c r="I961">
        <v>2</v>
      </c>
      <c r="J961">
        <v>2</v>
      </c>
      <c r="K961">
        <v>6634</v>
      </c>
      <c r="L961">
        <v>3317</v>
      </c>
      <c r="M961">
        <v>69661</v>
      </c>
      <c r="N961">
        <v>0</v>
      </c>
      <c r="O961">
        <v>72978</v>
      </c>
    </row>
    <row r="962" spans="1:15" x14ac:dyDescent="0.35">
      <c r="A962">
        <v>961</v>
      </c>
      <c r="B962" s="2" t="s">
        <v>14</v>
      </c>
      <c r="C962" s="2" t="s">
        <v>15</v>
      </c>
      <c r="D962">
        <v>53</v>
      </c>
      <c r="E962" s="2" t="s">
        <v>28</v>
      </c>
      <c r="F962" s="2" t="s">
        <v>19</v>
      </c>
      <c r="G962">
        <v>96910</v>
      </c>
      <c r="H962" s="1">
        <v>44702</v>
      </c>
      <c r="I962">
        <v>7</v>
      </c>
      <c r="J962">
        <v>3</v>
      </c>
      <c r="K962">
        <v>9691</v>
      </c>
      <c r="L962">
        <v>4846</v>
      </c>
      <c r="M962">
        <v>101755</v>
      </c>
      <c r="N962">
        <v>4846</v>
      </c>
      <c r="O962">
        <v>111447</v>
      </c>
    </row>
    <row r="963" spans="1:15" x14ac:dyDescent="0.35">
      <c r="A963">
        <v>962</v>
      </c>
      <c r="B963" s="2" t="s">
        <v>31</v>
      </c>
      <c r="C963" s="2" t="s">
        <v>15</v>
      </c>
      <c r="D963">
        <v>37</v>
      </c>
      <c r="E963" s="2" t="s">
        <v>16</v>
      </c>
      <c r="F963" s="2" t="s">
        <v>21</v>
      </c>
      <c r="G963">
        <v>98659</v>
      </c>
      <c r="H963" s="1">
        <v>44818</v>
      </c>
      <c r="I963">
        <v>3</v>
      </c>
      <c r="J963">
        <v>1</v>
      </c>
      <c r="K963">
        <v>9866</v>
      </c>
      <c r="L963">
        <v>4933</v>
      </c>
      <c r="M963">
        <v>103592</v>
      </c>
      <c r="N963">
        <v>0</v>
      </c>
      <c r="O963">
        <v>108525</v>
      </c>
    </row>
    <row r="964" spans="1:15" x14ac:dyDescent="0.35">
      <c r="A964">
        <v>963</v>
      </c>
      <c r="B964" s="2" t="s">
        <v>26</v>
      </c>
      <c r="C964" s="2" t="s">
        <v>11</v>
      </c>
      <c r="D964">
        <v>46</v>
      </c>
      <c r="E964" s="2" t="s">
        <v>24</v>
      </c>
      <c r="F964" s="2" t="s">
        <v>25</v>
      </c>
      <c r="G964">
        <v>97364</v>
      </c>
      <c r="H964" s="1">
        <v>45085</v>
      </c>
      <c r="I964">
        <v>4</v>
      </c>
      <c r="J964">
        <v>4</v>
      </c>
      <c r="K964">
        <v>9736</v>
      </c>
      <c r="L964">
        <v>4868</v>
      </c>
      <c r="M964">
        <v>102232</v>
      </c>
      <c r="N964">
        <v>0</v>
      </c>
      <c r="O964">
        <v>107100</v>
      </c>
    </row>
    <row r="965" spans="1:15" x14ac:dyDescent="0.35">
      <c r="A965">
        <v>964</v>
      </c>
      <c r="B965" s="2" t="s">
        <v>31</v>
      </c>
      <c r="C965" s="2" t="s">
        <v>11</v>
      </c>
      <c r="D965">
        <v>21</v>
      </c>
      <c r="E965" s="2" t="s">
        <v>28</v>
      </c>
      <c r="F965" s="2" t="s">
        <v>25</v>
      </c>
      <c r="G965">
        <v>34269</v>
      </c>
      <c r="H965" s="1">
        <v>45108</v>
      </c>
      <c r="I965">
        <v>8</v>
      </c>
      <c r="J965">
        <v>3</v>
      </c>
      <c r="K965">
        <v>3427</v>
      </c>
      <c r="L965">
        <v>1713</v>
      </c>
      <c r="M965">
        <v>35983</v>
      </c>
      <c r="N965">
        <v>1713</v>
      </c>
      <c r="O965">
        <v>39409</v>
      </c>
    </row>
    <row r="966" spans="1:15" x14ac:dyDescent="0.35">
      <c r="A966">
        <v>965</v>
      </c>
      <c r="B966" s="2" t="s">
        <v>20</v>
      </c>
      <c r="C966" s="2" t="s">
        <v>15</v>
      </c>
      <c r="D966">
        <v>45</v>
      </c>
      <c r="E966" s="2" t="s">
        <v>12</v>
      </c>
      <c r="F966" s="2" t="s">
        <v>25</v>
      </c>
      <c r="G966">
        <v>86785</v>
      </c>
      <c r="H966" s="1">
        <v>45340</v>
      </c>
      <c r="I966">
        <v>14</v>
      </c>
      <c r="J966">
        <v>3</v>
      </c>
      <c r="K966">
        <v>8678</v>
      </c>
      <c r="L966">
        <v>4339</v>
      </c>
      <c r="M966">
        <v>91124</v>
      </c>
      <c r="N966">
        <v>4339</v>
      </c>
      <c r="O966">
        <v>99802</v>
      </c>
    </row>
    <row r="967" spans="1:15" x14ac:dyDescent="0.35">
      <c r="A967">
        <v>966</v>
      </c>
      <c r="B967" s="2" t="s">
        <v>14</v>
      </c>
      <c r="C967" s="2" t="s">
        <v>11</v>
      </c>
      <c r="D967">
        <v>42</v>
      </c>
      <c r="E967" s="2" t="s">
        <v>12</v>
      </c>
      <c r="F967" s="2" t="s">
        <v>13</v>
      </c>
      <c r="G967">
        <v>24151</v>
      </c>
      <c r="H967" s="1">
        <v>44957</v>
      </c>
      <c r="I967">
        <v>3</v>
      </c>
      <c r="J967">
        <v>5</v>
      </c>
      <c r="K967">
        <v>2415</v>
      </c>
      <c r="L967">
        <v>1208</v>
      </c>
      <c r="M967">
        <v>25358</v>
      </c>
      <c r="N967">
        <v>0</v>
      </c>
      <c r="O967">
        <v>26566</v>
      </c>
    </row>
    <row r="968" spans="1:15" x14ac:dyDescent="0.35">
      <c r="A968">
        <v>967</v>
      </c>
      <c r="B968" s="2" t="s">
        <v>26</v>
      </c>
      <c r="C968" s="2" t="s">
        <v>11</v>
      </c>
      <c r="D968">
        <v>35</v>
      </c>
      <c r="E968" s="2" t="s">
        <v>28</v>
      </c>
      <c r="F968" s="2" t="s">
        <v>25</v>
      </c>
      <c r="G968">
        <v>60565</v>
      </c>
      <c r="H968" s="1">
        <v>44596</v>
      </c>
      <c r="I968">
        <v>7</v>
      </c>
      <c r="J968">
        <v>4</v>
      </c>
      <c r="K968">
        <v>6056</v>
      </c>
      <c r="L968">
        <v>3028</v>
      </c>
      <c r="M968">
        <v>63593</v>
      </c>
      <c r="N968">
        <v>3028</v>
      </c>
      <c r="O968">
        <v>69649</v>
      </c>
    </row>
    <row r="969" spans="1:15" x14ac:dyDescent="0.35">
      <c r="A969">
        <v>968</v>
      </c>
      <c r="B969" s="2" t="s">
        <v>20</v>
      </c>
      <c r="C969" s="2" t="s">
        <v>11</v>
      </c>
      <c r="D969">
        <v>22</v>
      </c>
      <c r="E969" s="2" t="s">
        <v>28</v>
      </c>
      <c r="F969" s="2" t="s">
        <v>21</v>
      </c>
      <c r="G969">
        <v>70368</v>
      </c>
      <c r="H969" s="1">
        <v>44908</v>
      </c>
      <c r="I969">
        <v>8</v>
      </c>
      <c r="J969">
        <v>5</v>
      </c>
      <c r="K969">
        <v>7037</v>
      </c>
      <c r="L969">
        <v>3518</v>
      </c>
      <c r="M969">
        <v>73887</v>
      </c>
      <c r="N969">
        <v>3518</v>
      </c>
      <c r="O969">
        <v>80923</v>
      </c>
    </row>
    <row r="970" spans="1:15" x14ac:dyDescent="0.35">
      <c r="A970">
        <v>969</v>
      </c>
      <c r="B970" s="2" t="s">
        <v>31</v>
      </c>
      <c r="C970" s="2" t="s">
        <v>15</v>
      </c>
      <c r="D970">
        <v>22</v>
      </c>
      <c r="E970" s="2" t="s">
        <v>12</v>
      </c>
      <c r="F970" s="2" t="s">
        <v>13</v>
      </c>
      <c r="G970">
        <v>57710</v>
      </c>
      <c r="H970" s="1">
        <v>44798</v>
      </c>
      <c r="I970">
        <v>18</v>
      </c>
      <c r="J970">
        <v>1</v>
      </c>
      <c r="K970">
        <v>5771</v>
      </c>
      <c r="L970">
        <v>2886</v>
      </c>
      <c r="M970">
        <v>60595</v>
      </c>
      <c r="N970">
        <v>2886</v>
      </c>
      <c r="O970">
        <v>66367</v>
      </c>
    </row>
    <row r="971" spans="1:15" x14ac:dyDescent="0.35">
      <c r="A971">
        <v>970</v>
      </c>
      <c r="B971" s="2" t="s">
        <v>18</v>
      </c>
      <c r="C971" s="2" t="s">
        <v>15</v>
      </c>
      <c r="D971">
        <v>45</v>
      </c>
      <c r="E971" s="2" t="s">
        <v>16</v>
      </c>
      <c r="F971" s="2" t="s">
        <v>13</v>
      </c>
      <c r="G971">
        <v>35109</v>
      </c>
      <c r="H971" s="1">
        <v>45070</v>
      </c>
      <c r="I971">
        <v>13</v>
      </c>
      <c r="J971">
        <v>1</v>
      </c>
      <c r="K971">
        <v>3511</v>
      </c>
      <c r="L971">
        <v>1755</v>
      </c>
      <c r="M971">
        <v>36865</v>
      </c>
      <c r="N971">
        <v>1755</v>
      </c>
      <c r="O971">
        <v>40375</v>
      </c>
    </row>
    <row r="972" spans="1:15" x14ac:dyDescent="0.35">
      <c r="A972">
        <v>971</v>
      </c>
      <c r="B972" s="2" t="s">
        <v>18</v>
      </c>
      <c r="C972" s="2" t="s">
        <v>11</v>
      </c>
      <c r="D972">
        <v>24</v>
      </c>
      <c r="E972" s="2" t="s">
        <v>28</v>
      </c>
      <c r="F972" s="2" t="s">
        <v>25</v>
      </c>
      <c r="G972">
        <v>69927</v>
      </c>
      <c r="H972" s="1">
        <v>45485</v>
      </c>
      <c r="I972">
        <v>14</v>
      </c>
      <c r="J972">
        <v>4</v>
      </c>
      <c r="K972">
        <v>6993</v>
      </c>
      <c r="L972">
        <v>3496</v>
      </c>
      <c r="M972">
        <v>73424</v>
      </c>
      <c r="N972">
        <v>3496</v>
      </c>
      <c r="O972">
        <v>80416</v>
      </c>
    </row>
    <row r="973" spans="1:15" x14ac:dyDescent="0.35">
      <c r="A973">
        <v>972</v>
      </c>
      <c r="B973" s="2" t="s">
        <v>30</v>
      </c>
      <c r="C973" s="2" t="s">
        <v>11</v>
      </c>
      <c r="D973">
        <v>34</v>
      </c>
      <c r="E973" s="2" t="s">
        <v>29</v>
      </c>
      <c r="F973" s="2" t="s">
        <v>25</v>
      </c>
      <c r="G973">
        <v>91055</v>
      </c>
      <c r="H973" s="1">
        <v>44887</v>
      </c>
      <c r="I973">
        <v>10</v>
      </c>
      <c r="J973">
        <v>2</v>
      </c>
      <c r="K973">
        <v>9106</v>
      </c>
      <c r="L973">
        <v>4553</v>
      </c>
      <c r="M973">
        <v>95608</v>
      </c>
      <c r="N973">
        <v>4553</v>
      </c>
      <c r="O973">
        <v>104714</v>
      </c>
    </row>
    <row r="974" spans="1:15" x14ac:dyDescent="0.35">
      <c r="A974">
        <v>973</v>
      </c>
      <c r="B974" s="2" t="s">
        <v>20</v>
      </c>
      <c r="C974" s="2" t="s">
        <v>11</v>
      </c>
      <c r="D974">
        <v>48</v>
      </c>
      <c r="E974" s="2" t="s">
        <v>24</v>
      </c>
      <c r="F974" s="2" t="s">
        <v>21</v>
      </c>
      <c r="G974">
        <v>31057</v>
      </c>
      <c r="H974" s="1">
        <v>44637</v>
      </c>
      <c r="I974">
        <v>17</v>
      </c>
      <c r="J974">
        <v>4</v>
      </c>
      <c r="K974">
        <v>3106</v>
      </c>
      <c r="L974">
        <v>1553</v>
      </c>
      <c r="M974">
        <v>32610</v>
      </c>
      <c r="N974">
        <v>1553</v>
      </c>
      <c r="O974">
        <v>35716</v>
      </c>
    </row>
    <row r="975" spans="1:15" x14ac:dyDescent="0.35">
      <c r="A975">
        <v>974</v>
      </c>
      <c r="B975" s="2" t="s">
        <v>30</v>
      </c>
      <c r="C975" s="2" t="s">
        <v>11</v>
      </c>
      <c r="D975">
        <v>57</v>
      </c>
      <c r="E975" s="2" t="s">
        <v>29</v>
      </c>
      <c r="F975" s="2" t="s">
        <v>19</v>
      </c>
      <c r="G975">
        <v>77685</v>
      </c>
      <c r="H975" s="1">
        <v>45000</v>
      </c>
      <c r="I975">
        <v>6</v>
      </c>
      <c r="J975">
        <v>5</v>
      </c>
      <c r="K975">
        <v>7768</v>
      </c>
      <c r="L975">
        <v>3884</v>
      </c>
      <c r="M975">
        <v>81569</v>
      </c>
      <c r="N975">
        <v>3884</v>
      </c>
      <c r="O975">
        <v>89337</v>
      </c>
    </row>
    <row r="976" spans="1:15" x14ac:dyDescent="0.35">
      <c r="A976">
        <v>975</v>
      </c>
      <c r="B976" s="2" t="s">
        <v>10</v>
      </c>
      <c r="C976" s="2" t="s">
        <v>11</v>
      </c>
      <c r="D976">
        <v>27</v>
      </c>
      <c r="E976" s="2" t="s">
        <v>12</v>
      </c>
      <c r="F976" s="2" t="s">
        <v>17</v>
      </c>
      <c r="G976">
        <v>75277</v>
      </c>
      <c r="H976" s="1">
        <v>44693</v>
      </c>
      <c r="I976">
        <v>20</v>
      </c>
      <c r="J976">
        <v>1</v>
      </c>
      <c r="K976">
        <v>7528</v>
      </c>
      <c r="L976">
        <v>3764</v>
      </c>
      <c r="M976">
        <v>79041</v>
      </c>
      <c r="N976">
        <v>3764</v>
      </c>
      <c r="O976">
        <v>86569</v>
      </c>
    </row>
    <row r="977" spans="1:15" x14ac:dyDescent="0.35">
      <c r="A977">
        <v>976</v>
      </c>
      <c r="B977" s="2" t="s">
        <v>14</v>
      </c>
      <c r="C977" s="2" t="s">
        <v>15</v>
      </c>
      <c r="D977">
        <v>23</v>
      </c>
      <c r="E977" s="2" t="s">
        <v>28</v>
      </c>
      <c r="F977" s="2" t="s">
        <v>25</v>
      </c>
      <c r="G977">
        <v>93554</v>
      </c>
      <c r="H977" s="1">
        <v>44642</v>
      </c>
      <c r="I977">
        <v>7</v>
      </c>
      <c r="J977">
        <v>5</v>
      </c>
      <c r="K977">
        <v>9355</v>
      </c>
      <c r="L977">
        <v>4678</v>
      </c>
      <c r="M977">
        <v>98231</v>
      </c>
      <c r="N977">
        <v>4678</v>
      </c>
      <c r="O977">
        <v>107587</v>
      </c>
    </row>
    <row r="978" spans="1:15" x14ac:dyDescent="0.35">
      <c r="A978">
        <v>977</v>
      </c>
      <c r="B978" s="2" t="s">
        <v>22</v>
      </c>
      <c r="C978" s="2" t="s">
        <v>11</v>
      </c>
      <c r="D978">
        <v>41</v>
      </c>
      <c r="E978" s="2" t="s">
        <v>24</v>
      </c>
      <c r="F978" s="2" t="s">
        <v>25</v>
      </c>
      <c r="G978">
        <v>27065</v>
      </c>
      <c r="H978" s="1">
        <v>45395</v>
      </c>
      <c r="I978">
        <v>9</v>
      </c>
      <c r="J978">
        <v>3</v>
      </c>
      <c r="K978">
        <v>2706</v>
      </c>
      <c r="L978">
        <v>1353</v>
      </c>
      <c r="M978">
        <v>28418</v>
      </c>
      <c r="N978">
        <v>1353</v>
      </c>
      <c r="O978">
        <v>31124</v>
      </c>
    </row>
    <row r="979" spans="1:15" x14ac:dyDescent="0.35">
      <c r="A979">
        <v>978</v>
      </c>
      <c r="B979" s="2" t="s">
        <v>18</v>
      </c>
      <c r="C979" s="2" t="s">
        <v>11</v>
      </c>
      <c r="D979">
        <v>25</v>
      </c>
      <c r="E979" s="2" t="s">
        <v>12</v>
      </c>
      <c r="F979" s="2" t="s">
        <v>25</v>
      </c>
      <c r="G979">
        <v>91058</v>
      </c>
      <c r="H979" s="1">
        <v>45366</v>
      </c>
      <c r="I979">
        <v>4</v>
      </c>
      <c r="J979">
        <v>5</v>
      </c>
      <c r="K979">
        <v>9106</v>
      </c>
      <c r="L979">
        <v>4553</v>
      </c>
      <c r="M979">
        <v>95611</v>
      </c>
      <c r="N979">
        <v>0</v>
      </c>
      <c r="O979">
        <v>100164</v>
      </c>
    </row>
    <row r="980" spans="1:15" x14ac:dyDescent="0.35">
      <c r="A980">
        <v>979</v>
      </c>
      <c r="B980" s="2" t="s">
        <v>22</v>
      </c>
      <c r="C980" s="2" t="s">
        <v>15</v>
      </c>
      <c r="D980">
        <v>21</v>
      </c>
      <c r="E980" s="2" t="s">
        <v>29</v>
      </c>
      <c r="F980" s="2" t="s">
        <v>19</v>
      </c>
      <c r="G980">
        <v>27528</v>
      </c>
      <c r="H980" s="1">
        <v>44659</v>
      </c>
      <c r="I980">
        <v>14</v>
      </c>
      <c r="J980">
        <v>3</v>
      </c>
      <c r="K980">
        <v>2753</v>
      </c>
      <c r="L980">
        <v>1376</v>
      </c>
      <c r="M980">
        <v>28905</v>
      </c>
      <c r="N980">
        <v>1376</v>
      </c>
      <c r="O980">
        <v>31657</v>
      </c>
    </row>
    <row r="981" spans="1:15" x14ac:dyDescent="0.35">
      <c r="A981">
        <v>980</v>
      </c>
      <c r="B981" s="2" t="s">
        <v>23</v>
      </c>
      <c r="C981" s="2" t="s">
        <v>11</v>
      </c>
      <c r="D981">
        <v>24</v>
      </c>
      <c r="E981" s="2" t="s">
        <v>28</v>
      </c>
      <c r="F981" s="2" t="s">
        <v>21</v>
      </c>
      <c r="G981">
        <v>31221</v>
      </c>
      <c r="H981" s="1">
        <v>45333</v>
      </c>
      <c r="I981">
        <v>3</v>
      </c>
      <c r="J981">
        <v>5</v>
      </c>
      <c r="K981">
        <v>3122</v>
      </c>
      <c r="L981">
        <v>1561</v>
      </c>
      <c r="M981">
        <v>32782</v>
      </c>
      <c r="N981">
        <v>0</v>
      </c>
      <c r="O981">
        <v>34343</v>
      </c>
    </row>
    <row r="982" spans="1:15" x14ac:dyDescent="0.35">
      <c r="A982">
        <v>981</v>
      </c>
      <c r="B982" s="2" t="s">
        <v>18</v>
      </c>
      <c r="C982" s="2" t="s">
        <v>11</v>
      </c>
      <c r="D982">
        <v>58</v>
      </c>
      <c r="E982" s="2" t="s">
        <v>28</v>
      </c>
      <c r="F982" s="2" t="s">
        <v>13</v>
      </c>
      <c r="G982">
        <v>62573</v>
      </c>
      <c r="H982" s="1">
        <v>45170</v>
      </c>
      <c r="I982">
        <v>12</v>
      </c>
      <c r="J982">
        <v>2</v>
      </c>
      <c r="K982">
        <v>6257</v>
      </c>
      <c r="L982">
        <v>3129</v>
      </c>
      <c r="M982">
        <v>65701</v>
      </c>
      <c r="N982">
        <v>3129</v>
      </c>
      <c r="O982">
        <v>71959</v>
      </c>
    </row>
    <row r="983" spans="1:15" x14ac:dyDescent="0.35">
      <c r="A983">
        <v>982</v>
      </c>
      <c r="B983" s="2" t="s">
        <v>30</v>
      </c>
      <c r="C983" s="2" t="s">
        <v>15</v>
      </c>
      <c r="D983">
        <v>38</v>
      </c>
      <c r="E983" s="2" t="s">
        <v>29</v>
      </c>
      <c r="F983" s="2" t="s">
        <v>19</v>
      </c>
      <c r="G983">
        <v>88939</v>
      </c>
      <c r="H983" s="1">
        <v>45539</v>
      </c>
      <c r="I983">
        <v>15</v>
      </c>
      <c r="J983">
        <v>1</v>
      </c>
      <c r="K983">
        <v>8894</v>
      </c>
      <c r="L983">
        <v>4447</v>
      </c>
      <c r="M983">
        <v>93386</v>
      </c>
      <c r="N983">
        <v>4447</v>
      </c>
      <c r="O983">
        <v>102280</v>
      </c>
    </row>
    <row r="984" spans="1:15" x14ac:dyDescent="0.35">
      <c r="A984">
        <v>983</v>
      </c>
      <c r="B984" s="2" t="s">
        <v>14</v>
      </c>
      <c r="C984" s="2" t="s">
        <v>15</v>
      </c>
      <c r="D984">
        <v>27</v>
      </c>
      <c r="E984" s="2" t="s">
        <v>12</v>
      </c>
      <c r="F984" s="2" t="s">
        <v>25</v>
      </c>
      <c r="G984">
        <v>47794</v>
      </c>
      <c r="H984" s="1">
        <v>45159</v>
      </c>
      <c r="I984">
        <v>11</v>
      </c>
      <c r="J984">
        <v>4</v>
      </c>
      <c r="K984">
        <v>4779</v>
      </c>
      <c r="L984">
        <v>2390</v>
      </c>
      <c r="M984">
        <v>50183</v>
      </c>
      <c r="N984">
        <v>2390</v>
      </c>
      <c r="O984">
        <v>54963</v>
      </c>
    </row>
    <row r="985" spans="1:15" x14ac:dyDescent="0.35">
      <c r="A985">
        <v>984</v>
      </c>
      <c r="B985" s="2" t="s">
        <v>18</v>
      </c>
      <c r="C985" s="2" t="s">
        <v>15</v>
      </c>
      <c r="D985">
        <v>51</v>
      </c>
      <c r="E985" s="2" t="s">
        <v>16</v>
      </c>
      <c r="F985" s="2" t="s">
        <v>19</v>
      </c>
      <c r="G985">
        <v>86669</v>
      </c>
      <c r="H985" s="1">
        <v>45182</v>
      </c>
      <c r="I985">
        <v>11</v>
      </c>
      <c r="J985">
        <v>2</v>
      </c>
      <c r="K985">
        <v>8667</v>
      </c>
      <c r="L985">
        <v>4333</v>
      </c>
      <c r="M985">
        <v>91003</v>
      </c>
      <c r="N985">
        <v>4333</v>
      </c>
      <c r="O985">
        <v>99669</v>
      </c>
    </row>
    <row r="986" spans="1:15" x14ac:dyDescent="0.35">
      <c r="A986">
        <v>985</v>
      </c>
      <c r="B986" s="2" t="s">
        <v>27</v>
      </c>
      <c r="C986" s="2" t="s">
        <v>15</v>
      </c>
      <c r="D986">
        <v>22</v>
      </c>
      <c r="E986" s="2" t="s">
        <v>28</v>
      </c>
      <c r="F986" s="2" t="s">
        <v>21</v>
      </c>
      <c r="G986">
        <v>57802</v>
      </c>
      <c r="H986" s="1">
        <v>44726</v>
      </c>
      <c r="I986">
        <v>18</v>
      </c>
      <c r="J986">
        <v>2</v>
      </c>
      <c r="K986">
        <v>5780</v>
      </c>
      <c r="L986">
        <v>2890</v>
      </c>
      <c r="M986">
        <v>60692</v>
      </c>
      <c r="N986">
        <v>2890</v>
      </c>
      <c r="O986">
        <v>66472</v>
      </c>
    </row>
    <row r="987" spans="1:15" x14ac:dyDescent="0.35">
      <c r="A987">
        <v>986</v>
      </c>
      <c r="B987" s="2" t="s">
        <v>27</v>
      </c>
      <c r="C987" s="2" t="s">
        <v>15</v>
      </c>
      <c r="D987">
        <v>56</v>
      </c>
      <c r="E987" s="2" t="s">
        <v>29</v>
      </c>
      <c r="F987" s="2" t="s">
        <v>17</v>
      </c>
      <c r="G987">
        <v>68637</v>
      </c>
      <c r="H987" s="1">
        <v>44631</v>
      </c>
      <c r="I987">
        <v>8</v>
      </c>
      <c r="J987">
        <v>5</v>
      </c>
      <c r="K987">
        <v>6864</v>
      </c>
      <c r="L987">
        <v>3432</v>
      </c>
      <c r="M987">
        <v>72069</v>
      </c>
      <c r="N987">
        <v>3432</v>
      </c>
      <c r="O987">
        <v>78933</v>
      </c>
    </row>
    <row r="988" spans="1:15" x14ac:dyDescent="0.35">
      <c r="A988">
        <v>987</v>
      </c>
      <c r="B988" s="2" t="s">
        <v>26</v>
      </c>
      <c r="C988" s="2" t="s">
        <v>15</v>
      </c>
      <c r="D988">
        <v>29</v>
      </c>
      <c r="E988" s="2" t="s">
        <v>24</v>
      </c>
      <c r="F988" s="2" t="s">
        <v>25</v>
      </c>
      <c r="G988">
        <v>47588</v>
      </c>
      <c r="H988" s="1">
        <v>45126</v>
      </c>
      <c r="I988">
        <v>12</v>
      </c>
      <c r="J988">
        <v>3</v>
      </c>
      <c r="K988">
        <v>4759</v>
      </c>
      <c r="L988">
        <v>2379</v>
      </c>
      <c r="M988">
        <v>49968</v>
      </c>
      <c r="N988">
        <v>2379</v>
      </c>
      <c r="O988">
        <v>54726</v>
      </c>
    </row>
    <row r="989" spans="1:15" x14ac:dyDescent="0.35">
      <c r="A989">
        <v>988</v>
      </c>
      <c r="B989" s="2" t="s">
        <v>31</v>
      </c>
      <c r="C989" s="2" t="s">
        <v>15</v>
      </c>
      <c r="D989">
        <v>53</v>
      </c>
      <c r="E989" s="2" t="s">
        <v>29</v>
      </c>
      <c r="F989" s="2" t="s">
        <v>19</v>
      </c>
      <c r="G989">
        <v>57679</v>
      </c>
      <c r="H989" s="1">
        <v>45196</v>
      </c>
      <c r="I989">
        <v>18</v>
      </c>
      <c r="J989">
        <v>1</v>
      </c>
      <c r="K989">
        <v>5768</v>
      </c>
      <c r="L989">
        <v>2884</v>
      </c>
      <c r="M989">
        <v>60563</v>
      </c>
      <c r="N989">
        <v>2884</v>
      </c>
      <c r="O989">
        <v>66331</v>
      </c>
    </row>
    <row r="990" spans="1:15" x14ac:dyDescent="0.35">
      <c r="A990">
        <v>989</v>
      </c>
      <c r="B990" s="2" t="s">
        <v>14</v>
      </c>
      <c r="C990" s="2" t="s">
        <v>11</v>
      </c>
      <c r="D990">
        <v>31</v>
      </c>
      <c r="E990" s="2" t="s">
        <v>24</v>
      </c>
      <c r="F990" s="2" t="s">
        <v>19</v>
      </c>
      <c r="G990">
        <v>32463</v>
      </c>
      <c r="H990" s="1">
        <v>44670</v>
      </c>
      <c r="I990">
        <v>4</v>
      </c>
      <c r="J990">
        <v>1</v>
      </c>
      <c r="K990">
        <v>3246</v>
      </c>
      <c r="L990">
        <v>1623</v>
      </c>
      <c r="M990">
        <v>34086</v>
      </c>
      <c r="N990">
        <v>0</v>
      </c>
      <c r="O990">
        <v>35709</v>
      </c>
    </row>
    <row r="991" spans="1:15" x14ac:dyDescent="0.35">
      <c r="A991">
        <v>990</v>
      </c>
      <c r="B991" s="2" t="s">
        <v>22</v>
      </c>
      <c r="C991" s="2" t="s">
        <v>11</v>
      </c>
      <c r="D991">
        <v>55</v>
      </c>
      <c r="E991" s="2" t="s">
        <v>16</v>
      </c>
      <c r="F991" s="2" t="s">
        <v>13</v>
      </c>
      <c r="G991">
        <v>67545</v>
      </c>
      <c r="H991" s="1">
        <v>45385</v>
      </c>
      <c r="I991">
        <v>5</v>
      </c>
      <c r="J991">
        <v>2</v>
      </c>
      <c r="K991">
        <v>6754</v>
      </c>
      <c r="L991">
        <v>3377</v>
      </c>
      <c r="M991">
        <v>70922</v>
      </c>
      <c r="N991">
        <v>0</v>
      </c>
      <c r="O991">
        <v>74299</v>
      </c>
    </row>
    <row r="992" spans="1:15" x14ac:dyDescent="0.35">
      <c r="A992">
        <v>991</v>
      </c>
      <c r="B992" s="2" t="s">
        <v>30</v>
      </c>
      <c r="C992" s="2" t="s">
        <v>11</v>
      </c>
      <c r="D992">
        <v>32</v>
      </c>
      <c r="E992" s="2" t="s">
        <v>12</v>
      </c>
      <c r="F992" s="2" t="s">
        <v>25</v>
      </c>
      <c r="G992">
        <v>76836</v>
      </c>
      <c r="H992" s="1">
        <v>44604</v>
      </c>
      <c r="I992">
        <v>8</v>
      </c>
      <c r="J992">
        <v>2</v>
      </c>
      <c r="K992">
        <v>7684</v>
      </c>
      <c r="L992">
        <v>3842</v>
      </c>
      <c r="M992">
        <v>80678</v>
      </c>
      <c r="N992">
        <v>3842</v>
      </c>
      <c r="O992">
        <v>88362</v>
      </c>
    </row>
    <row r="993" spans="1:15" x14ac:dyDescent="0.35">
      <c r="A993">
        <v>992</v>
      </c>
      <c r="B993" s="2" t="s">
        <v>26</v>
      </c>
      <c r="C993" s="2" t="s">
        <v>15</v>
      </c>
      <c r="D993">
        <v>49</v>
      </c>
      <c r="E993" s="2" t="s">
        <v>28</v>
      </c>
      <c r="F993" s="2" t="s">
        <v>25</v>
      </c>
      <c r="G993">
        <v>97024</v>
      </c>
      <c r="H993" s="1">
        <v>44958</v>
      </c>
      <c r="I993">
        <v>11</v>
      </c>
      <c r="J993">
        <v>5</v>
      </c>
      <c r="K993">
        <v>9702</v>
      </c>
      <c r="L993">
        <v>4851</v>
      </c>
      <c r="M993">
        <v>101875</v>
      </c>
      <c r="N993">
        <v>4851</v>
      </c>
      <c r="O993">
        <v>111577</v>
      </c>
    </row>
    <row r="994" spans="1:15" x14ac:dyDescent="0.35">
      <c r="A994">
        <v>993</v>
      </c>
      <c r="B994" s="2" t="s">
        <v>27</v>
      </c>
      <c r="C994" s="2" t="s">
        <v>15</v>
      </c>
      <c r="D994">
        <v>48</v>
      </c>
      <c r="E994" s="2" t="s">
        <v>16</v>
      </c>
      <c r="F994" s="2" t="s">
        <v>19</v>
      </c>
      <c r="G994">
        <v>31921</v>
      </c>
      <c r="H994" s="1">
        <v>45155</v>
      </c>
      <c r="I994">
        <v>9</v>
      </c>
      <c r="J994">
        <v>3</v>
      </c>
      <c r="K994">
        <v>3192</v>
      </c>
      <c r="L994">
        <v>1596</v>
      </c>
      <c r="M994">
        <v>33517</v>
      </c>
      <c r="N994">
        <v>1596</v>
      </c>
      <c r="O994">
        <v>36709</v>
      </c>
    </row>
    <row r="995" spans="1:15" x14ac:dyDescent="0.35">
      <c r="A995">
        <v>994</v>
      </c>
      <c r="B995" s="2" t="s">
        <v>30</v>
      </c>
      <c r="C995" s="2" t="s">
        <v>15</v>
      </c>
      <c r="D995">
        <v>57</v>
      </c>
      <c r="E995" s="2" t="s">
        <v>28</v>
      </c>
      <c r="F995" s="2" t="s">
        <v>21</v>
      </c>
      <c r="G995">
        <v>80144</v>
      </c>
      <c r="H995" s="1">
        <v>44777</v>
      </c>
      <c r="I995">
        <v>20</v>
      </c>
      <c r="J995">
        <v>2</v>
      </c>
      <c r="K995">
        <v>8014</v>
      </c>
      <c r="L995">
        <v>4007</v>
      </c>
      <c r="M995">
        <v>84151</v>
      </c>
      <c r="N995">
        <v>4007</v>
      </c>
      <c r="O995">
        <v>92165</v>
      </c>
    </row>
    <row r="996" spans="1:15" x14ac:dyDescent="0.35">
      <c r="A996">
        <v>995</v>
      </c>
      <c r="B996" s="2" t="s">
        <v>22</v>
      </c>
      <c r="C996" s="2" t="s">
        <v>15</v>
      </c>
      <c r="D996">
        <v>32</v>
      </c>
      <c r="E996" s="2" t="s">
        <v>16</v>
      </c>
      <c r="F996" s="2" t="s">
        <v>17</v>
      </c>
      <c r="G996">
        <v>91564</v>
      </c>
      <c r="H996" s="1">
        <v>45498</v>
      </c>
      <c r="I996">
        <v>18</v>
      </c>
      <c r="J996">
        <v>3</v>
      </c>
      <c r="K996">
        <v>9156</v>
      </c>
      <c r="L996">
        <v>4578</v>
      </c>
      <c r="M996">
        <v>96142</v>
      </c>
      <c r="N996">
        <v>4578</v>
      </c>
      <c r="O996">
        <v>105298</v>
      </c>
    </row>
    <row r="997" spans="1:15" x14ac:dyDescent="0.35">
      <c r="A997">
        <v>996</v>
      </c>
      <c r="B997" s="2" t="s">
        <v>14</v>
      </c>
      <c r="C997" s="2" t="s">
        <v>15</v>
      </c>
      <c r="D997">
        <v>41</v>
      </c>
      <c r="E997" s="2" t="s">
        <v>12</v>
      </c>
      <c r="F997" s="2" t="s">
        <v>19</v>
      </c>
      <c r="G997">
        <v>67752</v>
      </c>
      <c r="H997" s="1">
        <v>45485</v>
      </c>
      <c r="I997">
        <v>19</v>
      </c>
      <c r="J997">
        <v>2</v>
      </c>
      <c r="K997">
        <v>6775</v>
      </c>
      <c r="L997">
        <v>3388</v>
      </c>
      <c r="M997">
        <v>71139</v>
      </c>
      <c r="N997">
        <v>3388</v>
      </c>
      <c r="O997">
        <v>77915</v>
      </c>
    </row>
    <row r="998" spans="1:15" x14ac:dyDescent="0.35">
      <c r="A998">
        <v>997</v>
      </c>
      <c r="B998" s="2" t="s">
        <v>22</v>
      </c>
      <c r="C998" s="2" t="s">
        <v>11</v>
      </c>
      <c r="D998">
        <v>49</v>
      </c>
      <c r="E998" s="2" t="s">
        <v>16</v>
      </c>
      <c r="F998" s="2" t="s">
        <v>17</v>
      </c>
      <c r="G998">
        <v>57259</v>
      </c>
      <c r="H998" s="1">
        <v>44821</v>
      </c>
      <c r="I998">
        <v>16</v>
      </c>
      <c r="J998">
        <v>2</v>
      </c>
      <c r="K998">
        <v>5726</v>
      </c>
      <c r="L998">
        <v>2863</v>
      </c>
      <c r="M998">
        <v>60122</v>
      </c>
      <c r="N998">
        <v>2863</v>
      </c>
      <c r="O998">
        <v>65848</v>
      </c>
    </row>
    <row r="999" spans="1:15" x14ac:dyDescent="0.35">
      <c r="A999">
        <v>998</v>
      </c>
      <c r="B999" s="2" t="s">
        <v>23</v>
      </c>
      <c r="C999" s="2" t="s">
        <v>11</v>
      </c>
      <c r="D999">
        <v>34</v>
      </c>
      <c r="E999" s="2" t="s">
        <v>29</v>
      </c>
      <c r="F999" s="2" t="s">
        <v>19</v>
      </c>
      <c r="G999">
        <v>76636</v>
      </c>
      <c r="H999" s="1">
        <v>45224</v>
      </c>
      <c r="I999">
        <v>16</v>
      </c>
      <c r="J999">
        <v>4</v>
      </c>
      <c r="K999">
        <v>7664</v>
      </c>
      <c r="L999">
        <v>3832</v>
      </c>
      <c r="M999">
        <v>80468</v>
      </c>
      <c r="N999">
        <v>3832</v>
      </c>
      <c r="O999">
        <v>88132</v>
      </c>
    </row>
    <row r="1000" spans="1:15" x14ac:dyDescent="0.35">
      <c r="A1000">
        <v>999</v>
      </c>
      <c r="B1000" s="2" t="s">
        <v>31</v>
      </c>
      <c r="C1000" s="2" t="s">
        <v>15</v>
      </c>
      <c r="D1000">
        <v>57</v>
      </c>
      <c r="E1000" s="2" t="s">
        <v>24</v>
      </c>
      <c r="F1000" s="2" t="s">
        <v>21</v>
      </c>
      <c r="G1000">
        <v>54303</v>
      </c>
      <c r="H1000" s="1">
        <v>44902</v>
      </c>
      <c r="I1000">
        <v>14</v>
      </c>
      <c r="J1000">
        <v>4</v>
      </c>
      <c r="K1000">
        <v>5430</v>
      </c>
      <c r="L1000">
        <v>2715</v>
      </c>
      <c r="M1000">
        <v>57018</v>
      </c>
      <c r="N1000">
        <v>2715</v>
      </c>
      <c r="O1000">
        <v>62448</v>
      </c>
    </row>
    <row r="1001" spans="1:15" x14ac:dyDescent="0.35">
      <c r="A1001">
        <v>1000</v>
      </c>
      <c r="B1001" s="2" t="s">
        <v>31</v>
      </c>
      <c r="C1001" s="2" t="s">
        <v>15</v>
      </c>
      <c r="D1001">
        <v>53</v>
      </c>
      <c r="E1001" s="2" t="s">
        <v>29</v>
      </c>
      <c r="F1001" s="2" t="s">
        <v>21</v>
      </c>
      <c r="G1001">
        <v>25392</v>
      </c>
      <c r="H1001" s="1">
        <v>44681</v>
      </c>
      <c r="I1001">
        <v>12</v>
      </c>
      <c r="J1001">
        <v>5</v>
      </c>
      <c r="K1001">
        <v>2539</v>
      </c>
      <c r="L1001">
        <v>1270</v>
      </c>
      <c r="M1001">
        <v>26661</v>
      </c>
      <c r="N1001">
        <v>1270</v>
      </c>
      <c r="O1001">
        <v>29201</v>
      </c>
    </row>
    <row r="1002" spans="1:15" x14ac:dyDescent="0.35">
      <c r="A1002">
        <v>1001</v>
      </c>
      <c r="B1002" s="2" t="s">
        <v>14</v>
      </c>
      <c r="C1002" s="2" t="s">
        <v>11</v>
      </c>
      <c r="D1002">
        <v>45</v>
      </c>
      <c r="E1002" s="2" t="s">
        <v>29</v>
      </c>
      <c r="F1002" s="2" t="s">
        <v>21</v>
      </c>
      <c r="G1002">
        <v>20174</v>
      </c>
      <c r="H1002" s="1">
        <v>44585</v>
      </c>
      <c r="I1002">
        <v>19</v>
      </c>
      <c r="J1002">
        <v>2</v>
      </c>
      <c r="K1002">
        <v>2017</v>
      </c>
      <c r="L1002">
        <v>1009</v>
      </c>
      <c r="M1002">
        <v>21182</v>
      </c>
      <c r="N1002">
        <v>1009</v>
      </c>
      <c r="O1002">
        <v>23200</v>
      </c>
    </row>
    <row r="1003" spans="1:15" x14ac:dyDescent="0.35">
      <c r="A1003">
        <v>1002</v>
      </c>
      <c r="B1003" s="2" t="s">
        <v>30</v>
      </c>
      <c r="C1003" s="2" t="s">
        <v>15</v>
      </c>
      <c r="D1003">
        <v>45</v>
      </c>
      <c r="E1003" s="2" t="s">
        <v>16</v>
      </c>
      <c r="F1003" s="2" t="s">
        <v>17</v>
      </c>
      <c r="G1003">
        <v>75518</v>
      </c>
      <c r="H1003" s="1">
        <v>45132</v>
      </c>
      <c r="I1003">
        <v>16</v>
      </c>
      <c r="J1003">
        <v>1</v>
      </c>
      <c r="K1003">
        <v>7552</v>
      </c>
      <c r="L1003">
        <v>3776</v>
      </c>
      <c r="M1003">
        <v>79294</v>
      </c>
      <c r="N1003">
        <v>3776</v>
      </c>
      <c r="O1003">
        <v>86846</v>
      </c>
    </row>
    <row r="1004" spans="1:15" x14ac:dyDescent="0.35">
      <c r="A1004">
        <v>1003</v>
      </c>
      <c r="B1004" s="2" t="s">
        <v>30</v>
      </c>
      <c r="C1004" s="2" t="s">
        <v>11</v>
      </c>
      <c r="D1004">
        <v>22</v>
      </c>
      <c r="E1004" s="2" t="s">
        <v>28</v>
      </c>
      <c r="F1004" s="2" t="s">
        <v>25</v>
      </c>
      <c r="G1004">
        <v>49310</v>
      </c>
      <c r="H1004" s="1">
        <v>45009</v>
      </c>
      <c r="I1004">
        <v>13</v>
      </c>
      <c r="J1004">
        <v>5</v>
      </c>
      <c r="K1004">
        <v>4931</v>
      </c>
      <c r="L1004">
        <v>2466</v>
      </c>
      <c r="M1004">
        <v>51775</v>
      </c>
      <c r="N1004">
        <v>2466</v>
      </c>
      <c r="O1004">
        <v>56707</v>
      </c>
    </row>
    <row r="1005" spans="1:15" x14ac:dyDescent="0.35">
      <c r="A1005">
        <v>1004</v>
      </c>
      <c r="B1005" s="2" t="s">
        <v>27</v>
      </c>
      <c r="C1005" s="2" t="s">
        <v>11</v>
      </c>
      <c r="D1005">
        <v>57</v>
      </c>
      <c r="E1005" s="2" t="s">
        <v>28</v>
      </c>
      <c r="F1005" s="2" t="s">
        <v>25</v>
      </c>
      <c r="G1005">
        <v>73992</v>
      </c>
      <c r="H1005" s="1">
        <v>45291</v>
      </c>
      <c r="I1005">
        <v>1</v>
      </c>
      <c r="J1005">
        <v>2</v>
      </c>
      <c r="K1005">
        <v>7399</v>
      </c>
      <c r="L1005">
        <v>3700</v>
      </c>
      <c r="M1005">
        <v>77691</v>
      </c>
      <c r="N1005">
        <v>0</v>
      </c>
      <c r="O1005">
        <v>81391</v>
      </c>
    </row>
    <row r="1006" spans="1:15" x14ac:dyDescent="0.35">
      <c r="A1006">
        <v>1005</v>
      </c>
      <c r="B1006" s="2" t="s">
        <v>23</v>
      </c>
      <c r="C1006" s="2" t="s">
        <v>11</v>
      </c>
      <c r="D1006">
        <v>27</v>
      </c>
      <c r="E1006" s="2" t="s">
        <v>29</v>
      </c>
      <c r="F1006" s="2" t="s">
        <v>21</v>
      </c>
      <c r="G1006">
        <v>45960</v>
      </c>
      <c r="H1006" s="1">
        <v>45090</v>
      </c>
      <c r="I1006">
        <v>9</v>
      </c>
      <c r="J1006">
        <v>1</v>
      </c>
      <c r="K1006">
        <v>4596</v>
      </c>
      <c r="L1006">
        <v>2298</v>
      </c>
      <c r="M1006">
        <v>48258</v>
      </c>
      <c r="N1006">
        <v>2298</v>
      </c>
      <c r="O1006">
        <v>52854</v>
      </c>
    </row>
    <row r="1007" spans="1:15" x14ac:dyDescent="0.35">
      <c r="A1007">
        <v>1006</v>
      </c>
      <c r="B1007" s="2" t="s">
        <v>30</v>
      </c>
      <c r="C1007" s="2" t="s">
        <v>15</v>
      </c>
      <c r="D1007">
        <v>31</v>
      </c>
      <c r="E1007" s="2" t="s">
        <v>16</v>
      </c>
      <c r="F1007" s="2" t="s">
        <v>13</v>
      </c>
      <c r="G1007">
        <v>80935</v>
      </c>
      <c r="H1007" s="1">
        <v>45275</v>
      </c>
      <c r="I1007">
        <v>12</v>
      </c>
      <c r="J1007">
        <v>3</v>
      </c>
      <c r="K1007">
        <v>8094</v>
      </c>
      <c r="L1007">
        <v>4047</v>
      </c>
      <c r="M1007">
        <v>84982</v>
      </c>
      <c r="N1007">
        <v>4047</v>
      </c>
      <c r="O1007">
        <v>93076</v>
      </c>
    </row>
    <row r="1008" spans="1:15" x14ac:dyDescent="0.35">
      <c r="A1008">
        <v>1007</v>
      </c>
      <c r="B1008" s="2" t="s">
        <v>31</v>
      </c>
      <c r="C1008" s="2" t="s">
        <v>15</v>
      </c>
      <c r="D1008">
        <v>52</v>
      </c>
      <c r="E1008" s="2" t="s">
        <v>16</v>
      </c>
      <c r="F1008" s="2" t="s">
        <v>25</v>
      </c>
      <c r="G1008">
        <v>89205</v>
      </c>
      <c r="H1008" s="1">
        <v>44735</v>
      </c>
      <c r="I1008">
        <v>9</v>
      </c>
      <c r="J1008">
        <v>5</v>
      </c>
      <c r="K1008">
        <v>8920</v>
      </c>
      <c r="L1008">
        <v>4460</v>
      </c>
      <c r="M1008">
        <v>93665</v>
      </c>
      <c r="N1008">
        <v>4460</v>
      </c>
      <c r="O1008">
        <v>102585</v>
      </c>
    </row>
    <row r="1009" spans="1:15" x14ac:dyDescent="0.35">
      <c r="A1009">
        <v>1008</v>
      </c>
      <c r="B1009" s="2" t="s">
        <v>10</v>
      </c>
      <c r="C1009" s="2" t="s">
        <v>15</v>
      </c>
      <c r="D1009">
        <v>51</v>
      </c>
      <c r="E1009" s="2" t="s">
        <v>12</v>
      </c>
      <c r="F1009" s="2" t="s">
        <v>21</v>
      </c>
      <c r="G1009">
        <v>94229</v>
      </c>
      <c r="H1009" s="1">
        <v>45023</v>
      </c>
      <c r="I1009">
        <v>14</v>
      </c>
      <c r="J1009">
        <v>2</v>
      </c>
      <c r="K1009">
        <v>9423</v>
      </c>
      <c r="L1009">
        <v>4711</v>
      </c>
      <c r="M1009">
        <v>98941</v>
      </c>
      <c r="N1009">
        <v>4711</v>
      </c>
      <c r="O1009">
        <v>108363</v>
      </c>
    </row>
    <row r="1010" spans="1:15" x14ac:dyDescent="0.35">
      <c r="A1010">
        <v>1009</v>
      </c>
      <c r="B1010" s="2" t="s">
        <v>26</v>
      </c>
      <c r="C1010" s="2" t="s">
        <v>11</v>
      </c>
      <c r="D1010">
        <v>33</v>
      </c>
      <c r="E1010" s="2" t="s">
        <v>12</v>
      </c>
      <c r="F1010" s="2" t="s">
        <v>25</v>
      </c>
      <c r="G1010">
        <v>76878</v>
      </c>
      <c r="H1010" s="1">
        <v>45355</v>
      </c>
      <c r="I1010">
        <v>13</v>
      </c>
      <c r="J1010">
        <v>1</v>
      </c>
      <c r="K1010">
        <v>7688</v>
      </c>
      <c r="L1010">
        <v>3844</v>
      </c>
      <c r="M1010">
        <v>80722</v>
      </c>
      <c r="N1010">
        <v>3844</v>
      </c>
      <c r="O1010">
        <v>88410</v>
      </c>
    </row>
    <row r="1011" spans="1:15" x14ac:dyDescent="0.35">
      <c r="A1011">
        <v>1010</v>
      </c>
      <c r="B1011" s="2" t="s">
        <v>26</v>
      </c>
      <c r="C1011" s="2" t="s">
        <v>15</v>
      </c>
      <c r="D1011">
        <v>24</v>
      </c>
      <c r="E1011" s="2" t="s">
        <v>16</v>
      </c>
      <c r="F1011" s="2" t="s">
        <v>19</v>
      </c>
      <c r="G1011">
        <v>49756</v>
      </c>
      <c r="H1011" s="1">
        <v>44653</v>
      </c>
      <c r="I1011">
        <v>18</v>
      </c>
      <c r="J1011">
        <v>2</v>
      </c>
      <c r="K1011">
        <v>4976</v>
      </c>
      <c r="L1011">
        <v>2488</v>
      </c>
      <c r="M1011">
        <v>52244</v>
      </c>
      <c r="N1011">
        <v>2488</v>
      </c>
      <c r="O1011">
        <v>57220</v>
      </c>
    </row>
    <row r="1012" spans="1:15" x14ac:dyDescent="0.35">
      <c r="A1012">
        <v>1011</v>
      </c>
      <c r="B1012" s="2" t="s">
        <v>31</v>
      </c>
      <c r="C1012" s="2" t="s">
        <v>11</v>
      </c>
      <c r="D1012">
        <v>35</v>
      </c>
      <c r="E1012" s="2" t="s">
        <v>29</v>
      </c>
      <c r="F1012" s="2" t="s">
        <v>25</v>
      </c>
      <c r="G1012">
        <v>23953</v>
      </c>
      <c r="H1012" s="1">
        <v>45217</v>
      </c>
      <c r="I1012">
        <v>18</v>
      </c>
      <c r="J1012">
        <v>4</v>
      </c>
      <c r="K1012">
        <v>2395</v>
      </c>
      <c r="L1012">
        <v>1198</v>
      </c>
      <c r="M1012">
        <v>25150</v>
      </c>
      <c r="N1012">
        <v>1198</v>
      </c>
      <c r="O1012">
        <v>27546</v>
      </c>
    </row>
    <row r="1013" spans="1:15" x14ac:dyDescent="0.35">
      <c r="A1013">
        <v>1012</v>
      </c>
      <c r="B1013" s="2" t="s">
        <v>22</v>
      </c>
      <c r="C1013" s="2" t="s">
        <v>15</v>
      </c>
      <c r="D1013">
        <v>60</v>
      </c>
      <c r="E1013" s="2" t="s">
        <v>16</v>
      </c>
      <c r="F1013" s="2" t="s">
        <v>21</v>
      </c>
      <c r="G1013">
        <v>22689</v>
      </c>
      <c r="H1013" s="1">
        <v>45544</v>
      </c>
      <c r="I1013">
        <v>1</v>
      </c>
      <c r="J1013">
        <v>2</v>
      </c>
      <c r="K1013">
        <v>2269</v>
      </c>
      <c r="L1013">
        <v>1134</v>
      </c>
      <c r="M1013">
        <v>23824</v>
      </c>
      <c r="N1013">
        <v>0</v>
      </c>
      <c r="O1013">
        <v>24958</v>
      </c>
    </row>
    <row r="1014" spans="1:15" x14ac:dyDescent="0.35">
      <c r="A1014">
        <v>1013</v>
      </c>
      <c r="B1014" s="2" t="s">
        <v>27</v>
      </c>
      <c r="C1014" s="2" t="s">
        <v>15</v>
      </c>
      <c r="D1014">
        <v>22</v>
      </c>
      <c r="E1014" s="2" t="s">
        <v>16</v>
      </c>
      <c r="F1014" s="2" t="s">
        <v>25</v>
      </c>
      <c r="G1014">
        <v>51766</v>
      </c>
      <c r="H1014" s="1">
        <v>45511</v>
      </c>
      <c r="I1014">
        <v>14</v>
      </c>
      <c r="J1014">
        <v>3</v>
      </c>
      <c r="K1014">
        <v>5177</v>
      </c>
      <c r="L1014">
        <v>2588</v>
      </c>
      <c r="M1014">
        <v>54355</v>
      </c>
      <c r="N1014">
        <v>2588</v>
      </c>
      <c r="O1014">
        <v>59531</v>
      </c>
    </row>
    <row r="1015" spans="1:15" x14ac:dyDescent="0.35">
      <c r="A1015">
        <v>1014</v>
      </c>
      <c r="B1015" s="2" t="s">
        <v>30</v>
      </c>
      <c r="C1015" s="2" t="s">
        <v>15</v>
      </c>
      <c r="D1015">
        <v>38</v>
      </c>
      <c r="E1015" s="2" t="s">
        <v>16</v>
      </c>
      <c r="F1015" s="2" t="s">
        <v>25</v>
      </c>
      <c r="G1015">
        <v>95671</v>
      </c>
      <c r="H1015" s="1">
        <v>45191</v>
      </c>
      <c r="I1015">
        <v>10</v>
      </c>
      <c r="J1015">
        <v>4</v>
      </c>
      <c r="K1015">
        <v>9567</v>
      </c>
      <c r="L1015">
        <v>4784</v>
      </c>
      <c r="M1015">
        <v>100454</v>
      </c>
      <c r="N1015">
        <v>4784</v>
      </c>
      <c r="O1015">
        <v>110022</v>
      </c>
    </row>
    <row r="1016" spans="1:15" x14ac:dyDescent="0.35">
      <c r="A1016">
        <v>1015</v>
      </c>
      <c r="B1016" s="2" t="s">
        <v>10</v>
      </c>
      <c r="C1016" s="2" t="s">
        <v>15</v>
      </c>
      <c r="D1016">
        <v>50</v>
      </c>
      <c r="E1016" s="2" t="s">
        <v>12</v>
      </c>
      <c r="F1016" s="2" t="s">
        <v>17</v>
      </c>
      <c r="G1016">
        <v>61531</v>
      </c>
      <c r="H1016" s="1">
        <v>45110</v>
      </c>
      <c r="I1016">
        <v>1</v>
      </c>
      <c r="J1016">
        <v>3</v>
      </c>
      <c r="K1016">
        <v>6153</v>
      </c>
      <c r="L1016">
        <v>3077</v>
      </c>
      <c r="M1016">
        <v>64607</v>
      </c>
      <c r="N1016">
        <v>0</v>
      </c>
      <c r="O1016">
        <v>67684</v>
      </c>
    </row>
    <row r="1017" spans="1:15" x14ac:dyDescent="0.35">
      <c r="A1017">
        <v>1016</v>
      </c>
      <c r="B1017" s="2" t="s">
        <v>23</v>
      </c>
      <c r="C1017" s="2" t="s">
        <v>15</v>
      </c>
      <c r="D1017">
        <v>52</v>
      </c>
      <c r="E1017" s="2" t="s">
        <v>24</v>
      </c>
      <c r="F1017" s="2" t="s">
        <v>19</v>
      </c>
      <c r="G1017">
        <v>76530</v>
      </c>
      <c r="H1017" s="1">
        <v>45440</v>
      </c>
      <c r="I1017">
        <v>2</v>
      </c>
      <c r="J1017">
        <v>5</v>
      </c>
      <c r="K1017">
        <v>7653</v>
      </c>
      <c r="L1017">
        <v>3826</v>
      </c>
      <c r="M1017">
        <v>80357</v>
      </c>
      <c r="N1017">
        <v>0</v>
      </c>
      <c r="O1017">
        <v>84183</v>
      </c>
    </row>
    <row r="1018" spans="1:15" x14ac:dyDescent="0.35">
      <c r="A1018">
        <v>1017</v>
      </c>
      <c r="B1018" s="2" t="s">
        <v>18</v>
      </c>
      <c r="C1018" s="2" t="s">
        <v>11</v>
      </c>
      <c r="D1018">
        <v>24</v>
      </c>
      <c r="E1018" s="2" t="s">
        <v>12</v>
      </c>
      <c r="F1018" s="2" t="s">
        <v>25</v>
      </c>
      <c r="G1018">
        <v>87053</v>
      </c>
      <c r="H1018" s="1">
        <v>45223</v>
      </c>
      <c r="I1018">
        <v>5</v>
      </c>
      <c r="J1018">
        <v>1</v>
      </c>
      <c r="K1018">
        <v>8705</v>
      </c>
      <c r="L1018">
        <v>4353</v>
      </c>
      <c r="M1018">
        <v>91405</v>
      </c>
      <c r="N1018">
        <v>0</v>
      </c>
      <c r="O1018">
        <v>95758</v>
      </c>
    </row>
    <row r="1019" spans="1:15" x14ac:dyDescent="0.35">
      <c r="A1019">
        <v>1018</v>
      </c>
      <c r="B1019" s="2" t="s">
        <v>18</v>
      </c>
      <c r="C1019" s="2" t="s">
        <v>15</v>
      </c>
      <c r="D1019">
        <v>29</v>
      </c>
      <c r="E1019" s="2" t="s">
        <v>16</v>
      </c>
      <c r="F1019" s="2" t="s">
        <v>19</v>
      </c>
      <c r="G1019">
        <v>74169</v>
      </c>
      <c r="H1019" s="1">
        <v>45026</v>
      </c>
      <c r="I1019">
        <v>16</v>
      </c>
      <c r="J1019">
        <v>5</v>
      </c>
      <c r="K1019">
        <v>7417</v>
      </c>
      <c r="L1019">
        <v>3708</v>
      </c>
      <c r="M1019">
        <v>77878</v>
      </c>
      <c r="N1019">
        <v>3708</v>
      </c>
      <c r="O1019">
        <v>85294</v>
      </c>
    </row>
    <row r="1020" spans="1:15" x14ac:dyDescent="0.35">
      <c r="A1020">
        <v>1019</v>
      </c>
      <c r="B1020" s="2" t="s">
        <v>20</v>
      </c>
      <c r="C1020" s="2" t="s">
        <v>15</v>
      </c>
      <c r="D1020">
        <v>52</v>
      </c>
      <c r="E1020" s="2" t="s">
        <v>28</v>
      </c>
      <c r="F1020" s="2" t="s">
        <v>17</v>
      </c>
      <c r="G1020">
        <v>50252</v>
      </c>
      <c r="H1020" s="1">
        <v>45204</v>
      </c>
      <c r="I1020">
        <v>6</v>
      </c>
      <c r="J1020">
        <v>2</v>
      </c>
      <c r="K1020">
        <v>5025</v>
      </c>
      <c r="L1020">
        <v>2513</v>
      </c>
      <c r="M1020">
        <v>52764</v>
      </c>
      <c r="N1020">
        <v>2513</v>
      </c>
      <c r="O1020">
        <v>57790</v>
      </c>
    </row>
    <row r="1021" spans="1:15" x14ac:dyDescent="0.35">
      <c r="A1021">
        <v>1020</v>
      </c>
      <c r="B1021" s="2" t="s">
        <v>18</v>
      </c>
      <c r="C1021" s="2" t="s">
        <v>11</v>
      </c>
      <c r="D1021">
        <v>24</v>
      </c>
      <c r="E1021" s="2" t="s">
        <v>28</v>
      </c>
      <c r="F1021" s="2" t="s">
        <v>21</v>
      </c>
      <c r="G1021">
        <v>58561</v>
      </c>
      <c r="H1021" s="1">
        <v>44697</v>
      </c>
      <c r="I1021">
        <v>17</v>
      </c>
      <c r="J1021">
        <v>5</v>
      </c>
      <c r="K1021">
        <v>5856</v>
      </c>
      <c r="L1021">
        <v>2928</v>
      </c>
      <c r="M1021">
        <v>61489</v>
      </c>
      <c r="N1021">
        <v>2928</v>
      </c>
      <c r="O1021">
        <v>67345</v>
      </c>
    </row>
    <row r="1022" spans="1:15" x14ac:dyDescent="0.35">
      <c r="A1022">
        <v>1021</v>
      </c>
      <c r="B1022" s="2" t="s">
        <v>30</v>
      </c>
      <c r="C1022" s="2" t="s">
        <v>11</v>
      </c>
      <c r="D1022">
        <v>43</v>
      </c>
      <c r="E1022" s="2" t="s">
        <v>29</v>
      </c>
      <c r="F1022" s="2" t="s">
        <v>13</v>
      </c>
      <c r="G1022">
        <v>49398</v>
      </c>
      <c r="H1022" s="1">
        <v>45160</v>
      </c>
      <c r="I1022">
        <v>16</v>
      </c>
      <c r="J1022">
        <v>1</v>
      </c>
      <c r="K1022">
        <v>4940</v>
      </c>
      <c r="L1022">
        <v>2470</v>
      </c>
      <c r="M1022">
        <v>51868</v>
      </c>
      <c r="N1022">
        <v>2470</v>
      </c>
      <c r="O1022">
        <v>56808</v>
      </c>
    </row>
    <row r="1023" spans="1:15" x14ac:dyDescent="0.35">
      <c r="A1023">
        <v>1022</v>
      </c>
      <c r="B1023" s="2" t="s">
        <v>18</v>
      </c>
      <c r="C1023" s="2" t="s">
        <v>15</v>
      </c>
      <c r="D1023">
        <v>37</v>
      </c>
      <c r="E1023" s="2" t="s">
        <v>24</v>
      </c>
      <c r="F1023" s="2" t="s">
        <v>17</v>
      </c>
      <c r="G1023">
        <v>34953</v>
      </c>
      <c r="H1023" s="1">
        <v>45234</v>
      </c>
      <c r="I1023">
        <v>11</v>
      </c>
      <c r="J1023">
        <v>2</v>
      </c>
      <c r="K1023">
        <v>3495</v>
      </c>
      <c r="L1023">
        <v>1748</v>
      </c>
      <c r="M1023">
        <v>36700</v>
      </c>
      <c r="N1023">
        <v>1748</v>
      </c>
      <c r="O1023">
        <v>40196</v>
      </c>
    </row>
    <row r="1024" spans="1:15" x14ac:dyDescent="0.35">
      <c r="A1024">
        <v>1023</v>
      </c>
      <c r="B1024" s="2" t="s">
        <v>27</v>
      </c>
      <c r="C1024" s="2" t="s">
        <v>11</v>
      </c>
      <c r="D1024">
        <v>25</v>
      </c>
      <c r="E1024" s="2" t="s">
        <v>29</v>
      </c>
      <c r="F1024" s="2" t="s">
        <v>17</v>
      </c>
      <c r="G1024">
        <v>23982</v>
      </c>
      <c r="H1024" s="1">
        <v>45044</v>
      </c>
      <c r="I1024">
        <v>2</v>
      </c>
      <c r="J1024">
        <v>5</v>
      </c>
      <c r="K1024">
        <v>2398</v>
      </c>
      <c r="L1024">
        <v>1199</v>
      </c>
      <c r="M1024">
        <v>25181</v>
      </c>
      <c r="N1024">
        <v>0</v>
      </c>
      <c r="O1024">
        <v>26380</v>
      </c>
    </row>
    <row r="1025" spans="1:15" x14ac:dyDescent="0.35">
      <c r="A1025">
        <v>1024</v>
      </c>
      <c r="B1025" s="2" t="s">
        <v>26</v>
      </c>
      <c r="C1025" s="2" t="s">
        <v>15</v>
      </c>
      <c r="D1025">
        <v>45</v>
      </c>
      <c r="E1025" s="2" t="s">
        <v>12</v>
      </c>
      <c r="F1025" s="2" t="s">
        <v>25</v>
      </c>
      <c r="G1025">
        <v>76939</v>
      </c>
      <c r="H1025" s="1">
        <v>44731</v>
      </c>
      <c r="I1025">
        <v>6</v>
      </c>
      <c r="J1025">
        <v>3</v>
      </c>
      <c r="K1025">
        <v>7694</v>
      </c>
      <c r="L1025">
        <v>3847</v>
      </c>
      <c r="M1025">
        <v>80786</v>
      </c>
      <c r="N1025">
        <v>3847</v>
      </c>
      <c r="O1025">
        <v>88480</v>
      </c>
    </row>
    <row r="1026" spans="1:15" x14ac:dyDescent="0.35">
      <c r="A1026">
        <v>1025</v>
      </c>
      <c r="B1026" s="2" t="s">
        <v>18</v>
      </c>
      <c r="C1026" s="2" t="s">
        <v>11</v>
      </c>
      <c r="D1026">
        <v>48</v>
      </c>
      <c r="E1026" s="2" t="s">
        <v>16</v>
      </c>
      <c r="F1026" s="2" t="s">
        <v>19</v>
      </c>
      <c r="G1026">
        <v>55483</v>
      </c>
      <c r="H1026" s="1">
        <v>44804</v>
      </c>
      <c r="I1026">
        <v>6</v>
      </c>
      <c r="J1026">
        <v>3</v>
      </c>
      <c r="K1026">
        <v>5548</v>
      </c>
      <c r="L1026">
        <v>2774</v>
      </c>
      <c r="M1026">
        <v>58257</v>
      </c>
      <c r="N1026">
        <v>2774</v>
      </c>
      <c r="O1026">
        <v>63805</v>
      </c>
    </row>
    <row r="1027" spans="1:15" x14ac:dyDescent="0.35">
      <c r="A1027">
        <v>1026</v>
      </c>
      <c r="B1027" s="2" t="s">
        <v>31</v>
      </c>
      <c r="C1027" s="2" t="s">
        <v>15</v>
      </c>
      <c r="D1027">
        <v>55</v>
      </c>
      <c r="E1027" s="2" t="s">
        <v>29</v>
      </c>
      <c r="F1027" s="2" t="s">
        <v>19</v>
      </c>
      <c r="G1027">
        <v>87569</v>
      </c>
      <c r="H1027" s="1">
        <v>45078</v>
      </c>
      <c r="I1027">
        <v>1</v>
      </c>
      <c r="J1027">
        <v>5</v>
      </c>
      <c r="K1027">
        <v>8757</v>
      </c>
      <c r="L1027">
        <v>4378</v>
      </c>
      <c r="M1027">
        <v>91948</v>
      </c>
      <c r="N1027">
        <v>0</v>
      </c>
      <c r="O1027">
        <v>96326</v>
      </c>
    </row>
    <row r="1028" spans="1:15" x14ac:dyDescent="0.35">
      <c r="A1028">
        <v>1027</v>
      </c>
      <c r="B1028" s="2" t="s">
        <v>30</v>
      </c>
      <c r="C1028" s="2" t="s">
        <v>11</v>
      </c>
      <c r="D1028">
        <v>34</v>
      </c>
      <c r="E1028" s="2" t="s">
        <v>24</v>
      </c>
      <c r="F1028" s="2" t="s">
        <v>13</v>
      </c>
      <c r="G1028">
        <v>63468</v>
      </c>
      <c r="H1028" s="1">
        <v>45251</v>
      </c>
      <c r="I1028">
        <v>3</v>
      </c>
      <c r="J1028">
        <v>1</v>
      </c>
      <c r="K1028">
        <v>6347</v>
      </c>
      <c r="L1028">
        <v>3173</v>
      </c>
      <c r="M1028">
        <v>66642</v>
      </c>
      <c r="N1028">
        <v>0</v>
      </c>
      <c r="O1028">
        <v>69815</v>
      </c>
    </row>
    <row r="1029" spans="1:15" x14ac:dyDescent="0.35">
      <c r="A1029">
        <v>1028</v>
      </c>
      <c r="B1029" s="2" t="s">
        <v>18</v>
      </c>
      <c r="C1029" s="2" t="s">
        <v>15</v>
      </c>
      <c r="D1029">
        <v>55</v>
      </c>
      <c r="E1029" s="2" t="s">
        <v>24</v>
      </c>
      <c r="F1029" s="2" t="s">
        <v>19</v>
      </c>
      <c r="G1029">
        <v>62236</v>
      </c>
      <c r="H1029" s="1">
        <v>45252</v>
      </c>
      <c r="I1029">
        <v>16</v>
      </c>
      <c r="J1029">
        <v>4</v>
      </c>
      <c r="K1029">
        <v>6224</v>
      </c>
      <c r="L1029">
        <v>3112</v>
      </c>
      <c r="M1029">
        <v>65348</v>
      </c>
      <c r="N1029">
        <v>3112</v>
      </c>
      <c r="O1029">
        <v>71572</v>
      </c>
    </row>
    <row r="1030" spans="1:15" x14ac:dyDescent="0.35">
      <c r="A1030">
        <v>1029</v>
      </c>
      <c r="B1030" s="2" t="s">
        <v>27</v>
      </c>
      <c r="C1030" s="2" t="s">
        <v>11</v>
      </c>
      <c r="D1030">
        <v>39</v>
      </c>
      <c r="E1030" s="2" t="s">
        <v>29</v>
      </c>
      <c r="F1030" s="2" t="s">
        <v>13</v>
      </c>
      <c r="G1030">
        <v>54233</v>
      </c>
      <c r="H1030" s="1">
        <v>45456</v>
      </c>
      <c r="I1030">
        <v>5</v>
      </c>
      <c r="J1030">
        <v>1</v>
      </c>
      <c r="K1030">
        <v>5423</v>
      </c>
      <c r="L1030">
        <v>2712</v>
      </c>
      <c r="M1030">
        <v>56944</v>
      </c>
      <c r="N1030">
        <v>0</v>
      </c>
      <c r="O1030">
        <v>59656</v>
      </c>
    </row>
    <row r="1031" spans="1:15" x14ac:dyDescent="0.35">
      <c r="A1031">
        <v>1030</v>
      </c>
      <c r="B1031" s="2" t="s">
        <v>31</v>
      </c>
      <c r="C1031" s="2" t="s">
        <v>11</v>
      </c>
      <c r="D1031">
        <v>25</v>
      </c>
      <c r="E1031" s="2" t="s">
        <v>24</v>
      </c>
      <c r="F1031" s="2" t="s">
        <v>25</v>
      </c>
      <c r="G1031">
        <v>23865</v>
      </c>
      <c r="H1031" s="1">
        <v>44780</v>
      </c>
      <c r="I1031">
        <v>3</v>
      </c>
      <c r="J1031">
        <v>1</v>
      </c>
      <c r="K1031">
        <v>2386</v>
      </c>
      <c r="L1031">
        <v>1193</v>
      </c>
      <c r="M1031">
        <v>25058</v>
      </c>
      <c r="N1031">
        <v>0</v>
      </c>
      <c r="O1031">
        <v>26251</v>
      </c>
    </row>
    <row r="1032" spans="1:15" x14ac:dyDescent="0.35">
      <c r="A1032">
        <v>1031</v>
      </c>
      <c r="B1032" s="2" t="s">
        <v>27</v>
      </c>
      <c r="C1032" s="2" t="s">
        <v>15</v>
      </c>
      <c r="D1032">
        <v>35</v>
      </c>
      <c r="E1032" s="2" t="s">
        <v>24</v>
      </c>
      <c r="F1032" s="2" t="s">
        <v>25</v>
      </c>
      <c r="G1032">
        <v>40995</v>
      </c>
      <c r="H1032" s="1">
        <v>44711</v>
      </c>
      <c r="I1032">
        <v>5</v>
      </c>
      <c r="J1032">
        <v>4</v>
      </c>
      <c r="K1032">
        <v>4100</v>
      </c>
      <c r="L1032">
        <v>2050</v>
      </c>
      <c r="M1032">
        <v>43045</v>
      </c>
      <c r="N1032">
        <v>0</v>
      </c>
      <c r="O1032">
        <v>45095</v>
      </c>
    </row>
    <row r="1033" spans="1:15" x14ac:dyDescent="0.35">
      <c r="A1033">
        <v>1032</v>
      </c>
      <c r="B1033" s="2" t="s">
        <v>23</v>
      </c>
      <c r="C1033" s="2" t="s">
        <v>11</v>
      </c>
      <c r="D1033">
        <v>49</v>
      </c>
      <c r="E1033" s="2" t="s">
        <v>24</v>
      </c>
      <c r="F1033" s="2" t="s">
        <v>25</v>
      </c>
      <c r="G1033">
        <v>78428</v>
      </c>
      <c r="H1033" s="1">
        <v>45381</v>
      </c>
      <c r="I1033">
        <v>15</v>
      </c>
      <c r="J1033">
        <v>5</v>
      </c>
      <c r="K1033">
        <v>7843</v>
      </c>
      <c r="L1033">
        <v>3921</v>
      </c>
      <c r="M1033">
        <v>82350</v>
      </c>
      <c r="N1033">
        <v>3921</v>
      </c>
      <c r="O1033">
        <v>90192</v>
      </c>
    </row>
    <row r="1034" spans="1:15" x14ac:dyDescent="0.35">
      <c r="A1034">
        <v>1033</v>
      </c>
      <c r="B1034" s="2" t="s">
        <v>10</v>
      </c>
      <c r="C1034" s="2" t="s">
        <v>15</v>
      </c>
      <c r="D1034">
        <v>60</v>
      </c>
      <c r="E1034" s="2" t="s">
        <v>28</v>
      </c>
      <c r="F1034" s="2" t="s">
        <v>25</v>
      </c>
      <c r="G1034">
        <v>48491</v>
      </c>
      <c r="H1034" s="1">
        <v>44829</v>
      </c>
      <c r="I1034">
        <v>5</v>
      </c>
      <c r="J1034">
        <v>4</v>
      </c>
      <c r="K1034">
        <v>4849</v>
      </c>
      <c r="L1034">
        <v>2425</v>
      </c>
      <c r="M1034">
        <v>50915</v>
      </c>
      <c r="N1034">
        <v>0</v>
      </c>
      <c r="O1034">
        <v>53340</v>
      </c>
    </row>
    <row r="1035" spans="1:15" x14ac:dyDescent="0.35">
      <c r="A1035">
        <v>1034</v>
      </c>
      <c r="B1035" s="2" t="s">
        <v>31</v>
      </c>
      <c r="C1035" s="2" t="s">
        <v>11</v>
      </c>
      <c r="D1035">
        <v>32</v>
      </c>
      <c r="E1035" s="2" t="s">
        <v>29</v>
      </c>
      <c r="F1035" s="2" t="s">
        <v>13</v>
      </c>
      <c r="G1035">
        <v>55342</v>
      </c>
      <c r="H1035" s="1">
        <v>45228</v>
      </c>
      <c r="I1035">
        <v>4</v>
      </c>
      <c r="J1035">
        <v>1</v>
      </c>
      <c r="K1035">
        <v>5534</v>
      </c>
      <c r="L1035">
        <v>2767</v>
      </c>
      <c r="M1035">
        <v>58109</v>
      </c>
      <c r="N1035">
        <v>0</v>
      </c>
      <c r="O1035">
        <v>60876</v>
      </c>
    </row>
    <row r="1036" spans="1:15" x14ac:dyDescent="0.35">
      <c r="A1036">
        <v>1035</v>
      </c>
      <c r="B1036" s="2" t="s">
        <v>22</v>
      </c>
      <c r="C1036" s="2" t="s">
        <v>11</v>
      </c>
      <c r="D1036">
        <v>52</v>
      </c>
      <c r="E1036" s="2" t="s">
        <v>29</v>
      </c>
      <c r="F1036" s="2" t="s">
        <v>25</v>
      </c>
      <c r="G1036">
        <v>90884</v>
      </c>
      <c r="H1036" s="1">
        <v>44670</v>
      </c>
      <c r="I1036">
        <v>18</v>
      </c>
      <c r="J1036">
        <v>5</v>
      </c>
      <c r="K1036">
        <v>9088</v>
      </c>
      <c r="L1036">
        <v>4544</v>
      </c>
      <c r="M1036">
        <v>95428</v>
      </c>
      <c r="N1036">
        <v>4544</v>
      </c>
      <c r="O1036">
        <v>104516</v>
      </c>
    </row>
    <row r="1037" spans="1:15" x14ac:dyDescent="0.35">
      <c r="A1037">
        <v>1036</v>
      </c>
      <c r="B1037" s="2" t="s">
        <v>30</v>
      </c>
      <c r="C1037" s="2" t="s">
        <v>11</v>
      </c>
      <c r="D1037">
        <v>27</v>
      </c>
      <c r="E1037" s="2" t="s">
        <v>28</v>
      </c>
      <c r="F1037" s="2" t="s">
        <v>17</v>
      </c>
      <c r="G1037">
        <v>54365</v>
      </c>
      <c r="H1037" s="1">
        <v>44623</v>
      </c>
      <c r="I1037">
        <v>16</v>
      </c>
      <c r="J1037">
        <v>2</v>
      </c>
      <c r="K1037">
        <v>5436</v>
      </c>
      <c r="L1037">
        <v>2718</v>
      </c>
      <c r="M1037">
        <v>57083</v>
      </c>
      <c r="N1037">
        <v>2718</v>
      </c>
      <c r="O1037">
        <v>62519</v>
      </c>
    </row>
    <row r="1038" spans="1:15" x14ac:dyDescent="0.35">
      <c r="A1038">
        <v>1037</v>
      </c>
      <c r="B1038" s="2" t="s">
        <v>31</v>
      </c>
      <c r="C1038" s="2" t="s">
        <v>15</v>
      </c>
      <c r="D1038">
        <v>59</v>
      </c>
      <c r="E1038" s="2" t="s">
        <v>29</v>
      </c>
      <c r="F1038" s="2" t="s">
        <v>13</v>
      </c>
      <c r="G1038">
        <v>83627</v>
      </c>
      <c r="H1038" s="1">
        <v>45500</v>
      </c>
      <c r="I1038">
        <v>19</v>
      </c>
      <c r="J1038">
        <v>1</v>
      </c>
      <c r="K1038">
        <v>8363</v>
      </c>
      <c r="L1038">
        <v>4181</v>
      </c>
      <c r="M1038">
        <v>87809</v>
      </c>
      <c r="N1038">
        <v>4181</v>
      </c>
      <c r="O1038">
        <v>96171</v>
      </c>
    </row>
    <row r="1039" spans="1:15" x14ac:dyDescent="0.35">
      <c r="A1039">
        <v>1038</v>
      </c>
      <c r="B1039" s="2" t="s">
        <v>10</v>
      </c>
      <c r="C1039" s="2" t="s">
        <v>11</v>
      </c>
      <c r="D1039">
        <v>44</v>
      </c>
      <c r="E1039" s="2" t="s">
        <v>28</v>
      </c>
      <c r="F1039" s="2" t="s">
        <v>13</v>
      </c>
      <c r="G1039">
        <v>28193</v>
      </c>
      <c r="H1039" s="1">
        <v>44838</v>
      </c>
      <c r="I1039">
        <v>10</v>
      </c>
      <c r="J1039">
        <v>4</v>
      </c>
      <c r="K1039">
        <v>2819</v>
      </c>
      <c r="L1039">
        <v>1410</v>
      </c>
      <c r="M1039">
        <v>29602</v>
      </c>
      <c r="N1039">
        <v>1410</v>
      </c>
      <c r="O1039">
        <v>32422</v>
      </c>
    </row>
    <row r="1040" spans="1:15" x14ac:dyDescent="0.35">
      <c r="A1040">
        <v>1039</v>
      </c>
      <c r="B1040" s="2" t="s">
        <v>14</v>
      </c>
      <c r="C1040" s="2" t="s">
        <v>15</v>
      </c>
      <c r="D1040">
        <v>59</v>
      </c>
      <c r="E1040" s="2" t="s">
        <v>24</v>
      </c>
      <c r="F1040" s="2" t="s">
        <v>13</v>
      </c>
      <c r="G1040">
        <v>41047</v>
      </c>
      <c r="H1040" s="1">
        <v>44597</v>
      </c>
      <c r="I1040">
        <v>6</v>
      </c>
      <c r="J1040">
        <v>5</v>
      </c>
      <c r="K1040">
        <v>4105</v>
      </c>
      <c r="L1040">
        <v>2052</v>
      </c>
      <c r="M1040">
        <v>43100</v>
      </c>
      <c r="N1040">
        <v>2052</v>
      </c>
      <c r="O1040">
        <v>47204</v>
      </c>
    </row>
    <row r="1041" spans="1:15" x14ac:dyDescent="0.35">
      <c r="A1041">
        <v>1040</v>
      </c>
      <c r="B1041" s="2" t="s">
        <v>26</v>
      </c>
      <c r="C1041" s="2" t="s">
        <v>15</v>
      </c>
      <c r="D1041">
        <v>45</v>
      </c>
      <c r="E1041" s="2" t="s">
        <v>16</v>
      </c>
      <c r="F1041" s="2" t="s">
        <v>25</v>
      </c>
      <c r="G1041">
        <v>26870</v>
      </c>
      <c r="H1041" s="1">
        <v>44923</v>
      </c>
      <c r="I1041">
        <v>12</v>
      </c>
      <c r="J1041">
        <v>5</v>
      </c>
      <c r="K1041">
        <v>2687</v>
      </c>
      <c r="L1041">
        <v>1344</v>
      </c>
      <c r="M1041">
        <v>28213</v>
      </c>
      <c r="N1041">
        <v>1344</v>
      </c>
      <c r="O1041">
        <v>30901</v>
      </c>
    </row>
    <row r="1042" spans="1:15" x14ac:dyDescent="0.35">
      <c r="A1042">
        <v>1041</v>
      </c>
      <c r="B1042" s="2" t="s">
        <v>18</v>
      </c>
      <c r="C1042" s="2" t="s">
        <v>15</v>
      </c>
      <c r="D1042">
        <v>21</v>
      </c>
      <c r="E1042" s="2" t="s">
        <v>29</v>
      </c>
      <c r="F1042" s="2" t="s">
        <v>19</v>
      </c>
      <c r="G1042">
        <v>82947</v>
      </c>
      <c r="H1042" s="1">
        <v>45413</v>
      </c>
      <c r="I1042">
        <v>20</v>
      </c>
      <c r="J1042">
        <v>3</v>
      </c>
      <c r="K1042">
        <v>8295</v>
      </c>
      <c r="L1042">
        <v>4147</v>
      </c>
      <c r="M1042">
        <v>87095</v>
      </c>
      <c r="N1042">
        <v>4147</v>
      </c>
      <c r="O1042">
        <v>95389</v>
      </c>
    </row>
    <row r="1043" spans="1:15" x14ac:dyDescent="0.35">
      <c r="A1043">
        <v>1042</v>
      </c>
      <c r="B1043" s="2" t="s">
        <v>23</v>
      </c>
      <c r="C1043" s="2" t="s">
        <v>11</v>
      </c>
      <c r="D1043">
        <v>30</v>
      </c>
      <c r="E1043" s="2" t="s">
        <v>12</v>
      </c>
      <c r="F1043" s="2" t="s">
        <v>21</v>
      </c>
      <c r="G1043">
        <v>73026</v>
      </c>
      <c r="H1043" s="1">
        <v>45345</v>
      </c>
      <c r="I1043">
        <v>8</v>
      </c>
      <c r="J1043">
        <v>5</v>
      </c>
      <c r="K1043">
        <v>7303</v>
      </c>
      <c r="L1043">
        <v>3651</v>
      </c>
      <c r="M1043">
        <v>76678</v>
      </c>
      <c r="N1043">
        <v>3651</v>
      </c>
      <c r="O1043">
        <v>83980</v>
      </c>
    </row>
    <row r="1044" spans="1:15" x14ac:dyDescent="0.35">
      <c r="A1044">
        <v>1043</v>
      </c>
      <c r="B1044" s="2" t="s">
        <v>10</v>
      </c>
      <c r="C1044" s="2" t="s">
        <v>15</v>
      </c>
      <c r="D1044">
        <v>52</v>
      </c>
      <c r="E1044" s="2" t="s">
        <v>24</v>
      </c>
      <c r="F1044" s="2" t="s">
        <v>25</v>
      </c>
      <c r="G1044">
        <v>97121</v>
      </c>
      <c r="H1044" s="1">
        <v>45061</v>
      </c>
      <c r="I1044">
        <v>13</v>
      </c>
      <c r="J1044">
        <v>5</v>
      </c>
      <c r="K1044">
        <v>9712</v>
      </c>
      <c r="L1044">
        <v>4856</v>
      </c>
      <c r="M1044">
        <v>101977</v>
      </c>
      <c r="N1044">
        <v>4856</v>
      </c>
      <c r="O1044">
        <v>111689</v>
      </c>
    </row>
    <row r="1045" spans="1:15" x14ac:dyDescent="0.35">
      <c r="A1045">
        <v>1044</v>
      </c>
      <c r="B1045" s="2" t="s">
        <v>27</v>
      </c>
      <c r="C1045" s="2" t="s">
        <v>15</v>
      </c>
      <c r="D1045">
        <v>34</v>
      </c>
      <c r="E1045" s="2" t="s">
        <v>12</v>
      </c>
      <c r="F1045" s="2" t="s">
        <v>13</v>
      </c>
      <c r="G1045">
        <v>73433</v>
      </c>
      <c r="H1045" s="1">
        <v>45213</v>
      </c>
      <c r="I1045">
        <v>13</v>
      </c>
      <c r="J1045">
        <v>4</v>
      </c>
      <c r="K1045">
        <v>7343</v>
      </c>
      <c r="L1045">
        <v>3672</v>
      </c>
      <c r="M1045">
        <v>77104</v>
      </c>
      <c r="N1045">
        <v>3672</v>
      </c>
      <c r="O1045">
        <v>84448</v>
      </c>
    </row>
    <row r="1046" spans="1:15" x14ac:dyDescent="0.35">
      <c r="A1046">
        <v>1045</v>
      </c>
      <c r="B1046" s="2" t="s">
        <v>26</v>
      </c>
      <c r="C1046" s="2" t="s">
        <v>11</v>
      </c>
      <c r="D1046">
        <v>33</v>
      </c>
      <c r="E1046" s="2" t="s">
        <v>12</v>
      </c>
      <c r="F1046" s="2" t="s">
        <v>13</v>
      </c>
      <c r="G1046">
        <v>92170</v>
      </c>
      <c r="H1046" s="1">
        <v>45479</v>
      </c>
      <c r="I1046">
        <v>12</v>
      </c>
      <c r="J1046">
        <v>3</v>
      </c>
      <c r="K1046">
        <v>9217</v>
      </c>
      <c r="L1046">
        <v>4608</v>
      </c>
      <c r="M1046">
        <v>96779</v>
      </c>
      <c r="N1046">
        <v>4608</v>
      </c>
      <c r="O1046">
        <v>105995</v>
      </c>
    </row>
    <row r="1047" spans="1:15" x14ac:dyDescent="0.35">
      <c r="A1047">
        <v>1046</v>
      </c>
      <c r="B1047" s="2" t="s">
        <v>23</v>
      </c>
      <c r="C1047" s="2" t="s">
        <v>11</v>
      </c>
      <c r="D1047">
        <v>43</v>
      </c>
      <c r="E1047" s="2" t="s">
        <v>29</v>
      </c>
      <c r="F1047" s="2" t="s">
        <v>13</v>
      </c>
      <c r="G1047">
        <v>91850</v>
      </c>
      <c r="H1047" s="1">
        <v>45534</v>
      </c>
      <c r="I1047">
        <v>12</v>
      </c>
      <c r="J1047">
        <v>2</v>
      </c>
      <c r="K1047">
        <v>9185</v>
      </c>
      <c r="L1047">
        <v>4592</v>
      </c>
      <c r="M1047">
        <v>96443</v>
      </c>
      <c r="N1047">
        <v>4592</v>
      </c>
      <c r="O1047">
        <v>105627</v>
      </c>
    </row>
    <row r="1048" spans="1:15" x14ac:dyDescent="0.35">
      <c r="A1048">
        <v>1047</v>
      </c>
      <c r="B1048" s="2" t="s">
        <v>10</v>
      </c>
      <c r="C1048" s="2" t="s">
        <v>11</v>
      </c>
      <c r="D1048">
        <v>57</v>
      </c>
      <c r="E1048" s="2" t="s">
        <v>16</v>
      </c>
      <c r="F1048" s="2" t="s">
        <v>25</v>
      </c>
      <c r="G1048">
        <v>34700</v>
      </c>
      <c r="H1048" s="1">
        <v>44759</v>
      </c>
      <c r="I1048">
        <v>15</v>
      </c>
      <c r="J1048">
        <v>1</v>
      </c>
      <c r="K1048">
        <v>3470</v>
      </c>
      <c r="L1048">
        <v>1735</v>
      </c>
      <c r="M1048">
        <v>36435</v>
      </c>
      <c r="N1048">
        <v>1735</v>
      </c>
      <c r="O1048">
        <v>39905</v>
      </c>
    </row>
    <row r="1049" spans="1:15" x14ac:dyDescent="0.35">
      <c r="A1049">
        <v>1048</v>
      </c>
      <c r="B1049" s="2" t="s">
        <v>18</v>
      </c>
      <c r="C1049" s="2" t="s">
        <v>11</v>
      </c>
      <c r="D1049">
        <v>34</v>
      </c>
      <c r="E1049" s="2" t="s">
        <v>28</v>
      </c>
      <c r="F1049" s="2" t="s">
        <v>25</v>
      </c>
      <c r="G1049">
        <v>38768</v>
      </c>
      <c r="H1049" s="1">
        <v>44788</v>
      </c>
      <c r="I1049">
        <v>16</v>
      </c>
      <c r="J1049">
        <v>2</v>
      </c>
      <c r="K1049">
        <v>3877</v>
      </c>
      <c r="L1049">
        <v>1938</v>
      </c>
      <c r="M1049">
        <v>40707</v>
      </c>
      <c r="N1049">
        <v>1938</v>
      </c>
      <c r="O1049">
        <v>44583</v>
      </c>
    </row>
    <row r="1050" spans="1:15" x14ac:dyDescent="0.35">
      <c r="A1050">
        <v>1049</v>
      </c>
      <c r="B1050" s="2" t="s">
        <v>10</v>
      </c>
      <c r="C1050" s="2" t="s">
        <v>15</v>
      </c>
      <c r="D1050">
        <v>34</v>
      </c>
      <c r="E1050" s="2" t="s">
        <v>12</v>
      </c>
      <c r="F1050" s="2" t="s">
        <v>19</v>
      </c>
      <c r="G1050">
        <v>99495</v>
      </c>
      <c r="H1050" s="1">
        <v>45280</v>
      </c>
      <c r="I1050">
        <v>13</v>
      </c>
      <c r="J1050">
        <v>1</v>
      </c>
      <c r="K1050">
        <v>9950</v>
      </c>
      <c r="L1050">
        <v>4975</v>
      </c>
      <c r="M1050">
        <v>104470</v>
      </c>
      <c r="N1050">
        <v>4975</v>
      </c>
      <c r="O1050">
        <v>114420</v>
      </c>
    </row>
    <row r="1051" spans="1:15" x14ac:dyDescent="0.35">
      <c r="A1051">
        <v>1050</v>
      </c>
      <c r="B1051" s="2" t="s">
        <v>31</v>
      </c>
      <c r="C1051" s="2" t="s">
        <v>15</v>
      </c>
      <c r="D1051">
        <v>37</v>
      </c>
      <c r="E1051" s="2" t="s">
        <v>12</v>
      </c>
      <c r="F1051" s="2" t="s">
        <v>25</v>
      </c>
      <c r="G1051">
        <v>30187</v>
      </c>
      <c r="H1051" s="1">
        <v>45004</v>
      </c>
      <c r="I1051">
        <v>10</v>
      </c>
      <c r="J1051">
        <v>5</v>
      </c>
      <c r="K1051">
        <v>3019</v>
      </c>
      <c r="L1051">
        <v>1509</v>
      </c>
      <c r="M1051">
        <v>31697</v>
      </c>
      <c r="N1051">
        <v>1509</v>
      </c>
      <c r="O1051">
        <v>34715</v>
      </c>
    </row>
    <row r="1052" spans="1:15" x14ac:dyDescent="0.35">
      <c r="A1052">
        <v>1051</v>
      </c>
      <c r="B1052" s="2" t="s">
        <v>27</v>
      </c>
      <c r="C1052" s="2" t="s">
        <v>15</v>
      </c>
      <c r="D1052">
        <v>25</v>
      </c>
      <c r="E1052" s="2" t="s">
        <v>16</v>
      </c>
      <c r="F1052" s="2" t="s">
        <v>21</v>
      </c>
      <c r="G1052">
        <v>56831</v>
      </c>
      <c r="H1052" s="1">
        <v>44792</v>
      </c>
      <c r="I1052">
        <v>5</v>
      </c>
      <c r="J1052">
        <v>5</v>
      </c>
      <c r="K1052">
        <v>5683</v>
      </c>
      <c r="L1052">
        <v>2842</v>
      </c>
      <c r="M1052">
        <v>59672</v>
      </c>
      <c r="N1052">
        <v>0</v>
      </c>
      <c r="O1052">
        <v>62514</v>
      </c>
    </row>
    <row r="1053" spans="1:15" x14ac:dyDescent="0.35">
      <c r="A1053">
        <v>1052</v>
      </c>
      <c r="B1053" s="2" t="s">
        <v>30</v>
      </c>
      <c r="C1053" s="2" t="s">
        <v>11</v>
      </c>
      <c r="D1053">
        <v>34</v>
      </c>
      <c r="E1053" s="2" t="s">
        <v>29</v>
      </c>
      <c r="F1053" s="2" t="s">
        <v>17</v>
      </c>
      <c r="G1053">
        <v>69425</v>
      </c>
      <c r="H1053" s="1">
        <v>45397</v>
      </c>
      <c r="I1053">
        <v>8</v>
      </c>
      <c r="J1053">
        <v>1</v>
      </c>
      <c r="K1053">
        <v>6942</v>
      </c>
      <c r="L1053">
        <v>3471</v>
      </c>
      <c r="M1053">
        <v>72896</v>
      </c>
      <c r="N1053">
        <v>3471</v>
      </c>
      <c r="O1053">
        <v>79838</v>
      </c>
    </row>
    <row r="1054" spans="1:15" x14ac:dyDescent="0.35">
      <c r="A1054">
        <v>1053</v>
      </c>
      <c r="B1054" s="2" t="s">
        <v>27</v>
      </c>
      <c r="C1054" s="2" t="s">
        <v>15</v>
      </c>
      <c r="D1054">
        <v>51</v>
      </c>
      <c r="E1054" s="2" t="s">
        <v>28</v>
      </c>
      <c r="F1054" s="2" t="s">
        <v>25</v>
      </c>
      <c r="G1054">
        <v>46020</v>
      </c>
      <c r="H1054" s="1">
        <v>45348</v>
      </c>
      <c r="I1054">
        <v>13</v>
      </c>
      <c r="J1054">
        <v>5</v>
      </c>
      <c r="K1054">
        <v>4602</v>
      </c>
      <c r="L1054">
        <v>2301</v>
      </c>
      <c r="M1054">
        <v>48321</v>
      </c>
      <c r="N1054">
        <v>2301</v>
      </c>
      <c r="O1054">
        <v>52923</v>
      </c>
    </row>
    <row r="1055" spans="1:15" x14ac:dyDescent="0.35">
      <c r="A1055">
        <v>1054</v>
      </c>
      <c r="B1055" s="2" t="s">
        <v>31</v>
      </c>
      <c r="C1055" s="2" t="s">
        <v>15</v>
      </c>
      <c r="D1055">
        <v>25</v>
      </c>
      <c r="E1055" s="2" t="s">
        <v>28</v>
      </c>
      <c r="F1055" s="2" t="s">
        <v>17</v>
      </c>
      <c r="G1055">
        <v>37130</v>
      </c>
      <c r="H1055" s="1">
        <v>45382</v>
      </c>
      <c r="I1055">
        <v>8</v>
      </c>
      <c r="J1055">
        <v>4</v>
      </c>
      <c r="K1055">
        <v>3713</v>
      </c>
      <c r="L1055">
        <v>1856</v>
      </c>
      <c r="M1055">
        <v>38987</v>
      </c>
      <c r="N1055">
        <v>1856</v>
      </c>
      <c r="O1055">
        <v>42699</v>
      </c>
    </row>
    <row r="1056" spans="1:15" x14ac:dyDescent="0.35">
      <c r="A1056">
        <v>1055</v>
      </c>
      <c r="B1056" s="2" t="s">
        <v>22</v>
      </c>
      <c r="C1056" s="2" t="s">
        <v>11</v>
      </c>
      <c r="D1056">
        <v>47</v>
      </c>
      <c r="E1056" s="2" t="s">
        <v>29</v>
      </c>
      <c r="F1056" s="2" t="s">
        <v>19</v>
      </c>
      <c r="G1056">
        <v>70895</v>
      </c>
      <c r="H1056" s="1">
        <v>45318</v>
      </c>
      <c r="I1056">
        <v>19</v>
      </c>
      <c r="J1056">
        <v>5</v>
      </c>
      <c r="K1056">
        <v>7090</v>
      </c>
      <c r="L1056">
        <v>3545</v>
      </c>
      <c r="M1056">
        <v>74440</v>
      </c>
      <c r="N1056">
        <v>3545</v>
      </c>
      <c r="O1056">
        <v>81530</v>
      </c>
    </row>
    <row r="1057" spans="1:15" x14ac:dyDescent="0.35">
      <c r="A1057">
        <v>1056</v>
      </c>
      <c r="B1057" s="2" t="s">
        <v>18</v>
      </c>
      <c r="C1057" s="2" t="s">
        <v>15</v>
      </c>
      <c r="D1057">
        <v>53</v>
      </c>
      <c r="E1057" s="2" t="s">
        <v>24</v>
      </c>
      <c r="F1057" s="2" t="s">
        <v>25</v>
      </c>
      <c r="G1057">
        <v>34171</v>
      </c>
      <c r="H1057" s="1">
        <v>44687</v>
      </c>
      <c r="I1057">
        <v>3</v>
      </c>
      <c r="J1057">
        <v>5</v>
      </c>
      <c r="K1057">
        <v>3417</v>
      </c>
      <c r="L1057">
        <v>1709</v>
      </c>
      <c r="M1057">
        <v>35879</v>
      </c>
      <c r="N1057">
        <v>0</v>
      </c>
      <c r="O1057">
        <v>37588</v>
      </c>
    </row>
    <row r="1058" spans="1:15" x14ac:dyDescent="0.35">
      <c r="A1058">
        <v>1057</v>
      </c>
      <c r="B1058" s="2" t="s">
        <v>18</v>
      </c>
      <c r="C1058" s="2" t="s">
        <v>15</v>
      </c>
      <c r="D1058">
        <v>35</v>
      </c>
      <c r="E1058" s="2" t="s">
        <v>29</v>
      </c>
      <c r="F1058" s="2" t="s">
        <v>17</v>
      </c>
      <c r="G1058">
        <v>30304</v>
      </c>
      <c r="H1058" s="1">
        <v>45001</v>
      </c>
      <c r="I1058">
        <v>15</v>
      </c>
      <c r="J1058">
        <v>3</v>
      </c>
      <c r="K1058">
        <v>3030</v>
      </c>
      <c r="L1058">
        <v>1515</v>
      </c>
      <c r="M1058">
        <v>31819</v>
      </c>
      <c r="N1058">
        <v>1515</v>
      </c>
      <c r="O1058">
        <v>34849</v>
      </c>
    </row>
    <row r="1059" spans="1:15" x14ac:dyDescent="0.35">
      <c r="A1059">
        <v>1058</v>
      </c>
      <c r="B1059" s="2" t="s">
        <v>27</v>
      </c>
      <c r="C1059" s="2" t="s">
        <v>15</v>
      </c>
      <c r="D1059">
        <v>56</v>
      </c>
      <c r="E1059" s="2" t="s">
        <v>24</v>
      </c>
      <c r="F1059" s="2" t="s">
        <v>25</v>
      </c>
      <c r="G1059">
        <v>70743</v>
      </c>
      <c r="H1059" s="1">
        <v>44591</v>
      </c>
      <c r="I1059">
        <v>19</v>
      </c>
      <c r="J1059">
        <v>3</v>
      </c>
      <c r="K1059">
        <v>7074</v>
      </c>
      <c r="L1059">
        <v>3537</v>
      </c>
      <c r="M1059">
        <v>74280</v>
      </c>
      <c r="N1059">
        <v>3537</v>
      </c>
      <c r="O1059">
        <v>81354</v>
      </c>
    </row>
    <row r="1060" spans="1:15" x14ac:dyDescent="0.35">
      <c r="A1060">
        <v>1059</v>
      </c>
      <c r="B1060" s="2" t="s">
        <v>10</v>
      </c>
      <c r="C1060" s="2" t="s">
        <v>11</v>
      </c>
      <c r="D1060">
        <v>58</v>
      </c>
      <c r="E1060" s="2" t="s">
        <v>16</v>
      </c>
      <c r="F1060" s="2" t="s">
        <v>25</v>
      </c>
      <c r="G1060">
        <v>26711</v>
      </c>
      <c r="H1060" s="1">
        <v>44833</v>
      </c>
      <c r="I1060">
        <v>3</v>
      </c>
      <c r="J1060">
        <v>4</v>
      </c>
      <c r="K1060">
        <v>2671</v>
      </c>
      <c r="L1060">
        <v>1336</v>
      </c>
      <c r="M1060">
        <v>28046</v>
      </c>
      <c r="N1060">
        <v>0</v>
      </c>
      <c r="O1060">
        <v>29382</v>
      </c>
    </row>
    <row r="1061" spans="1:15" x14ac:dyDescent="0.35">
      <c r="A1061">
        <v>1060</v>
      </c>
      <c r="B1061" s="2" t="s">
        <v>18</v>
      </c>
      <c r="C1061" s="2" t="s">
        <v>11</v>
      </c>
      <c r="D1061">
        <v>37</v>
      </c>
      <c r="E1061" s="2" t="s">
        <v>29</v>
      </c>
      <c r="F1061" s="2" t="s">
        <v>17</v>
      </c>
      <c r="G1061">
        <v>69656</v>
      </c>
      <c r="H1061" s="1">
        <v>44767</v>
      </c>
      <c r="I1061">
        <v>10</v>
      </c>
      <c r="J1061">
        <v>4</v>
      </c>
      <c r="K1061">
        <v>6966</v>
      </c>
      <c r="L1061">
        <v>3483</v>
      </c>
      <c r="M1061">
        <v>73139</v>
      </c>
      <c r="N1061">
        <v>3483</v>
      </c>
      <c r="O1061">
        <v>80105</v>
      </c>
    </row>
    <row r="1062" spans="1:15" x14ac:dyDescent="0.35">
      <c r="A1062">
        <v>1061</v>
      </c>
      <c r="B1062" s="2" t="s">
        <v>14</v>
      </c>
      <c r="C1062" s="2" t="s">
        <v>15</v>
      </c>
      <c r="D1062">
        <v>37</v>
      </c>
      <c r="E1062" s="2" t="s">
        <v>16</v>
      </c>
      <c r="F1062" s="2" t="s">
        <v>13</v>
      </c>
      <c r="G1062">
        <v>80078</v>
      </c>
      <c r="H1062" s="1">
        <v>45218</v>
      </c>
      <c r="I1062">
        <v>5</v>
      </c>
      <c r="J1062">
        <v>1</v>
      </c>
      <c r="K1062">
        <v>8008</v>
      </c>
      <c r="L1062">
        <v>4004</v>
      </c>
      <c r="M1062">
        <v>84082</v>
      </c>
      <c r="N1062">
        <v>0</v>
      </c>
      <c r="O1062">
        <v>88086</v>
      </c>
    </row>
    <row r="1063" spans="1:15" x14ac:dyDescent="0.35">
      <c r="A1063">
        <v>1062</v>
      </c>
      <c r="B1063" s="2" t="s">
        <v>26</v>
      </c>
      <c r="C1063" s="2" t="s">
        <v>15</v>
      </c>
      <c r="D1063">
        <v>34</v>
      </c>
      <c r="E1063" s="2" t="s">
        <v>28</v>
      </c>
      <c r="F1063" s="2" t="s">
        <v>25</v>
      </c>
      <c r="G1063">
        <v>73717</v>
      </c>
      <c r="H1063" s="1">
        <v>45101</v>
      </c>
      <c r="I1063">
        <v>7</v>
      </c>
      <c r="J1063">
        <v>4</v>
      </c>
      <c r="K1063">
        <v>7372</v>
      </c>
      <c r="L1063">
        <v>3686</v>
      </c>
      <c r="M1063">
        <v>77403</v>
      </c>
      <c r="N1063">
        <v>3686</v>
      </c>
      <c r="O1063">
        <v>84775</v>
      </c>
    </row>
    <row r="1064" spans="1:15" x14ac:dyDescent="0.35">
      <c r="A1064">
        <v>1063</v>
      </c>
      <c r="B1064" s="2" t="s">
        <v>22</v>
      </c>
      <c r="C1064" s="2" t="s">
        <v>11</v>
      </c>
      <c r="D1064">
        <v>47</v>
      </c>
      <c r="E1064" s="2" t="s">
        <v>12</v>
      </c>
      <c r="F1064" s="2" t="s">
        <v>21</v>
      </c>
      <c r="G1064">
        <v>56155</v>
      </c>
      <c r="H1064" s="1">
        <v>44873</v>
      </c>
      <c r="I1064">
        <v>1</v>
      </c>
      <c r="J1064">
        <v>4</v>
      </c>
      <c r="K1064">
        <v>5616</v>
      </c>
      <c r="L1064">
        <v>2808</v>
      </c>
      <c r="M1064">
        <v>58963</v>
      </c>
      <c r="N1064">
        <v>0</v>
      </c>
      <c r="O1064">
        <v>61771</v>
      </c>
    </row>
    <row r="1065" spans="1:15" x14ac:dyDescent="0.35">
      <c r="A1065">
        <v>1064</v>
      </c>
      <c r="B1065" s="2" t="s">
        <v>18</v>
      </c>
      <c r="C1065" s="2" t="s">
        <v>11</v>
      </c>
      <c r="D1065">
        <v>51</v>
      </c>
      <c r="E1065" s="2" t="s">
        <v>12</v>
      </c>
      <c r="F1065" s="2" t="s">
        <v>17</v>
      </c>
      <c r="G1065">
        <v>29535</v>
      </c>
      <c r="H1065" s="1">
        <v>44701</v>
      </c>
      <c r="I1065">
        <v>11</v>
      </c>
      <c r="J1065">
        <v>3</v>
      </c>
      <c r="K1065">
        <v>2954</v>
      </c>
      <c r="L1065">
        <v>1477</v>
      </c>
      <c r="M1065">
        <v>31012</v>
      </c>
      <c r="N1065">
        <v>1477</v>
      </c>
      <c r="O1065">
        <v>33966</v>
      </c>
    </row>
    <row r="1066" spans="1:15" x14ac:dyDescent="0.35">
      <c r="A1066">
        <v>1065</v>
      </c>
      <c r="B1066" s="2" t="s">
        <v>14</v>
      </c>
      <c r="C1066" s="2" t="s">
        <v>15</v>
      </c>
      <c r="D1066">
        <v>56</v>
      </c>
      <c r="E1066" s="2" t="s">
        <v>12</v>
      </c>
      <c r="F1066" s="2" t="s">
        <v>21</v>
      </c>
      <c r="G1066">
        <v>39311</v>
      </c>
      <c r="H1066" s="1">
        <v>45206</v>
      </c>
      <c r="I1066">
        <v>8</v>
      </c>
      <c r="J1066">
        <v>5</v>
      </c>
      <c r="K1066">
        <v>3931</v>
      </c>
      <c r="L1066">
        <v>1966</v>
      </c>
      <c r="M1066">
        <v>41276</v>
      </c>
      <c r="N1066">
        <v>1966</v>
      </c>
      <c r="O1066">
        <v>45208</v>
      </c>
    </row>
    <row r="1067" spans="1:15" x14ac:dyDescent="0.35">
      <c r="A1067">
        <v>1066</v>
      </c>
      <c r="B1067" s="2" t="s">
        <v>14</v>
      </c>
      <c r="C1067" s="2" t="s">
        <v>15</v>
      </c>
      <c r="D1067">
        <v>42</v>
      </c>
      <c r="E1067" s="2" t="s">
        <v>12</v>
      </c>
      <c r="F1067" s="2" t="s">
        <v>19</v>
      </c>
      <c r="G1067">
        <v>85334</v>
      </c>
      <c r="H1067" s="1">
        <v>44814</v>
      </c>
      <c r="I1067">
        <v>5</v>
      </c>
      <c r="J1067">
        <v>2</v>
      </c>
      <c r="K1067">
        <v>8533</v>
      </c>
      <c r="L1067">
        <v>4267</v>
      </c>
      <c r="M1067">
        <v>89600</v>
      </c>
      <c r="N1067">
        <v>0</v>
      </c>
      <c r="O1067">
        <v>93867</v>
      </c>
    </row>
    <row r="1068" spans="1:15" x14ac:dyDescent="0.35">
      <c r="A1068">
        <v>1067</v>
      </c>
      <c r="B1068" s="2" t="s">
        <v>27</v>
      </c>
      <c r="C1068" s="2" t="s">
        <v>11</v>
      </c>
      <c r="D1068">
        <v>40</v>
      </c>
      <c r="E1068" s="2" t="s">
        <v>24</v>
      </c>
      <c r="F1068" s="2" t="s">
        <v>17</v>
      </c>
      <c r="G1068">
        <v>80016</v>
      </c>
      <c r="H1068" s="1">
        <v>44909</v>
      </c>
      <c r="I1068">
        <v>6</v>
      </c>
      <c r="J1068">
        <v>5</v>
      </c>
      <c r="K1068">
        <v>8002</v>
      </c>
      <c r="L1068">
        <v>4001</v>
      </c>
      <c r="M1068">
        <v>84017</v>
      </c>
      <c r="N1068">
        <v>4001</v>
      </c>
      <c r="O1068">
        <v>92019</v>
      </c>
    </row>
    <row r="1069" spans="1:15" x14ac:dyDescent="0.35">
      <c r="A1069">
        <v>1068</v>
      </c>
      <c r="B1069" s="2" t="s">
        <v>30</v>
      </c>
      <c r="C1069" s="2" t="s">
        <v>15</v>
      </c>
      <c r="D1069">
        <v>36</v>
      </c>
      <c r="E1069" s="2" t="s">
        <v>29</v>
      </c>
      <c r="F1069" s="2" t="s">
        <v>25</v>
      </c>
      <c r="G1069">
        <v>24818</v>
      </c>
      <c r="H1069" s="1">
        <v>44632</v>
      </c>
      <c r="I1069">
        <v>10</v>
      </c>
      <c r="J1069">
        <v>2</v>
      </c>
      <c r="K1069">
        <v>2482</v>
      </c>
      <c r="L1069">
        <v>1241</v>
      </c>
      <c r="M1069">
        <v>26059</v>
      </c>
      <c r="N1069">
        <v>1241</v>
      </c>
      <c r="O1069">
        <v>28541</v>
      </c>
    </row>
    <row r="1070" spans="1:15" x14ac:dyDescent="0.35">
      <c r="A1070">
        <v>1069</v>
      </c>
      <c r="B1070" s="2" t="s">
        <v>20</v>
      </c>
      <c r="C1070" s="2" t="s">
        <v>11</v>
      </c>
      <c r="D1070">
        <v>31</v>
      </c>
      <c r="E1070" s="2" t="s">
        <v>28</v>
      </c>
      <c r="F1070" s="2" t="s">
        <v>17</v>
      </c>
      <c r="G1070">
        <v>37758</v>
      </c>
      <c r="H1070" s="1">
        <v>45423</v>
      </c>
      <c r="I1070">
        <v>18</v>
      </c>
      <c r="J1070">
        <v>4</v>
      </c>
      <c r="K1070">
        <v>3776</v>
      </c>
      <c r="L1070">
        <v>1888</v>
      </c>
      <c r="M1070">
        <v>39646</v>
      </c>
      <c r="N1070">
        <v>1888</v>
      </c>
      <c r="O1070">
        <v>43422</v>
      </c>
    </row>
    <row r="1071" spans="1:15" x14ac:dyDescent="0.35">
      <c r="A1071">
        <v>1070</v>
      </c>
      <c r="B1071" s="2" t="s">
        <v>30</v>
      </c>
      <c r="C1071" s="2" t="s">
        <v>15</v>
      </c>
      <c r="D1071">
        <v>29</v>
      </c>
      <c r="E1071" s="2" t="s">
        <v>24</v>
      </c>
      <c r="F1071" s="2" t="s">
        <v>13</v>
      </c>
      <c r="G1071">
        <v>53712</v>
      </c>
      <c r="H1071" s="1">
        <v>44948</v>
      </c>
      <c r="I1071">
        <v>17</v>
      </c>
      <c r="J1071">
        <v>4</v>
      </c>
      <c r="K1071">
        <v>5371</v>
      </c>
      <c r="L1071">
        <v>2686</v>
      </c>
      <c r="M1071">
        <v>56397</v>
      </c>
      <c r="N1071">
        <v>2686</v>
      </c>
      <c r="O1071">
        <v>61769</v>
      </c>
    </row>
    <row r="1072" spans="1:15" x14ac:dyDescent="0.35">
      <c r="A1072">
        <v>1071</v>
      </c>
      <c r="B1072" s="2" t="s">
        <v>20</v>
      </c>
      <c r="C1072" s="2" t="s">
        <v>11</v>
      </c>
      <c r="D1072">
        <v>38</v>
      </c>
      <c r="E1072" s="2" t="s">
        <v>29</v>
      </c>
      <c r="F1072" s="2" t="s">
        <v>13</v>
      </c>
      <c r="G1072">
        <v>46687</v>
      </c>
      <c r="H1072" s="1">
        <v>45472</v>
      </c>
      <c r="I1072">
        <v>18</v>
      </c>
      <c r="J1072">
        <v>4</v>
      </c>
      <c r="K1072">
        <v>4669</v>
      </c>
      <c r="L1072">
        <v>2334</v>
      </c>
      <c r="M1072">
        <v>49022</v>
      </c>
      <c r="N1072">
        <v>2334</v>
      </c>
      <c r="O1072">
        <v>53690</v>
      </c>
    </row>
    <row r="1073" spans="1:15" x14ac:dyDescent="0.35">
      <c r="A1073">
        <v>1072</v>
      </c>
      <c r="B1073" s="2" t="s">
        <v>22</v>
      </c>
      <c r="C1073" s="2" t="s">
        <v>11</v>
      </c>
      <c r="D1073">
        <v>22</v>
      </c>
      <c r="E1073" s="2" t="s">
        <v>16</v>
      </c>
      <c r="F1073" s="2" t="s">
        <v>13</v>
      </c>
      <c r="G1073">
        <v>92019</v>
      </c>
      <c r="H1073" s="1">
        <v>45088</v>
      </c>
      <c r="I1073">
        <v>15</v>
      </c>
      <c r="J1073">
        <v>3</v>
      </c>
      <c r="K1073">
        <v>9202</v>
      </c>
      <c r="L1073">
        <v>4601</v>
      </c>
      <c r="M1073">
        <v>96620</v>
      </c>
      <c r="N1073">
        <v>4601</v>
      </c>
      <c r="O1073">
        <v>105822</v>
      </c>
    </row>
    <row r="1074" spans="1:15" x14ac:dyDescent="0.35">
      <c r="A1074">
        <v>1073</v>
      </c>
      <c r="B1074" s="2" t="s">
        <v>20</v>
      </c>
      <c r="C1074" s="2" t="s">
        <v>15</v>
      </c>
      <c r="D1074">
        <v>51</v>
      </c>
      <c r="E1074" s="2" t="s">
        <v>16</v>
      </c>
      <c r="F1074" s="2" t="s">
        <v>25</v>
      </c>
      <c r="G1074">
        <v>46698</v>
      </c>
      <c r="H1074" s="1">
        <v>45194</v>
      </c>
      <c r="I1074">
        <v>11</v>
      </c>
      <c r="J1074">
        <v>5</v>
      </c>
      <c r="K1074">
        <v>4670</v>
      </c>
      <c r="L1074">
        <v>2335</v>
      </c>
      <c r="M1074">
        <v>49033</v>
      </c>
      <c r="N1074">
        <v>2335</v>
      </c>
      <c r="O1074">
        <v>53703</v>
      </c>
    </row>
    <row r="1075" spans="1:15" x14ac:dyDescent="0.35">
      <c r="A1075">
        <v>1074</v>
      </c>
      <c r="B1075" s="2" t="s">
        <v>14</v>
      </c>
      <c r="C1075" s="2" t="s">
        <v>11</v>
      </c>
      <c r="D1075">
        <v>28</v>
      </c>
      <c r="E1075" s="2" t="s">
        <v>28</v>
      </c>
      <c r="F1075" s="2" t="s">
        <v>13</v>
      </c>
      <c r="G1075">
        <v>92637</v>
      </c>
      <c r="H1075" s="1">
        <v>44833</v>
      </c>
      <c r="I1075">
        <v>5</v>
      </c>
      <c r="J1075">
        <v>3</v>
      </c>
      <c r="K1075">
        <v>9264</v>
      </c>
      <c r="L1075">
        <v>4632</v>
      </c>
      <c r="M1075">
        <v>97269</v>
      </c>
      <c r="N1075">
        <v>0</v>
      </c>
      <c r="O1075">
        <v>101901</v>
      </c>
    </row>
    <row r="1076" spans="1:15" x14ac:dyDescent="0.35">
      <c r="A1076">
        <v>1075</v>
      </c>
      <c r="B1076" s="2" t="s">
        <v>20</v>
      </c>
      <c r="C1076" s="2" t="s">
        <v>11</v>
      </c>
      <c r="D1076">
        <v>38</v>
      </c>
      <c r="E1076" s="2" t="s">
        <v>29</v>
      </c>
      <c r="F1076" s="2" t="s">
        <v>17</v>
      </c>
      <c r="G1076">
        <v>49412</v>
      </c>
      <c r="H1076" s="1">
        <v>45116</v>
      </c>
      <c r="I1076">
        <v>4</v>
      </c>
      <c r="J1076">
        <v>3</v>
      </c>
      <c r="K1076">
        <v>4941</v>
      </c>
      <c r="L1076">
        <v>2471</v>
      </c>
      <c r="M1076">
        <v>51882</v>
      </c>
      <c r="N1076">
        <v>0</v>
      </c>
      <c r="O1076">
        <v>54353</v>
      </c>
    </row>
    <row r="1077" spans="1:15" x14ac:dyDescent="0.35">
      <c r="A1077">
        <v>1076</v>
      </c>
      <c r="B1077" s="2" t="s">
        <v>20</v>
      </c>
      <c r="C1077" s="2" t="s">
        <v>11</v>
      </c>
      <c r="D1077">
        <v>40</v>
      </c>
      <c r="E1077" s="2" t="s">
        <v>16</v>
      </c>
      <c r="F1077" s="2" t="s">
        <v>21</v>
      </c>
      <c r="G1077">
        <v>84198</v>
      </c>
      <c r="H1077" s="1">
        <v>45159</v>
      </c>
      <c r="I1077">
        <v>9</v>
      </c>
      <c r="J1077">
        <v>5</v>
      </c>
      <c r="K1077">
        <v>8420</v>
      </c>
      <c r="L1077">
        <v>4210</v>
      </c>
      <c r="M1077">
        <v>88408</v>
      </c>
      <c r="N1077">
        <v>4210</v>
      </c>
      <c r="O1077">
        <v>96828</v>
      </c>
    </row>
    <row r="1078" spans="1:15" x14ac:dyDescent="0.35">
      <c r="A1078">
        <v>1077</v>
      </c>
      <c r="B1078" s="2" t="s">
        <v>30</v>
      </c>
      <c r="C1078" s="2" t="s">
        <v>11</v>
      </c>
      <c r="D1078">
        <v>33</v>
      </c>
      <c r="E1078" s="2" t="s">
        <v>16</v>
      </c>
      <c r="F1078" s="2" t="s">
        <v>13</v>
      </c>
      <c r="G1078">
        <v>38658</v>
      </c>
      <c r="H1078" s="1">
        <v>44982</v>
      </c>
      <c r="I1078">
        <v>9</v>
      </c>
      <c r="J1078">
        <v>3</v>
      </c>
      <c r="K1078">
        <v>3866</v>
      </c>
      <c r="L1078">
        <v>1933</v>
      </c>
      <c r="M1078">
        <v>40591</v>
      </c>
      <c r="N1078">
        <v>1933</v>
      </c>
      <c r="O1078">
        <v>44457</v>
      </c>
    </row>
    <row r="1079" spans="1:15" x14ac:dyDescent="0.35">
      <c r="A1079">
        <v>1078</v>
      </c>
      <c r="B1079" s="2" t="s">
        <v>14</v>
      </c>
      <c r="C1079" s="2" t="s">
        <v>15</v>
      </c>
      <c r="D1079">
        <v>41</v>
      </c>
      <c r="E1079" s="2" t="s">
        <v>16</v>
      </c>
      <c r="F1079" s="2" t="s">
        <v>25</v>
      </c>
      <c r="G1079">
        <v>24780</v>
      </c>
      <c r="H1079" s="1">
        <v>44958</v>
      </c>
      <c r="I1079">
        <v>9</v>
      </c>
      <c r="J1079">
        <v>4</v>
      </c>
      <c r="K1079">
        <v>2478</v>
      </c>
      <c r="L1079">
        <v>1239</v>
      </c>
      <c r="M1079">
        <v>26019</v>
      </c>
      <c r="N1079">
        <v>1239</v>
      </c>
      <c r="O1079">
        <v>28497</v>
      </c>
    </row>
    <row r="1080" spans="1:15" x14ac:dyDescent="0.35">
      <c r="A1080">
        <v>1079</v>
      </c>
      <c r="B1080" s="2" t="s">
        <v>26</v>
      </c>
      <c r="C1080" s="2" t="s">
        <v>11</v>
      </c>
      <c r="D1080">
        <v>22</v>
      </c>
      <c r="E1080" s="2" t="s">
        <v>16</v>
      </c>
      <c r="F1080" s="2" t="s">
        <v>19</v>
      </c>
      <c r="G1080">
        <v>93618</v>
      </c>
      <c r="H1080" s="1">
        <v>45380</v>
      </c>
      <c r="I1080">
        <v>8</v>
      </c>
      <c r="J1080">
        <v>2</v>
      </c>
      <c r="K1080">
        <v>9362</v>
      </c>
      <c r="L1080">
        <v>4681</v>
      </c>
      <c r="M1080">
        <v>98299</v>
      </c>
      <c r="N1080">
        <v>4681</v>
      </c>
      <c r="O1080">
        <v>107661</v>
      </c>
    </row>
    <row r="1081" spans="1:15" x14ac:dyDescent="0.35">
      <c r="A1081">
        <v>1080</v>
      </c>
      <c r="B1081" s="2" t="s">
        <v>30</v>
      </c>
      <c r="C1081" s="2" t="s">
        <v>15</v>
      </c>
      <c r="D1081">
        <v>27</v>
      </c>
      <c r="E1081" s="2" t="s">
        <v>12</v>
      </c>
      <c r="F1081" s="2" t="s">
        <v>25</v>
      </c>
      <c r="G1081">
        <v>49794</v>
      </c>
      <c r="H1081" s="1">
        <v>45036</v>
      </c>
      <c r="I1081">
        <v>15</v>
      </c>
      <c r="J1081">
        <v>1</v>
      </c>
      <c r="K1081">
        <v>4979</v>
      </c>
      <c r="L1081">
        <v>2490</v>
      </c>
      <c r="M1081">
        <v>52283</v>
      </c>
      <c r="N1081">
        <v>2490</v>
      </c>
      <c r="O1081">
        <v>57263</v>
      </c>
    </row>
    <row r="1082" spans="1:15" x14ac:dyDescent="0.35">
      <c r="A1082">
        <v>1081</v>
      </c>
      <c r="B1082" s="2" t="s">
        <v>10</v>
      </c>
      <c r="C1082" s="2" t="s">
        <v>15</v>
      </c>
      <c r="D1082">
        <v>36</v>
      </c>
      <c r="E1082" s="2" t="s">
        <v>12</v>
      </c>
      <c r="F1082" s="2" t="s">
        <v>21</v>
      </c>
      <c r="G1082">
        <v>70811</v>
      </c>
      <c r="H1082" s="1">
        <v>45245</v>
      </c>
      <c r="I1082">
        <v>1</v>
      </c>
      <c r="J1082">
        <v>2</v>
      </c>
      <c r="K1082">
        <v>7081</v>
      </c>
      <c r="L1082">
        <v>3541</v>
      </c>
      <c r="M1082">
        <v>74351</v>
      </c>
      <c r="N1082">
        <v>0</v>
      </c>
      <c r="O1082">
        <v>77892</v>
      </c>
    </row>
    <row r="1083" spans="1:15" x14ac:dyDescent="0.35">
      <c r="A1083">
        <v>1082</v>
      </c>
      <c r="B1083" s="2" t="s">
        <v>18</v>
      </c>
      <c r="C1083" s="2" t="s">
        <v>11</v>
      </c>
      <c r="D1083">
        <v>59</v>
      </c>
      <c r="E1083" s="2" t="s">
        <v>16</v>
      </c>
      <c r="F1083" s="2" t="s">
        <v>21</v>
      </c>
      <c r="G1083">
        <v>61410</v>
      </c>
      <c r="H1083" s="1">
        <v>44971</v>
      </c>
      <c r="I1083">
        <v>16</v>
      </c>
      <c r="J1083">
        <v>2</v>
      </c>
      <c r="K1083">
        <v>6141</v>
      </c>
      <c r="L1083">
        <v>3070</v>
      </c>
      <c r="M1083">
        <v>64481</v>
      </c>
      <c r="N1083">
        <v>3070</v>
      </c>
      <c r="O1083">
        <v>70621</v>
      </c>
    </row>
    <row r="1084" spans="1:15" x14ac:dyDescent="0.35">
      <c r="A1084">
        <v>1083</v>
      </c>
      <c r="B1084" s="2" t="s">
        <v>22</v>
      </c>
      <c r="C1084" s="2" t="s">
        <v>11</v>
      </c>
      <c r="D1084">
        <v>23</v>
      </c>
      <c r="E1084" s="2" t="s">
        <v>16</v>
      </c>
      <c r="F1084" s="2" t="s">
        <v>25</v>
      </c>
      <c r="G1084">
        <v>65516</v>
      </c>
      <c r="H1084" s="1">
        <v>44890</v>
      </c>
      <c r="I1084">
        <v>4</v>
      </c>
      <c r="J1084">
        <v>5</v>
      </c>
      <c r="K1084">
        <v>6552</v>
      </c>
      <c r="L1084">
        <v>3276</v>
      </c>
      <c r="M1084">
        <v>68792</v>
      </c>
      <c r="N1084">
        <v>0</v>
      </c>
      <c r="O1084">
        <v>72068</v>
      </c>
    </row>
    <row r="1085" spans="1:15" x14ac:dyDescent="0.35">
      <c r="A1085">
        <v>1084</v>
      </c>
      <c r="B1085" s="2" t="s">
        <v>26</v>
      </c>
      <c r="C1085" s="2" t="s">
        <v>15</v>
      </c>
      <c r="D1085">
        <v>53</v>
      </c>
      <c r="E1085" s="2" t="s">
        <v>24</v>
      </c>
      <c r="F1085" s="2" t="s">
        <v>13</v>
      </c>
      <c r="G1085">
        <v>99597</v>
      </c>
      <c r="H1085" s="1">
        <v>44888</v>
      </c>
      <c r="I1085">
        <v>8</v>
      </c>
      <c r="J1085">
        <v>4</v>
      </c>
      <c r="K1085">
        <v>9960</v>
      </c>
      <c r="L1085">
        <v>4980</v>
      </c>
      <c r="M1085">
        <v>104577</v>
      </c>
      <c r="N1085">
        <v>4980</v>
      </c>
      <c r="O1085">
        <v>114537</v>
      </c>
    </row>
    <row r="1086" spans="1:15" x14ac:dyDescent="0.35">
      <c r="A1086">
        <v>1085</v>
      </c>
      <c r="B1086" s="2" t="s">
        <v>18</v>
      </c>
      <c r="C1086" s="2" t="s">
        <v>11</v>
      </c>
      <c r="D1086">
        <v>58</v>
      </c>
      <c r="E1086" s="2" t="s">
        <v>16</v>
      </c>
      <c r="F1086" s="2" t="s">
        <v>19</v>
      </c>
      <c r="G1086">
        <v>24271</v>
      </c>
      <c r="H1086" s="1">
        <v>44863</v>
      </c>
      <c r="I1086">
        <v>7</v>
      </c>
      <c r="J1086">
        <v>1</v>
      </c>
      <c r="K1086">
        <v>2427</v>
      </c>
      <c r="L1086">
        <v>1214</v>
      </c>
      <c r="M1086">
        <v>25484</v>
      </c>
      <c r="N1086">
        <v>1214</v>
      </c>
      <c r="O1086">
        <v>27912</v>
      </c>
    </row>
    <row r="1087" spans="1:15" x14ac:dyDescent="0.35">
      <c r="A1087">
        <v>1086</v>
      </c>
      <c r="B1087" s="2" t="s">
        <v>20</v>
      </c>
      <c r="C1087" s="2" t="s">
        <v>15</v>
      </c>
      <c r="D1087">
        <v>55</v>
      </c>
      <c r="E1087" s="2" t="s">
        <v>12</v>
      </c>
      <c r="F1087" s="2" t="s">
        <v>25</v>
      </c>
      <c r="G1087">
        <v>77634</v>
      </c>
      <c r="H1087" s="1">
        <v>44632</v>
      </c>
      <c r="I1087">
        <v>7</v>
      </c>
      <c r="J1087">
        <v>2</v>
      </c>
      <c r="K1087">
        <v>7763</v>
      </c>
      <c r="L1087">
        <v>3882</v>
      </c>
      <c r="M1087">
        <v>81515</v>
      </c>
      <c r="N1087">
        <v>3882</v>
      </c>
      <c r="O1087">
        <v>89279</v>
      </c>
    </row>
    <row r="1088" spans="1:15" x14ac:dyDescent="0.35">
      <c r="A1088">
        <v>1087</v>
      </c>
      <c r="B1088" s="2" t="s">
        <v>27</v>
      </c>
      <c r="C1088" s="2" t="s">
        <v>11</v>
      </c>
      <c r="D1088">
        <v>32</v>
      </c>
      <c r="E1088" s="2" t="s">
        <v>16</v>
      </c>
      <c r="F1088" s="2" t="s">
        <v>25</v>
      </c>
      <c r="G1088">
        <v>31994</v>
      </c>
      <c r="H1088" s="1">
        <v>45309</v>
      </c>
      <c r="I1088">
        <v>5</v>
      </c>
      <c r="J1088">
        <v>1</v>
      </c>
      <c r="K1088">
        <v>3199</v>
      </c>
      <c r="L1088">
        <v>1600</v>
      </c>
      <c r="M1088">
        <v>33593</v>
      </c>
      <c r="N1088">
        <v>0</v>
      </c>
      <c r="O1088">
        <v>35193</v>
      </c>
    </row>
    <row r="1089" spans="1:15" x14ac:dyDescent="0.35">
      <c r="A1089">
        <v>1088</v>
      </c>
      <c r="B1089" s="2" t="s">
        <v>10</v>
      </c>
      <c r="C1089" s="2" t="s">
        <v>15</v>
      </c>
      <c r="D1089">
        <v>44</v>
      </c>
      <c r="E1089" s="2" t="s">
        <v>12</v>
      </c>
      <c r="F1089" s="2" t="s">
        <v>21</v>
      </c>
      <c r="G1089">
        <v>61592</v>
      </c>
      <c r="H1089" s="1">
        <v>45408</v>
      </c>
      <c r="I1089">
        <v>14</v>
      </c>
      <c r="J1089">
        <v>1</v>
      </c>
      <c r="K1089">
        <v>6159</v>
      </c>
      <c r="L1089">
        <v>3080</v>
      </c>
      <c r="M1089">
        <v>64671</v>
      </c>
      <c r="N1089">
        <v>3080</v>
      </c>
      <c r="O1089">
        <v>70831</v>
      </c>
    </row>
    <row r="1090" spans="1:15" x14ac:dyDescent="0.35">
      <c r="A1090">
        <v>1089</v>
      </c>
      <c r="B1090" s="2" t="s">
        <v>31</v>
      </c>
      <c r="C1090" s="2" t="s">
        <v>11</v>
      </c>
      <c r="D1090">
        <v>45</v>
      </c>
      <c r="E1090" s="2" t="s">
        <v>28</v>
      </c>
      <c r="F1090" s="2" t="s">
        <v>17</v>
      </c>
      <c r="G1090">
        <v>34397</v>
      </c>
      <c r="H1090" s="1">
        <v>45164</v>
      </c>
      <c r="I1090">
        <v>18</v>
      </c>
      <c r="J1090">
        <v>4</v>
      </c>
      <c r="K1090">
        <v>3440</v>
      </c>
      <c r="L1090">
        <v>1720</v>
      </c>
      <c r="M1090">
        <v>36117</v>
      </c>
      <c r="N1090">
        <v>1720</v>
      </c>
      <c r="O1090">
        <v>39557</v>
      </c>
    </row>
    <row r="1091" spans="1:15" x14ac:dyDescent="0.35">
      <c r="A1091">
        <v>1090</v>
      </c>
      <c r="B1091" s="2" t="s">
        <v>22</v>
      </c>
      <c r="C1091" s="2" t="s">
        <v>15</v>
      </c>
      <c r="D1091">
        <v>57</v>
      </c>
      <c r="E1091" s="2" t="s">
        <v>24</v>
      </c>
      <c r="F1091" s="2" t="s">
        <v>13</v>
      </c>
      <c r="G1091">
        <v>44667</v>
      </c>
      <c r="H1091" s="1">
        <v>44985</v>
      </c>
      <c r="I1091">
        <v>1</v>
      </c>
      <c r="J1091">
        <v>4</v>
      </c>
      <c r="K1091">
        <v>4467</v>
      </c>
      <c r="L1091">
        <v>2233</v>
      </c>
      <c r="M1091">
        <v>46901</v>
      </c>
      <c r="N1091">
        <v>0</v>
      </c>
      <c r="O1091">
        <v>49134</v>
      </c>
    </row>
    <row r="1092" spans="1:15" x14ac:dyDescent="0.35">
      <c r="A1092">
        <v>1091</v>
      </c>
      <c r="B1092" s="2" t="s">
        <v>23</v>
      </c>
      <c r="C1092" s="2" t="s">
        <v>15</v>
      </c>
      <c r="D1092">
        <v>31</v>
      </c>
      <c r="E1092" s="2" t="s">
        <v>12</v>
      </c>
      <c r="F1092" s="2" t="s">
        <v>21</v>
      </c>
      <c r="G1092">
        <v>31283</v>
      </c>
      <c r="H1092" s="1">
        <v>45287</v>
      </c>
      <c r="I1092">
        <v>7</v>
      </c>
      <c r="J1092">
        <v>4</v>
      </c>
      <c r="K1092">
        <v>3128</v>
      </c>
      <c r="L1092">
        <v>1564</v>
      </c>
      <c r="M1092">
        <v>32847</v>
      </c>
      <c r="N1092">
        <v>1564</v>
      </c>
      <c r="O1092">
        <v>35975</v>
      </c>
    </row>
    <row r="1093" spans="1:15" x14ac:dyDescent="0.35">
      <c r="A1093">
        <v>1092</v>
      </c>
      <c r="B1093" s="2" t="s">
        <v>26</v>
      </c>
      <c r="C1093" s="2" t="s">
        <v>15</v>
      </c>
      <c r="D1093">
        <v>57</v>
      </c>
      <c r="E1093" s="2" t="s">
        <v>28</v>
      </c>
      <c r="F1093" s="2" t="s">
        <v>19</v>
      </c>
      <c r="G1093">
        <v>34415</v>
      </c>
      <c r="H1093" s="1">
        <v>45059</v>
      </c>
      <c r="I1093">
        <v>1</v>
      </c>
      <c r="J1093">
        <v>3</v>
      </c>
      <c r="K1093">
        <v>3442</v>
      </c>
      <c r="L1093">
        <v>1721</v>
      </c>
      <c r="M1093">
        <v>36136</v>
      </c>
      <c r="N1093">
        <v>0</v>
      </c>
      <c r="O1093">
        <v>37857</v>
      </c>
    </row>
    <row r="1094" spans="1:15" x14ac:dyDescent="0.35">
      <c r="A1094">
        <v>1093</v>
      </c>
      <c r="B1094" s="2" t="s">
        <v>22</v>
      </c>
      <c r="C1094" s="2" t="s">
        <v>11</v>
      </c>
      <c r="D1094">
        <v>27</v>
      </c>
      <c r="E1094" s="2" t="s">
        <v>24</v>
      </c>
      <c r="F1094" s="2" t="s">
        <v>21</v>
      </c>
      <c r="G1094">
        <v>26495</v>
      </c>
      <c r="H1094" s="1">
        <v>44842</v>
      </c>
      <c r="I1094">
        <v>4</v>
      </c>
      <c r="J1094">
        <v>2</v>
      </c>
      <c r="K1094">
        <v>2650</v>
      </c>
      <c r="L1094">
        <v>1325</v>
      </c>
      <c r="M1094">
        <v>27820</v>
      </c>
      <c r="N1094">
        <v>0</v>
      </c>
      <c r="O1094">
        <v>29145</v>
      </c>
    </row>
    <row r="1095" spans="1:15" x14ac:dyDescent="0.35">
      <c r="A1095">
        <v>1094</v>
      </c>
      <c r="B1095" s="2" t="s">
        <v>20</v>
      </c>
      <c r="C1095" s="2" t="s">
        <v>11</v>
      </c>
      <c r="D1095">
        <v>23</v>
      </c>
      <c r="E1095" s="2" t="s">
        <v>12</v>
      </c>
      <c r="F1095" s="2" t="s">
        <v>19</v>
      </c>
      <c r="G1095">
        <v>52856</v>
      </c>
      <c r="H1095" s="1">
        <v>44785</v>
      </c>
      <c r="I1095">
        <v>14</v>
      </c>
      <c r="J1095">
        <v>4</v>
      </c>
      <c r="K1095">
        <v>5286</v>
      </c>
      <c r="L1095">
        <v>2643</v>
      </c>
      <c r="M1095">
        <v>55499</v>
      </c>
      <c r="N1095">
        <v>2643</v>
      </c>
      <c r="O1095">
        <v>60785</v>
      </c>
    </row>
    <row r="1096" spans="1:15" x14ac:dyDescent="0.35">
      <c r="A1096">
        <v>1095</v>
      </c>
      <c r="B1096" s="2" t="s">
        <v>18</v>
      </c>
      <c r="C1096" s="2" t="s">
        <v>11</v>
      </c>
      <c r="D1096">
        <v>46</v>
      </c>
      <c r="E1096" s="2" t="s">
        <v>28</v>
      </c>
      <c r="F1096" s="2" t="s">
        <v>25</v>
      </c>
      <c r="G1096">
        <v>62190</v>
      </c>
      <c r="H1096" s="1">
        <v>44956</v>
      </c>
      <c r="I1096">
        <v>9</v>
      </c>
      <c r="J1096">
        <v>5</v>
      </c>
      <c r="K1096">
        <v>6219</v>
      </c>
      <c r="L1096">
        <v>3110</v>
      </c>
      <c r="M1096">
        <v>65299</v>
      </c>
      <c r="N1096">
        <v>3110</v>
      </c>
      <c r="O1096">
        <v>71519</v>
      </c>
    </row>
    <row r="1097" spans="1:15" x14ac:dyDescent="0.35">
      <c r="A1097">
        <v>1096</v>
      </c>
      <c r="B1097" s="2" t="s">
        <v>18</v>
      </c>
      <c r="C1097" s="2" t="s">
        <v>11</v>
      </c>
      <c r="D1097">
        <v>58</v>
      </c>
      <c r="E1097" s="2" t="s">
        <v>24</v>
      </c>
      <c r="F1097" s="2" t="s">
        <v>17</v>
      </c>
      <c r="G1097">
        <v>47132</v>
      </c>
      <c r="H1097" s="1">
        <v>44621</v>
      </c>
      <c r="I1097">
        <v>10</v>
      </c>
      <c r="J1097">
        <v>3</v>
      </c>
      <c r="K1097">
        <v>4713</v>
      </c>
      <c r="L1097">
        <v>2357</v>
      </c>
      <c r="M1097">
        <v>49488</v>
      </c>
      <c r="N1097">
        <v>2357</v>
      </c>
      <c r="O1097">
        <v>54202</v>
      </c>
    </row>
    <row r="1098" spans="1:15" x14ac:dyDescent="0.35">
      <c r="A1098">
        <v>1097</v>
      </c>
      <c r="B1098" s="2" t="s">
        <v>22</v>
      </c>
      <c r="C1098" s="2" t="s">
        <v>11</v>
      </c>
      <c r="D1098">
        <v>27</v>
      </c>
      <c r="E1098" s="2" t="s">
        <v>29</v>
      </c>
      <c r="F1098" s="2" t="s">
        <v>21</v>
      </c>
      <c r="G1098">
        <v>76533</v>
      </c>
      <c r="H1098" s="1">
        <v>45392</v>
      </c>
      <c r="I1098">
        <v>7</v>
      </c>
      <c r="J1098">
        <v>2</v>
      </c>
      <c r="K1098">
        <v>7653</v>
      </c>
      <c r="L1098">
        <v>3827</v>
      </c>
      <c r="M1098">
        <v>80359</v>
      </c>
      <c r="N1098">
        <v>3827</v>
      </c>
      <c r="O1098">
        <v>88013</v>
      </c>
    </row>
    <row r="1099" spans="1:15" x14ac:dyDescent="0.35">
      <c r="A1099">
        <v>1098</v>
      </c>
      <c r="B1099" s="2" t="s">
        <v>27</v>
      </c>
      <c r="C1099" s="2" t="s">
        <v>11</v>
      </c>
      <c r="D1099">
        <v>35</v>
      </c>
      <c r="E1099" s="2" t="s">
        <v>16</v>
      </c>
      <c r="F1099" s="2" t="s">
        <v>21</v>
      </c>
      <c r="G1099">
        <v>40695</v>
      </c>
      <c r="H1099" s="1">
        <v>45446</v>
      </c>
      <c r="I1099">
        <v>6</v>
      </c>
      <c r="J1099">
        <v>5</v>
      </c>
      <c r="K1099">
        <v>4070</v>
      </c>
      <c r="L1099">
        <v>2035</v>
      </c>
      <c r="M1099">
        <v>42730</v>
      </c>
      <c r="N1099">
        <v>2035</v>
      </c>
      <c r="O1099">
        <v>46800</v>
      </c>
    </row>
    <row r="1100" spans="1:15" x14ac:dyDescent="0.35">
      <c r="A1100">
        <v>1099</v>
      </c>
      <c r="B1100" s="2" t="s">
        <v>31</v>
      </c>
      <c r="C1100" s="2" t="s">
        <v>15</v>
      </c>
      <c r="D1100">
        <v>25</v>
      </c>
      <c r="E1100" s="2" t="s">
        <v>16</v>
      </c>
      <c r="F1100" s="2" t="s">
        <v>19</v>
      </c>
      <c r="G1100">
        <v>55357</v>
      </c>
      <c r="H1100" s="1">
        <v>45287</v>
      </c>
      <c r="I1100">
        <v>17</v>
      </c>
      <c r="J1100">
        <v>5</v>
      </c>
      <c r="K1100">
        <v>5536</v>
      </c>
      <c r="L1100">
        <v>2768</v>
      </c>
      <c r="M1100">
        <v>58125</v>
      </c>
      <c r="N1100">
        <v>2768</v>
      </c>
      <c r="O1100">
        <v>63661</v>
      </c>
    </row>
    <row r="1101" spans="1:15" x14ac:dyDescent="0.35">
      <c r="A1101">
        <v>1100</v>
      </c>
      <c r="B1101" s="2" t="s">
        <v>27</v>
      </c>
      <c r="C1101" s="2" t="s">
        <v>11</v>
      </c>
      <c r="D1101">
        <v>21</v>
      </c>
      <c r="E1101" s="2" t="s">
        <v>16</v>
      </c>
      <c r="F1101" s="2" t="s">
        <v>13</v>
      </c>
      <c r="G1101">
        <v>49090</v>
      </c>
      <c r="H1101" s="1">
        <v>44808</v>
      </c>
      <c r="I1101">
        <v>9</v>
      </c>
      <c r="J1101">
        <v>4</v>
      </c>
      <c r="K1101">
        <v>4909</v>
      </c>
      <c r="L1101">
        <v>2454</v>
      </c>
      <c r="M1101">
        <v>51545</v>
      </c>
      <c r="N1101">
        <v>2454</v>
      </c>
      <c r="O1101">
        <v>56453</v>
      </c>
    </row>
    <row r="1102" spans="1:15" x14ac:dyDescent="0.35">
      <c r="A1102">
        <v>1101</v>
      </c>
      <c r="B1102" s="2" t="s">
        <v>31</v>
      </c>
      <c r="C1102" s="2" t="s">
        <v>11</v>
      </c>
      <c r="D1102">
        <v>56</v>
      </c>
      <c r="E1102" s="2" t="s">
        <v>29</v>
      </c>
      <c r="F1102" s="2" t="s">
        <v>25</v>
      </c>
      <c r="G1102">
        <v>65320</v>
      </c>
      <c r="H1102" s="1">
        <v>44723</v>
      </c>
      <c r="I1102">
        <v>19</v>
      </c>
      <c r="J1102">
        <v>2</v>
      </c>
      <c r="K1102">
        <v>6532</v>
      </c>
      <c r="L1102">
        <v>3266</v>
      </c>
      <c r="M1102">
        <v>68586</v>
      </c>
      <c r="N1102">
        <v>3266</v>
      </c>
      <c r="O1102">
        <v>75118</v>
      </c>
    </row>
    <row r="1103" spans="1:15" x14ac:dyDescent="0.35">
      <c r="A1103">
        <v>1102</v>
      </c>
      <c r="B1103" s="2" t="s">
        <v>20</v>
      </c>
      <c r="C1103" s="2" t="s">
        <v>11</v>
      </c>
      <c r="D1103">
        <v>29</v>
      </c>
      <c r="E1103" s="2" t="s">
        <v>28</v>
      </c>
      <c r="F1103" s="2" t="s">
        <v>13</v>
      </c>
      <c r="G1103">
        <v>59372</v>
      </c>
      <c r="H1103" s="1">
        <v>45233</v>
      </c>
      <c r="I1103">
        <v>18</v>
      </c>
      <c r="J1103">
        <v>5</v>
      </c>
      <c r="K1103">
        <v>5937</v>
      </c>
      <c r="L1103">
        <v>2969</v>
      </c>
      <c r="M1103">
        <v>62340</v>
      </c>
      <c r="N1103">
        <v>2969</v>
      </c>
      <c r="O1103">
        <v>68278</v>
      </c>
    </row>
    <row r="1104" spans="1:15" x14ac:dyDescent="0.35">
      <c r="A1104">
        <v>1103</v>
      </c>
      <c r="B1104" s="2" t="s">
        <v>31</v>
      </c>
      <c r="C1104" s="2" t="s">
        <v>11</v>
      </c>
      <c r="D1104">
        <v>28</v>
      </c>
      <c r="E1104" s="2" t="s">
        <v>16</v>
      </c>
      <c r="F1104" s="2" t="s">
        <v>13</v>
      </c>
      <c r="G1104">
        <v>96749</v>
      </c>
      <c r="H1104" s="1">
        <v>44705</v>
      </c>
      <c r="I1104">
        <v>6</v>
      </c>
      <c r="J1104">
        <v>4</v>
      </c>
      <c r="K1104">
        <v>9675</v>
      </c>
      <c r="L1104">
        <v>4837</v>
      </c>
      <c r="M1104">
        <v>101587</v>
      </c>
      <c r="N1104">
        <v>4837</v>
      </c>
      <c r="O1104">
        <v>111261</v>
      </c>
    </row>
    <row r="1105" spans="1:15" x14ac:dyDescent="0.35">
      <c r="A1105">
        <v>1104</v>
      </c>
      <c r="B1105" s="2" t="s">
        <v>31</v>
      </c>
      <c r="C1105" s="2" t="s">
        <v>15</v>
      </c>
      <c r="D1105">
        <v>47</v>
      </c>
      <c r="E1105" s="2" t="s">
        <v>16</v>
      </c>
      <c r="F1105" s="2" t="s">
        <v>17</v>
      </c>
      <c r="G1105">
        <v>23639</v>
      </c>
      <c r="H1105" s="1">
        <v>45061</v>
      </c>
      <c r="I1105">
        <v>12</v>
      </c>
      <c r="J1105">
        <v>3</v>
      </c>
      <c r="K1105">
        <v>2364</v>
      </c>
      <c r="L1105">
        <v>1182</v>
      </c>
      <c r="M1105">
        <v>24821</v>
      </c>
      <c r="N1105">
        <v>1182</v>
      </c>
      <c r="O1105">
        <v>27185</v>
      </c>
    </row>
    <row r="1106" spans="1:15" x14ac:dyDescent="0.35">
      <c r="A1106">
        <v>1105</v>
      </c>
      <c r="B1106" s="2" t="s">
        <v>26</v>
      </c>
      <c r="C1106" s="2" t="s">
        <v>15</v>
      </c>
      <c r="D1106">
        <v>44</v>
      </c>
      <c r="E1106" s="2" t="s">
        <v>24</v>
      </c>
      <c r="F1106" s="2" t="s">
        <v>25</v>
      </c>
      <c r="G1106">
        <v>34179</v>
      </c>
      <c r="H1106" s="1">
        <v>44578</v>
      </c>
      <c r="I1106">
        <v>18</v>
      </c>
      <c r="J1106">
        <v>4</v>
      </c>
      <c r="K1106">
        <v>3418</v>
      </c>
      <c r="L1106">
        <v>1709</v>
      </c>
      <c r="M1106">
        <v>35888</v>
      </c>
      <c r="N1106">
        <v>1709</v>
      </c>
      <c r="O1106">
        <v>39306</v>
      </c>
    </row>
    <row r="1107" spans="1:15" x14ac:dyDescent="0.35">
      <c r="A1107">
        <v>1106</v>
      </c>
      <c r="B1107" s="2" t="s">
        <v>22</v>
      </c>
      <c r="C1107" s="2" t="s">
        <v>15</v>
      </c>
      <c r="D1107">
        <v>36</v>
      </c>
      <c r="E1107" s="2" t="s">
        <v>16</v>
      </c>
      <c r="F1107" s="2" t="s">
        <v>21</v>
      </c>
      <c r="G1107">
        <v>44827</v>
      </c>
      <c r="H1107" s="1">
        <v>45264</v>
      </c>
      <c r="I1107">
        <v>11</v>
      </c>
      <c r="J1107">
        <v>1</v>
      </c>
      <c r="K1107">
        <v>4483</v>
      </c>
      <c r="L1107">
        <v>2241</v>
      </c>
      <c r="M1107">
        <v>47069</v>
      </c>
      <c r="N1107">
        <v>2241</v>
      </c>
      <c r="O1107">
        <v>51551</v>
      </c>
    </row>
    <row r="1108" spans="1:15" x14ac:dyDescent="0.35">
      <c r="A1108">
        <v>1107</v>
      </c>
      <c r="B1108" s="2" t="s">
        <v>26</v>
      </c>
      <c r="C1108" s="2" t="s">
        <v>11</v>
      </c>
      <c r="D1108">
        <v>56</v>
      </c>
      <c r="E1108" s="2" t="s">
        <v>24</v>
      </c>
      <c r="F1108" s="2" t="s">
        <v>25</v>
      </c>
      <c r="G1108">
        <v>79231</v>
      </c>
      <c r="H1108" s="1">
        <v>44729</v>
      </c>
      <c r="I1108">
        <v>19</v>
      </c>
      <c r="J1108">
        <v>3</v>
      </c>
      <c r="K1108">
        <v>7923</v>
      </c>
      <c r="L1108">
        <v>3962</v>
      </c>
      <c r="M1108">
        <v>83192</v>
      </c>
      <c r="N1108">
        <v>3962</v>
      </c>
      <c r="O1108">
        <v>91116</v>
      </c>
    </row>
    <row r="1109" spans="1:15" x14ac:dyDescent="0.35">
      <c r="A1109">
        <v>1108</v>
      </c>
      <c r="B1109" s="2" t="s">
        <v>10</v>
      </c>
      <c r="C1109" s="2" t="s">
        <v>15</v>
      </c>
      <c r="D1109">
        <v>60</v>
      </c>
      <c r="E1109" s="2" t="s">
        <v>16</v>
      </c>
      <c r="F1109" s="2" t="s">
        <v>21</v>
      </c>
      <c r="G1109">
        <v>55539</v>
      </c>
      <c r="H1109" s="1">
        <v>44747</v>
      </c>
      <c r="I1109">
        <v>3</v>
      </c>
      <c r="J1109">
        <v>2</v>
      </c>
      <c r="K1109">
        <v>5554</v>
      </c>
      <c r="L1109">
        <v>2777</v>
      </c>
      <c r="M1109">
        <v>58316</v>
      </c>
      <c r="N1109">
        <v>0</v>
      </c>
      <c r="O1109">
        <v>61093</v>
      </c>
    </row>
    <row r="1110" spans="1:15" x14ac:dyDescent="0.35">
      <c r="A1110">
        <v>1109</v>
      </c>
      <c r="B1110" s="2" t="s">
        <v>27</v>
      </c>
      <c r="C1110" s="2" t="s">
        <v>15</v>
      </c>
      <c r="D1110">
        <v>46</v>
      </c>
      <c r="E1110" s="2" t="s">
        <v>29</v>
      </c>
      <c r="F1110" s="2" t="s">
        <v>13</v>
      </c>
      <c r="G1110">
        <v>92316</v>
      </c>
      <c r="H1110" s="1">
        <v>44983</v>
      </c>
      <c r="I1110">
        <v>19</v>
      </c>
      <c r="J1110">
        <v>4</v>
      </c>
      <c r="K1110">
        <v>9232</v>
      </c>
      <c r="L1110">
        <v>4616</v>
      </c>
      <c r="M1110">
        <v>96932</v>
      </c>
      <c r="N1110">
        <v>4616</v>
      </c>
      <c r="O1110">
        <v>106164</v>
      </c>
    </row>
    <row r="1111" spans="1:15" x14ac:dyDescent="0.35">
      <c r="A1111">
        <v>1110</v>
      </c>
      <c r="B1111" s="2" t="s">
        <v>27</v>
      </c>
      <c r="C1111" s="2" t="s">
        <v>11</v>
      </c>
      <c r="D1111">
        <v>28</v>
      </c>
      <c r="E1111" s="2" t="s">
        <v>29</v>
      </c>
      <c r="F1111" s="2" t="s">
        <v>25</v>
      </c>
      <c r="G1111">
        <v>63435</v>
      </c>
      <c r="H1111" s="1">
        <v>45260</v>
      </c>
      <c r="I1111">
        <v>13</v>
      </c>
      <c r="J1111">
        <v>5</v>
      </c>
      <c r="K1111">
        <v>6344</v>
      </c>
      <c r="L1111">
        <v>3172</v>
      </c>
      <c r="M1111">
        <v>66607</v>
      </c>
      <c r="N1111">
        <v>3172</v>
      </c>
      <c r="O1111">
        <v>72951</v>
      </c>
    </row>
    <row r="1112" spans="1:15" x14ac:dyDescent="0.35">
      <c r="A1112">
        <v>1111</v>
      </c>
      <c r="B1112" s="2" t="s">
        <v>31</v>
      </c>
      <c r="C1112" s="2" t="s">
        <v>15</v>
      </c>
      <c r="D1112">
        <v>59</v>
      </c>
      <c r="E1112" s="2" t="s">
        <v>12</v>
      </c>
      <c r="F1112" s="2" t="s">
        <v>13</v>
      </c>
      <c r="G1112">
        <v>89812</v>
      </c>
      <c r="H1112" s="1">
        <v>44598</v>
      </c>
      <c r="I1112">
        <v>14</v>
      </c>
      <c r="J1112">
        <v>3</v>
      </c>
      <c r="K1112">
        <v>8981</v>
      </c>
      <c r="L1112">
        <v>4491</v>
      </c>
      <c r="M1112">
        <v>94302</v>
      </c>
      <c r="N1112">
        <v>4491</v>
      </c>
      <c r="O1112">
        <v>103284</v>
      </c>
    </row>
    <row r="1113" spans="1:15" x14ac:dyDescent="0.35">
      <c r="A1113">
        <v>1112</v>
      </c>
      <c r="B1113" s="2" t="s">
        <v>27</v>
      </c>
      <c r="C1113" s="2" t="s">
        <v>11</v>
      </c>
      <c r="D1113">
        <v>30</v>
      </c>
      <c r="E1113" s="2" t="s">
        <v>29</v>
      </c>
      <c r="F1113" s="2" t="s">
        <v>13</v>
      </c>
      <c r="G1113">
        <v>77307</v>
      </c>
      <c r="H1113" s="1">
        <v>45532</v>
      </c>
      <c r="I1113">
        <v>4</v>
      </c>
      <c r="J1113">
        <v>3</v>
      </c>
      <c r="K1113">
        <v>7731</v>
      </c>
      <c r="L1113">
        <v>3865</v>
      </c>
      <c r="M1113">
        <v>81173</v>
      </c>
      <c r="N1113">
        <v>0</v>
      </c>
      <c r="O1113">
        <v>85038</v>
      </c>
    </row>
    <row r="1114" spans="1:15" x14ac:dyDescent="0.35">
      <c r="A1114">
        <v>1113</v>
      </c>
      <c r="B1114" s="2" t="s">
        <v>18</v>
      </c>
      <c r="C1114" s="2" t="s">
        <v>15</v>
      </c>
      <c r="D1114">
        <v>33</v>
      </c>
      <c r="E1114" s="2" t="s">
        <v>28</v>
      </c>
      <c r="F1114" s="2" t="s">
        <v>13</v>
      </c>
      <c r="G1114">
        <v>37434</v>
      </c>
      <c r="H1114" s="1">
        <v>44944</v>
      </c>
      <c r="I1114">
        <v>17</v>
      </c>
      <c r="J1114">
        <v>5</v>
      </c>
      <c r="K1114">
        <v>3743</v>
      </c>
      <c r="L1114">
        <v>1872</v>
      </c>
      <c r="M1114">
        <v>39305</v>
      </c>
      <c r="N1114">
        <v>1872</v>
      </c>
      <c r="O1114">
        <v>43049</v>
      </c>
    </row>
    <row r="1115" spans="1:15" x14ac:dyDescent="0.35">
      <c r="A1115">
        <v>1114</v>
      </c>
      <c r="B1115" s="2" t="s">
        <v>31</v>
      </c>
      <c r="C1115" s="2" t="s">
        <v>11</v>
      </c>
      <c r="D1115">
        <v>47</v>
      </c>
      <c r="E1115" s="2" t="s">
        <v>12</v>
      </c>
      <c r="F1115" s="2" t="s">
        <v>17</v>
      </c>
      <c r="G1115">
        <v>27361</v>
      </c>
      <c r="H1115" s="1">
        <v>44820</v>
      </c>
      <c r="I1115">
        <v>14</v>
      </c>
      <c r="J1115">
        <v>4</v>
      </c>
      <c r="K1115">
        <v>2736</v>
      </c>
      <c r="L1115">
        <v>1368</v>
      </c>
      <c r="M1115">
        <v>28729</v>
      </c>
      <c r="N1115">
        <v>1368</v>
      </c>
      <c r="O1115">
        <v>31465</v>
      </c>
    </row>
    <row r="1116" spans="1:15" x14ac:dyDescent="0.35">
      <c r="A1116">
        <v>1115</v>
      </c>
      <c r="B1116" s="2" t="s">
        <v>30</v>
      </c>
      <c r="C1116" s="2" t="s">
        <v>11</v>
      </c>
      <c r="D1116">
        <v>47</v>
      </c>
      <c r="E1116" s="2" t="s">
        <v>16</v>
      </c>
      <c r="F1116" s="2" t="s">
        <v>13</v>
      </c>
      <c r="G1116">
        <v>58361</v>
      </c>
      <c r="H1116" s="1">
        <v>45444</v>
      </c>
      <c r="I1116">
        <v>15</v>
      </c>
      <c r="J1116">
        <v>1</v>
      </c>
      <c r="K1116">
        <v>5836</v>
      </c>
      <c r="L1116">
        <v>2918</v>
      </c>
      <c r="M1116">
        <v>61279</v>
      </c>
      <c r="N1116">
        <v>2918</v>
      </c>
      <c r="O1116">
        <v>67115</v>
      </c>
    </row>
    <row r="1117" spans="1:15" x14ac:dyDescent="0.35">
      <c r="A1117">
        <v>1116</v>
      </c>
      <c r="B1117" s="2" t="s">
        <v>20</v>
      </c>
      <c r="C1117" s="2" t="s">
        <v>15</v>
      </c>
      <c r="D1117">
        <v>22</v>
      </c>
      <c r="E1117" s="2" t="s">
        <v>28</v>
      </c>
      <c r="F1117" s="2" t="s">
        <v>19</v>
      </c>
      <c r="G1117">
        <v>68839</v>
      </c>
      <c r="H1117" s="1">
        <v>44750</v>
      </c>
      <c r="I1117">
        <v>16</v>
      </c>
      <c r="J1117">
        <v>1</v>
      </c>
      <c r="K1117">
        <v>6884</v>
      </c>
      <c r="L1117">
        <v>3442</v>
      </c>
      <c r="M1117">
        <v>72281</v>
      </c>
      <c r="N1117">
        <v>3442</v>
      </c>
      <c r="O1117">
        <v>79165</v>
      </c>
    </row>
    <row r="1118" spans="1:15" x14ac:dyDescent="0.35">
      <c r="A1118">
        <v>1117</v>
      </c>
      <c r="B1118" s="2" t="s">
        <v>10</v>
      </c>
      <c r="C1118" s="2" t="s">
        <v>11</v>
      </c>
      <c r="D1118">
        <v>22</v>
      </c>
      <c r="E1118" s="2" t="s">
        <v>16</v>
      </c>
      <c r="F1118" s="2" t="s">
        <v>21</v>
      </c>
      <c r="G1118">
        <v>46682</v>
      </c>
      <c r="H1118" s="1">
        <v>45234</v>
      </c>
      <c r="I1118">
        <v>1</v>
      </c>
      <c r="J1118">
        <v>4</v>
      </c>
      <c r="K1118">
        <v>4668</v>
      </c>
      <c r="L1118">
        <v>2334</v>
      </c>
      <c r="M1118">
        <v>49016</v>
      </c>
      <c r="N1118">
        <v>0</v>
      </c>
      <c r="O1118">
        <v>51350</v>
      </c>
    </row>
    <row r="1119" spans="1:15" x14ac:dyDescent="0.35">
      <c r="A1119">
        <v>1118</v>
      </c>
      <c r="B1119" s="2" t="s">
        <v>27</v>
      </c>
      <c r="C1119" s="2" t="s">
        <v>15</v>
      </c>
      <c r="D1119">
        <v>51</v>
      </c>
      <c r="E1119" s="2" t="s">
        <v>24</v>
      </c>
      <c r="F1119" s="2" t="s">
        <v>25</v>
      </c>
      <c r="G1119">
        <v>41929</v>
      </c>
      <c r="H1119" s="1">
        <v>44841</v>
      </c>
      <c r="I1119">
        <v>13</v>
      </c>
      <c r="J1119">
        <v>1</v>
      </c>
      <c r="K1119">
        <v>4193</v>
      </c>
      <c r="L1119">
        <v>2096</v>
      </c>
      <c r="M1119">
        <v>44026</v>
      </c>
      <c r="N1119">
        <v>2096</v>
      </c>
      <c r="O1119">
        <v>48218</v>
      </c>
    </row>
    <row r="1120" spans="1:15" x14ac:dyDescent="0.35">
      <c r="A1120">
        <v>1119</v>
      </c>
      <c r="B1120" s="2" t="s">
        <v>10</v>
      </c>
      <c r="C1120" s="2" t="s">
        <v>15</v>
      </c>
      <c r="D1120">
        <v>43</v>
      </c>
      <c r="E1120" s="2" t="s">
        <v>16</v>
      </c>
      <c r="F1120" s="2" t="s">
        <v>17</v>
      </c>
      <c r="G1120">
        <v>99795</v>
      </c>
      <c r="H1120" s="1">
        <v>44667</v>
      </c>
      <c r="I1120">
        <v>11</v>
      </c>
      <c r="J1120">
        <v>3</v>
      </c>
      <c r="K1120">
        <v>9980</v>
      </c>
      <c r="L1120">
        <v>4990</v>
      </c>
      <c r="M1120">
        <v>104785</v>
      </c>
      <c r="N1120">
        <v>4990</v>
      </c>
      <c r="O1120">
        <v>114765</v>
      </c>
    </row>
    <row r="1121" spans="1:15" x14ac:dyDescent="0.35">
      <c r="A1121">
        <v>1120</v>
      </c>
      <c r="B1121" s="2" t="s">
        <v>31</v>
      </c>
      <c r="C1121" s="2" t="s">
        <v>15</v>
      </c>
      <c r="D1121">
        <v>37</v>
      </c>
      <c r="E1121" s="2" t="s">
        <v>24</v>
      </c>
      <c r="F1121" s="2" t="s">
        <v>17</v>
      </c>
      <c r="G1121">
        <v>91409</v>
      </c>
      <c r="H1121" s="1">
        <v>44726</v>
      </c>
      <c r="I1121">
        <v>9</v>
      </c>
      <c r="J1121">
        <v>4</v>
      </c>
      <c r="K1121">
        <v>9141</v>
      </c>
      <c r="L1121">
        <v>4570</v>
      </c>
      <c r="M1121">
        <v>95980</v>
      </c>
      <c r="N1121">
        <v>4570</v>
      </c>
      <c r="O1121">
        <v>105120</v>
      </c>
    </row>
    <row r="1122" spans="1:15" x14ac:dyDescent="0.35">
      <c r="A1122">
        <v>1121</v>
      </c>
      <c r="B1122" s="2" t="s">
        <v>30</v>
      </c>
      <c r="C1122" s="2" t="s">
        <v>11</v>
      </c>
      <c r="D1122">
        <v>42</v>
      </c>
      <c r="E1122" s="2" t="s">
        <v>24</v>
      </c>
      <c r="F1122" s="2" t="s">
        <v>21</v>
      </c>
      <c r="G1122">
        <v>44161</v>
      </c>
      <c r="H1122" s="1">
        <v>45349</v>
      </c>
      <c r="I1122">
        <v>16</v>
      </c>
      <c r="J1122">
        <v>4</v>
      </c>
      <c r="K1122">
        <v>4416</v>
      </c>
      <c r="L1122">
        <v>2208</v>
      </c>
      <c r="M1122">
        <v>46369</v>
      </c>
      <c r="N1122">
        <v>2208</v>
      </c>
      <c r="O1122">
        <v>50785</v>
      </c>
    </row>
    <row r="1123" spans="1:15" x14ac:dyDescent="0.35">
      <c r="A1123">
        <v>1122</v>
      </c>
      <c r="B1123" s="2" t="s">
        <v>14</v>
      </c>
      <c r="C1123" s="2" t="s">
        <v>15</v>
      </c>
      <c r="D1123">
        <v>21</v>
      </c>
      <c r="E1123" s="2" t="s">
        <v>16</v>
      </c>
      <c r="F1123" s="2" t="s">
        <v>17</v>
      </c>
      <c r="G1123">
        <v>65648</v>
      </c>
      <c r="H1123" s="1">
        <v>44752</v>
      </c>
      <c r="I1123">
        <v>4</v>
      </c>
      <c r="J1123">
        <v>2</v>
      </c>
      <c r="K1123">
        <v>6565</v>
      </c>
      <c r="L1123">
        <v>3282</v>
      </c>
      <c r="M1123">
        <v>68931</v>
      </c>
      <c r="N1123">
        <v>0</v>
      </c>
      <c r="O1123">
        <v>72213</v>
      </c>
    </row>
    <row r="1124" spans="1:15" x14ac:dyDescent="0.35">
      <c r="A1124">
        <v>1123</v>
      </c>
      <c r="B1124" s="2" t="s">
        <v>27</v>
      </c>
      <c r="C1124" s="2" t="s">
        <v>15</v>
      </c>
      <c r="D1124">
        <v>31</v>
      </c>
      <c r="E1124" s="2" t="s">
        <v>16</v>
      </c>
      <c r="F1124" s="2" t="s">
        <v>25</v>
      </c>
      <c r="G1124">
        <v>87940</v>
      </c>
      <c r="H1124" s="1">
        <v>44904</v>
      </c>
      <c r="I1124">
        <v>16</v>
      </c>
      <c r="J1124">
        <v>5</v>
      </c>
      <c r="K1124">
        <v>8794</v>
      </c>
      <c r="L1124">
        <v>4397</v>
      </c>
      <c r="M1124">
        <v>92337</v>
      </c>
      <c r="N1124">
        <v>4397</v>
      </c>
      <c r="O1124">
        <v>101131</v>
      </c>
    </row>
    <row r="1125" spans="1:15" x14ac:dyDescent="0.35">
      <c r="A1125">
        <v>1124</v>
      </c>
      <c r="B1125" s="2" t="s">
        <v>23</v>
      </c>
      <c r="C1125" s="2" t="s">
        <v>11</v>
      </c>
      <c r="D1125">
        <v>25</v>
      </c>
      <c r="E1125" s="2" t="s">
        <v>28</v>
      </c>
      <c r="F1125" s="2" t="s">
        <v>13</v>
      </c>
      <c r="G1125">
        <v>97642</v>
      </c>
      <c r="H1125" s="1">
        <v>45206</v>
      </c>
      <c r="I1125">
        <v>2</v>
      </c>
      <c r="J1125">
        <v>1</v>
      </c>
      <c r="K1125">
        <v>9764</v>
      </c>
      <c r="L1125">
        <v>4882</v>
      </c>
      <c r="M1125">
        <v>102524</v>
      </c>
      <c r="N1125">
        <v>0</v>
      </c>
      <c r="O1125">
        <v>107406</v>
      </c>
    </row>
    <row r="1126" spans="1:15" x14ac:dyDescent="0.35">
      <c r="A1126">
        <v>1125</v>
      </c>
      <c r="B1126" s="2" t="s">
        <v>30</v>
      </c>
      <c r="C1126" s="2" t="s">
        <v>11</v>
      </c>
      <c r="D1126">
        <v>56</v>
      </c>
      <c r="E1126" s="2" t="s">
        <v>29</v>
      </c>
      <c r="F1126" s="2" t="s">
        <v>19</v>
      </c>
      <c r="G1126">
        <v>64784</v>
      </c>
      <c r="H1126" s="1">
        <v>45243</v>
      </c>
      <c r="I1126">
        <v>6</v>
      </c>
      <c r="J1126">
        <v>2</v>
      </c>
      <c r="K1126">
        <v>6478</v>
      </c>
      <c r="L1126">
        <v>3239</v>
      </c>
      <c r="M1126">
        <v>68023</v>
      </c>
      <c r="N1126">
        <v>3239</v>
      </c>
      <c r="O1126">
        <v>74501</v>
      </c>
    </row>
    <row r="1127" spans="1:15" x14ac:dyDescent="0.35">
      <c r="A1127">
        <v>1126</v>
      </c>
      <c r="B1127" s="2" t="s">
        <v>27</v>
      </c>
      <c r="C1127" s="2" t="s">
        <v>15</v>
      </c>
      <c r="D1127">
        <v>36</v>
      </c>
      <c r="E1127" s="2" t="s">
        <v>28</v>
      </c>
      <c r="F1127" s="2" t="s">
        <v>25</v>
      </c>
      <c r="G1127">
        <v>83071</v>
      </c>
      <c r="H1127" s="1">
        <v>45474</v>
      </c>
      <c r="I1127">
        <v>6</v>
      </c>
      <c r="J1127">
        <v>2</v>
      </c>
      <c r="K1127">
        <v>8307</v>
      </c>
      <c r="L1127">
        <v>4154</v>
      </c>
      <c r="M1127">
        <v>87224</v>
      </c>
      <c r="N1127">
        <v>4154</v>
      </c>
      <c r="O1127">
        <v>95532</v>
      </c>
    </row>
    <row r="1128" spans="1:15" x14ac:dyDescent="0.35">
      <c r="A1128">
        <v>1127</v>
      </c>
      <c r="B1128" s="2" t="s">
        <v>22</v>
      </c>
      <c r="C1128" s="2" t="s">
        <v>11</v>
      </c>
      <c r="D1128">
        <v>43</v>
      </c>
      <c r="E1128" s="2" t="s">
        <v>28</v>
      </c>
      <c r="F1128" s="2" t="s">
        <v>19</v>
      </c>
      <c r="G1128">
        <v>30133</v>
      </c>
      <c r="H1128" s="1">
        <v>44666</v>
      </c>
      <c r="I1128">
        <v>6</v>
      </c>
      <c r="J1128">
        <v>3</v>
      </c>
      <c r="K1128">
        <v>3013</v>
      </c>
      <c r="L1128">
        <v>1507</v>
      </c>
      <c r="M1128">
        <v>31639</v>
      </c>
      <c r="N1128">
        <v>1507</v>
      </c>
      <c r="O1128">
        <v>34653</v>
      </c>
    </row>
    <row r="1129" spans="1:15" x14ac:dyDescent="0.35">
      <c r="A1129">
        <v>1128</v>
      </c>
      <c r="B1129" s="2" t="s">
        <v>30</v>
      </c>
      <c r="C1129" s="2" t="s">
        <v>11</v>
      </c>
      <c r="D1129">
        <v>45</v>
      </c>
      <c r="E1129" s="2" t="s">
        <v>28</v>
      </c>
      <c r="F1129" s="2" t="s">
        <v>21</v>
      </c>
      <c r="G1129">
        <v>52123</v>
      </c>
      <c r="H1129" s="1">
        <v>45117</v>
      </c>
      <c r="I1129">
        <v>11</v>
      </c>
      <c r="J1129">
        <v>1</v>
      </c>
      <c r="K1129">
        <v>5212</v>
      </c>
      <c r="L1129">
        <v>2606</v>
      </c>
      <c r="M1129">
        <v>54729</v>
      </c>
      <c r="N1129">
        <v>2606</v>
      </c>
      <c r="O1129">
        <v>59941</v>
      </c>
    </row>
    <row r="1130" spans="1:15" x14ac:dyDescent="0.35">
      <c r="A1130">
        <v>1129</v>
      </c>
      <c r="B1130" s="2" t="s">
        <v>10</v>
      </c>
      <c r="C1130" s="2" t="s">
        <v>11</v>
      </c>
      <c r="D1130">
        <v>26</v>
      </c>
      <c r="E1130" s="2" t="s">
        <v>29</v>
      </c>
      <c r="F1130" s="2" t="s">
        <v>25</v>
      </c>
      <c r="G1130">
        <v>28792</v>
      </c>
      <c r="H1130" s="1">
        <v>44563</v>
      </c>
      <c r="I1130">
        <v>3</v>
      </c>
      <c r="J1130">
        <v>2</v>
      </c>
      <c r="K1130">
        <v>2879</v>
      </c>
      <c r="L1130">
        <v>1440</v>
      </c>
      <c r="M1130">
        <v>30231</v>
      </c>
      <c r="N1130">
        <v>0</v>
      </c>
      <c r="O1130">
        <v>31671</v>
      </c>
    </row>
    <row r="1131" spans="1:15" x14ac:dyDescent="0.35">
      <c r="A1131">
        <v>1130</v>
      </c>
      <c r="B1131" s="2" t="s">
        <v>31</v>
      </c>
      <c r="C1131" s="2" t="s">
        <v>11</v>
      </c>
      <c r="D1131">
        <v>42</v>
      </c>
      <c r="E1131" s="2" t="s">
        <v>29</v>
      </c>
      <c r="F1131" s="2" t="s">
        <v>19</v>
      </c>
      <c r="G1131">
        <v>44221</v>
      </c>
      <c r="H1131" s="1">
        <v>44796</v>
      </c>
      <c r="I1131">
        <v>14</v>
      </c>
      <c r="J1131">
        <v>5</v>
      </c>
      <c r="K1131">
        <v>4422</v>
      </c>
      <c r="L1131">
        <v>2211</v>
      </c>
      <c r="M1131">
        <v>46432</v>
      </c>
      <c r="N1131">
        <v>2211</v>
      </c>
      <c r="O1131">
        <v>50854</v>
      </c>
    </row>
    <row r="1132" spans="1:15" x14ac:dyDescent="0.35">
      <c r="A1132">
        <v>1131</v>
      </c>
      <c r="B1132" s="2" t="s">
        <v>31</v>
      </c>
      <c r="C1132" s="2" t="s">
        <v>11</v>
      </c>
      <c r="D1132">
        <v>34</v>
      </c>
      <c r="E1132" s="2" t="s">
        <v>28</v>
      </c>
      <c r="F1132" s="2" t="s">
        <v>21</v>
      </c>
      <c r="G1132">
        <v>94709</v>
      </c>
      <c r="H1132" s="1">
        <v>44705</v>
      </c>
      <c r="I1132">
        <v>16</v>
      </c>
      <c r="J1132">
        <v>1</v>
      </c>
      <c r="K1132">
        <v>9471</v>
      </c>
      <c r="L1132">
        <v>4735</v>
      </c>
      <c r="M1132">
        <v>99445</v>
      </c>
      <c r="N1132">
        <v>4735</v>
      </c>
      <c r="O1132">
        <v>108915</v>
      </c>
    </row>
    <row r="1133" spans="1:15" x14ac:dyDescent="0.35">
      <c r="A1133">
        <v>1132</v>
      </c>
      <c r="B1133" s="2" t="s">
        <v>31</v>
      </c>
      <c r="C1133" s="2" t="s">
        <v>11</v>
      </c>
      <c r="D1133">
        <v>21</v>
      </c>
      <c r="E1133" s="2" t="s">
        <v>16</v>
      </c>
      <c r="F1133" s="2" t="s">
        <v>19</v>
      </c>
      <c r="G1133">
        <v>51357</v>
      </c>
      <c r="H1133" s="1">
        <v>45088</v>
      </c>
      <c r="I1133">
        <v>11</v>
      </c>
      <c r="J1133">
        <v>3</v>
      </c>
      <c r="K1133">
        <v>5136</v>
      </c>
      <c r="L1133">
        <v>2568</v>
      </c>
      <c r="M1133">
        <v>53925</v>
      </c>
      <c r="N1133">
        <v>2568</v>
      </c>
      <c r="O1133">
        <v>59061</v>
      </c>
    </row>
    <row r="1134" spans="1:15" x14ac:dyDescent="0.35">
      <c r="A1134">
        <v>1133</v>
      </c>
      <c r="B1134" s="2" t="s">
        <v>20</v>
      </c>
      <c r="C1134" s="2" t="s">
        <v>15</v>
      </c>
      <c r="D1134">
        <v>51</v>
      </c>
      <c r="E1134" s="2" t="s">
        <v>29</v>
      </c>
      <c r="F1134" s="2" t="s">
        <v>13</v>
      </c>
      <c r="G1134">
        <v>46395</v>
      </c>
      <c r="H1134" s="1">
        <v>44761</v>
      </c>
      <c r="I1134">
        <v>3</v>
      </c>
      <c r="J1134">
        <v>1</v>
      </c>
      <c r="K1134">
        <v>4640</v>
      </c>
      <c r="L1134">
        <v>2320</v>
      </c>
      <c r="M1134">
        <v>48715</v>
      </c>
      <c r="N1134">
        <v>0</v>
      </c>
      <c r="O1134">
        <v>51035</v>
      </c>
    </row>
    <row r="1135" spans="1:15" x14ac:dyDescent="0.35">
      <c r="A1135">
        <v>1134</v>
      </c>
      <c r="B1135" s="2" t="s">
        <v>14</v>
      </c>
      <c r="C1135" s="2" t="s">
        <v>15</v>
      </c>
      <c r="D1135">
        <v>23</v>
      </c>
      <c r="E1135" s="2" t="s">
        <v>16</v>
      </c>
      <c r="F1135" s="2" t="s">
        <v>17</v>
      </c>
      <c r="G1135">
        <v>69891</v>
      </c>
      <c r="H1135" s="1">
        <v>45006</v>
      </c>
      <c r="I1135">
        <v>3</v>
      </c>
      <c r="J1135">
        <v>2</v>
      </c>
      <c r="K1135">
        <v>6989</v>
      </c>
      <c r="L1135">
        <v>3495</v>
      </c>
      <c r="M1135">
        <v>73385</v>
      </c>
      <c r="N1135">
        <v>0</v>
      </c>
      <c r="O1135">
        <v>76880</v>
      </c>
    </row>
    <row r="1136" spans="1:15" x14ac:dyDescent="0.35">
      <c r="A1136">
        <v>1135</v>
      </c>
      <c r="B1136" s="2" t="s">
        <v>23</v>
      </c>
      <c r="C1136" s="2" t="s">
        <v>15</v>
      </c>
      <c r="D1136">
        <v>42</v>
      </c>
      <c r="E1136" s="2" t="s">
        <v>28</v>
      </c>
      <c r="F1136" s="2" t="s">
        <v>13</v>
      </c>
      <c r="G1136">
        <v>51812</v>
      </c>
      <c r="H1136" s="1">
        <v>44631</v>
      </c>
      <c r="I1136">
        <v>8</v>
      </c>
      <c r="J1136">
        <v>3</v>
      </c>
      <c r="K1136">
        <v>5181</v>
      </c>
      <c r="L1136">
        <v>2591</v>
      </c>
      <c r="M1136">
        <v>54402</v>
      </c>
      <c r="N1136">
        <v>2591</v>
      </c>
      <c r="O1136">
        <v>59584</v>
      </c>
    </row>
    <row r="1137" spans="1:15" x14ac:dyDescent="0.35">
      <c r="A1137">
        <v>1136</v>
      </c>
      <c r="B1137" s="2" t="s">
        <v>23</v>
      </c>
      <c r="C1137" s="2" t="s">
        <v>15</v>
      </c>
      <c r="D1137">
        <v>58</v>
      </c>
      <c r="E1137" s="2" t="s">
        <v>24</v>
      </c>
      <c r="F1137" s="2" t="s">
        <v>19</v>
      </c>
      <c r="G1137">
        <v>97585</v>
      </c>
      <c r="H1137" s="1">
        <v>44843</v>
      </c>
      <c r="I1137">
        <v>3</v>
      </c>
      <c r="J1137">
        <v>5</v>
      </c>
      <c r="K1137">
        <v>9758</v>
      </c>
      <c r="L1137">
        <v>4879</v>
      </c>
      <c r="M1137">
        <v>102464</v>
      </c>
      <c r="N1137">
        <v>0</v>
      </c>
      <c r="O1137">
        <v>107343</v>
      </c>
    </row>
    <row r="1138" spans="1:15" x14ac:dyDescent="0.35">
      <c r="A1138">
        <v>1137</v>
      </c>
      <c r="B1138" s="2" t="s">
        <v>27</v>
      </c>
      <c r="C1138" s="2" t="s">
        <v>11</v>
      </c>
      <c r="D1138">
        <v>41</v>
      </c>
      <c r="E1138" s="2" t="s">
        <v>16</v>
      </c>
      <c r="F1138" s="2" t="s">
        <v>21</v>
      </c>
      <c r="G1138">
        <v>42542</v>
      </c>
      <c r="H1138" s="1">
        <v>45050</v>
      </c>
      <c r="I1138">
        <v>6</v>
      </c>
      <c r="J1138">
        <v>3</v>
      </c>
      <c r="K1138">
        <v>4254</v>
      </c>
      <c r="L1138">
        <v>2127</v>
      </c>
      <c r="M1138">
        <v>44669</v>
      </c>
      <c r="N1138">
        <v>2127</v>
      </c>
      <c r="O1138">
        <v>48923</v>
      </c>
    </row>
    <row r="1139" spans="1:15" x14ac:dyDescent="0.35">
      <c r="A1139">
        <v>1138</v>
      </c>
      <c r="B1139" s="2" t="s">
        <v>30</v>
      </c>
      <c r="C1139" s="2" t="s">
        <v>15</v>
      </c>
      <c r="D1139">
        <v>58</v>
      </c>
      <c r="E1139" s="2" t="s">
        <v>12</v>
      </c>
      <c r="F1139" s="2" t="s">
        <v>25</v>
      </c>
      <c r="G1139">
        <v>64441</v>
      </c>
      <c r="H1139" s="1">
        <v>45230</v>
      </c>
      <c r="I1139">
        <v>8</v>
      </c>
      <c r="J1139">
        <v>2</v>
      </c>
      <c r="K1139">
        <v>6444</v>
      </c>
      <c r="L1139">
        <v>3222</v>
      </c>
      <c r="M1139">
        <v>67663</v>
      </c>
      <c r="N1139">
        <v>3222</v>
      </c>
      <c r="O1139">
        <v>74107</v>
      </c>
    </row>
    <row r="1140" spans="1:15" x14ac:dyDescent="0.35">
      <c r="A1140">
        <v>1139</v>
      </c>
      <c r="B1140" s="2" t="s">
        <v>22</v>
      </c>
      <c r="C1140" s="2" t="s">
        <v>11</v>
      </c>
      <c r="D1140">
        <v>45</v>
      </c>
      <c r="E1140" s="2" t="s">
        <v>28</v>
      </c>
      <c r="F1140" s="2" t="s">
        <v>13</v>
      </c>
      <c r="G1140">
        <v>83732</v>
      </c>
      <c r="H1140" s="1">
        <v>44923</v>
      </c>
      <c r="I1140">
        <v>1</v>
      </c>
      <c r="J1140">
        <v>2</v>
      </c>
      <c r="K1140">
        <v>8373</v>
      </c>
      <c r="L1140">
        <v>4187</v>
      </c>
      <c r="M1140">
        <v>87918</v>
      </c>
      <c r="N1140">
        <v>0</v>
      </c>
      <c r="O1140">
        <v>92105</v>
      </c>
    </row>
    <row r="1141" spans="1:15" x14ac:dyDescent="0.35">
      <c r="A1141">
        <v>1140</v>
      </c>
      <c r="B1141" s="2" t="s">
        <v>26</v>
      </c>
      <c r="C1141" s="2" t="s">
        <v>11</v>
      </c>
      <c r="D1141">
        <v>47</v>
      </c>
      <c r="E1141" s="2" t="s">
        <v>29</v>
      </c>
      <c r="F1141" s="2" t="s">
        <v>17</v>
      </c>
      <c r="G1141">
        <v>23605</v>
      </c>
      <c r="H1141" s="1">
        <v>44817</v>
      </c>
      <c r="I1141">
        <v>13</v>
      </c>
      <c r="J1141">
        <v>5</v>
      </c>
      <c r="K1141">
        <v>2360</v>
      </c>
      <c r="L1141">
        <v>1180</v>
      </c>
      <c r="M1141">
        <v>24785</v>
      </c>
      <c r="N1141">
        <v>1180</v>
      </c>
      <c r="O1141">
        <v>27145</v>
      </c>
    </row>
    <row r="1142" spans="1:15" x14ac:dyDescent="0.35">
      <c r="A1142">
        <v>1141</v>
      </c>
      <c r="B1142" s="2" t="s">
        <v>18</v>
      </c>
      <c r="C1142" s="2" t="s">
        <v>15</v>
      </c>
      <c r="D1142">
        <v>25</v>
      </c>
      <c r="E1142" s="2" t="s">
        <v>29</v>
      </c>
      <c r="F1142" s="2" t="s">
        <v>25</v>
      </c>
      <c r="G1142">
        <v>31704</v>
      </c>
      <c r="H1142" s="1">
        <v>44903</v>
      </c>
      <c r="I1142">
        <v>1</v>
      </c>
      <c r="J1142">
        <v>2</v>
      </c>
      <c r="K1142">
        <v>3170</v>
      </c>
      <c r="L1142">
        <v>1585</v>
      </c>
      <c r="M1142">
        <v>33289</v>
      </c>
      <c r="N1142">
        <v>0</v>
      </c>
      <c r="O1142">
        <v>34874</v>
      </c>
    </row>
    <row r="1143" spans="1:15" x14ac:dyDescent="0.35">
      <c r="A1143">
        <v>1142</v>
      </c>
      <c r="B1143" s="2" t="s">
        <v>14</v>
      </c>
      <c r="C1143" s="2" t="s">
        <v>15</v>
      </c>
      <c r="D1143">
        <v>23</v>
      </c>
      <c r="E1143" s="2" t="s">
        <v>16</v>
      </c>
      <c r="F1143" s="2" t="s">
        <v>25</v>
      </c>
      <c r="G1143">
        <v>99406</v>
      </c>
      <c r="H1143" s="1">
        <v>44900</v>
      </c>
      <c r="I1143">
        <v>4</v>
      </c>
      <c r="J1143">
        <v>2</v>
      </c>
      <c r="K1143">
        <v>9941</v>
      </c>
      <c r="L1143">
        <v>4970</v>
      </c>
      <c r="M1143">
        <v>104377</v>
      </c>
      <c r="N1143">
        <v>0</v>
      </c>
      <c r="O1143">
        <v>109347</v>
      </c>
    </row>
    <row r="1144" spans="1:15" x14ac:dyDescent="0.35">
      <c r="A1144">
        <v>1143</v>
      </c>
      <c r="B1144" s="2" t="s">
        <v>23</v>
      </c>
      <c r="C1144" s="2" t="s">
        <v>11</v>
      </c>
      <c r="D1144">
        <v>56</v>
      </c>
      <c r="E1144" s="2" t="s">
        <v>24</v>
      </c>
      <c r="F1144" s="2" t="s">
        <v>17</v>
      </c>
      <c r="G1144">
        <v>74226</v>
      </c>
      <c r="H1144" s="1">
        <v>45001</v>
      </c>
      <c r="I1144">
        <v>15</v>
      </c>
      <c r="J1144">
        <v>3</v>
      </c>
      <c r="K1144">
        <v>7423</v>
      </c>
      <c r="L1144">
        <v>3711</v>
      </c>
      <c r="M1144">
        <v>77938</v>
      </c>
      <c r="N1144">
        <v>3711</v>
      </c>
      <c r="O1144">
        <v>85360</v>
      </c>
    </row>
    <row r="1145" spans="1:15" x14ac:dyDescent="0.35">
      <c r="A1145">
        <v>1144</v>
      </c>
      <c r="B1145" s="2" t="s">
        <v>22</v>
      </c>
      <c r="C1145" s="2" t="s">
        <v>11</v>
      </c>
      <c r="D1145">
        <v>35</v>
      </c>
      <c r="E1145" s="2" t="s">
        <v>16</v>
      </c>
      <c r="F1145" s="2" t="s">
        <v>25</v>
      </c>
      <c r="G1145">
        <v>46397</v>
      </c>
      <c r="H1145" s="1">
        <v>44884</v>
      </c>
      <c r="I1145">
        <v>19</v>
      </c>
      <c r="J1145">
        <v>5</v>
      </c>
      <c r="K1145">
        <v>4640</v>
      </c>
      <c r="L1145">
        <v>2320</v>
      </c>
      <c r="M1145">
        <v>48717</v>
      </c>
      <c r="N1145">
        <v>2320</v>
      </c>
      <c r="O1145">
        <v>53357</v>
      </c>
    </row>
    <row r="1146" spans="1:15" x14ac:dyDescent="0.35">
      <c r="A1146">
        <v>1145</v>
      </c>
      <c r="B1146" s="2" t="s">
        <v>10</v>
      </c>
      <c r="C1146" s="2" t="s">
        <v>11</v>
      </c>
      <c r="D1146">
        <v>45</v>
      </c>
      <c r="E1146" s="2" t="s">
        <v>24</v>
      </c>
      <c r="F1146" s="2" t="s">
        <v>13</v>
      </c>
      <c r="G1146">
        <v>41704</v>
      </c>
      <c r="H1146" s="1">
        <v>45129</v>
      </c>
      <c r="I1146">
        <v>7</v>
      </c>
      <c r="J1146">
        <v>1</v>
      </c>
      <c r="K1146">
        <v>4170</v>
      </c>
      <c r="L1146">
        <v>2085</v>
      </c>
      <c r="M1146">
        <v>43789</v>
      </c>
      <c r="N1146">
        <v>2085</v>
      </c>
      <c r="O1146">
        <v>47959</v>
      </c>
    </row>
    <row r="1147" spans="1:15" x14ac:dyDescent="0.35">
      <c r="A1147">
        <v>1146</v>
      </c>
      <c r="B1147" s="2" t="s">
        <v>26</v>
      </c>
      <c r="C1147" s="2" t="s">
        <v>11</v>
      </c>
      <c r="D1147">
        <v>24</v>
      </c>
      <c r="E1147" s="2" t="s">
        <v>29</v>
      </c>
      <c r="F1147" s="2" t="s">
        <v>13</v>
      </c>
      <c r="G1147">
        <v>89927</v>
      </c>
      <c r="H1147" s="1">
        <v>45127</v>
      </c>
      <c r="I1147">
        <v>3</v>
      </c>
      <c r="J1147">
        <v>5</v>
      </c>
      <c r="K1147">
        <v>8993</v>
      </c>
      <c r="L1147">
        <v>4496</v>
      </c>
      <c r="M1147">
        <v>94424</v>
      </c>
      <c r="N1147">
        <v>0</v>
      </c>
      <c r="O1147">
        <v>98920</v>
      </c>
    </row>
    <row r="1148" spans="1:15" x14ac:dyDescent="0.35">
      <c r="A1148">
        <v>1147</v>
      </c>
      <c r="B1148" s="2" t="s">
        <v>30</v>
      </c>
      <c r="C1148" s="2" t="s">
        <v>15</v>
      </c>
      <c r="D1148">
        <v>48</v>
      </c>
      <c r="E1148" s="2" t="s">
        <v>24</v>
      </c>
      <c r="F1148" s="2" t="s">
        <v>19</v>
      </c>
      <c r="G1148">
        <v>88645</v>
      </c>
      <c r="H1148" s="1">
        <v>45093</v>
      </c>
      <c r="I1148">
        <v>19</v>
      </c>
      <c r="J1148">
        <v>2</v>
      </c>
      <c r="K1148">
        <v>8864</v>
      </c>
      <c r="L1148">
        <v>4432</v>
      </c>
      <c r="M1148">
        <v>93077</v>
      </c>
      <c r="N1148">
        <v>4432</v>
      </c>
      <c r="O1148">
        <v>101941</v>
      </c>
    </row>
    <row r="1149" spans="1:15" x14ac:dyDescent="0.35">
      <c r="A1149">
        <v>1148</v>
      </c>
      <c r="B1149" s="2" t="s">
        <v>27</v>
      </c>
      <c r="C1149" s="2" t="s">
        <v>15</v>
      </c>
      <c r="D1149">
        <v>26</v>
      </c>
      <c r="E1149" s="2" t="s">
        <v>16</v>
      </c>
      <c r="F1149" s="2" t="s">
        <v>21</v>
      </c>
      <c r="G1149">
        <v>91364</v>
      </c>
      <c r="H1149" s="1">
        <v>45109</v>
      </c>
      <c r="I1149">
        <v>13</v>
      </c>
      <c r="J1149">
        <v>4</v>
      </c>
      <c r="K1149">
        <v>9136</v>
      </c>
      <c r="L1149">
        <v>4568</v>
      </c>
      <c r="M1149">
        <v>95932</v>
      </c>
      <c r="N1149">
        <v>4568</v>
      </c>
      <c r="O1149">
        <v>105068</v>
      </c>
    </row>
    <row r="1150" spans="1:15" x14ac:dyDescent="0.35">
      <c r="A1150">
        <v>1149</v>
      </c>
      <c r="B1150" s="2" t="s">
        <v>10</v>
      </c>
      <c r="C1150" s="2" t="s">
        <v>11</v>
      </c>
      <c r="D1150">
        <v>54</v>
      </c>
      <c r="E1150" s="2" t="s">
        <v>16</v>
      </c>
      <c r="F1150" s="2" t="s">
        <v>13</v>
      </c>
      <c r="G1150">
        <v>49533</v>
      </c>
      <c r="H1150" s="1">
        <v>45325</v>
      </c>
      <c r="I1150">
        <v>8</v>
      </c>
      <c r="J1150">
        <v>2</v>
      </c>
      <c r="K1150">
        <v>4953</v>
      </c>
      <c r="L1150">
        <v>2477</v>
      </c>
      <c r="M1150">
        <v>52009</v>
      </c>
      <c r="N1150">
        <v>2477</v>
      </c>
      <c r="O1150">
        <v>56963</v>
      </c>
    </row>
    <row r="1151" spans="1:15" x14ac:dyDescent="0.35">
      <c r="A1151">
        <v>1150</v>
      </c>
      <c r="B1151" s="2" t="s">
        <v>20</v>
      </c>
      <c r="C1151" s="2" t="s">
        <v>11</v>
      </c>
      <c r="D1151">
        <v>40</v>
      </c>
      <c r="E1151" s="2" t="s">
        <v>29</v>
      </c>
      <c r="F1151" s="2" t="s">
        <v>25</v>
      </c>
      <c r="G1151">
        <v>82278</v>
      </c>
      <c r="H1151" s="1">
        <v>44704</v>
      </c>
      <c r="I1151">
        <v>14</v>
      </c>
      <c r="J1151">
        <v>5</v>
      </c>
      <c r="K1151">
        <v>8228</v>
      </c>
      <c r="L1151">
        <v>4114</v>
      </c>
      <c r="M1151">
        <v>86392</v>
      </c>
      <c r="N1151">
        <v>4114</v>
      </c>
      <c r="O1151">
        <v>94620</v>
      </c>
    </row>
    <row r="1152" spans="1:15" x14ac:dyDescent="0.35">
      <c r="A1152">
        <v>1151</v>
      </c>
      <c r="B1152" s="2" t="s">
        <v>18</v>
      </c>
      <c r="C1152" s="2" t="s">
        <v>11</v>
      </c>
      <c r="D1152">
        <v>30</v>
      </c>
      <c r="E1152" s="2" t="s">
        <v>29</v>
      </c>
      <c r="F1152" s="2" t="s">
        <v>21</v>
      </c>
      <c r="G1152">
        <v>80714</v>
      </c>
      <c r="H1152" s="1">
        <v>45498</v>
      </c>
      <c r="I1152">
        <v>18</v>
      </c>
      <c r="J1152">
        <v>2</v>
      </c>
      <c r="K1152">
        <v>8071</v>
      </c>
      <c r="L1152">
        <v>4036</v>
      </c>
      <c r="M1152">
        <v>84749</v>
      </c>
      <c r="N1152">
        <v>4036</v>
      </c>
      <c r="O1152">
        <v>92821</v>
      </c>
    </row>
    <row r="1153" spans="1:15" x14ac:dyDescent="0.35">
      <c r="A1153">
        <v>1152</v>
      </c>
      <c r="B1153" s="2" t="s">
        <v>27</v>
      </c>
      <c r="C1153" s="2" t="s">
        <v>11</v>
      </c>
      <c r="D1153">
        <v>24</v>
      </c>
      <c r="E1153" s="2" t="s">
        <v>28</v>
      </c>
      <c r="F1153" s="2" t="s">
        <v>17</v>
      </c>
      <c r="G1153">
        <v>29238</v>
      </c>
      <c r="H1153" s="1">
        <v>44976</v>
      </c>
      <c r="I1153">
        <v>11</v>
      </c>
      <c r="J1153">
        <v>2</v>
      </c>
      <c r="K1153">
        <v>2924</v>
      </c>
      <c r="L1153">
        <v>1462</v>
      </c>
      <c r="M1153">
        <v>30700</v>
      </c>
      <c r="N1153">
        <v>1462</v>
      </c>
      <c r="O1153">
        <v>33624</v>
      </c>
    </row>
    <row r="1154" spans="1:15" x14ac:dyDescent="0.35">
      <c r="A1154">
        <v>1153</v>
      </c>
      <c r="B1154" s="2" t="s">
        <v>31</v>
      </c>
      <c r="C1154" s="2" t="s">
        <v>15</v>
      </c>
      <c r="D1154">
        <v>24</v>
      </c>
      <c r="E1154" s="2" t="s">
        <v>24</v>
      </c>
      <c r="F1154" s="2" t="s">
        <v>25</v>
      </c>
      <c r="G1154">
        <v>21603</v>
      </c>
      <c r="H1154" s="1">
        <v>44877</v>
      </c>
      <c r="I1154">
        <v>3</v>
      </c>
      <c r="J1154">
        <v>2</v>
      </c>
      <c r="K1154">
        <v>2160</v>
      </c>
      <c r="L1154">
        <v>1080</v>
      </c>
      <c r="M1154">
        <v>22683</v>
      </c>
      <c r="N1154">
        <v>0</v>
      </c>
      <c r="O1154">
        <v>23763</v>
      </c>
    </row>
    <row r="1155" spans="1:15" x14ac:dyDescent="0.35">
      <c r="A1155">
        <v>1154</v>
      </c>
      <c r="B1155" s="2" t="s">
        <v>23</v>
      </c>
      <c r="C1155" s="2" t="s">
        <v>15</v>
      </c>
      <c r="D1155">
        <v>56</v>
      </c>
      <c r="E1155" s="2" t="s">
        <v>24</v>
      </c>
      <c r="F1155" s="2" t="s">
        <v>21</v>
      </c>
      <c r="G1155">
        <v>99347</v>
      </c>
      <c r="H1155" s="1">
        <v>45277</v>
      </c>
      <c r="I1155">
        <v>10</v>
      </c>
      <c r="J1155">
        <v>2</v>
      </c>
      <c r="K1155">
        <v>9935</v>
      </c>
      <c r="L1155">
        <v>4967</v>
      </c>
      <c r="M1155">
        <v>104315</v>
      </c>
      <c r="N1155">
        <v>4967</v>
      </c>
      <c r="O1155">
        <v>114249</v>
      </c>
    </row>
    <row r="1156" spans="1:15" x14ac:dyDescent="0.35">
      <c r="A1156">
        <v>1155</v>
      </c>
      <c r="B1156" s="2" t="s">
        <v>31</v>
      </c>
      <c r="C1156" s="2" t="s">
        <v>15</v>
      </c>
      <c r="D1156">
        <v>54</v>
      </c>
      <c r="E1156" s="2" t="s">
        <v>16</v>
      </c>
      <c r="F1156" s="2" t="s">
        <v>19</v>
      </c>
      <c r="G1156">
        <v>94056</v>
      </c>
      <c r="H1156" s="1">
        <v>44677</v>
      </c>
      <c r="I1156">
        <v>9</v>
      </c>
      <c r="J1156">
        <v>1</v>
      </c>
      <c r="K1156">
        <v>9406</v>
      </c>
      <c r="L1156">
        <v>4703</v>
      </c>
      <c r="M1156">
        <v>98759</v>
      </c>
      <c r="N1156">
        <v>4703</v>
      </c>
      <c r="O1156">
        <v>108165</v>
      </c>
    </row>
    <row r="1157" spans="1:15" x14ac:dyDescent="0.35">
      <c r="A1157">
        <v>1156</v>
      </c>
      <c r="B1157" s="2" t="s">
        <v>30</v>
      </c>
      <c r="C1157" s="2" t="s">
        <v>15</v>
      </c>
      <c r="D1157">
        <v>50</v>
      </c>
      <c r="E1157" s="2" t="s">
        <v>24</v>
      </c>
      <c r="F1157" s="2" t="s">
        <v>25</v>
      </c>
      <c r="G1157">
        <v>88690</v>
      </c>
      <c r="H1157" s="1">
        <v>45013</v>
      </c>
      <c r="I1157">
        <v>9</v>
      </c>
      <c r="J1157">
        <v>4</v>
      </c>
      <c r="K1157">
        <v>8869</v>
      </c>
      <c r="L1157">
        <v>4434</v>
      </c>
      <c r="M1157">
        <v>93125</v>
      </c>
      <c r="N1157">
        <v>4434</v>
      </c>
      <c r="O1157">
        <v>101993</v>
      </c>
    </row>
    <row r="1158" spans="1:15" x14ac:dyDescent="0.35">
      <c r="A1158">
        <v>1157</v>
      </c>
      <c r="B1158" s="2" t="s">
        <v>30</v>
      </c>
      <c r="C1158" s="2" t="s">
        <v>11</v>
      </c>
      <c r="D1158">
        <v>46</v>
      </c>
      <c r="E1158" s="2" t="s">
        <v>12</v>
      </c>
      <c r="F1158" s="2" t="s">
        <v>13</v>
      </c>
      <c r="G1158">
        <v>92747</v>
      </c>
      <c r="H1158" s="1">
        <v>45391</v>
      </c>
      <c r="I1158">
        <v>8</v>
      </c>
      <c r="J1158">
        <v>3</v>
      </c>
      <c r="K1158">
        <v>9275</v>
      </c>
      <c r="L1158">
        <v>4637</v>
      </c>
      <c r="M1158">
        <v>97385</v>
      </c>
      <c r="N1158">
        <v>4637</v>
      </c>
      <c r="O1158">
        <v>106659</v>
      </c>
    </row>
    <row r="1159" spans="1:15" x14ac:dyDescent="0.35">
      <c r="A1159">
        <v>1158</v>
      </c>
      <c r="B1159" s="2" t="s">
        <v>22</v>
      </c>
      <c r="C1159" s="2" t="s">
        <v>11</v>
      </c>
      <c r="D1159">
        <v>38</v>
      </c>
      <c r="E1159" s="2" t="s">
        <v>16</v>
      </c>
      <c r="F1159" s="2" t="s">
        <v>19</v>
      </c>
      <c r="G1159">
        <v>96433</v>
      </c>
      <c r="H1159" s="1">
        <v>45423</v>
      </c>
      <c r="I1159">
        <v>9</v>
      </c>
      <c r="J1159">
        <v>1</v>
      </c>
      <c r="K1159">
        <v>9643</v>
      </c>
      <c r="L1159">
        <v>4822</v>
      </c>
      <c r="M1159">
        <v>101254</v>
      </c>
      <c r="N1159">
        <v>4822</v>
      </c>
      <c r="O1159">
        <v>110898</v>
      </c>
    </row>
    <row r="1160" spans="1:15" x14ac:dyDescent="0.35">
      <c r="A1160">
        <v>1159</v>
      </c>
      <c r="B1160" s="2" t="s">
        <v>31</v>
      </c>
      <c r="C1160" s="2" t="s">
        <v>11</v>
      </c>
      <c r="D1160">
        <v>23</v>
      </c>
      <c r="E1160" s="2" t="s">
        <v>28</v>
      </c>
      <c r="F1160" s="2" t="s">
        <v>17</v>
      </c>
      <c r="G1160">
        <v>58880</v>
      </c>
      <c r="H1160" s="1">
        <v>45178</v>
      </c>
      <c r="I1160">
        <v>6</v>
      </c>
      <c r="J1160">
        <v>4</v>
      </c>
      <c r="K1160">
        <v>5888</v>
      </c>
      <c r="L1160">
        <v>2944</v>
      </c>
      <c r="M1160">
        <v>61824</v>
      </c>
      <c r="N1160">
        <v>2944</v>
      </c>
      <c r="O1160">
        <v>67712</v>
      </c>
    </row>
    <row r="1161" spans="1:15" x14ac:dyDescent="0.35">
      <c r="A1161">
        <v>1160</v>
      </c>
      <c r="B1161" s="2" t="s">
        <v>23</v>
      </c>
      <c r="C1161" s="2" t="s">
        <v>15</v>
      </c>
      <c r="D1161">
        <v>28</v>
      </c>
      <c r="E1161" s="2" t="s">
        <v>12</v>
      </c>
      <c r="F1161" s="2" t="s">
        <v>21</v>
      </c>
      <c r="G1161">
        <v>90317</v>
      </c>
      <c r="H1161" s="1">
        <v>44894</v>
      </c>
      <c r="I1161">
        <v>18</v>
      </c>
      <c r="J1161">
        <v>2</v>
      </c>
      <c r="K1161">
        <v>9032</v>
      </c>
      <c r="L1161">
        <v>4516</v>
      </c>
      <c r="M1161">
        <v>94833</v>
      </c>
      <c r="N1161">
        <v>4516</v>
      </c>
      <c r="O1161">
        <v>103865</v>
      </c>
    </row>
    <row r="1162" spans="1:15" x14ac:dyDescent="0.35">
      <c r="A1162">
        <v>1161</v>
      </c>
      <c r="B1162" s="2" t="s">
        <v>23</v>
      </c>
      <c r="C1162" s="2" t="s">
        <v>15</v>
      </c>
      <c r="D1162">
        <v>48</v>
      </c>
      <c r="E1162" s="2" t="s">
        <v>16</v>
      </c>
      <c r="F1162" s="2" t="s">
        <v>19</v>
      </c>
      <c r="G1162">
        <v>27552</v>
      </c>
      <c r="H1162" s="1">
        <v>44737</v>
      </c>
      <c r="I1162">
        <v>5</v>
      </c>
      <c r="J1162">
        <v>1</v>
      </c>
      <c r="K1162">
        <v>2755</v>
      </c>
      <c r="L1162">
        <v>1378</v>
      </c>
      <c r="M1162">
        <v>28929</v>
      </c>
      <c r="N1162">
        <v>0</v>
      </c>
      <c r="O1162">
        <v>30307</v>
      </c>
    </row>
    <row r="1163" spans="1:15" x14ac:dyDescent="0.35">
      <c r="A1163">
        <v>1162</v>
      </c>
      <c r="B1163" s="2" t="s">
        <v>18</v>
      </c>
      <c r="C1163" s="2" t="s">
        <v>11</v>
      </c>
      <c r="D1163">
        <v>24</v>
      </c>
      <c r="E1163" s="2" t="s">
        <v>12</v>
      </c>
      <c r="F1163" s="2" t="s">
        <v>19</v>
      </c>
      <c r="G1163">
        <v>84484</v>
      </c>
      <c r="H1163" s="1">
        <v>45037</v>
      </c>
      <c r="I1163">
        <v>8</v>
      </c>
      <c r="J1163">
        <v>4</v>
      </c>
      <c r="K1163">
        <v>8448</v>
      </c>
      <c r="L1163">
        <v>4224</v>
      </c>
      <c r="M1163">
        <v>88708</v>
      </c>
      <c r="N1163">
        <v>4224</v>
      </c>
      <c r="O1163">
        <v>97156</v>
      </c>
    </row>
    <row r="1164" spans="1:15" x14ac:dyDescent="0.35">
      <c r="A1164">
        <v>1163</v>
      </c>
      <c r="B1164" s="2" t="s">
        <v>23</v>
      </c>
      <c r="C1164" s="2" t="s">
        <v>15</v>
      </c>
      <c r="D1164">
        <v>53</v>
      </c>
      <c r="E1164" s="2" t="s">
        <v>29</v>
      </c>
      <c r="F1164" s="2" t="s">
        <v>25</v>
      </c>
      <c r="G1164">
        <v>72269</v>
      </c>
      <c r="H1164" s="1">
        <v>45473</v>
      </c>
      <c r="I1164">
        <v>10</v>
      </c>
      <c r="J1164">
        <v>2</v>
      </c>
      <c r="K1164">
        <v>7227</v>
      </c>
      <c r="L1164">
        <v>3613</v>
      </c>
      <c r="M1164">
        <v>75883</v>
      </c>
      <c r="N1164">
        <v>3613</v>
      </c>
      <c r="O1164">
        <v>83109</v>
      </c>
    </row>
    <row r="1165" spans="1:15" x14ac:dyDescent="0.35">
      <c r="A1165">
        <v>1164</v>
      </c>
      <c r="B1165" s="2" t="s">
        <v>10</v>
      </c>
      <c r="C1165" s="2" t="s">
        <v>15</v>
      </c>
      <c r="D1165">
        <v>55</v>
      </c>
      <c r="E1165" s="2" t="s">
        <v>29</v>
      </c>
      <c r="F1165" s="2" t="s">
        <v>19</v>
      </c>
      <c r="G1165">
        <v>49670</v>
      </c>
      <c r="H1165" s="1">
        <v>45414</v>
      </c>
      <c r="I1165">
        <v>10</v>
      </c>
      <c r="J1165">
        <v>5</v>
      </c>
      <c r="K1165">
        <v>4967</v>
      </c>
      <c r="L1165">
        <v>2484</v>
      </c>
      <c r="M1165">
        <v>52153</v>
      </c>
      <c r="N1165">
        <v>2484</v>
      </c>
      <c r="O1165">
        <v>57121</v>
      </c>
    </row>
    <row r="1166" spans="1:15" x14ac:dyDescent="0.35">
      <c r="A1166">
        <v>1165</v>
      </c>
      <c r="B1166" s="2" t="s">
        <v>10</v>
      </c>
      <c r="C1166" s="2" t="s">
        <v>11</v>
      </c>
      <c r="D1166">
        <v>42</v>
      </c>
      <c r="E1166" s="2" t="s">
        <v>28</v>
      </c>
      <c r="F1166" s="2" t="s">
        <v>17</v>
      </c>
      <c r="G1166">
        <v>88230</v>
      </c>
      <c r="H1166" s="1">
        <v>44621</v>
      </c>
      <c r="I1166">
        <v>4</v>
      </c>
      <c r="J1166">
        <v>4</v>
      </c>
      <c r="K1166">
        <v>8823</v>
      </c>
      <c r="L1166">
        <v>4412</v>
      </c>
      <c r="M1166">
        <v>92641</v>
      </c>
      <c r="N1166">
        <v>0</v>
      </c>
      <c r="O1166">
        <v>97053</v>
      </c>
    </row>
    <row r="1167" spans="1:15" x14ac:dyDescent="0.35">
      <c r="A1167">
        <v>1166</v>
      </c>
      <c r="B1167" s="2" t="s">
        <v>30</v>
      </c>
      <c r="C1167" s="2" t="s">
        <v>11</v>
      </c>
      <c r="D1167">
        <v>38</v>
      </c>
      <c r="E1167" s="2" t="s">
        <v>29</v>
      </c>
      <c r="F1167" s="2" t="s">
        <v>21</v>
      </c>
      <c r="G1167">
        <v>70216</v>
      </c>
      <c r="H1167" s="1">
        <v>45082</v>
      </c>
      <c r="I1167">
        <v>9</v>
      </c>
      <c r="J1167">
        <v>1</v>
      </c>
      <c r="K1167">
        <v>7022</v>
      </c>
      <c r="L1167">
        <v>3511</v>
      </c>
      <c r="M1167">
        <v>73727</v>
      </c>
      <c r="N1167">
        <v>3511</v>
      </c>
      <c r="O1167">
        <v>80749</v>
      </c>
    </row>
    <row r="1168" spans="1:15" x14ac:dyDescent="0.35">
      <c r="A1168">
        <v>1167</v>
      </c>
      <c r="B1168" s="2" t="s">
        <v>27</v>
      </c>
      <c r="C1168" s="2" t="s">
        <v>15</v>
      </c>
      <c r="D1168">
        <v>28</v>
      </c>
      <c r="E1168" s="2" t="s">
        <v>12</v>
      </c>
      <c r="F1168" s="2" t="s">
        <v>19</v>
      </c>
      <c r="G1168">
        <v>56622</v>
      </c>
      <c r="H1168" s="1">
        <v>45363</v>
      </c>
      <c r="I1168">
        <v>10</v>
      </c>
      <c r="J1168">
        <v>4</v>
      </c>
      <c r="K1168">
        <v>5662</v>
      </c>
      <c r="L1168">
        <v>2831</v>
      </c>
      <c r="M1168">
        <v>59453</v>
      </c>
      <c r="N1168">
        <v>2831</v>
      </c>
      <c r="O1168">
        <v>65115</v>
      </c>
    </row>
    <row r="1169" spans="1:15" x14ac:dyDescent="0.35">
      <c r="A1169">
        <v>1168</v>
      </c>
      <c r="B1169" s="2" t="s">
        <v>26</v>
      </c>
      <c r="C1169" s="2" t="s">
        <v>15</v>
      </c>
      <c r="D1169">
        <v>31</v>
      </c>
      <c r="E1169" s="2" t="s">
        <v>16</v>
      </c>
      <c r="F1169" s="2" t="s">
        <v>21</v>
      </c>
      <c r="G1169">
        <v>76010</v>
      </c>
      <c r="H1169" s="1">
        <v>45102</v>
      </c>
      <c r="I1169">
        <v>2</v>
      </c>
      <c r="J1169">
        <v>4</v>
      </c>
      <c r="K1169">
        <v>7601</v>
      </c>
      <c r="L1169">
        <v>3800</v>
      </c>
      <c r="M1169">
        <v>79811</v>
      </c>
      <c r="N1169">
        <v>0</v>
      </c>
      <c r="O1169">
        <v>83611</v>
      </c>
    </row>
    <row r="1170" spans="1:15" x14ac:dyDescent="0.35">
      <c r="A1170">
        <v>1169</v>
      </c>
      <c r="B1170" s="2" t="s">
        <v>20</v>
      </c>
      <c r="C1170" s="2" t="s">
        <v>11</v>
      </c>
      <c r="D1170">
        <v>49</v>
      </c>
      <c r="E1170" s="2" t="s">
        <v>16</v>
      </c>
      <c r="F1170" s="2" t="s">
        <v>13</v>
      </c>
      <c r="G1170">
        <v>99377</v>
      </c>
      <c r="H1170" s="1">
        <v>44852</v>
      </c>
      <c r="I1170">
        <v>12</v>
      </c>
      <c r="J1170">
        <v>2</v>
      </c>
      <c r="K1170">
        <v>9938</v>
      </c>
      <c r="L1170">
        <v>4969</v>
      </c>
      <c r="M1170">
        <v>104346</v>
      </c>
      <c r="N1170">
        <v>4969</v>
      </c>
      <c r="O1170">
        <v>114284</v>
      </c>
    </row>
    <row r="1171" spans="1:15" x14ac:dyDescent="0.35">
      <c r="A1171">
        <v>1170</v>
      </c>
      <c r="B1171" s="2" t="s">
        <v>10</v>
      </c>
      <c r="C1171" s="2" t="s">
        <v>11</v>
      </c>
      <c r="D1171">
        <v>52</v>
      </c>
      <c r="E1171" s="2" t="s">
        <v>16</v>
      </c>
      <c r="F1171" s="2" t="s">
        <v>25</v>
      </c>
      <c r="G1171">
        <v>82628</v>
      </c>
      <c r="H1171" s="1">
        <v>44766</v>
      </c>
      <c r="I1171">
        <v>18</v>
      </c>
      <c r="J1171">
        <v>2</v>
      </c>
      <c r="K1171">
        <v>8263</v>
      </c>
      <c r="L1171">
        <v>4131</v>
      </c>
      <c r="M1171">
        <v>86760</v>
      </c>
      <c r="N1171">
        <v>4131</v>
      </c>
      <c r="O1171">
        <v>95022</v>
      </c>
    </row>
    <row r="1172" spans="1:15" x14ac:dyDescent="0.35">
      <c r="A1172">
        <v>1171</v>
      </c>
      <c r="B1172" s="2" t="s">
        <v>31</v>
      </c>
      <c r="C1172" s="2" t="s">
        <v>15</v>
      </c>
      <c r="D1172">
        <v>45</v>
      </c>
      <c r="E1172" s="2" t="s">
        <v>28</v>
      </c>
      <c r="F1172" s="2" t="s">
        <v>21</v>
      </c>
      <c r="G1172">
        <v>82086</v>
      </c>
      <c r="H1172" s="1">
        <v>45418</v>
      </c>
      <c r="I1172">
        <v>2</v>
      </c>
      <c r="J1172">
        <v>5</v>
      </c>
      <c r="K1172">
        <v>8209</v>
      </c>
      <c r="L1172">
        <v>4104</v>
      </c>
      <c r="M1172">
        <v>86191</v>
      </c>
      <c r="N1172">
        <v>0</v>
      </c>
      <c r="O1172">
        <v>90295</v>
      </c>
    </row>
    <row r="1173" spans="1:15" x14ac:dyDescent="0.35">
      <c r="A1173">
        <v>1172</v>
      </c>
      <c r="B1173" s="2" t="s">
        <v>20</v>
      </c>
      <c r="C1173" s="2" t="s">
        <v>15</v>
      </c>
      <c r="D1173">
        <v>54</v>
      </c>
      <c r="E1173" s="2" t="s">
        <v>12</v>
      </c>
      <c r="F1173" s="2" t="s">
        <v>19</v>
      </c>
      <c r="G1173">
        <v>37597</v>
      </c>
      <c r="H1173" s="1">
        <v>45521</v>
      </c>
      <c r="I1173">
        <v>10</v>
      </c>
      <c r="J1173">
        <v>1</v>
      </c>
      <c r="K1173">
        <v>3760</v>
      </c>
      <c r="L1173">
        <v>1880</v>
      </c>
      <c r="M1173">
        <v>39477</v>
      </c>
      <c r="N1173">
        <v>1880</v>
      </c>
      <c r="O1173">
        <v>43237</v>
      </c>
    </row>
    <row r="1174" spans="1:15" x14ac:dyDescent="0.35">
      <c r="A1174">
        <v>1173</v>
      </c>
      <c r="B1174" s="2" t="s">
        <v>23</v>
      </c>
      <c r="C1174" s="2" t="s">
        <v>15</v>
      </c>
      <c r="D1174">
        <v>57</v>
      </c>
      <c r="E1174" s="2" t="s">
        <v>29</v>
      </c>
      <c r="F1174" s="2" t="s">
        <v>17</v>
      </c>
      <c r="G1174">
        <v>79020</v>
      </c>
      <c r="H1174" s="1">
        <v>44643</v>
      </c>
      <c r="I1174">
        <v>10</v>
      </c>
      <c r="J1174">
        <v>4</v>
      </c>
      <c r="K1174">
        <v>7902</v>
      </c>
      <c r="L1174">
        <v>3951</v>
      </c>
      <c r="M1174">
        <v>82971</v>
      </c>
      <c r="N1174">
        <v>3951</v>
      </c>
      <c r="O1174">
        <v>90873</v>
      </c>
    </row>
    <row r="1175" spans="1:15" x14ac:dyDescent="0.35">
      <c r="A1175">
        <v>1174</v>
      </c>
      <c r="B1175" s="2" t="s">
        <v>23</v>
      </c>
      <c r="C1175" s="2" t="s">
        <v>11</v>
      </c>
      <c r="D1175">
        <v>59</v>
      </c>
      <c r="E1175" s="2" t="s">
        <v>12</v>
      </c>
      <c r="F1175" s="2" t="s">
        <v>25</v>
      </c>
      <c r="G1175">
        <v>46222</v>
      </c>
      <c r="H1175" s="1">
        <v>45279</v>
      </c>
      <c r="I1175">
        <v>10</v>
      </c>
      <c r="J1175">
        <v>4</v>
      </c>
      <c r="K1175">
        <v>4622</v>
      </c>
      <c r="L1175">
        <v>2311</v>
      </c>
      <c r="M1175">
        <v>48533</v>
      </c>
      <c r="N1175">
        <v>2311</v>
      </c>
      <c r="O1175">
        <v>53155</v>
      </c>
    </row>
    <row r="1176" spans="1:15" x14ac:dyDescent="0.35">
      <c r="A1176">
        <v>1175</v>
      </c>
      <c r="B1176" s="2" t="s">
        <v>22</v>
      </c>
      <c r="C1176" s="2" t="s">
        <v>15</v>
      </c>
      <c r="D1176">
        <v>33</v>
      </c>
      <c r="E1176" s="2" t="s">
        <v>28</v>
      </c>
      <c r="F1176" s="2" t="s">
        <v>21</v>
      </c>
      <c r="G1176">
        <v>36668</v>
      </c>
      <c r="H1176" s="1">
        <v>45150</v>
      </c>
      <c r="I1176">
        <v>16</v>
      </c>
      <c r="J1176">
        <v>1</v>
      </c>
      <c r="K1176">
        <v>3667</v>
      </c>
      <c r="L1176">
        <v>1833</v>
      </c>
      <c r="M1176">
        <v>38502</v>
      </c>
      <c r="N1176">
        <v>1833</v>
      </c>
      <c r="O1176">
        <v>42168</v>
      </c>
    </row>
    <row r="1177" spans="1:15" x14ac:dyDescent="0.35">
      <c r="A1177">
        <v>1176</v>
      </c>
      <c r="B1177" s="2" t="s">
        <v>30</v>
      </c>
      <c r="C1177" s="2" t="s">
        <v>11</v>
      </c>
      <c r="D1177">
        <v>29</v>
      </c>
      <c r="E1177" s="2" t="s">
        <v>16</v>
      </c>
      <c r="F1177" s="2" t="s">
        <v>21</v>
      </c>
      <c r="G1177">
        <v>53800</v>
      </c>
      <c r="H1177" s="1">
        <v>45277</v>
      </c>
      <c r="I1177">
        <v>12</v>
      </c>
      <c r="J1177">
        <v>3</v>
      </c>
      <c r="K1177">
        <v>5380</v>
      </c>
      <c r="L1177">
        <v>2690</v>
      </c>
      <c r="M1177">
        <v>56490</v>
      </c>
      <c r="N1177">
        <v>2690</v>
      </c>
      <c r="O1177">
        <v>61870</v>
      </c>
    </row>
    <row r="1178" spans="1:15" x14ac:dyDescent="0.35">
      <c r="A1178">
        <v>1177</v>
      </c>
      <c r="B1178" s="2" t="s">
        <v>22</v>
      </c>
      <c r="C1178" s="2" t="s">
        <v>11</v>
      </c>
      <c r="D1178">
        <v>38</v>
      </c>
      <c r="E1178" s="2" t="s">
        <v>24</v>
      </c>
      <c r="F1178" s="2" t="s">
        <v>13</v>
      </c>
      <c r="G1178">
        <v>79419</v>
      </c>
      <c r="H1178" s="1">
        <v>45412</v>
      </c>
      <c r="I1178">
        <v>3</v>
      </c>
      <c r="J1178">
        <v>5</v>
      </c>
      <c r="K1178">
        <v>7942</v>
      </c>
      <c r="L1178">
        <v>3971</v>
      </c>
      <c r="M1178">
        <v>83390</v>
      </c>
      <c r="N1178">
        <v>0</v>
      </c>
      <c r="O1178">
        <v>87361</v>
      </c>
    </row>
    <row r="1179" spans="1:15" x14ac:dyDescent="0.35">
      <c r="A1179">
        <v>1178</v>
      </c>
      <c r="B1179" s="2" t="s">
        <v>30</v>
      </c>
      <c r="C1179" s="2" t="s">
        <v>15</v>
      </c>
      <c r="D1179">
        <v>50</v>
      </c>
      <c r="E1179" s="2" t="s">
        <v>24</v>
      </c>
      <c r="F1179" s="2" t="s">
        <v>13</v>
      </c>
      <c r="G1179">
        <v>34722</v>
      </c>
      <c r="H1179" s="1">
        <v>44851</v>
      </c>
      <c r="I1179">
        <v>7</v>
      </c>
      <c r="J1179">
        <v>4</v>
      </c>
      <c r="K1179">
        <v>3472</v>
      </c>
      <c r="L1179">
        <v>1736</v>
      </c>
      <c r="M1179">
        <v>36458</v>
      </c>
      <c r="N1179">
        <v>1736</v>
      </c>
      <c r="O1179">
        <v>39930</v>
      </c>
    </row>
    <row r="1180" spans="1:15" x14ac:dyDescent="0.35">
      <c r="A1180">
        <v>1179</v>
      </c>
      <c r="B1180" s="2" t="s">
        <v>26</v>
      </c>
      <c r="C1180" s="2" t="s">
        <v>11</v>
      </c>
      <c r="D1180">
        <v>40</v>
      </c>
      <c r="E1180" s="2" t="s">
        <v>24</v>
      </c>
      <c r="F1180" s="2" t="s">
        <v>25</v>
      </c>
      <c r="G1180">
        <v>84523</v>
      </c>
      <c r="H1180" s="1">
        <v>44871</v>
      </c>
      <c r="I1180">
        <v>18</v>
      </c>
      <c r="J1180">
        <v>1</v>
      </c>
      <c r="K1180">
        <v>8452</v>
      </c>
      <c r="L1180">
        <v>4226</v>
      </c>
      <c r="M1180">
        <v>88749</v>
      </c>
      <c r="N1180">
        <v>4226</v>
      </c>
      <c r="O1180">
        <v>97201</v>
      </c>
    </row>
    <row r="1181" spans="1:15" x14ac:dyDescent="0.35">
      <c r="A1181">
        <v>1180</v>
      </c>
      <c r="B1181" s="2" t="s">
        <v>30</v>
      </c>
      <c r="C1181" s="2" t="s">
        <v>11</v>
      </c>
      <c r="D1181">
        <v>54</v>
      </c>
      <c r="E1181" s="2" t="s">
        <v>29</v>
      </c>
      <c r="F1181" s="2" t="s">
        <v>13</v>
      </c>
      <c r="G1181">
        <v>86851</v>
      </c>
      <c r="H1181" s="1">
        <v>44968</v>
      </c>
      <c r="I1181">
        <v>1</v>
      </c>
      <c r="J1181">
        <v>5</v>
      </c>
      <c r="K1181">
        <v>8685</v>
      </c>
      <c r="L1181">
        <v>4343</v>
      </c>
      <c r="M1181">
        <v>91193</v>
      </c>
      <c r="N1181">
        <v>0</v>
      </c>
      <c r="O1181">
        <v>95536</v>
      </c>
    </row>
    <row r="1182" spans="1:15" x14ac:dyDescent="0.35">
      <c r="A1182">
        <v>1181</v>
      </c>
      <c r="B1182" s="2" t="s">
        <v>10</v>
      </c>
      <c r="C1182" s="2" t="s">
        <v>11</v>
      </c>
      <c r="D1182">
        <v>44</v>
      </c>
      <c r="E1182" s="2" t="s">
        <v>29</v>
      </c>
      <c r="F1182" s="2" t="s">
        <v>13</v>
      </c>
      <c r="G1182">
        <v>30693</v>
      </c>
      <c r="H1182" s="1">
        <v>45164</v>
      </c>
      <c r="I1182">
        <v>3</v>
      </c>
      <c r="J1182">
        <v>2</v>
      </c>
      <c r="K1182">
        <v>3069</v>
      </c>
      <c r="L1182">
        <v>1535</v>
      </c>
      <c r="M1182">
        <v>32227</v>
      </c>
      <c r="N1182">
        <v>0</v>
      </c>
      <c r="O1182">
        <v>33762</v>
      </c>
    </row>
    <row r="1183" spans="1:15" x14ac:dyDescent="0.35">
      <c r="A1183">
        <v>1182</v>
      </c>
      <c r="B1183" s="2" t="s">
        <v>27</v>
      </c>
      <c r="C1183" s="2" t="s">
        <v>15</v>
      </c>
      <c r="D1183">
        <v>59</v>
      </c>
      <c r="E1183" s="2" t="s">
        <v>16</v>
      </c>
      <c r="F1183" s="2" t="s">
        <v>21</v>
      </c>
      <c r="G1183">
        <v>63518</v>
      </c>
      <c r="H1183" s="1">
        <v>44658</v>
      </c>
      <c r="I1183">
        <v>1</v>
      </c>
      <c r="J1183">
        <v>5</v>
      </c>
      <c r="K1183">
        <v>6352</v>
      </c>
      <c r="L1183">
        <v>3176</v>
      </c>
      <c r="M1183">
        <v>66694</v>
      </c>
      <c r="N1183">
        <v>0</v>
      </c>
      <c r="O1183">
        <v>69870</v>
      </c>
    </row>
    <row r="1184" spans="1:15" x14ac:dyDescent="0.35">
      <c r="A1184">
        <v>1183</v>
      </c>
      <c r="B1184" s="2" t="s">
        <v>10</v>
      </c>
      <c r="C1184" s="2" t="s">
        <v>11</v>
      </c>
      <c r="D1184">
        <v>29</v>
      </c>
      <c r="E1184" s="2" t="s">
        <v>29</v>
      </c>
      <c r="F1184" s="2" t="s">
        <v>17</v>
      </c>
      <c r="G1184">
        <v>46952</v>
      </c>
      <c r="H1184" s="1">
        <v>44995</v>
      </c>
      <c r="I1184">
        <v>9</v>
      </c>
      <c r="J1184">
        <v>4</v>
      </c>
      <c r="K1184">
        <v>4695</v>
      </c>
      <c r="L1184">
        <v>2348</v>
      </c>
      <c r="M1184">
        <v>49299</v>
      </c>
      <c r="N1184">
        <v>2348</v>
      </c>
      <c r="O1184">
        <v>53995</v>
      </c>
    </row>
    <row r="1185" spans="1:15" x14ac:dyDescent="0.35">
      <c r="A1185">
        <v>1184</v>
      </c>
      <c r="B1185" s="2" t="s">
        <v>26</v>
      </c>
      <c r="C1185" s="2" t="s">
        <v>15</v>
      </c>
      <c r="D1185">
        <v>51</v>
      </c>
      <c r="E1185" s="2" t="s">
        <v>24</v>
      </c>
      <c r="F1185" s="2" t="s">
        <v>25</v>
      </c>
      <c r="G1185">
        <v>72545</v>
      </c>
      <c r="H1185" s="1">
        <v>45438</v>
      </c>
      <c r="I1185">
        <v>14</v>
      </c>
      <c r="J1185">
        <v>3</v>
      </c>
      <c r="K1185">
        <v>7254</v>
      </c>
      <c r="L1185">
        <v>3627</v>
      </c>
      <c r="M1185">
        <v>76172</v>
      </c>
      <c r="N1185">
        <v>3627</v>
      </c>
      <c r="O1185">
        <v>83426</v>
      </c>
    </row>
    <row r="1186" spans="1:15" x14ac:dyDescent="0.35">
      <c r="A1186">
        <v>1185</v>
      </c>
      <c r="B1186" s="2" t="s">
        <v>20</v>
      </c>
      <c r="C1186" s="2" t="s">
        <v>11</v>
      </c>
      <c r="D1186">
        <v>45</v>
      </c>
      <c r="E1186" s="2" t="s">
        <v>28</v>
      </c>
      <c r="F1186" s="2" t="s">
        <v>13</v>
      </c>
      <c r="G1186">
        <v>83775</v>
      </c>
      <c r="H1186" s="1">
        <v>45096</v>
      </c>
      <c r="I1186">
        <v>8</v>
      </c>
      <c r="J1186">
        <v>4</v>
      </c>
      <c r="K1186">
        <v>8378</v>
      </c>
      <c r="L1186">
        <v>4189</v>
      </c>
      <c r="M1186">
        <v>87964</v>
      </c>
      <c r="N1186">
        <v>4189</v>
      </c>
      <c r="O1186">
        <v>96342</v>
      </c>
    </row>
    <row r="1187" spans="1:15" x14ac:dyDescent="0.35">
      <c r="A1187">
        <v>1186</v>
      </c>
      <c r="B1187" s="2" t="s">
        <v>14</v>
      </c>
      <c r="C1187" s="2" t="s">
        <v>15</v>
      </c>
      <c r="D1187">
        <v>49</v>
      </c>
      <c r="E1187" s="2" t="s">
        <v>16</v>
      </c>
      <c r="F1187" s="2" t="s">
        <v>19</v>
      </c>
      <c r="G1187">
        <v>20889</v>
      </c>
      <c r="H1187" s="1">
        <v>45534</v>
      </c>
      <c r="I1187">
        <v>11</v>
      </c>
      <c r="J1187">
        <v>4</v>
      </c>
      <c r="K1187">
        <v>2089</v>
      </c>
      <c r="L1187">
        <v>1044</v>
      </c>
      <c r="M1187">
        <v>21934</v>
      </c>
      <c r="N1187">
        <v>1044</v>
      </c>
      <c r="O1187">
        <v>24022</v>
      </c>
    </row>
    <row r="1188" spans="1:15" x14ac:dyDescent="0.35">
      <c r="A1188">
        <v>1187</v>
      </c>
      <c r="B1188" s="2" t="s">
        <v>20</v>
      </c>
      <c r="C1188" s="2" t="s">
        <v>11</v>
      </c>
      <c r="D1188">
        <v>21</v>
      </c>
      <c r="E1188" s="2" t="s">
        <v>12</v>
      </c>
      <c r="F1188" s="2" t="s">
        <v>13</v>
      </c>
      <c r="G1188">
        <v>47771</v>
      </c>
      <c r="H1188" s="1">
        <v>44680</v>
      </c>
      <c r="I1188">
        <v>14</v>
      </c>
      <c r="J1188">
        <v>4</v>
      </c>
      <c r="K1188">
        <v>4777</v>
      </c>
      <c r="L1188">
        <v>2389</v>
      </c>
      <c r="M1188">
        <v>50159</v>
      </c>
      <c r="N1188">
        <v>2389</v>
      </c>
      <c r="O1188">
        <v>54937</v>
      </c>
    </row>
    <row r="1189" spans="1:15" x14ac:dyDescent="0.35">
      <c r="A1189">
        <v>1188</v>
      </c>
      <c r="B1189" s="2" t="s">
        <v>14</v>
      </c>
      <c r="C1189" s="2" t="s">
        <v>11</v>
      </c>
      <c r="D1189">
        <v>53</v>
      </c>
      <c r="E1189" s="2" t="s">
        <v>24</v>
      </c>
      <c r="F1189" s="2" t="s">
        <v>17</v>
      </c>
      <c r="G1189">
        <v>23773</v>
      </c>
      <c r="H1189" s="1">
        <v>44748</v>
      </c>
      <c r="I1189">
        <v>8</v>
      </c>
      <c r="J1189">
        <v>3</v>
      </c>
      <c r="K1189">
        <v>2377</v>
      </c>
      <c r="L1189">
        <v>1189</v>
      </c>
      <c r="M1189">
        <v>24961</v>
      </c>
      <c r="N1189">
        <v>1189</v>
      </c>
      <c r="O1189">
        <v>27339</v>
      </c>
    </row>
    <row r="1190" spans="1:15" x14ac:dyDescent="0.35">
      <c r="A1190">
        <v>1189</v>
      </c>
      <c r="B1190" s="2" t="s">
        <v>18</v>
      </c>
      <c r="C1190" s="2" t="s">
        <v>11</v>
      </c>
      <c r="D1190">
        <v>47</v>
      </c>
      <c r="E1190" s="2" t="s">
        <v>16</v>
      </c>
      <c r="F1190" s="2" t="s">
        <v>21</v>
      </c>
      <c r="G1190">
        <v>69234</v>
      </c>
      <c r="H1190" s="1">
        <v>45562</v>
      </c>
      <c r="I1190">
        <v>1</v>
      </c>
      <c r="J1190">
        <v>3</v>
      </c>
      <c r="K1190">
        <v>6923</v>
      </c>
      <c r="L1190">
        <v>3462</v>
      </c>
      <c r="M1190">
        <v>72695</v>
      </c>
      <c r="N1190">
        <v>0</v>
      </c>
      <c r="O1190">
        <v>76157</v>
      </c>
    </row>
    <row r="1191" spans="1:15" x14ac:dyDescent="0.35">
      <c r="A1191">
        <v>1190</v>
      </c>
      <c r="B1191" s="2" t="s">
        <v>20</v>
      </c>
      <c r="C1191" s="2" t="s">
        <v>15</v>
      </c>
      <c r="D1191">
        <v>60</v>
      </c>
      <c r="E1191" s="2" t="s">
        <v>16</v>
      </c>
      <c r="F1191" s="2" t="s">
        <v>19</v>
      </c>
      <c r="G1191">
        <v>68777</v>
      </c>
      <c r="H1191" s="1">
        <v>45418</v>
      </c>
      <c r="I1191">
        <v>7</v>
      </c>
      <c r="J1191">
        <v>5</v>
      </c>
      <c r="K1191">
        <v>6878</v>
      </c>
      <c r="L1191">
        <v>3439</v>
      </c>
      <c r="M1191">
        <v>72216</v>
      </c>
      <c r="N1191">
        <v>3439</v>
      </c>
      <c r="O1191">
        <v>79094</v>
      </c>
    </row>
    <row r="1192" spans="1:15" x14ac:dyDescent="0.35">
      <c r="A1192">
        <v>1191</v>
      </c>
      <c r="B1192" s="2" t="s">
        <v>14</v>
      </c>
      <c r="C1192" s="2" t="s">
        <v>15</v>
      </c>
      <c r="D1192">
        <v>33</v>
      </c>
      <c r="E1192" s="2" t="s">
        <v>28</v>
      </c>
      <c r="F1192" s="2" t="s">
        <v>19</v>
      </c>
      <c r="G1192">
        <v>75422</v>
      </c>
      <c r="H1192" s="1">
        <v>44952</v>
      </c>
      <c r="I1192">
        <v>9</v>
      </c>
      <c r="J1192">
        <v>1</v>
      </c>
      <c r="K1192">
        <v>7542</v>
      </c>
      <c r="L1192">
        <v>3771</v>
      </c>
      <c r="M1192">
        <v>79193</v>
      </c>
      <c r="N1192">
        <v>3771</v>
      </c>
      <c r="O1192">
        <v>86735</v>
      </c>
    </row>
    <row r="1193" spans="1:15" x14ac:dyDescent="0.35">
      <c r="A1193">
        <v>1192</v>
      </c>
      <c r="B1193" s="2" t="s">
        <v>31</v>
      </c>
      <c r="C1193" s="2" t="s">
        <v>11</v>
      </c>
      <c r="D1193">
        <v>32</v>
      </c>
      <c r="E1193" s="2" t="s">
        <v>16</v>
      </c>
      <c r="F1193" s="2" t="s">
        <v>17</v>
      </c>
      <c r="G1193">
        <v>62721</v>
      </c>
      <c r="H1193" s="1">
        <v>44656</v>
      </c>
      <c r="I1193">
        <v>13</v>
      </c>
      <c r="J1193">
        <v>1</v>
      </c>
      <c r="K1193">
        <v>6272</v>
      </c>
      <c r="L1193">
        <v>3136</v>
      </c>
      <c r="M1193">
        <v>65857</v>
      </c>
      <c r="N1193">
        <v>3136</v>
      </c>
      <c r="O1193">
        <v>72129</v>
      </c>
    </row>
    <row r="1194" spans="1:15" x14ac:dyDescent="0.35">
      <c r="A1194">
        <v>1193</v>
      </c>
      <c r="B1194" s="2" t="s">
        <v>10</v>
      </c>
      <c r="C1194" s="2" t="s">
        <v>11</v>
      </c>
      <c r="D1194">
        <v>39</v>
      </c>
      <c r="E1194" s="2" t="s">
        <v>28</v>
      </c>
      <c r="F1194" s="2" t="s">
        <v>25</v>
      </c>
      <c r="G1194">
        <v>77014</v>
      </c>
      <c r="H1194" s="1">
        <v>45471</v>
      </c>
      <c r="I1194">
        <v>4</v>
      </c>
      <c r="J1194">
        <v>2</v>
      </c>
      <c r="K1194">
        <v>7701</v>
      </c>
      <c r="L1194">
        <v>3851</v>
      </c>
      <c r="M1194">
        <v>80864</v>
      </c>
      <c r="N1194">
        <v>0</v>
      </c>
      <c r="O1194">
        <v>84715</v>
      </c>
    </row>
    <row r="1195" spans="1:15" x14ac:dyDescent="0.35">
      <c r="A1195">
        <v>1194</v>
      </c>
      <c r="B1195" s="2" t="s">
        <v>27</v>
      </c>
      <c r="C1195" s="2" t="s">
        <v>11</v>
      </c>
      <c r="D1195">
        <v>31</v>
      </c>
      <c r="E1195" s="2" t="s">
        <v>24</v>
      </c>
      <c r="F1195" s="2" t="s">
        <v>25</v>
      </c>
      <c r="G1195">
        <v>95531</v>
      </c>
      <c r="H1195" s="1">
        <v>44570</v>
      </c>
      <c r="I1195">
        <v>14</v>
      </c>
      <c r="J1195">
        <v>4</v>
      </c>
      <c r="K1195">
        <v>9553</v>
      </c>
      <c r="L1195">
        <v>4777</v>
      </c>
      <c r="M1195">
        <v>100307</v>
      </c>
      <c r="N1195">
        <v>4777</v>
      </c>
      <c r="O1195">
        <v>109861</v>
      </c>
    </row>
    <row r="1196" spans="1:15" x14ac:dyDescent="0.35">
      <c r="A1196">
        <v>1195</v>
      </c>
      <c r="B1196" s="2" t="s">
        <v>31</v>
      </c>
      <c r="C1196" s="2" t="s">
        <v>15</v>
      </c>
      <c r="D1196">
        <v>38</v>
      </c>
      <c r="E1196" s="2" t="s">
        <v>24</v>
      </c>
      <c r="F1196" s="2" t="s">
        <v>21</v>
      </c>
      <c r="G1196">
        <v>66024</v>
      </c>
      <c r="H1196" s="1">
        <v>45005</v>
      </c>
      <c r="I1196">
        <v>18</v>
      </c>
      <c r="J1196">
        <v>5</v>
      </c>
      <c r="K1196">
        <v>6602</v>
      </c>
      <c r="L1196">
        <v>3301</v>
      </c>
      <c r="M1196">
        <v>69325</v>
      </c>
      <c r="N1196">
        <v>3301</v>
      </c>
      <c r="O1196">
        <v>75927</v>
      </c>
    </row>
    <row r="1197" spans="1:15" x14ac:dyDescent="0.35">
      <c r="A1197">
        <v>1196</v>
      </c>
      <c r="B1197" s="2" t="s">
        <v>30</v>
      </c>
      <c r="C1197" s="2" t="s">
        <v>11</v>
      </c>
      <c r="D1197">
        <v>43</v>
      </c>
      <c r="E1197" s="2" t="s">
        <v>29</v>
      </c>
      <c r="F1197" s="2" t="s">
        <v>13</v>
      </c>
      <c r="G1197">
        <v>48286</v>
      </c>
      <c r="H1197" s="1">
        <v>45332</v>
      </c>
      <c r="I1197">
        <v>5</v>
      </c>
      <c r="J1197">
        <v>3</v>
      </c>
      <c r="K1197">
        <v>4829</v>
      </c>
      <c r="L1197">
        <v>2414</v>
      </c>
      <c r="M1197">
        <v>50701</v>
      </c>
      <c r="N1197">
        <v>0</v>
      </c>
      <c r="O1197">
        <v>53115</v>
      </c>
    </row>
    <row r="1198" spans="1:15" x14ac:dyDescent="0.35">
      <c r="A1198">
        <v>1197</v>
      </c>
      <c r="B1198" s="2" t="s">
        <v>10</v>
      </c>
      <c r="C1198" s="2" t="s">
        <v>11</v>
      </c>
      <c r="D1198">
        <v>29</v>
      </c>
      <c r="E1198" s="2" t="s">
        <v>24</v>
      </c>
      <c r="F1198" s="2" t="s">
        <v>25</v>
      </c>
      <c r="G1198">
        <v>20133</v>
      </c>
      <c r="H1198" s="1">
        <v>44683</v>
      </c>
      <c r="I1198">
        <v>18</v>
      </c>
      <c r="J1198">
        <v>2</v>
      </c>
      <c r="K1198">
        <v>2013</v>
      </c>
      <c r="L1198">
        <v>1007</v>
      </c>
      <c r="M1198">
        <v>21139</v>
      </c>
      <c r="N1198">
        <v>1007</v>
      </c>
      <c r="O1198">
        <v>23153</v>
      </c>
    </row>
    <row r="1199" spans="1:15" x14ac:dyDescent="0.35">
      <c r="A1199">
        <v>1198</v>
      </c>
      <c r="B1199" s="2" t="s">
        <v>31</v>
      </c>
      <c r="C1199" s="2" t="s">
        <v>15</v>
      </c>
      <c r="D1199">
        <v>29</v>
      </c>
      <c r="E1199" s="2" t="s">
        <v>28</v>
      </c>
      <c r="F1199" s="2" t="s">
        <v>25</v>
      </c>
      <c r="G1199">
        <v>98045</v>
      </c>
      <c r="H1199" s="1">
        <v>45189</v>
      </c>
      <c r="I1199">
        <v>20</v>
      </c>
      <c r="J1199">
        <v>3</v>
      </c>
      <c r="K1199">
        <v>9804</v>
      </c>
      <c r="L1199">
        <v>4902</v>
      </c>
      <c r="M1199">
        <v>102947</v>
      </c>
      <c r="N1199">
        <v>4902</v>
      </c>
      <c r="O1199">
        <v>112751</v>
      </c>
    </row>
    <row r="1200" spans="1:15" x14ac:dyDescent="0.35">
      <c r="A1200">
        <v>1199</v>
      </c>
      <c r="B1200" s="2" t="s">
        <v>10</v>
      </c>
      <c r="C1200" s="2" t="s">
        <v>15</v>
      </c>
      <c r="D1200">
        <v>47</v>
      </c>
      <c r="E1200" s="2" t="s">
        <v>16</v>
      </c>
      <c r="F1200" s="2" t="s">
        <v>21</v>
      </c>
      <c r="G1200">
        <v>84180</v>
      </c>
      <c r="H1200" s="1">
        <v>45059</v>
      </c>
      <c r="I1200">
        <v>1</v>
      </c>
      <c r="J1200">
        <v>2</v>
      </c>
      <c r="K1200">
        <v>8418</v>
      </c>
      <c r="L1200">
        <v>4209</v>
      </c>
      <c r="M1200">
        <v>88389</v>
      </c>
      <c r="N1200">
        <v>0</v>
      </c>
      <c r="O1200">
        <v>92598</v>
      </c>
    </row>
    <row r="1201" spans="1:15" x14ac:dyDescent="0.35">
      <c r="A1201">
        <v>1200</v>
      </c>
      <c r="B1201" s="2" t="s">
        <v>23</v>
      </c>
      <c r="C1201" s="2" t="s">
        <v>15</v>
      </c>
      <c r="D1201">
        <v>31</v>
      </c>
      <c r="E1201" s="2" t="s">
        <v>28</v>
      </c>
      <c r="F1201" s="2" t="s">
        <v>21</v>
      </c>
      <c r="G1201">
        <v>79939</v>
      </c>
      <c r="H1201" s="1">
        <v>45309</v>
      </c>
      <c r="I1201">
        <v>14</v>
      </c>
      <c r="J1201">
        <v>1</v>
      </c>
      <c r="K1201">
        <v>7994</v>
      </c>
      <c r="L1201">
        <v>3997</v>
      </c>
      <c r="M1201">
        <v>83936</v>
      </c>
      <c r="N1201">
        <v>3997</v>
      </c>
      <c r="O1201">
        <v>91930</v>
      </c>
    </row>
    <row r="1202" spans="1:15" x14ac:dyDescent="0.35">
      <c r="A1202">
        <v>1201</v>
      </c>
      <c r="B1202" s="2" t="s">
        <v>14</v>
      </c>
      <c r="C1202" s="2" t="s">
        <v>15</v>
      </c>
      <c r="D1202">
        <v>51</v>
      </c>
      <c r="E1202" s="2" t="s">
        <v>28</v>
      </c>
      <c r="F1202" s="2" t="s">
        <v>13</v>
      </c>
      <c r="G1202">
        <v>65964</v>
      </c>
      <c r="H1202" s="1">
        <v>45510</v>
      </c>
      <c r="I1202">
        <v>16</v>
      </c>
      <c r="J1202">
        <v>1</v>
      </c>
      <c r="K1202">
        <v>6596</v>
      </c>
      <c r="L1202">
        <v>3298</v>
      </c>
      <c r="M1202">
        <v>69262</v>
      </c>
      <c r="N1202">
        <v>3298</v>
      </c>
      <c r="O1202">
        <v>75858</v>
      </c>
    </row>
    <row r="1203" spans="1:15" x14ac:dyDescent="0.35">
      <c r="A1203">
        <v>1202</v>
      </c>
      <c r="B1203" s="2" t="s">
        <v>31</v>
      </c>
      <c r="C1203" s="2" t="s">
        <v>15</v>
      </c>
      <c r="D1203">
        <v>39</v>
      </c>
      <c r="E1203" s="2" t="s">
        <v>24</v>
      </c>
      <c r="F1203" s="2" t="s">
        <v>25</v>
      </c>
      <c r="G1203">
        <v>51828</v>
      </c>
      <c r="H1203" s="1">
        <v>45266</v>
      </c>
      <c r="I1203">
        <v>18</v>
      </c>
      <c r="J1203">
        <v>4</v>
      </c>
      <c r="K1203">
        <v>5183</v>
      </c>
      <c r="L1203">
        <v>2591</v>
      </c>
      <c r="M1203">
        <v>54420</v>
      </c>
      <c r="N1203">
        <v>2591</v>
      </c>
      <c r="O1203">
        <v>59602</v>
      </c>
    </row>
    <row r="1204" spans="1:15" x14ac:dyDescent="0.35">
      <c r="A1204">
        <v>1203</v>
      </c>
      <c r="B1204" s="2" t="s">
        <v>26</v>
      </c>
      <c r="C1204" s="2" t="s">
        <v>15</v>
      </c>
      <c r="D1204">
        <v>37</v>
      </c>
      <c r="E1204" s="2" t="s">
        <v>28</v>
      </c>
      <c r="F1204" s="2" t="s">
        <v>17</v>
      </c>
      <c r="G1204">
        <v>80075</v>
      </c>
      <c r="H1204" s="1">
        <v>44832</v>
      </c>
      <c r="I1204">
        <v>10</v>
      </c>
      <c r="J1204">
        <v>3</v>
      </c>
      <c r="K1204">
        <v>8008</v>
      </c>
      <c r="L1204">
        <v>4004</v>
      </c>
      <c r="M1204">
        <v>84079</v>
      </c>
      <c r="N1204">
        <v>4004</v>
      </c>
      <c r="O1204">
        <v>92087</v>
      </c>
    </row>
    <row r="1205" spans="1:15" x14ac:dyDescent="0.35">
      <c r="A1205">
        <v>1204</v>
      </c>
      <c r="B1205" s="2" t="s">
        <v>20</v>
      </c>
      <c r="C1205" s="2" t="s">
        <v>15</v>
      </c>
      <c r="D1205">
        <v>38</v>
      </c>
      <c r="E1205" s="2" t="s">
        <v>24</v>
      </c>
      <c r="F1205" s="2" t="s">
        <v>13</v>
      </c>
      <c r="G1205">
        <v>26613</v>
      </c>
      <c r="H1205" s="1">
        <v>44775</v>
      </c>
      <c r="I1205">
        <v>1</v>
      </c>
      <c r="J1205">
        <v>2</v>
      </c>
      <c r="K1205">
        <v>2661</v>
      </c>
      <c r="L1205">
        <v>1331</v>
      </c>
      <c r="M1205">
        <v>27943</v>
      </c>
      <c r="N1205">
        <v>0</v>
      </c>
      <c r="O1205">
        <v>29274</v>
      </c>
    </row>
    <row r="1206" spans="1:15" x14ac:dyDescent="0.35">
      <c r="A1206">
        <v>1205</v>
      </c>
      <c r="B1206" s="2" t="s">
        <v>31</v>
      </c>
      <c r="C1206" s="2" t="s">
        <v>15</v>
      </c>
      <c r="D1206">
        <v>42</v>
      </c>
      <c r="E1206" s="2" t="s">
        <v>12</v>
      </c>
      <c r="F1206" s="2" t="s">
        <v>21</v>
      </c>
      <c r="G1206">
        <v>22324</v>
      </c>
      <c r="H1206" s="1">
        <v>45514</v>
      </c>
      <c r="I1206">
        <v>19</v>
      </c>
      <c r="J1206">
        <v>1</v>
      </c>
      <c r="K1206">
        <v>2232</v>
      </c>
      <c r="L1206">
        <v>1116</v>
      </c>
      <c r="M1206">
        <v>23440</v>
      </c>
      <c r="N1206">
        <v>1116</v>
      </c>
      <c r="O1206">
        <v>25672</v>
      </c>
    </row>
    <row r="1207" spans="1:15" x14ac:dyDescent="0.35">
      <c r="A1207">
        <v>1206</v>
      </c>
      <c r="B1207" s="2" t="s">
        <v>23</v>
      </c>
      <c r="C1207" s="2" t="s">
        <v>11</v>
      </c>
      <c r="D1207">
        <v>54</v>
      </c>
      <c r="E1207" s="2" t="s">
        <v>12</v>
      </c>
      <c r="F1207" s="2" t="s">
        <v>25</v>
      </c>
      <c r="G1207">
        <v>50479</v>
      </c>
      <c r="H1207" s="1">
        <v>44718</v>
      </c>
      <c r="I1207">
        <v>5</v>
      </c>
      <c r="J1207">
        <v>1</v>
      </c>
      <c r="K1207">
        <v>5048</v>
      </c>
      <c r="L1207">
        <v>2524</v>
      </c>
      <c r="M1207">
        <v>53003</v>
      </c>
      <c r="N1207">
        <v>0</v>
      </c>
      <c r="O1207">
        <v>55527</v>
      </c>
    </row>
    <row r="1208" spans="1:15" x14ac:dyDescent="0.35">
      <c r="A1208">
        <v>1207</v>
      </c>
      <c r="B1208" s="2" t="s">
        <v>20</v>
      </c>
      <c r="C1208" s="2" t="s">
        <v>11</v>
      </c>
      <c r="D1208">
        <v>41</v>
      </c>
      <c r="E1208" s="2" t="s">
        <v>28</v>
      </c>
      <c r="F1208" s="2" t="s">
        <v>19</v>
      </c>
      <c r="G1208">
        <v>26815</v>
      </c>
      <c r="H1208" s="1">
        <v>45455</v>
      </c>
      <c r="I1208">
        <v>13</v>
      </c>
      <c r="J1208">
        <v>2</v>
      </c>
      <c r="K1208">
        <v>2682</v>
      </c>
      <c r="L1208">
        <v>1341</v>
      </c>
      <c r="M1208">
        <v>28156</v>
      </c>
      <c r="N1208">
        <v>1341</v>
      </c>
      <c r="O1208">
        <v>30838</v>
      </c>
    </row>
    <row r="1209" spans="1:15" x14ac:dyDescent="0.35">
      <c r="A1209">
        <v>1208</v>
      </c>
      <c r="B1209" s="2" t="s">
        <v>26</v>
      </c>
      <c r="C1209" s="2" t="s">
        <v>11</v>
      </c>
      <c r="D1209">
        <v>22</v>
      </c>
      <c r="E1209" s="2" t="s">
        <v>29</v>
      </c>
      <c r="F1209" s="2" t="s">
        <v>17</v>
      </c>
      <c r="G1209">
        <v>60074</v>
      </c>
      <c r="H1209" s="1">
        <v>45328</v>
      </c>
      <c r="I1209">
        <v>5</v>
      </c>
      <c r="J1209">
        <v>1</v>
      </c>
      <c r="K1209">
        <v>6007</v>
      </c>
      <c r="L1209">
        <v>3004</v>
      </c>
      <c r="M1209">
        <v>63077</v>
      </c>
      <c r="N1209">
        <v>0</v>
      </c>
      <c r="O1209">
        <v>66081</v>
      </c>
    </row>
    <row r="1210" spans="1:15" x14ac:dyDescent="0.35">
      <c r="A1210">
        <v>1209</v>
      </c>
      <c r="B1210" s="2" t="s">
        <v>26</v>
      </c>
      <c r="C1210" s="2" t="s">
        <v>15</v>
      </c>
      <c r="D1210">
        <v>45</v>
      </c>
      <c r="E1210" s="2" t="s">
        <v>24</v>
      </c>
      <c r="F1210" s="2" t="s">
        <v>21</v>
      </c>
      <c r="G1210">
        <v>98166</v>
      </c>
      <c r="H1210" s="1">
        <v>44816</v>
      </c>
      <c r="I1210">
        <v>15</v>
      </c>
      <c r="J1210">
        <v>4</v>
      </c>
      <c r="K1210">
        <v>9817</v>
      </c>
      <c r="L1210">
        <v>4908</v>
      </c>
      <c r="M1210">
        <v>103075</v>
      </c>
      <c r="N1210">
        <v>4908</v>
      </c>
      <c r="O1210">
        <v>112891</v>
      </c>
    </row>
    <row r="1211" spans="1:15" x14ac:dyDescent="0.35">
      <c r="A1211">
        <v>1210</v>
      </c>
      <c r="B1211" s="2" t="s">
        <v>31</v>
      </c>
      <c r="C1211" s="2" t="s">
        <v>11</v>
      </c>
      <c r="D1211">
        <v>38</v>
      </c>
      <c r="E1211" s="2" t="s">
        <v>16</v>
      </c>
      <c r="F1211" s="2" t="s">
        <v>17</v>
      </c>
      <c r="G1211">
        <v>95146</v>
      </c>
      <c r="H1211" s="1">
        <v>45506</v>
      </c>
      <c r="I1211">
        <v>4</v>
      </c>
      <c r="J1211">
        <v>4</v>
      </c>
      <c r="K1211">
        <v>9515</v>
      </c>
      <c r="L1211">
        <v>4757</v>
      </c>
      <c r="M1211">
        <v>99904</v>
      </c>
      <c r="N1211">
        <v>0</v>
      </c>
      <c r="O1211">
        <v>104661</v>
      </c>
    </row>
    <row r="1212" spans="1:15" x14ac:dyDescent="0.35">
      <c r="A1212">
        <v>1211</v>
      </c>
      <c r="B1212" s="2" t="s">
        <v>14</v>
      </c>
      <c r="C1212" s="2" t="s">
        <v>15</v>
      </c>
      <c r="D1212">
        <v>42</v>
      </c>
      <c r="E1212" s="2" t="s">
        <v>29</v>
      </c>
      <c r="F1212" s="2" t="s">
        <v>19</v>
      </c>
      <c r="G1212">
        <v>78437</v>
      </c>
      <c r="H1212" s="1">
        <v>45116</v>
      </c>
      <c r="I1212">
        <v>3</v>
      </c>
      <c r="J1212">
        <v>5</v>
      </c>
      <c r="K1212">
        <v>7844</v>
      </c>
      <c r="L1212">
        <v>3922</v>
      </c>
      <c r="M1212">
        <v>82359</v>
      </c>
      <c r="N1212">
        <v>0</v>
      </c>
      <c r="O1212">
        <v>86281</v>
      </c>
    </row>
    <row r="1213" spans="1:15" x14ac:dyDescent="0.35">
      <c r="A1213">
        <v>1212</v>
      </c>
      <c r="B1213" s="2" t="s">
        <v>31</v>
      </c>
      <c r="C1213" s="2" t="s">
        <v>11</v>
      </c>
      <c r="D1213">
        <v>51</v>
      </c>
      <c r="E1213" s="2" t="s">
        <v>16</v>
      </c>
      <c r="F1213" s="2" t="s">
        <v>25</v>
      </c>
      <c r="G1213">
        <v>55776</v>
      </c>
      <c r="H1213" s="1">
        <v>44766</v>
      </c>
      <c r="I1213">
        <v>19</v>
      </c>
      <c r="J1213">
        <v>2</v>
      </c>
      <c r="K1213">
        <v>5578</v>
      </c>
      <c r="L1213">
        <v>2789</v>
      </c>
      <c r="M1213">
        <v>58565</v>
      </c>
      <c r="N1213">
        <v>2789</v>
      </c>
      <c r="O1213">
        <v>64143</v>
      </c>
    </row>
    <row r="1214" spans="1:15" x14ac:dyDescent="0.35">
      <c r="A1214">
        <v>1213</v>
      </c>
      <c r="B1214" s="2" t="s">
        <v>30</v>
      </c>
      <c r="C1214" s="2" t="s">
        <v>11</v>
      </c>
      <c r="D1214">
        <v>46</v>
      </c>
      <c r="E1214" s="2" t="s">
        <v>24</v>
      </c>
      <c r="F1214" s="2" t="s">
        <v>25</v>
      </c>
      <c r="G1214">
        <v>27907</v>
      </c>
      <c r="H1214" s="1">
        <v>45158</v>
      </c>
      <c r="I1214">
        <v>13</v>
      </c>
      <c r="J1214">
        <v>1</v>
      </c>
      <c r="K1214">
        <v>2791</v>
      </c>
      <c r="L1214">
        <v>1395</v>
      </c>
      <c r="M1214">
        <v>29303</v>
      </c>
      <c r="N1214">
        <v>1395</v>
      </c>
      <c r="O1214">
        <v>32093</v>
      </c>
    </row>
    <row r="1215" spans="1:15" x14ac:dyDescent="0.35">
      <c r="A1215">
        <v>1214</v>
      </c>
      <c r="B1215" s="2" t="s">
        <v>31</v>
      </c>
      <c r="C1215" s="2" t="s">
        <v>11</v>
      </c>
      <c r="D1215">
        <v>36</v>
      </c>
      <c r="E1215" s="2" t="s">
        <v>28</v>
      </c>
      <c r="F1215" s="2" t="s">
        <v>17</v>
      </c>
      <c r="G1215">
        <v>20254</v>
      </c>
      <c r="H1215" s="1">
        <v>45337</v>
      </c>
      <c r="I1215">
        <v>7</v>
      </c>
      <c r="J1215">
        <v>2</v>
      </c>
      <c r="K1215">
        <v>2025</v>
      </c>
      <c r="L1215">
        <v>1013</v>
      </c>
      <c r="M1215">
        <v>21266</v>
      </c>
      <c r="N1215">
        <v>1013</v>
      </c>
      <c r="O1215">
        <v>23292</v>
      </c>
    </row>
    <row r="1216" spans="1:15" x14ac:dyDescent="0.35">
      <c r="A1216">
        <v>1215</v>
      </c>
      <c r="B1216" s="2" t="s">
        <v>20</v>
      </c>
      <c r="C1216" s="2" t="s">
        <v>15</v>
      </c>
      <c r="D1216">
        <v>43</v>
      </c>
      <c r="E1216" s="2" t="s">
        <v>24</v>
      </c>
      <c r="F1216" s="2" t="s">
        <v>21</v>
      </c>
      <c r="G1216">
        <v>59081</v>
      </c>
      <c r="H1216" s="1">
        <v>44961</v>
      </c>
      <c r="I1216">
        <v>19</v>
      </c>
      <c r="J1216">
        <v>2</v>
      </c>
      <c r="K1216">
        <v>5908</v>
      </c>
      <c r="L1216">
        <v>2954</v>
      </c>
      <c r="M1216">
        <v>62035</v>
      </c>
      <c r="N1216">
        <v>2954</v>
      </c>
      <c r="O1216">
        <v>67943</v>
      </c>
    </row>
    <row r="1217" spans="1:15" x14ac:dyDescent="0.35">
      <c r="A1217">
        <v>1216</v>
      </c>
      <c r="B1217" s="2" t="s">
        <v>27</v>
      </c>
      <c r="C1217" s="2" t="s">
        <v>15</v>
      </c>
      <c r="D1217">
        <v>59</v>
      </c>
      <c r="E1217" s="2" t="s">
        <v>24</v>
      </c>
      <c r="F1217" s="2" t="s">
        <v>13</v>
      </c>
      <c r="G1217">
        <v>94510</v>
      </c>
      <c r="H1217" s="1">
        <v>45251</v>
      </c>
      <c r="I1217">
        <v>17</v>
      </c>
      <c r="J1217">
        <v>4</v>
      </c>
      <c r="K1217">
        <v>9451</v>
      </c>
      <c r="L1217">
        <v>4726</v>
      </c>
      <c r="M1217">
        <v>99235</v>
      </c>
      <c r="N1217">
        <v>4726</v>
      </c>
      <c r="O1217">
        <v>108687</v>
      </c>
    </row>
    <row r="1218" spans="1:15" x14ac:dyDescent="0.35">
      <c r="A1218">
        <v>1217</v>
      </c>
      <c r="B1218" s="2" t="s">
        <v>27</v>
      </c>
      <c r="C1218" s="2" t="s">
        <v>15</v>
      </c>
      <c r="D1218">
        <v>48</v>
      </c>
      <c r="E1218" s="2" t="s">
        <v>16</v>
      </c>
      <c r="F1218" s="2" t="s">
        <v>13</v>
      </c>
      <c r="G1218">
        <v>85224</v>
      </c>
      <c r="H1218" s="1">
        <v>44995</v>
      </c>
      <c r="I1218">
        <v>5</v>
      </c>
      <c r="J1218">
        <v>1</v>
      </c>
      <c r="K1218">
        <v>8522</v>
      </c>
      <c r="L1218">
        <v>4261</v>
      </c>
      <c r="M1218">
        <v>89485</v>
      </c>
      <c r="N1218">
        <v>0</v>
      </c>
      <c r="O1218">
        <v>93746</v>
      </c>
    </row>
    <row r="1219" spans="1:15" x14ac:dyDescent="0.35">
      <c r="A1219">
        <v>1218</v>
      </c>
      <c r="B1219" s="2" t="s">
        <v>27</v>
      </c>
      <c r="C1219" s="2" t="s">
        <v>15</v>
      </c>
      <c r="D1219">
        <v>28</v>
      </c>
      <c r="E1219" s="2" t="s">
        <v>24</v>
      </c>
      <c r="F1219" s="2" t="s">
        <v>21</v>
      </c>
      <c r="G1219">
        <v>43183</v>
      </c>
      <c r="H1219" s="1">
        <v>45482</v>
      </c>
      <c r="I1219">
        <v>10</v>
      </c>
      <c r="J1219">
        <v>1</v>
      </c>
      <c r="K1219">
        <v>4318</v>
      </c>
      <c r="L1219">
        <v>2159</v>
      </c>
      <c r="M1219">
        <v>45342</v>
      </c>
      <c r="N1219">
        <v>2159</v>
      </c>
      <c r="O1219">
        <v>49660</v>
      </c>
    </row>
    <row r="1220" spans="1:15" x14ac:dyDescent="0.35">
      <c r="A1220">
        <v>1219</v>
      </c>
      <c r="B1220" s="2" t="s">
        <v>30</v>
      </c>
      <c r="C1220" s="2" t="s">
        <v>11</v>
      </c>
      <c r="D1220">
        <v>37</v>
      </c>
      <c r="E1220" s="2" t="s">
        <v>24</v>
      </c>
      <c r="F1220" s="2" t="s">
        <v>13</v>
      </c>
      <c r="G1220">
        <v>69672</v>
      </c>
      <c r="H1220" s="1">
        <v>44751</v>
      </c>
      <c r="I1220">
        <v>14</v>
      </c>
      <c r="J1220">
        <v>2</v>
      </c>
      <c r="K1220">
        <v>6967</v>
      </c>
      <c r="L1220">
        <v>3484</v>
      </c>
      <c r="M1220">
        <v>73155</v>
      </c>
      <c r="N1220">
        <v>3484</v>
      </c>
      <c r="O1220">
        <v>80123</v>
      </c>
    </row>
    <row r="1221" spans="1:15" x14ac:dyDescent="0.35">
      <c r="A1221">
        <v>1220</v>
      </c>
      <c r="B1221" s="2" t="s">
        <v>10</v>
      </c>
      <c r="C1221" s="2" t="s">
        <v>15</v>
      </c>
      <c r="D1221">
        <v>55</v>
      </c>
      <c r="E1221" s="2" t="s">
        <v>29</v>
      </c>
      <c r="F1221" s="2" t="s">
        <v>13</v>
      </c>
      <c r="G1221">
        <v>50059</v>
      </c>
      <c r="H1221" s="1">
        <v>45080</v>
      </c>
      <c r="I1221">
        <v>17</v>
      </c>
      <c r="J1221">
        <v>3</v>
      </c>
      <c r="K1221">
        <v>5006</v>
      </c>
      <c r="L1221">
        <v>2503</v>
      </c>
      <c r="M1221">
        <v>52562</v>
      </c>
      <c r="N1221">
        <v>2503</v>
      </c>
      <c r="O1221">
        <v>57568</v>
      </c>
    </row>
    <row r="1222" spans="1:15" x14ac:dyDescent="0.35">
      <c r="A1222">
        <v>1221</v>
      </c>
      <c r="B1222" s="2" t="s">
        <v>31</v>
      </c>
      <c r="C1222" s="2" t="s">
        <v>11</v>
      </c>
      <c r="D1222">
        <v>24</v>
      </c>
      <c r="E1222" s="2" t="s">
        <v>12</v>
      </c>
      <c r="F1222" s="2" t="s">
        <v>13</v>
      </c>
      <c r="G1222">
        <v>70806</v>
      </c>
      <c r="H1222" s="1">
        <v>45263</v>
      </c>
      <c r="I1222">
        <v>11</v>
      </c>
      <c r="J1222">
        <v>4</v>
      </c>
      <c r="K1222">
        <v>7081</v>
      </c>
      <c r="L1222">
        <v>3540</v>
      </c>
      <c r="M1222">
        <v>74347</v>
      </c>
      <c r="N1222">
        <v>3540</v>
      </c>
      <c r="O1222">
        <v>81427</v>
      </c>
    </row>
    <row r="1223" spans="1:15" x14ac:dyDescent="0.35">
      <c r="A1223">
        <v>1222</v>
      </c>
      <c r="B1223" s="2" t="s">
        <v>10</v>
      </c>
      <c r="C1223" s="2" t="s">
        <v>11</v>
      </c>
      <c r="D1223">
        <v>50</v>
      </c>
      <c r="E1223" s="2" t="s">
        <v>12</v>
      </c>
      <c r="F1223" s="2" t="s">
        <v>21</v>
      </c>
      <c r="G1223">
        <v>46345</v>
      </c>
      <c r="H1223" s="1">
        <v>44887</v>
      </c>
      <c r="I1223">
        <v>4</v>
      </c>
      <c r="J1223">
        <v>4</v>
      </c>
      <c r="K1223">
        <v>4634</v>
      </c>
      <c r="L1223">
        <v>2317</v>
      </c>
      <c r="M1223">
        <v>48662</v>
      </c>
      <c r="N1223">
        <v>0</v>
      </c>
      <c r="O1223">
        <v>50979</v>
      </c>
    </row>
    <row r="1224" spans="1:15" x14ac:dyDescent="0.35">
      <c r="A1224">
        <v>1223</v>
      </c>
      <c r="B1224" s="2" t="s">
        <v>14</v>
      </c>
      <c r="C1224" s="2" t="s">
        <v>11</v>
      </c>
      <c r="D1224">
        <v>30</v>
      </c>
      <c r="E1224" s="2" t="s">
        <v>16</v>
      </c>
      <c r="F1224" s="2" t="s">
        <v>13</v>
      </c>
      <c r="G1224">
        <v>83440</v>
      </c>
      <c r="H1224" s="1">
        <v>45487</v>
      </c>
      <c r="I1224">
        <v>18</v>
      </c>
      <c r="J1224">
        <v>5</v>
      </c>
      <c r="K1224">
        <v>8344</v>
      </c>
      <c r="L1224">
        <v>4172</v>
      </c>
      <c r="M1224">
        <v>87612</v>
      </c>
      <c r="N1224">
        <v>4172</v>
      </c>
      <c r="O1224">
        <v>95956</v>
      </c>
    </row>
    <row r="1225" spans="1:15" x14ac:dyDescent="0.35">
      <c r="A1225">
        <v>1224</v>
      </c>
      <c r="B1225" s="2" t="s">
        <v>10</v>
      </c>
      <c r="C1225" s="2" t="s">
        <v>15</v>
      </c>
      <c r="D1225">
        <v>35</v>
      </c>
      <c r="E1225" s="2" t="s">
        <v>29</v>
      </c>
      <c r="F1225" s="2" t="s">
        <v>17</v>
      </c>
      <c r="G1225">
        <v>22619</v>
      </c>
      <c r="H1225" s="1">
        <v>44629</v>
      </c>
      <c r="I1225">
        <v>4</v>
      </c>
      <c r="J1225">
        <v>1</v>
      </c>
      <c r="K1225">
        <v>2262</v>
      </c>
      <c r="L1225">
        <v>1131</v>
      </c>
      <c r="M1225">
        <v>23750</v>
      </c>
      <c r="N1225">
        <v>0</v>
      </c>
      <c r="O1225">
        <v>24881</v>
      </c>
    </row>
    <row r="1226" spans="1:15" x14ac:dyDescent="0.35">
      <c r="A1226">
        <v>1225</v>
      </c>
      <c r="B1226" s="2" t="s">
        <v>22</v>
      </c>
      <c r="C1226" s="2" t="s">
        <v>11</v>
      </c>
      <c r="D1226">
        <v>23</v>
      </c>
      <c r="E1226" s="2" t="s">
        <v>16</v>
      </c>
      <c r="F1226" s="2" t="s">
        <v>25</v>
      </c>
      <c r="G1226">
        <v>63361</v>
      </c>
      <c r="H1226" s="1">
        <v>45169</v>
      </c>
      <c r="I1226">
        <v>11</v>
      </c>
      <c r="J1226">
        <v>5</v>
      </c>
      <c r="K1226">
        <v>6336</v>
      </c>
      <c r="L1226">
        <v>3168</v>
      </c>
      <c r="M1226">
        <v>66529</v>
      </c>
      <c r="N1226">
        <v>3168</v>
      </c>
      <c r="O1226">
        <v>72865</v>
      </c>
    </row>
    <row r="1227" spans="1:15" x14ac:dyDescent="0.35">
      <c r="A1227">
        <v>1226</v>
      </c>
      <c r="B1227" s="2" t="s">
        <v>27</v>
      </c>
      <c r="C1227" s="2" t="s">
        <v>15</v>
      </c>
      <c r="D1227">
        <v>38</v>
      </c>
      <c r="E1227" s="2" t="s">
        <v>24</v>
      </c>
      <c r="F1227" s="2" t="s">
        <v>13</v>
      </c>
      <c r="G1227">
        <v>96966</v>
      </c>
      <c r="H1227" s="1">
        <v>44982</v>
      </c>
      <c r="I1227">
        <v>16</v>
      </c>
      <c r="J1227">
        <v>4</v>
      </c>
      <c r="K1227">
        <v>9697</v>
      </c>
      <c r="L1227">
        <v>4848</v>
      </c>
      <c r="M1227">
        <v>101815</v>
      </c>
      <c r="N1227">
        <v>4848</v>
      </c>
      <c r="O1227">
        <v>111511</v>
      </c>
    </row>
    <row r="1228" spans="1:15" x14ac:dyDescent="0.35">
      <c r="A1228">
        <v>1227</v>
      </c>
      <c r="B1228" s="2" t="s">
        <v>27</v>
      </c>
      <c r="C1228" s="2" t="s">
        <v>15</v>
      </c>
      <c r="D1228">
        <v>46</v>
      </c>
      <c r="E1228" s="2" t="s">
        <v>24</v>
      </c>
      <c r="F1228" s="2" t="s">
        <v>25</v>
      </c>
      <c r="G1228">
        <v>33022</v>
      </c>
      <c r="H1228" s="1">
        <v>44583</v>
      </c>
      <c r="I1228">
        <v>6</v>
      </c>
      <c r="J1228">
        <v>4</v>
      </c>
      <c r="K1228">
        <v>3302</v>
      </c>
      <c r="L1228">
        <v>1651</v>
      </c>
      <c r="M1228">
        <v>34673</v>
      </c>
      <c r="N1228">
        <v>1651</v>
      </c>
      <c r="O1228">
        <v>37975</v>
      </c>
    </row>
    <row r="1229" spans="1:15" x14ac:dyDescent="0.35">
      <c r="A1229">
        <v>1228</v>
      </c>
      <c r="B1229" s="2" t="s">
        <v>18</v>
      </c>
      <c r="C1229" s="2" t="s">
        <v>11</v>
      </c>
      <c r="D1229">
        <v>24</v>
      </c>
      <c r="E1229" s="2" t="s">
        <v>28</v>
      </c>
      <c r="F1229" s="2" t="s">
        <v>19</v>
      </c>
      <c r="G1229">
        <v>24055</v>
      </c>
      <c r="H1229" s="1">
        <v>44906</v>
      </c>
      <c r="I1229">
        <v>10</v>
      </c>
      <c r="J1229">
        <v>5</v>
      </c>
      <c r="K1229">
        <v>2406</v>
      </c>
      <c r="L1229">
        <v>1203</v>
      </c>
      <c r="M1229">
        <v>25258</v>
      </c>
      <c r="N1229">
        <v>1203</v>
      </c>
      <c r="O1229">
        <v>27664</v>
      </c>
    </row>
    <row r="1230" spans="1:15" x14ac:dyDescent="0.35">
      <c r="A1230">
        <v>1229</v>
      </c>
      <c r="B1230" s="2" t="s">
        <v>27</v>
      </c>
      <c r="C1230" s="2" t="s">
        <v>11</v>
      </c>
      <c r="D1230">
        <v>41</v>
      </c>
      <c r="E1230" s="2" t="s">
        <v>29</v>
      </c>
      <c r="F1230" s="2" t="s">
        <v>25</v>
      </c>
      <c r="G1230">
        <v>71966</v>
      </c>
      <c r="H1230" s="1">
        <v>45250</v>
      </c>
      <c r="I1230">
        <v>8</v>
      </c>
      <c r="J1230">
        <v>5</v>
      </c>
      <c r="K1230">
        <v>7197</v>
      </c>
      <c r="L1230">
        <v>3598</v>
      </c>
      <c r="M1230">
        <v>75565</v>
      </c>
      <c r="N1230">
        <v>3598</v>
      </c>
      <c r="O1230">
        <v>82761</v>
      </c>
    </row>
    <row r="1231" spans="1:15" x14ac:dyDescent="0.35">
      <c r="A1231">
        <v>1230</v>
      </c>
      <c r="B1231" s="2" t="s">
        <v>20</v>
      </c>
      <c r="C1231" s="2" t="s">
        <v>11</v>
      </c>
      <c r="D1231">
        <v>53</v>
      </c>
      <c r="E1231" s="2" t="s">
        <v>28</v>
      </c>
      <c r="F1231" s="2" t="s">
        <v>25</v>
      </c>
      <c r="G1231">
        <v>41798</v>
      </c>
      <c r="H1231" s="1">
        <v>44650</v>
      </c>
      <c r="I1231">
        <v>5</v>
      </c>
      <c r="J1231">
        <v>2</v>
      </c>
      <c r="K1231">
        <v>4180</v>
      </c>
      <c r="L1231">
        <v>2090</v>
      </c>
      <c r="M1231">
        <v>43888</v>
      </c>
      <c r="N1231">
        <v>0</v>
      </c>
      <c r="O1231">
        <v>45978</v>
      </c>
    </row>
    <row r="1232" spans="1:15" x14ac:dyDescent="0.35">
      <c r="A1232">
        <v>1231</v>
      </c>
      <c r="B1232" s="2" t="s">
        <v>14</v>
      </c>
      <c r="C1232" s="2" t="s">
        <v>11</v>
      </c>
      <c r="D1232">
        <v>60</v>
      </c>
      <c r="E1232" s="2" t="s">
        <v>24</v>
      </c>
      <c r="F1232" s="2" t="s">
        <v>21</v>
      </c>
      <c r="G1232">
        <v>43143</v>
      </c>
      <c r="H1232" s="1">
        <v>45098</v>
      </c>
      <c r="I1232">
        <v>17</v>
      </c>
      <c r="J1232">
        <v>2</v>
      </c>
      <c r="K1232">
        <v>4314</v>
      </c>
      <c r="L1232">
        <v>2157</v>
      </c>
      <c r="M1232">
        <v>45300</v>
      </c>
      <c r="N1232">
        <v>2157</v>
      </c>
      <c r="O1232">
        <v>49614</v>
      </c>
    </row>
    <row r="1233" spans="1:15" x14ac:dyDescent="0.35">
      <c r="A1233">
        <v>1232</v>
      </c>
      <c r="B1233" s="2" t="s">
        <v>10</v>
      </c>
      <c r="C1233" s="2" t="s">
        <v>11</v>
      </c>
      <c r="D1233">
        <v>37</v>
      </c>
      <c r="E1233" s="2" t="s">
        <v>28</v>
      </c>
      <c r="F1233" s="2" t="s">
        <v>17</v>
      </c>
      <c r="G1233">
        <v>63822</v>
      </c>
      <c r="H1233" s="1">
        <v>44630</v>
      </c>
      <c r="I1233">
        <v>18</v>
      </c>
      <c r="J1233">
        <v>5</v>
      </c>
      <c r="K1233">
        <v>6382</v>
      </c>
      <c r="L1233">
        <v>3191</v>
      </c>
      <c r="M1233">
        <v>67013</v>
      </c>
      <c r="N1233">
        <v>3191</v>
      </c>
      <c r="O1233">
        <v>73395</v>
      </c>
    </row>
    <row r="1234" spans="1:15" x14ac:dyDescent="0.35">
      <c r="A1234">
        <v>1233</v>
      </c>
      <c r="B1234" s="2" t="s">
        <v>31</v>
      </c>
      <c r="C1234" s="2" t="s">
        <v>11</v>
      </c>
      <c r="D1234">
        <v>36</v>
      </c>
      <c r="E1234" s="2" t="s">
        <v>28</v>
      </c>
      <c r="F1234" s="2" t="s">
        <v>25</v>
      </c>
      <c r="G1234">
        <v>56107</v>
      </c>
      <c r="H1234" s="1">
        <v>44706</v>
      </c>
      <c r="I1234">
        <v>18</v>
      </c>
      <c r="J1234">
        <v>5</v>
      </c>
      <c r="K1234">
        <v>5611</v>
      </c>
      <c r="L1234">
        <v>2805</v>
      </c>
      <c r="M1234">
        <v>58913</v>
      </c>
      <c r="N1234">
        <v>2805</v>
      </c>
      <c r="O1234">
        <v>64523</v>
      </c>
    </row>
    <row r="1235" spans="1:15" x14ac:dyDescent="0.35">
      <c r="A1235">
        <v>1234</v>
      </c>
      <c r="B1235" s="2" t="s">
        <v>26</v>
      </c>
      <c r="C1235" s="2" t="s">
        <v>11</v>
      </c>
      <c r="D1235">
        <v>51</v>
      </c>
      <c r="E1235" s="2" t="s">
        <v>12</v>
      </c>
      <c r="F1235" s="2" t="s">
        <v>21</v>
      </c>
      <c r="G1235">
        <v>76899</v>
      </c>
      <c r="H1235" s="1">
        <v>44962</v>
      </c>
      <c r="I1235">
        <v>3</v>
      </c>
      <c r="J1235">
        <v>4</v>
      </c>
      <c r="K1235">
        <v>7690</v>
      </c>
      <c r="L1235">
        <v>3845</v>
      </c>
      <c r="M1235">
        <v>80744</v>
      </c>
      <c r="N1235">
        <v>0</v>
      </c>
      <c r="O1235">
        <v>84589</v>
      </c>
    </row>
    <row r="1236" spans="1:15" x14ac:dyDescent="0.35">
      <c r="A1236">
        <v>1235</v>
      </c>
      <c r="B1236" s="2" t="s">
        <v>14</v>
      </c>
      <c r="C1236" s="2" t="s">
        <v>11</v>
      </c>
      <c r="D1236">
        <v>33</v>
      </c>
      <c r="E1236" s="2" t="s">
        <v>16</v>
      </c>
      <c r="F1236" s="2" t="s">
        <v>21</v>
      </c>
      <c r="G1236">
        <v>41001</v>
      </c>
      <c r="H1236" s="1">
        <v>45538</v>
      </c>
      <c r="I1236">
        <v>11</v>
      </c>
      <c r="J1236">
        <v>2</v>
      </c>
      <c r="K1236">
        <v>4100</v>
      </c>
      <c r="L1236">
        <v>2050</v>
      </c>
      <c r="M1236">
        <v>43051</v>
      </c>
      <c r="N1236">
        <v>2050</v>
      </c>
      <c r="O1236">
        <v>47151</v>
      </c>
    </row>
    <row r="1237" spans="1:15" x14ac:dyDescent="0.35">
      <c r="A1237">
        <v>1236</v>
      </c>
      <c r="B1237" s="2" t="s">
        <v>30</v>
      </c>
      <c r="C1237" s="2" t="s">
        <v>11</v>
      </c>
      <c r="D1237">
        <v>60</v>
      </c>
      <c r="E1237" s="2" t="s">
        <v>24</v>
      </c>
      <c r="F1237" s="2" t="s">
        <v>13</v>
      </c>
      <c r="G1237">
        <v>82672</v>
      </c>
      <c r="H1237" s="1">
        <v>45545</v>
      </c>
      <c r="I1237">
        <v>9</v>
      </c>
      <c r="J1237">
        <v>1</v>
      </c>
      <c r="K1237">
        <v>8267</v>
      </c>
      <c r="L1237">
        <v>4134</v>
      </c>
      <c r="M1237">
        <v>86805</v>
      </c>
      <c r="N1237">
        <v>4134</v>
      </c>
      <c r="O1237">
        <v>95073</v>
      </c>
    </row>
    <row r="1238" spans="1:15" x14ac:dyDescent="0.35">
      <c r="A1238">
        <v>1237</v>
      </c>
      <c r="B1238" s="2" t="s">
        <v>27</v>
      </c>
      <c r="C1238" s="2" t="s">
        <v>11</v>
      </c>
      <c r="D1238">
        <v>48</v>
      </c>
      <c r="E1238" s="2" t="s">
        <v>24</v>
      </c>
      <c r="F1238" s="2" t="s">
        <v>21</v>
      </c>
      <c r="G1238">
        <v>71064</v>
      </c>
      <c r="H1238" s="1">
        <v>45313</v>
      </c>
      <c r="I1238">
        <v>8</v>
      </c>
      <c r="J1238">
        <v>1</v>
      </c>
      <c r="K1238">
        <v>7106</v>
      </c>
      <c r="L1238">
        <v>3553</v>
      </c>
      <c r="M1238">
        <v>74617</v>
      </c>
      <c r="N1238">
        <v>3553</v>
      </c>
      <c r="O1238">
        <v>81723</v>
      </c>
    </row>
    <row r="1239" spans="1:15" x14ac:dyDescent="0.35">
      <c r="A1239">
        <v>1238</v>
      </c>
      <c r="B1239" s="2" t="s">
        <v>23</v>
      </c>
      <c r="C1239" s="2" t="s">
        <v>15</v>
      </c>
      <c r="D1239">
        <v>54</v>
      </c>
      <c r="E1239" s="2" t="s">
        <v>24</v>
      </c>
      <c r="F1239" s="2" t="s">
        <v>17</v>
      </c>
      <c r="G1239">
        <v>65140</v>
      </c>
      <c r="H1239" s="1">
        <v>44668</v>
      </c>
      <c r="I1239">
        <v>8</v>
      </c>
      <c r="J1239">
        <v>2</v>
      </c>
      <c r="K1239">
        <v>6514</v>
      </c>
      <c r="L1239">
        <v>3257</v>
      </c>
      <c r="M1239">
        <v>68397</v>
      </c>
      <c r="N1239">
        <v>3257</v>
      </c>
      <c r="O1239">
        <v>74911</v>
      </c>
    </row>
    <row r="1240" spans="1:15" x14ac:dyDescent="0.35">
      <c r="A1240">
        <v>1239</v>
      </c>
      <c r="B1240" s="2" t="s">
        <v>20</v>
      </c>
      <c r="C1240" s="2" t="s">
        <v>15</v>
      </c>
      <c r="D1240">
        <v>57</v>
      </c>
      <c r="E1240" s="2" t="s">
        <v>28</v>
      </c>
      <c r="F1240" s="2" t="s">
        <v>19</v>
      </c>
      <c r="G1240">
        <v>47524</v>
      </c>
      <c r="H1240" s="1">
        <v>44862</v>
      </c>
      <c r="I1240">
        <v>9</v>
      </c>
      <c r="J1240">
        <v>4</v>
      </c>
      <c r="K1240">
        <v>4752</v>
      </c>
      <c r="L1240">
        <v>2376</v>
      </c>
      <c r="M1240">
        <v>49900</v>
      </c>
      <c r="N1240">
        <v>2376</v>
      </c>
      <c r="O1240">
        <v>54652</v>
      </c>
    </row>
    <row r="1241" spans="1:15" x14ac:dyDescent="0.35">
      <c r="A1241">
        <v>1240</v>
      </c>
      <c r="B1241" s="2" t="s">
        <v>27</v>
      </c>
      <c r="C1241" s="2" t="s">
        <v>11</v>
      </c>
      <c r="D1241">
        <v>59</v>
      </c>
      <c r="E1241" s="2" t="s">
        <v>28</v>
      </c>
      <c r="F1241" s="2" t="s">
        <v>19</v>
      </c>
      <c r="G1241">
        <v>76149</v>
      </c>
      <c r="H1241" s="1">
        <v>45522</v>
      </c>
      <c r="I1241">
        <v>4</v>
      </c>
      <c r="J1241">
        <v>3</v>
      </c>
      <c r="K1241">
        <v>7615</v>
      </c>
      <c r="L1241">
        <v>3807</v>
      </c>
      <c r="M1241">
        <v>79957</v>
      </c>
      <c r="N1241">
        <v>0</v>
      </c>
      <c r="O1241">
        <v>83764</v>
      </c>
    </row>
    <row r="1242" spans="1:15" x14ac:dyDescent="0.35">
      <c r="A1242">
        <v>1241</v>
      </c>
      <c r="B1242" s="2" t="s">
        <v>20</v>
      </c>
      <c r="C1242" s="2" t="s">
        <v>15</v>
      </c>
      <c r="D1242">
        <v>23</v>
      </c>
      <c r="E1242" s="2" t="s">
        <v>24</v>
      </c>
      <c r="F1242" s="2" t="s">
        <v>25</v>
      </c>
      <c r="G1242">
        <v>59534</v>
      </c>
      <c r="H1242" s="1">
        <v>44615</v>
      </c>
      <c r="I1242">
        <v>17</v>
      </c>
      <c r="J1242">
        <v>3</v>
      </c>
      <c r="K1242">
        <v>5953</v>
      </c>
      <c r="L1242">
        <v>2977</v>
      </c>
      <c r="M1242">
        <v>62510</v>
      </c>
      <c r="N1242">
        <v>2977</v>
      </c>
      <c r="O1242">
        <v>68464</v>
      </c>
    </row>
    <row r="1243" spans="1:15" x14ac:dyDescent="0.35">
      <c r="A1243">
        <v>1242</v>
      </c>
      <c r="B1243" s="2" t="s">
        <v>23</v>
      </c>
      <c r="C1243" s="2" t="s">
        <v>15</v>
      </c>
      <c r="D1243">
        <v>50</v>
      </c>
      <c r="E1243" s="2" t="s">
        <v>12</v>
      </c>
      <c r="F1243" s="2" t="s">
        <v>13</v>
      </c>
      <c r="G1243">
        <v>90789</v>
      </c>
      <c r="H1243" s="1">
        <v>45509</v>
      </c>
      <c r="I1243">
        <v>17</v>
      </c>
      <c r="J1243">
        <v>3</v>
      </c>
      <c r="K1243">
        <v>9079</v>
      </c>
      <c r="L1243">
        <v>4539</v>
      </c>
      <c r="M1243">
        <v>95329</v>
      </c>
      <c r="N1243">
        <v>4539</v>
      </c>
      <c r="O1243">
        <v>104407</v>
      </c>
    </row>
    <row r="1244" spans="1:15" x14ac:dyDescent="0.35">
      <c r="A1244">
        <v>1243</v>
      </c>
      <c r="B1244" s="2" t="s">
        <v>20</v>
      </c>
      <c r="C1244" s="2" t="s">
        <v>15</v>
      </c>
      <c r="D1244">
        <v>29</v>
      </c>
      <c r="E1244" s="2" t="s">
        <v>24</v>
      </c>
      <c r="F1244" s="2" t="s">
        <v>13</v>
      </c>
      <c r="G1244">
        <v>79628</v>
      </c>
      <c r="H1244" s="1">
        <v>45145</v>
      </c>
      <c r="I1244">
        <v>18</v>
      </c>
      <c r="J1244">
        <v>3</v>
      </c>
      <c r="K1244">
        <v>7963</v>
      </c>
      <c r="L1244">
        <v>3981</v>
      </c>
      <c r="M1244">
        <v>83610</v>
      </c>
      <c r="N1244">
        <v>3981</v>
      </c>
      <c r="O1244">
        <v>91572</v>
      </c>
    </row>
    <row r="1245" spans="1:15" x14ac:dyDescent="0.35">
      <c r="A1245">
        <v>1244</v>
      </c>
      <c r="B1245" s="2" t="s">
        <v>30</v>
      </c>
      <c r="C1245" s="2" t="s">
        <v>11</v>
      </c>
      <c r="D1245">
        <v>43</v>
      </c>
      <c r="E1245" s="2" t="s">
        <v>16</v>
      </c>
      <c r="F1245" s="2" t="s">
        <v>21</v>
      </c>
      <c r="G1245">
        <v>42217</v>
      </c>
      <c r="H1245" s="1">
        <v>44785</v>
      </c>
      <c r="I1245">
        <v>6</v>
      </c>
      <c r="J1245">
        <v>5</v>
      </c>
      <c r="K1245">
        <v>4222</v>
      </c>
      <c r="L1245">
        <v>2111</v>
      </c>
      <c r="M1245">
        <v>44328</v>
      </c>
      <c r="N1245">
        <v>2111</v>
      </c>
      <c r="O1245">
        <v>48550</v>
      </c>
    </row>
    <row r="1246" spans="1:15" x14ac:dyDescent="0.35">
      <c r="A1246">
        <v>1245</v>
      </c>
      <c r="B1246" s="2" t="s">
        <v>23</v>
      </c>
      <c r="C1246" s="2" t="s">
        <v>15</v>
      </c>
      <c r="D1246">
        <v>45</v>
      </c>
      <c r="E1246" s="2" t="s">
        <v>16</v>
      </c>
      <c r="F1246" s="2" t="s">
        <v>13</v>
      </c>
      <c r="G1246">
        <v>34854</v>
      </c>
      <c r="H1246" s="1">
        <v>45494</v>
      </c>
      <c r="I1246">
        <v>19</v>
      </c>
      <c r="J1246">
        <v>2</v>
      </c>
      <c r="K1246">
        <v>3485</v>
      </c>
      <c r="L1246">
        <v>1743</v>
      </c>
      <c r="M1246">
        <v>36596</v>
      </c>
      <c r="N1246">
        <v>1743</v>
      </c>
      <c r="O1246">
        <v>40082</v>
      </c>
    </row>
    <row r="1247" spans="1:15" x14ac:dyDescent="0.35">
      <c r="A1247">
        <v>1246</v>
      </c>
      <c r="B1247" s="2" t="s">
        <v>30</v>
      </c>
      <c r="C1247" s="2" t="s">
        <v>15</v>
      </c>
      <c r="D1247">
        <v>39</v>
      </c>
      <c r="E1247" s="2" t="s">
        <v>28</v>
      </c>
      <c r="F1247" s="2" t="s">
        <v>13</v>
      </c>
      <c r="G1247">
        <v>69219</v>
      </c>
      <c r="H1247" s="1">
        <v>44745</v>
      </c>
      <c r="I1247">
        <v>16</v>
      </c>
      <c r="J1247">
        <v>2</v>
      </c>
      <c r="K1247">
        <v>6922</v>
      </c>
      <c r="L1247">
        <v>3461</v>
      </c>
      <c r="M1247">
        <v>72680</v>
      </c>
      <c r="N1247">
        <v>3461</v>
      </c>
      <c r="O1247">
        <v>79602</v>
      </c>
    </row>
    <row r="1248" spans="1:15" x14ac:dyDescent="0.35">
      <c r="A1248">
        <v>1247</v>
      </c>
      <c r="B1248" s="2" t="s">
        <v>31</v>
      </c>
      <c r="C1248" s="2" t="s">
        <v>11</v>
      </c>
      <c r="D1248">
        <v>23</v>
      </c>
      <c r="E1248" s="2" t="s">
        <v>28</v>
      </c>
      <c r="F1248" s="2" t="s">
        <v>21</v>
      </c>
      <c r="G1248">
        <v>52827</v>
      </c>
      <c r="H1248" s="1">
        <v>44698</v>
      </c>
      <c r="I1248">
        <v>7</v>
      </c>
      <c r="J1248">
        <v>3</v>
      </c>
      <c r="K1248">
        <v>5283</v>
      </c>
      <c r="L1248">
        <v>2641</v>
      </c>
      <c r="M1248">
        <v>55469</v>
      </c>
      <c r="N1248">
        <v>2641</v>
      </c>
      <c r="O1248">
        <v>60751</v>
      </c>
    </row>
    <row r="1249" spans="1:15" x14ac:dyDescent="0.35">
      <c r="A1249">
        <v>1248</v>
      </c>
      <c r="B1249" s="2" t="s">
        <v>30</v>
      </c>
      <c r="C1249" s="2" t="s">
        <v>11</v>
      </c>
      <c r="D1249">
        <v>28</v>
      </c>
      <c r="E1249" s="2" t="s">
        <v>29</v>
      </c>
      <c r="F1249" s="2" t="s">
        <v>19</v>
      </c>
      <c r="G1249">
        <v>84734</v>
      </c>
      <c r="H1249" s="1">
        <v>44960</v>
      </c>
      <c r="I1249">
        <v>15</v>
      </c>
      <c r="J1249">
        <v>1</v>
      </c>
      <c r="K1249">
        <v>8473</v>
      </c>
      <c r="L1249">
        <v>4237</v>
      </c>
      <c r="M1249">
        <v>88970</v>
      </c>
      <c r="N1249">
        <v>4237</v>
      </c>
      <c r="O1249">
        <v>97444</v>
      </c>
    </row>
    <row r="1250" spans="1:15" x14ac:dyDescent="0.35">
      <c r="A1250">
        <v>1249</v>
      </c>
      <c r="B1250" s="2" t="s">
        <v>26</v>
      </c>
      <c r="C1250" s="2" t="s">
        <v>11</v>
      </c>
      <c r="D1250">
        <v>52</v>
      </c>
      <c r="E1250" s="2" t="s">
        <v>16</v>
      </c>
      <c r="F1250" s="2" t="s">
        <v>19</v>
      </c>
      <c r="G1250">
        <v>59706</v>
      </c>
      <c r="H1250" s="1">
        <v>45466</v>
      </c>
      <c r="I1250">
        <v>2</v>
      </c>
      <c r="J1250">
        <v>5</v>
      </c>
      <c r="K1250">
        <v>5971</v>
      </c>
      <c r="L1250">
        <v>2985</v>
      </c>
      <c r="M1250">
        <v>62692</v>
      </c>
      <c r="N1250">
        <v>0</v>
      </c>
      <c r="O1250">
        <v>65677</v>
      </c>
    </row>
    <row r="1251" spans="1:15" x14ac:dyDescent="0.35">
      <c r="A1251">
        <v>1250</v>
      </c>
      <c r="B1251" s="2" t="s">
        <v>14</v>
      </c>
      <c r="C1251" s="2" t="s">
        <v>11</v>
      </c>
      <c r="D1251">
        <v>51</v>
      </c>
      <c r="E1251" s="2" t="s">
        <v>12</v>
      </c>
      <c r="F1251" s="2" t="s">
        <v>19</v>
      </c>
      <c r="G1251">
        <v>41837</v>
      </c>
      <c r="H1251" s="1">
        <v>45041</v>
      </c>
      <c r="I1251">
        <v>16</v>
      </c>
      <c r="J1251">
        <v>3</v>
      </c>
      <c r="K1251">
        <v>4184</v>
      </c>
      <c r="L1251">
        <v>2092</v>
      </c>
      <c r="M1251">
        <v>43929</v>
      </c>
      <c r="N1251">
        <v>2092</v>
      </c>
      <c r="O1251">
        <v>48113</v>
      </c>
    </row>
    <row r="1252" spans="1:15" x14ac:dyDescent="0.35">
      <c r="A1252">
        <v>1251</v>
      </c>
      <c r="B1252" s="2" t="s">
        <v>27</v>
      </c>
      <c r="C1252" s="2" t="s">
        <v>15</v>
      </c>
      <c r="D1252">
        <v>48</v>
      </c>
      <c r="E1252" s="2" t="s">
        <v>29</v>
      </c>
      <c r="F1252" s="2" t="s">
        <v>17</v>
      </c>
      <c r="G1252">
        <v>61885</v>
      </c>
      <c r="H1252" s="1">
        <v>45018</v>
      </c>
      <c r="I1252">
        <v>10</v>
      </c>
      <c r="J1252">
        <v>5</v>
      </c>
      <c r="K1252">
        <v>6188</v>
      </c>
      <c r="L1252">
        <v>3094</v>
      </c>
      <c r="M1252">
        <v>64979</v>
      </c>
      <c r="N1252">
        <v>3094</v>
      </c>
      <c r="O1252">
        <v>71167</v>
      </c>
    </row>
    <row r="1253" spans="1:15" x14ac:dyDescent="0.35">
      <c r="A1253">
        <v>1252</v>
      </c>
      <c r="B1253" s="2" t="s">
        <v>26</v>
      </c>
      <c r="C1253" s="2" t="s">
        <v>11</v>
      </c>
      <c r="D1253">
        <v>24</v>
      </c>
      <c r="E1253" s="2" t="s">
        <v>16</v>
      </c>
      <c r="F1253" s="2" t="s">
        <v>21</v>
      </c>
      <c r="G1253">
        <v>58869</v>
      </c>
      <c r="H1253" s="1">
        <v>45380</v>
      </c>
      <c r="I1253">
        <v>17</v>
      </c>
      <c r="J1253">
        <v>2</v>
      </c>
      <c r="K1253">
        <v>5887</v>
      </c>
      <c r="L1253">
        <v>2943</v>
      </c>
      <c r="M1253">
        <v>61813</v>
      </c>
      <c r="N1253">
        <v>2943</v>
      </c>
      <c r="O1253">
        <v>67699</v>
      </c>
    </row>
    <row r="1254" spans="1:15" x14ac:dyDescent="0.35">
      <c r="A1254">
        <v>1253</v>
      </c>
      <c r="B1254" s="2" t="s">
        <v>10</v>
      </c>
      <c r="C1254" s="2" t="s">
        <v>11</v>
      </c>
      <c r="D1254">
        <v>41</v>
      </c>
      <c r="E1254" s="2" t="s">
        <v>16</v>
      </c>
      <c r="F1254" s="2" t="s">
        <v>19</v>
      </c>
      <c r="G1254">
        <v>66762</v>
      </c>
      <c r="H1254" s="1">
        <v>44804</v>
      </c>
      <c r="I1254">
        <v>2</v>
      </c>
      <c r="J1254">
        <v>1</v>
      </c>
      <c r="K1254">
        <v>6676</v>
      </c>
      <c r="L1254">
        <v>3338</v>
      </c>
      <c r="M1254">
        <v>70100</v>
      </c>
      <c r="N1254">
        <v>0</v>
      </c>
      <c r="O1254">
        <v>73438</v>
      </c>
    </row>
    <row r="1255" spans="1:15" x14ac:dyDescent="0.35">
      <c r="A1255">
        <v>1254</v>
      </c>
      <c r="B1255" s="2" t="s">
        <v>30</v>
      </c>
      <c r="C1255" s="2" t="s">
        <v>11</v>
      </c>
      <c r="D1255">
        <v>58</v>
      </c>
      <c r="E1255" s="2" t="s">
        <v>16</v>
      </c>
      <c r="F1255" s="2" t="s">
        <v>19</v>
      </c>
      <c r="G1255">
        <v>54392</v>
      </c>
      <c r="H1255" s="1">
        <v>44614</v>
      </c>
      <c r="I1255">
        <v>12</v>
      </c>
      <c r="J1255">
        <v>1</v>
      </c>
      <c r="K1255">
        <v>5439</v>
      </c>
      <c r="L1255">
        <v>2720</v>
      </c>
      <c r="M1255">
        <v>57111</v>
      </c>
      <c r="N1255">
        <v>2720</v>
      </c>
      <c r="O1255">
        <v>62551</v>
      </c>
    </row>
    <row r="1256" spans="1:15" x14ac:dyDescent="0.35">
      <c r="A1256">
        <v>1255</v>
      </c>
      <c r="B1256" s="2" t="s">
        <v>27</v>
      </c>
      <c r="C1256" s="2" t="s">
        <v>15</v>
      </c>
      <c r="D1256">
        <v>35</v>
      </c>
      <c r="E1256" s="2" t="s">
        <v>16</v>
      </c>
      <c r="F1256" s="2" t="s">
        <v>25</v>
      </c>
      <c r="G1256">
        <v>66881</v>
      </c>
      <c r="H1256" s="1">
        <v>45504</v>
      </c>
      <c r="I1256">
        <v>9</v>
      </c>
      <c r="J1256">
        <v>1</v>
      </c>
      <c r="K1256">
        <v>6688</v>
      </c>
      <c r="L1256">
        <v>3344</v>
      </c>
      <c r="M1256">
        <v>70225</v>
      </c>
      <c r="N1256">
        <v>3344</v>
      </c>
      <c r="O1256">
        <v>76913</v>
      </c>
    </row>
    <row r="1257" spans="1:15" x14ac:dyDescent="0.35">
      <c r="A1257">
        <v>1256</v>
      </c>
      <c r="B1257" s="2" t="s">
        <v>10</v>
      </c>
      <c r="C1257" s="2" t="s">
        <v>11</v>
      </c>
      <c r="D1257">
        <v>36</v>
      </c>
      <c r="E1257" s="2" t="s">
        <v>29</v>
      </c>
      <c r="F1257" s="2" t="s">
        <v>25</v>
      </c>
      <c r="G1257">
        <v>78101</v>
      </c>
      <c r="H1257" s="1">
        <v>44838</v>
      </c>
      <c r="I1257">
        <v>1</v>
      </c>
      <c r="J1257">
        <v>2</v>
      </c>
      <c r="K1257">
        <v>7810</v>
      </c>
      <c r="L1257">
        <v>3905</v>
      </c>
      <c r="M1257">
        <v>82006</v>
      </c>
      <c r="N1257">
        <v>0</v>
      </c>
      <c r="O1257">
        <v>85911</v>
      </c>
    </row>
    <row r="1258" spans="1:15" x14ac:dyDescent="0.35">
      <c r="A1258">
        <v>1257</v>
      </c>
      <c r="B1258" s="2" t="s">
        <v>26</v>
      </c>
      <c r="C1258" s="2" t="s">
        <v>11</v>
      </c>
      <c r="D1258">
        <v>48</v>
      </c>
      <c r="E1258" s="2" t="s">
        <v>29</v>
      </c>
      <c r="F1258" s="2" t="s">
        <v>25</v>
      </c>
      <c r="G1258">
        <v>58594</v>
      </c>
      <c r="H1258" s="1">
        <v>44878</v>
      </c>
      <c r="I1258">
        <v>13</v>
      </c>
      <c r="J1258">
        <v>5</v>
      </c>
      <c r="K1258">
        <v>5859</v>
      </c>
      <c r="L1258">
        <v>2930</v>
      </c>
      <c r="M1258">
        <v>61523</v>
      </c>
      <c r="N1258">
        <v>2930</v>
      </c>
      <c r="O1258">
        <v>67383</v>
      </c>
    </row>
    <row r="1259" spans="1:15" x14ac:dyDescent="0.35">
      <c r="A1259">
        <v>1258</v>
      </c>
      <c r="B1259" s="2" t="s">
        <v>14</v>
      </c>
      <c r="C1259" s="2" t="s">
        <v>15</v>
      </c>
      <c r="D1259">
        <v>60</v>
      </c>
      <c r="E1259" s="2" t="s">
        <v>24</v>
      </c>
      <c r="F1259" s="2" t="s">
        <v>19</v>
      </c>
      <c r="G1259">
        <v>99194</v>
      </c>
      <c r="H1259" s="1">
        <v>45063</v>
      </c>
      <c r="I1259">
        <v>16</v>
      </c>
      <c r="J1259">
        <v>5</v>
      </c>
      <c r="K1259">
        <v>9919</v>
      </c>
      <c r="L1259">
        <v>4960</v>
      </c>
      <c r="M1259">
        <v>104153</v>
      </c>
      <c r="N1259">
        <v>4960</v>
      </c>
      <c r="O1259">
        <v>114073</v>
      </c>
    </row>
    <row r="1260" spans="1:15" x14ac:dyDescent="0.35">
      <c r="A1260">
        <v>1259</v>
      </c>
      <c r="B1260" s="2" t="s">
        <v>31</v>
      </c>
      <c r="C1260" s="2" t="s">
        <v>11</v>
      </c>
      <c r="D1260">
        <v>50</v>
      </c>
      <c r="E1260" s="2" t="s">
        <v>24</v>
      </c>
      <c r="F1260" s="2" t="s">
        <v>19</v>
      </c>
      <c r="G1260">
        <v>45619</v>
      </c>
      <c r="H1260" s="1">
        <v>45195</v>
      </c>
      <c r="I1260">
        <v>10</v>
      </c>
      <c r="J1260">
        <v>4</v>
      </c>
      <c r="K1260">
        <v>4562</v>
      </c>
      <c r="L1260">
        <v>2281</v>
      </c>
      <c r="M1260">
        <v>47900</v>
      </c>
      <c r="N1260">
        <v>2281</v>
      </c>
      <c r="O1260">
        <v>52462</v>
      </c>
    </row>
    <row r="1261" spans="1:15" x14ac:dyDescent="0.35">
      <c r="A1261">
        <v>1260</v>
      </c>
      <c r="B1261" s="2" t="s">
        <v>26</v>
      </c>
      <c r="C1261" s="2" t="s">
        <v>15</v>
      </c>
      <c r="D1261">
        <v>22</v>
      </c>
      <c r="E1261" s="2" t="s">
        <v>28</v>
      </c>
      <c r="F1261" s="2" t="s">
        <v>21</v>
      </c>
      <c r="G1261">
        <v>31993</v>
      </c>
      <c r="H1261" s="1">
        <v>45131</v>
      </c>
      <c r="I1261">
        <v>8</v>
      </c>
      <c r="J1261">
        <v>5</v>
      </c>
      <c r="K1261">
        <v>3199</v>
      </c>
      <c r="L1261">
        <v>1600</v>
      </c>
      <c r="M1261">
        <v>33592</v>
      </c>
      <c r="N1261">
        <v>1600</v>
      </c>
      <c r="O1261">
        <v>36792</v>
      </c>
    </row>
    <row r="1262" spans="1:15" x14ac:dyDescent="0.35">
      <c r="A1262">
        <v>1261</v>
      </c>
      <c r="B1262" s="2" t="s">
        <v>30</v>
      </c>
      <c r="C1262" s="2" t="s">
        <v>15</v>
      </c>
      <c r="D1262">
        <v>47</v>
      </c>
      <c r="E1262" s="2" t="s">
        <v>12</v>
      </c>
      <c r="F1262" s="2" t="s">
        <v>17</v>
      </c>
      <c r="G1262">
        <v>51521</v>
      </c>
      <c r="H1262" s="1">
        <v>45392</v>
      </c>
      <c r="I1262">
        <v>11</v>
      </c>
      <c r="J1262">
        <v>5</v>
      </c>
      <c r="K1262">
        <v>5152</v>
      </c>
      <c r="L1262">
        <v>2576</v>
      </c>
      <c r="M1262">
        <v>54097</v>
      </c>
      <c r="N1262">
        <v>2576</v>
      </c>
      <c r="O1262">
        <v>59249</v>
      </c>
    </row>
    <row r="1263" spans="1:15" x14ac:dyDescent="0.35">
      <c r="A1263">
        <v>1262</v>
      </c>
      <c r="B1263" s="2" t="s">
        <v>26</v>
      </c>
      <c r="C1263" s="2" t="s">
        <v>15</v>
      </c>
      <c r="D1263">
        <v>42</v>
      </c>
      <c r="E1263" s="2" t="s">
        <v>12</v>
      </c>
      <c r="F1263" s="2" t="s">
        <v>25</v>
      </c>
      <c r="G1263">
        <v>20648</v>
      </c>
      <c r="H1263" s="1">
        <v>44849</v>
      </c>
      <c r="I1263">
        <v>16</v>
      </c>
      <c r="J1263">
        <v>5</v>
      </c>
      <c r="K1263">
        <v>2065</v>
      </c>
      <c r="L1263">
        <v>1032</v>
      </c>
      <c r="M1263">
        <v>21681</v>
      </c>
      <c r="N1263">
        <v>1032</v>
      </c>
      <c r="O1263">
        <v>23745</v>
      </c>
    </row>
    <row r="1264" spans="1:15" x14ac:dyDescent="0.35">
      <c r="A1264">
        <v>1263</v>
      </c>
      <c r="B1264" s="2" t="s">
        <v>30</v>
      </c>
      <c r="C1264" s="2" t="s">
        <v>11</v>
      </c>
      <c r="D1264">
        <v>43</v>
      </c>
      <c r="E1264" s="2" t="s">
        <v>24</v>
      </c>
      <c r="F1264" s="2" t="s">
        <v>21</v>
      </c>
      <c r="G1264">
        <v>43470</v>
      </c>
      <c r="H1264" s="1">
        <v>45157</v>
      </c>
      <c r="I1264">
        <v>7</v>
      </c>
      <c r="J1264">
        <v>1</v>
      </c>
      <c r="K1264">
        <v>4347</v>
      </c>
      <c r="L1264">
        <v>2174</v>
      </c>
      <c r="M1264">
        <v>45643</v>
      </c>
      <c r="N1264">
        <v>2174</v>
      </c>
      <c r="O1264">
        <v>49991</v>
      </c>
    </row>
    <row r="1265" spans="1:15" x14ac:dyDescent="0.35">
      <c r="A1265">
        <v>1264</v>
      </c>
      <c r="B1265" s="2" t="s">
        <v>27</v>
      </c>
      <c r="C1265" s="2" t="s">
        <v>15</v>
      </c>
      <c r="D1265">
        <v>32</v>
      </c>
      <c r="E1265" s="2" t="s">
        <v>28</v>
      </c>
      <c r="F1265" s="2" t="s">
        <v>17</v>
      </c>
      <c r="G1265">
        <v>32208</v>
      </c>
      <c r="H1265" s="1">
        <v>44593</v>
      </c>
      <c r="I1265">
        <v>15</v>
      </c>
      <c r="J1265">
        <v>1</v>
      </c>
      <c r="K1265">
        <v>3221</v>
      </c>
      <c r="L1265">
        <v>1610</v>
      </c>
      <c r="M1265">
        <v>33819</v>
      </c>
      <c r="N1265">
        <v>1610</v>
      </c>
      <c r="O1265">
        <v>37039</v>
      </c>
    </row>
    <row r="1266" spans="1:15" x14ac:dyDescent="0.35">
      <c r="A1266">
        <v>1265</v>
      </c>
      <c r="B1266" s="2" t="s">
        <v>22</v>
      </c>
      <c r="C1266" s="2" t="s">
        <v>11</v>
      </c>
      <c r="D1266">
        <v>42</v>
      </c>
      <c r="E1266" s="2" t="s">
        <v>24</v>
      </c>
      <c r="F1266" s="2" t="s">
        <v>19</v>
      </c>
      <c r="G1266">
        <v>55757</v>
      </c>
      <c r="H1266" s="1">
        <v>44945</v>
      </c>
      <c r="I1266">
        <v>9</v>
      </c>
      <c r="J1266">
        <v>4</v>
      </c>
      <c r="K1266">
        <v>5576</v>
      </c>
      <c r="L1266">
        <v>2788</v>
      </c>
      <c r="M1266">
        <v>58545</v>
      </c>
      <c r="N1266">
        <v>2788</v>
      </c>
      <c r="O1266">
        <v>64121</v>
      </c>
    </row>
    <row r="1267" spans="1:15" x14ac:dyDescent="0.35">
      <c r="A1267">
        <v>1266</v>
      </c>
      <c r="B1267" s="2" t="s">
        <v>23</v>
      </c>
      <c r="C1267" s="2" t="s">
        <v>11</v>
      </c>
      <c r="D1267">
        <v>53</v>
      </c>
      <c r="E1267" s="2" t="s">
        <v>12</v>
      </c>
      <c r="F1267" s="2" t="s">
        <v>13</v>
      </c>
      <c r="G1267">
        <v>35947</v>
      </c>
      <c r="H1267" s="1">
        <v>45477</v>
      </c>
      <c r="I1267">
        <v>10</v>
      </c>
      <c r="J1267">
        <v>2</v>
      </c>
      <c r="K1267">
        <v>3595</v>
      </c>
      <c r="L1267">
        <v>1797</v>
      </c>
      <c r="M1267">
        <v>37745</v>
      </c>
      <c r="N1267">
        <v>1797</v>
      </c>
      <c r="O1267">
        <v>41339</v>
      </c>
    </row>
    <row r="1268" spans="1:15" x14ac:dyDescent="0.35">
      <c r="A1268">
        <v>1267</v>
      </c>
      <c r="B1268" s="2" t="s">
        <v>31</v>
      </c>
      <c r="C1268" s="2" t="s">
        <v>11</v>
      </c>
      <c r="D1268">
        <v>50</v>
      </c>
      <c r="E1268" s="2" t="s">
        <v>28</v>
      </c>
      <c r="F1268" s="2" t="s">
        <v>25</v>
      </c>
      <c r="G1268">
        <v>83050</v>
      </c>
      <c r="H1268" s="1">
        <v>44908</v>
      </c>
      <c r="I1268">
        <v>10</v>
      </c>
      <c r="J1268">
        <v>3</v>
      </c>
      <c r="K1268">
        <v>8305</v>
      </c>
      <c r="L1268">
        <v>4152</v>
      </c>
      <c r="M1268">
        <v>87203</v>
      </c>
      <c r="N1268">
        <v>4152</v>
      </c>
      <c r="O1268">
        <v>95507</v>
      </c>
    </row>
    <row r="1269" spans="1:15" x14ac:dyDescent="0.35">
      <c r="A1269">
        <v>1268</v>
      </c>
      <c r="B1269" s="2" t="s">
        <v>30</v>
      </c>
      <c r="C1269" s="2" t="s">
        <v>15</v>
      </c>
      <c r="D1269">
        <v>40</v>
      </c>
      <c r="E1269" s="2" t="s">
        <v>16</v>
      </c>
      <c r="F1269" s="2" t="s">
        <v>21</v>
      </c>
      <c r="G1269">
        <v>21542</v>
      </c>
      <c r="H1269" s="1">
        <v>44731</v>
      </c>
      <c r="I1269">
        <v>7</v>
      </c>
      <c r="J1269">
        <v>5</v>
      </c>
      <c r="K1269">
        <v>2154</v>
      </c>
      <c r="L1269">
        <v>1077</v>
      </c>
      <c r="M1269">
        <v>22619</v>
      </c>
      <c r="N1269">
        <v>1077</v>
      </c>
      <c r="O1269">
        <v>24773</v>
      </c>
    </row>
    <row r="1270" spans="1:15" x14ac:dyDescent="0.35">
      <c r="A1270">
        <v>1269</v>
      </c>
      <c r="B1270" s="2" t="s">
        <v>26</v>
      </c>
      <c r="C1270" s="2" t="s">
        <v>11</v>
      </c>
      <c r="D1270">
        <v>22</v>
      </c>
      <c r="E1270" s="2" t="s">
        <v>12</v>
      </c>
      <c r="F1270" s="2" t="s">
        <v>17</v>
      </c>
      <c r="G1270">
        <v>58486</v>
      </c>
      <c r="H1270" s="1">
        <v>45497</v>
      </c>
      <c r="I1270">
        <v>10</v>
      </c>
      <c r="J1270">
        <v>1</v>
      </c>
      <c r="K1270">
        <v>5849</v>
      </c>
      <c r="L1270">
        <v>2924</v>
      </c>
      <c r="M1270">
        <v>61411</v>
      </c>
      <c r="N1270">
        <v>2924</v>
      </c>
      <c r="O1270">
        <v>67259</v>
      </c>
    </row>
    <row r="1271" spans="1:15" x14ac:dyDescent="0.35">
      <c r="A1271">
        <v>1270</v>
      </c>
      <c r="B1271" s="2" t="s">
        <v>27</v>
      </c>
      <c r="C1271" s="2" t="s">
        <v>15</v>
      </c>
      <c r="D1271">
        <v>40</v>
      </c>
      <c r="E1271" s="2" t="s">
        <v>16</v>
      </c>
      <c r="F1271" s="2" t="s">
        <v>13</v>
      </c>
      <c r="G1271">
        <v>63441</v>
      </c>
      <c r="H1271" s="1">
        <v>45265</v>
      </c>
      <c r="I1271">
        <v>17</v>
      </c>
      <c r="J1271">
        <v>3</v>
      </c>
      <c r="K1271">
        <v>6344</v>
      </c>
      <c r="L1271">
        <v>3172</v>
      </c>
      <c r="M1271">
        <v>66613</v>
      </c>
      <c r="N1271">
        <v>3172</v>
      </c>
      <c r="O1271">
        <v>72957</v>
      </c>
    </row>
    <row r="1272" spans="1:15" x14ac:dyDescent="0.35">
      <c r="A1272">
        <v>1271</v>
      </c>
      <c r="B1272" s="2" t="s">
        <v>26</v>
      </c>
      <c r="C1272" s="2" t="s">
        <v>11</v>
      </c>
      <c r="D1272">
        <v>49</v>
      </c>
      <c r="E1272" s="2" t="s">
        <v>28</v>
      </c>
      <c r="F1272" s="2" t="s">
        <v>25</v>
      </c>
      <c r="G1272">
        <v>22516</v>
      </c>
      <c r="H1272" s="1">
        <v>44758</v>
      </c>
      <c r="I1272">
        <v>16</v>
      </c>
      <c r="J1272">
        <v>3</v>
      </c>
      <c r="K1272">
        <v>2252</v>
      </c>
      <c r="L1272">
        <v>1126</v>
      </c>
      <c r="M1272">
        <v>23642</v>
      </c>
      <c r="N1272">
        <v>1126</v>
      </c>
      <c r="O1272">
        <v>25894</v>
      </c>
    </row>
    <row r="1273" spans="1:15" x14ac:dyDescent="0.35">
      <c r="A1273">
        <v>1272</v>
      </c>
      <c r="B1273" s="2" t="s">
        <v>27</v>
      </c>
      <c r="C1273" s="2" t="s">
        <v>11</v>
      </c>
      <c r="D1273">
        <v>51</v>
      </c>
      <c r="E1273" s="2" t="s">
        <v>12</v>
      </c>
      <c r="F1273" s="2" t="s">
        <v>19</v>
      </c>
      <c r="G1273">
        <v>45364</v>
      </c>
      <c r="H1273" s="1">
        <v>45268</v>
      </c>
      <c r="I1273">
        <v>6</v>
      </c>
      <c r="J1273">
        <v>5</v>
      </c>
      <c r="K1273">
        <v>4536</v>
      </c>
      <c r="L1273">
        <v>2268</v>
      </c>
      <c r="M1273">
        <v>47632</v>
      </c>
      <c r="N1273">
        <v>2268</v>
      </c>
      <c r="O1273">
        <v>52168</v>
      </c>
    </row>
    <row r="1274" spans="1:15" x14ac:dyDescent="0.35">
      <c r="A1274">
        <v>1273</v>
      </c>
      <c r="B1274" s="2" t="s">
        <v>10</v>
      </c>
      <c r="C1274" s="2" t="s">
        <v>15</v>
      </c>
      <c r="D1274">
        <v>39</v>
      </c>
      <c r="E1274" s="2" t="s">
        <v>12</v>
      </c>
      <c r="F1274" s="2" t="s">
        <v>19</v>
      </c>
      <c r="G1274">
        <v>99979</v>
      </c>
      <c r="H1274" s="1">
        <v>45397</v>
      </c>
      <c r="I1274">
        <v>14</v>
      </c>
      <c r="J1274">
        <v>3</v>
      </c>
      <c r="K1274">
        <v>9998</v>
      </c>
      <c r="L1274">
        <v>4999</v>
      </c>
      <c r="M1274">
        <v>104978</v>
      </c>
      <c r="N1274">
        <v>4999</v>
      </c>
      <c r="O1274">
        <v>114976</v>
      </c>
    </row>
    <row r="1275" spans="1:15" x14ac:dyDescent="0.35">
      <c r="A1275">
        <v>1274</v>
      </c>
      <c r="B1275" s="2" t="s">
        <v>23</v>
      </c>
      <c r="C1275" s="2" t="s">
        <v>11</v>
      </c>
      <c r="D1275">
        <v>35</v>
      </c>
      <c r="E1275" s="2" t="s">
        <v>29</v>
      </c>
      <c r="F1275" s="2" t="s">
        <v>21</v>
      </c>
      <c r="G1275">
        <v>26224</v>
      </c>
      <c r="H1275" s="1">
        <v>45199</v>
      </c>
      <c r="I1275">
        <v>6</v>
      </c>
      <c r="J1275">
        <v>4</v>
      </c>
      <c r="K1275">
        <v>2622</v>
      </c>
      <c r="L1275">
        <v>1311</v>
      </c>
      <c r="M1275">
        <v>27535</v>
      </c>
      <c r="N1275">
        <v>1311</v>
      </c>
      <c r="O1275">
        <v>30157</v>
      </c>
    </row>
    <row r="1276" spans="1:15" x14ac:dyDescent="0.35">
      <c r="A1276">
        <v>1275</v>
      </c>
      <c r="B1276" s="2" t="s">
        <v>31</v>
      </c>
      <c r="C1276" s="2" t="s">
        <v>11</v>
      </c>
      <c r="D1276">
        <v>44</v>
      </c>
      <c r="E1276" s="2" t="s">
        <v>28</v>
      </c>
      <c r="F1276" s="2" t="s">
        <v>17</v>
      </c>
      <c r="G1276">
        <v>48886</v>
      </c>
      <c r="H1276" s="1">
        <v>45096</v>
      </c>
      <c r="I1276">
        <v>16</v>
      </c>
      <c r="J1276">
        <v>3</v>
      </c>
      <c r="K1276">
        <v>4889</v>
      </c>
      <c r="L1276">
        <v>2444</v>
      </c>
      <c r="M1276">
        <v>51331</v>
      </c>
      <c r="N1276">
        <v>2444</v>
      </c>
      <c r="O1276">
        <v>56219</v>
      </c>
    </row>
    <row r="1277" spans="1:15" x14ac:dyDescent="0.35">
      <c r="A1277">
        <v>1276</v>
      </c>
      <c r="B1277" s="2" t="s">
        <v>31</v>
      </c>
      <c r="C1277" s="2" t="s">
        <v>15</v>
      </c>
      <c r="D1277">
        <v>22</v>
      </c>
      <c r="E1277" s="2" t="s">
        <v>24</v>
      </c>
      <c r="F1277" s="2" t="s">
        <v>25</v>
      </c>
      <c r="G1277">
        <v>44401</v>
      </c>
      <c r="H1277" s="1">
        <v>45093</v>
      </c>
      <c r="I1277">
        <v>12</v>
      </c>
      <c r="J1277">
        <v>1</v>
      </c>
      <c r="K1277">
        <v>4440</v>
      </c>
      <c r="L1277">
        <v>2220</v>
      </c>
      <c r="M1277">
        <v>46621</v>
      </c>
      <c r="N1277">
        <v>2220</v>
      </c>
      <c r="O1277">
        <v>51061</v>
      </c>
    </row>
    <row r="1278" spans="1:15" x14ac:dyDescent="0.35">
      <c r="A1278">
        <v>1277</v>
      </c>
      <c r="B1278" s="2" t="s">
        <v>20</v>
      </c>
      <c r="C1278" s="2" t="s">
        <v>11</v>
      </c>
      <c r="D1278">
        <v>49</v>
      </c>
      <c r="E1278" s="2" t="s">
        <v>28</v>
      </c>
      <c r="F1278" s="2" t="s">
        <v>17</v>
      </c>
      <c r="G1278">
        <v>94318</v>
      </c>
      <c r="H1278" s="1">
        <v>45250</v>
      </c>
      <c r="I1278">
        <v>8</v>
      </c>
      <c r="J1278">
        <v>1</v>
      </c>
      <c r="K1278">
        <v>9432</v>
      </c>
      <c r="L1278">
        <v>4716</v>
      </c>
      <c r="M1278">
        <v>99034</v>
      </c>
      <c r="N1278">
        <v>4716</v>
      </c>
      <c r="O1278">
        <v>108466</v>
      </c>
    </row>
    <row r="1279" spans="1:15" x14ac:dyDescent="0.35">
      <c r="A1279">
        <v>1278</v>
      </c>
      <c r="B1279" s="2" t="s">
        <v>31</v>
      </c>
      <c r="C1279" s="2" t="s">
        <v>11</v>
      </c>
      <c r="D1279">
        <v>55</v>
      </c>
      <c r="E1279" s="2" t="s">
        <v>12</v>
      </c>
      <c r="F1279" s="2" t="s">
        <v>17</v>
      </c>
      <c r="G1279">
        <v>97109</v>
      </c>
      <c r="H1279" s="1">
        <v>45301</v>
      </c>
      <c r="I1279">
        <v>16</v>
      </c>
      <c r="J1279">
        <v>4</v>
      </c>
      <c r="K1279">
        <v>9711</v>
      </c>
      <c r="L1279">
        <v>4855</v>
      </c>
      <c r="M1279">
        <v>101965</v>
      </c>
      <c r="N1279">
        <v>4855</v>
      </c>
      <c r="O1279">
        <v>111675</v>
      </c>
    </row>
    <row r="1280" spans="1:15" x14ac:dyDescent="0.35">
      <c r="A1280">
        <v>1279</v>
      </c>
      <c r="B1280" s="2" t="s">
        <v>10</v>
      </c>
      <c r="C1280" s="2" t="s">
        <v>11</v>
      </c>
      <c r="D1280">
        <v>21</v>
      </c>
      <c r="E1280" s="2" t="s">
        <v>28</v>
      </c>
      <c r="F1280" s="2" t="s">
        <v>25</v>
      </c>
      <c r="G1280">
        <v>70830</v>
      </c>
      <c r="H1280" s="1">
        <v>45468</v>
      </c>
      <c r="I1280">
        <v>16</v>
      </c>
      <c r="J1280">
        <v>1</v>
      </c>
      <c r="K1280">
        <v>7083</v>
      </c>
      <c r="L1280">
        <v>3542</v>
      </c>
      <c r="M1280">
        <v>74371</v>
      </c>
      <c r="N1280">
        <v>3542</v>
      </c>
      <c r="O1280">
        <v>81455</v>
      </c>
    </row>
    <row r="1281" spans="1:15" x14ac:dyDescent="0.35">
      <c r="A1281">
        <v>1280</v>
      </c>
      <c r="B1281" s="2" t="s">
        <v>26</v>
      </c>
      <c r="C1281" s="2" t="s">
        <v>15</v>
      </c>
      <c r="D1281">
        <v>38</v>
      </c>
      <c r="E1281" s="2" t="s">
        <v>28</v>
      </c>
      <c r="F1281" s="2" t="s">
        <v>17</v>
      </c>
      <c r="G1281">
        <v>52592</v>
      </c>
      <c r="H1281" s="1">
        <v>44806</v>
      </c>
      <c r="I1281">
        <v>5</v>
      </c>
      <c r="J1281">
        <v>2</v>
      </c>
      <c r="K1281">
        <v>5259</v>
      </c>
      <c r="L1281">
        <v>2630</v>
      </c>
      <c r="M1281">
        <v>55221</v>
      </c>
      <c r="N1281">
        <v>0</v>
      </c>
      <c r="O1281">
        <v>57851</v>
      </c>
    </row>
    <row r="1282" spans="1:15" x14ac:dyDescent="0.35">
      <c r="A1282">
        <v>1281</v>
      </c>
      <c r="B1282" s="2" t="s">
        <v>30</v>
      </c>
      <c r="C1282" s="2" t="s">
        <v>11</v>
      </c>
      <c r="D1282">
        <v>34</v>
      </c>
      <c r="E1282" s="2" t="s">
        <v>24</v>
      </c>
      <c r="F1282" s="2" t="s">
        <v>21</v>
      </c>
      <c r="G1282">
        <v>53230</v>
      </c>
      <c r="H1282" s="1">
        <v>44631</v>
      </c>
      <c r="I1282">
        <v>1</v>
      </c>
      <c r="J1282">
        <v>1</v>
      </c>
      <c r="K1282">
        <v>5323</v>
      </c>
      <c r="L1282">
        <v>2662</v>
      </c>
      <c r="M1282">
        <v>55891</v>
      </c>
      <c r="N1282">
        <v>0</v>
      </c>
      <c r="O1282">
        <v>58553</v>
      </c>
    </row>
    <row r="1283" spans="1:15" x14ac:dyDescent="0.35">
      <c r="A1283">
        <v>1282</v>
      </c>
      <c r="B1283" s="2" t="s">
        <v>20</v>
      </c>
      <c r="C1283" s="2" t="s">
        <v>11</v>
      </c>
      <c r="D1283">
        <v>51</v>
      </c>
      <c r="E1283" s="2" t="s">
        <v>12</v>
      </c>
      <c r="F1283" s="2" t="s">
        <v>21</v>
      </c>
      <c r="G1283">
        <v>29299</v>
      </c>
      <c r="H1283" s="1">
        <v>45040</v>
      </c>
      <c r="I1283">
        <v>10</v>
      </c>
      <c r="J1283">
        <v>3</v>
      </c>
      <c r="K1283">
        <v>2930</v>
      </c>
      <c r="L1283">
        <v>1465</v>
      </c>
      <c r="M1283">
        <v>30764</v>
      </c>
      <c r="N1283">
        <v>1465</v>
      </c>
      <c r="O1283">
        <v>33694</v>
      </c>
    </row>
    <row r="1284" spans="1:15" x14ac:dyDescent="0.35">
      <c r="A1284">
        <v>1283</v>
      </c>
      <c r="B1284" s="2" t="s">
        <v>31</v>
      </c>
      <c r="C1284" s="2" t="s">
        <v>15</v>
      </c>
      <c r="D1284">
        <v>59</v>
      </c>
      <c r="E1284" s="2" t="s">
        <v>16</v>
      </c>
      <c r="F1284" s="2" t="s">
        <v>17</v>
      </c>
      <c r="G1284">
        <v>28769</v>
      </c>
      <c r="H1284" s="1">
        <v>45349</v>
      </c>
      <c r="I1284">
        <v>9</v>
      </c>
      <c r="J1284">
        <v>3</v>
      </c>
      <c r="K1284">
        <v>2877</v>
      </c>
      <c r="L1284">
        <v>1438</v>
      </c>
      <c r="M1284">
        <v>30208</v>
      </c>
      <c r="N1284">
        <v>1438</v>
      </c>
      <c r="O1284">
        <v>33084</v>
      </c>
    </row>
    <row r="1285" spans="1:15" x14ac:dyDescent="0.35">
      <c r="A1285">
        <v>1284</v>
      </c>
      <c r="B1285" s="2" t="s">
        <v>31</v>
      </c>
      <c r="C1285" s="2" t="s">
        <v>15</v>
      </c>
      <c r="D1285">
        <v>45</v>
      </c>
      <c r="E1285" s="2" t="s">
        <v>12</v>
      </c>
      <c r="F1285" s="2" t="s">
        <v>21</v>
      </c>
      <c r="G1285">
        <v>49407</v>
      </c>
      <c r="H1285" s="1">
        <v>45022</v>
      </c>
      <c r="I1285">
        <v>16</v>
      </c>
      <c r="J1285">
        <v>2</v>
      </c>
      <c r="K1285">
        <v>4941</v>
      </c>
      <c r="L1285">
        <v>2470</v>
      </c>
      <c r="M1285">
        <v>51878</v>
      </c>
      <c r="N1285">
        <v>2470</v>
      </c>
      <c r="O1285">
        <v>56818</v>
      </c>
    </row>
    <row r="1286" spans="1:15" x14ac:dyDescent="0.35">
      <c r="A1286">
        <v>1285</v>
      </c>
      <c r="B1286" s="2" t="s">
        <v>31</v>
      </c>
      <c r="C1286" s="2" t="s">
        <v>11</v>
      </c>
      <c r="D1286">
        <v>51</v>
      </c>
      <c r="E1286" s="2" t="s">
        <v>12</v>
      </c>
      <c r="F1286" s="2" t="s">
        <v>19</v>
      </c>
      <c r="G1286">
        <v>40164</v>
      </c>
      <c r="H1286" s="1">
        <v>45067</v>
      </c>
      <c r="I1286">
        <v>3</v>
      </c>
      <c r="J1286">
        <v>5</v>
      </c>
      <c r="K1286">
        <v>4016</v>
      </c>
      <c r="L1286">
        <v>2008</v>
      </c>
      <c r="M1286">
        <v>42172</v>
      </c>
      <c r="N1286">
        <v>0</v>
      </c>
      <c r="O1286">
        <v>44180</v>
      </c>
    </row>
    <row r="1287" spans="1:15" x14ac:dyDescent="0.35">
      <c r="A1287">
        <v>1286</v>
      </c>
      <c r="B1287" s="2" t="s">
        <v>26</v>
      </c>
      <c r="C1287" s="2" t="s">
        <v>11</v>
      </c>
      <c r="D1287">
        <v>38</v>
      </c>
      <c r="E1287" s="2" t="s">
        <v>29</v>
      </c>
      <c r="F1287" s="2" t="s">
        <v>13</v>
      </c>
      <c r="G1287">
        <v>47928</v>
      </c>
      <c r="H1287" s="1">
        <v>44948</v>
      </c>
      <c r="I1287">
        <v>10</v>
      </c>
      <c r="J1287">
        <v>4</v>
      </c>
      <c r="K1287">
        <v>4793</v>
      </c>
      <c r="L1287">
        <v>2396</v>
      </c>
      <c r="M1287">
        <v>50325</v>
      </c>
      <c r="N1287">
        <v>2396</v>
      </c>
      <c r="O1287">
        <v>55117</v>
      </c>
    </row>
    <row r="1288" spans="1:15" x14ac:dyDescent="0.35">
      <c r="A1288">
        <v>1287</v>
      </c>
      <c r="B1288" s="2" t="s">
        <v>23</v>
      </c>
      <c r="C1288" s="2" t="s">
        <v>15</v>
      </c>
      <c r="D1288">
        <v>33</v>
      </c>
      <c r="E1288" s="2" t="s">
        <v>29</v>
      </c>
      <c r="F1288" s="2" t="s">
        <v>19</v>
      </c>
      <c r="G1288">
        <v>64036</v>
      </c>
      <c r="H1288" s="1">
        <v>44732</v>
      </c>
      <c r="I1288">
        <v>3</v>
      </c>
      <c r="J1288">
        <v>4</v>
      </c>
      <c r="K1288">
        <v>6404</v>
      </c>
      <c r="L1288">
        <v>3202</v>
      </c>
      <c r="M1288">
        <v>67238</v>
      </c>
      <c r="N1288">
        <v>0</v>
      </c>
      <c r="O1288">
        <v>70440</v>
      </c>
    </row>
    <row r="1289" spans="1:15" x14ac:dyDescent="0.35">
      <c r="A1289">
        <v>1288</v>
      </c>
      <c r="B1289" s="2" t="s">
        <v>20</v>
      </c>
      <c r="C1289" s="2" t="s">
        <v>11</v>
      </c>
      <c r="D1289">
        <v>38</v>
      </c>
      <c r="E1289" s="2" t="s">
        <v>12</v>
      </c>
      <c r="F1289" s="2" t="s">
        <v>21</v>
      </c>
      <c r="G1289">
        <v>24037</v>
      </c>
      <c r="H1289" s="1">
        <v>44726</v>
      </c>
      <c r="I1289">
        <v>11</v>
      </c>
      <c r="J1289">
        <v>2</v>
      </c>
      <c r="K1289">
        <v>2404</v>
      </c>
      <c r="L1289">
        <v>1202</v>
      </c>
      <c r="M1289">
        <v>25239</v>
      </c>
      <c r="N1289">
        <v>1202</v>
      </c>
      <c r="O1289">
        <v>27643</v>
      </c>
    </row>
    <row r="1290" spans="1:15" x14ac:dyDescent="0.35">
      <c r="A1290">
        <v>1289</v>
      </c>
      <c r="B1290" s="2" t="s">
        <v>22</v>
      </c>
      <c r="C1290" s="2" t="s">
        <v>15</v>
      </c>
      <c r="D1290">
        <v>55</v>
      </c>
      <c r="E1290" s="2" t="s">
        <v>16</v>
      </c>
      <c r="F1290" s="2" t="s">
        <v>17</v>
      </c>
      <c r="G1290">
        <v>87077</v>
      </c>
      <c r="H1290" s="1">
        <v>44812</v>
      </c>
      <c r="I1290">
        <v>7</v>
      </c>
      <c r="J1290">
        <v>3</v>
      </c>
      <c r="K1290">
        <v>8708</v>
      </c>
      <c r="L1290">
        <v>4354</v>
      </c>
      <c r="M1290">
        <v>91431</v>
      </c>
      <c r="N1290">
        <v>4354</v>
      </c>
      <c r="O1290">
        <v>100139</v>
      </c>
    </row>
    <row r="1291" spans="1:15" x14ac:dyDescent="0.35">
      <c r="A1291">
        <v>1290</v>
      </c>
      <c r="B1291" s="2" t="s">
        <v>18</v>
      </c>
      <c r="C1291" s="2" t="s">
        <v>11</v>
      </c>
      <c r="D1291">
        <v>58</v>
      </c>
      <c r="E1291" s="2" t="s">
        <v>29</v>
      </c>
      <c r="F1291" s="2" t="s">
        <v>13</v>
      </c>
      <c r="G1291">
        <v>72333</v>
      </c>
      <c r="H1291" s="1">
        <v>45259</v>
      </c>
      <c r="I1291">
        <v>18</v>
      </c>
      <c r="J1291">
        <v>2</v>
      </c>
      <c r="K1291">
        <v>7233</v>
      </c>
      <c r="L1291">
        <v>3617</v>
      </c>
      <c r="M1291">
        <v>75949</v>
      </c>
      <c r="N1291">
        <v>3617</v>
      </c>
      <c r="O1291">
        <v>83183</v>
      </c>
    </row>
    <row r="1292" spans="1:15" x14ac:dyDescent="0.35">
      <c r="A1292">
        <v>1291</v>
      </c>
      <c r="B1292" s="2" t="s">
        <v>10</v>
      </c>
      <c r="C1292" s="2" t="s">
        <v>11</v>
      </c>
      <c r="D1292">
        <v>22</v>
      </c>
      <c r="E1292" s="2" t="s">
        <v>12</v>
      </c>
      <c r="F1292" s="2" t="s">
        <v>25</v>
      </c>
      <c r="G1292">
        <v>99890</v>
      </c>
      <c r="H1292" s="1">
        <v>44579</v>
      </c>
      <c r="I1292">
        <v>15</v>
      </c>
      <c r="J1292">
        <v>1</v>
      </c>
      <c r="K1292">
        <v>9989</v>
      </c>
      <c r="L1292">
        <v>4994</v>
      </c>
      <c r="M1292">
        <v>104885</v>
      </c>
      <c r="N1292">
        <v>4994</v>
      </c>
      <c r="O1292">
        <v>114873</v>
      </c>
    </row>
    <row r="1293" spans="1:15" x14ac:dyDescent="0.35">
      <c r="A1293">
        <v>1292</v>
      </c>
      <c r="B1293" s="2" t="s">
        <v>14</v>
      </c>
      <c r="C1293" s="2" t="s">
        <v>11</v>
      </c>
      <c r="D1293">
        <v>38</v>
      </c>
      <c r="E1293" s="2" t="s">
        <v>29</v>
      </c>
      <c r="F1293" s="2" t="s">
        <v>19</v>
      </c>
      <c r="G1293">
        <v>94563</v>
      </c>
      <c r="H1293" s="1">
        <v>45454</v>
      </c>
      <c r="I1293">
        <v>8</v>
      </c>
      <c r="J1293">
        <v>3</v>
      </c>
      <c r="K1293">
        <v>9456</v>
      </c>
      <c r="L1293">
        <v>4728</v>
      </c>
      <c r="M1293">
        <v>99291</v>
      </c>
      <c r="N1293">
        <v>4728</v>
      </c>
      <c r="O1293">
        <v>108747</v>
      </c>
    </row>
    <row r="1294" spans="1:15" x14ac:dyDescent="0.35">
      <c r="A1294">
        <v>1293</v>
      </c>
      <c r="B1294" s="2" t="s">
        <v>31</v>
      </c>
      <c r="C1294" s="2" t="s">
        <v>11</v>
      </c>
      <c r="D1294">
        <v>33</v>
      </c>
      <c r="E1294" s="2" t="s">
        <v>28</v>
      </c>
      <c r="F1294" s="2" t="s">
        <v>17</v>
      </c>
      <c r="G1294">
        <v>55911</v>
      </c>
      <c r="H1294" s="1">
        <v>44634</v>
      </c>
      <c r="I1294">
        <v>12</v>
      </c>
      <c r="J1294">
        <v>4</v>
      </c>
      <c r="K1294">
        <v>5591</v>
      </c>
      <c r="L1294">
        <v>2796</v>
      </c>
      <c r="M1294">
        <v>58706</v>
      </c>
      <c r="N1294">
        <v>2796</v>
      </c>
      <c r="O1294">
        <v>64298</v>
      </c>
    </row>
    <row r="1295" spans="1:15" x14ac:dyDescent="0.35">
      <c r="A1295">
        <v>1294</v>
      </c>
      <c r="B1295" s="2" t="s">
        <v>27</v>
      </c>
      <c r="C1295" s="2" t="s">
        <v>15</v>
      </c>
      <c r="D1295">
        <v>32</v>
      </c>
      <c r="E1295" s="2" t="s">
        <v>12</v>
      </c>
      <c r="F1295" s="2" t="s">
        <v>17</v>
      </c>
      <c r="G1295">
        <v>38552</v>
      </c>
      <c r="H1295" s="1">
        <v>44937</v>
      </c>
      <c r="I1295">
        <v>17</v>
      </c>
      <c r="J1295">
        <v>4</v>
      </c>
      <c r="K1295">
        <v>3855</v>
      </c>
      <c r="L1295">
        <v>1928</v>
      </c>
      <c r="M1295">
        <v>40479</v>
      </c>
      <c r="N1295">
        <v>1928</v>
      </c>
      <c r="O1295">
        <v>44335</v>
      </c>
    </row>
    <row r="1296" spans="1:15" x14ac:dyDescent="0.35">
      <c r="A1296">
        <v>1295</v>
      </c>
      <c r="B1296" s="2" t="s">
        <v>18</v>
      </c>
      <c r="C1296" s="2" t="s">
        <v>15</v>
      </c>
      <c r="D1296">
        <v>60</v>
      </c>
      <c r="E1296" s="2" t="s">
        <v>29</v>
      </c>
      <c r="F1296" s="2" t="s">
        <v>13</v>
      </c>
      <c r="G1296">
        <v>72425</v>
      </c>
      <c r="H1296" s="1">
        <v>45063</v>
      </c>
      <c r="I1296">
        <v>7</v>
      </c>
      <c r="J1296">
        <v>2</v>
      </c>
      <c r="K1296">
        <v>7242</v>
      </c>
      <c r="L1296">
        <v>3621</v>
      </c>
      <c r="M1296">
        <v>76046</v>
      </c>
      <c r="N1296">
        <v>3621</v>
      </c>
      <c r="O1296">
        <v>83288</v>
      </c>
    </row>
    <row r="1297" spans="1:15" x14ac:dyDescent="0.35">
      <c r="A1297">
        <v>1296</v>
      </c>
      <c r="B1297" s="2" t="s">
        <v>18</v>
      </c>
      <c r="C1297" s="2" t="s">
        <v>15</v>
      </c>
      <c r="D1297">
        <v>25</v>
      </c>
      <c r="E1297" s="2" t="s">
        <v>16</v>
      </c>
      <c r="F1297" s="2" t="s">
        <v>25</v>
      </c>
      <c r="G1297">
        <v>20628</v>
      </c>
      <c r="H1297" s="1">
        <v>44808</v>
      </c>
      <c r="I1297">
        <v>17</v>
      </c>
      <c r="J1297">
        <v>5</v>
      </c>
      <c r="K1297">
        <v>2063</v>
      </c>
      <c r="L1297">
        <v>1031</v>
      </c>
      <c r="M1297">
        <v>21660</v>
      </c>
      <c r="N1297">
        <v>1031</v>
      </c>
      <c r="O1297">
        <v>23722</v>
      </c>
    </row>
    <row r="1298" spans="1:15" x14ac:dyDescent="0.35">
      <c r="A1298">
        <v>1297</v>
      </c>
      <c r="B1298" s="2" t="s">
        <v>31</v>
      </c>
      <c r="C1298" s="2" t="s">
        <v>15</v>
      </c>
      <c r="D1298">
        <v>59</v>
      </c>
      <c r="E1298" s="2" t="s">
        <v>28</v>
      </c>
      <c r="F1298" s="2" t="s">
        <v>13</v>
      </c>
      <c r="G1298">
        <v>76456</v>
      </c>
      <c r="H1298" s="1">
        <v>45380</v>
      </c>
      <c r="I1298">
        <v>17</v>
      </c>
      <c r="J1298">
        <v>2</v>
      </c>
      <c r="K1298">
        <v>7646</v>
      </c>
      <c r="L1298">
        <v>3823</v>
      </c>
      <c r="M1298">
        <v>80279</v>
      </c>
      <c r="N1298">
        <v>3823</v>
      </c>
      <c r="O1298">
        <v>87925</v>
      </c>
    </row>
    <row r="1299" spans="1:15" x14ac:dyDescent="0.35">
      <c r="A1299">
        <v>1298</v>
      </c>
      <c r="B1299" s="2" t="s">
        <v>23</v>
      </c>
      <c r="C1299" s="2" t="s">
        <v>15</v>
      </c>
      <c r="D1299">
        <v>44</v>
      </c>
      <c r="E1299" s="2" t="s">
        <v>24</v>
      </c>
      <c r="F1299" s="2" t="s">
        <v>17</v>
      </c>
      <c r="G1299">
        <v>40516</v>
      </c>
      <c r="H1299" s="1">
        <v>45317</v>
      </c>
      <c r="I1299">
        <v>7</v>
      </c>
      <c r="J1299">
        <v>2</v>
      </c>
      <c r="K1299">
        <v>4052</v>
      </c>
      <c r="L1299">
        <v>2026</v>
      </c>
      <c r="M1299">
        <v>42542</v>
      </c>
      <c r="N1299">
        <v>2026</v>
      </c>
      <c r="O1299">
        <v>46594</v>
      </c>
    </row>
    <row r="1300" spans="1:15" x14ac:dyDescent="0.35">
      <c r="A1300">
        <v>1299</v>
      </c>
      <c r="B1300" s="2" t="s">
        <v>23</v>
      </c>
      <c r="C1300" s="2" t="s">
        <v>15</v>
      </c>
      <c r="D1300">
        <v>38</v>
      </c>
      <c r="E1300" s="2" t="s">
        <v>28</v>
      </c>
      <c r="F1300" s="2" t="s">
        <v>21</v>
      </c>
      <c r="G1300">
        <v>25712</v>
      </c>
      <c r="H1300" s="1">
        <v>45134</v>
      </c>
      <c r="I1300">
        <v>5</v>
      </c>
      <c r="J1300">
        <v>5</v>
      </c>
      <c r="K1300">
        <v>2571</v>
      </c>
      <c r="L1300">
        <v>1286</v>
      </c>
      <c r="M1300">
        <v>26997</v>
      </c>
      <c r="N1300">
        <v>0</v>
      </c>
      <c r="O1300">
        <v>28283</v>
      </c>
    </row>
    <row r="1301" spans="1:15" x14ac:dyDescent="0.35">
      <c r="A1301">
        <v>1300</v>
      </c>
      <c r="B1301" s="2" t="s">
        <v>30</v>
      </c>
      <c r="C1301" s="2" t="s">
        <v>15</v>
      </c>
      <c r="D1301">
        <v>38</v>
      </c>
      <c r="E1301" s="2" t="s">
        <v>28</v>
      </c>
      <c r="F1301" s="2" t="s">
        <v>25</v>
      </c>
      <c r="G1301">
        <v>21296</v>
      </c>
      <c r="H1301" s="1">
        <v>45336</v>
      </c>
      <c r="I1301">
        <v>14</v>
      </c>
      <c r="J1301">
        <v>1</v>
      </c>
      <c r="K1301">
        <v>2130</v>
      </c>
      <c r="L1301">
        <v>1065</v>
      </c>
      <c r="M1301">
        <v>22361</v>
      </c>
      <c r="N1301">
        <v>1065</v>
      </c>
      <c r="O1301">
        <v>24491</v>
      </c>
    </row>
    <row r="1302" spans="1:15" x14ac:dyDescent="0.35">
      <c r="A1302">
        <v>1301</v>
      </c>
      <c r="B1302" s="2" t="s">
        <v>18</v>
      </c>
      <c r="C1302" s="2" t="s">
        <v>15</v>
      </c>
      <c r="D1302">
        <v>42</v>
      </c>
      <c r="E1302" s="2" t="s">
        <v>12</v>
      </c>
      <c r="F1302" s="2" t="s">
        <v>17</v>
      </c>
      <c r="G1302">
        <v>42790</v>
      </c>
      <c r="H1302" s="1">
        <v>45242</v>
      </c>
      <c r="I1302">
        <v>1</v>
      </c>
      <c r="J1302">
        <v>2</v>
      </c>
      <c r="K1302">
        <v>4279</v>
      </c>
      <c r="L1302">
        <v>2140</v>
      </c>
      <c r="M1302">
        <v>44929</v>
      </c>
      <c r="N1302">
        <v>0</v>
      </c>
      <c r="O1302">
        <v>47069</v>
      </c>
    </row>
    <row r="1303" spans="1:15" x14ac:dyDescent="0.35">
      <c r="A1303">
        <v>1302</v>
      </c>
      <c r="B1303" s="2" t="s">
        <v>22</v>
      </c>
      <c r="C1303" s="2" t="s">
        <v>15</v>
      </c>
      <c r="D1303">
        <v>22</v>
      </c>
      <c r="E1303" s="2" t="s">
        <v>29</v>
      </c>
      <c r="F1303" s="2" t="s">
        <v>25</v>
      </c>
      <c r="G1303">
        <v>98111</v>
      </c>
      <c r="H1303" s="1">
        <v>45170</v>
      </c>
      <c r="I1303">
        <v>12</v>
      </c>
      <c r="J1303">
        <v>3</v>
      </c>
      <c r="K1303">
        <v>9811</v>
      </c>
      <c r="L1303">
        <v>4906</v>
      </c>
      <c r="M1303">
        <v>103016</v>
      </c>
      <c r="N1303">
        <v>4906</v>
      </c>
      <c r="O1303">
        <v>112828</v>
      </c>
    </row>
    <row r="1304" spans="1:15" x14ac:dyDescent="0.35">
      <c r="A1304">
        <v>1303</v>
      </c>
      <c r="B1304" s="2" t="s">
        <v>18</v>
      </c>
      <c r="C1304" s="2" t="s">
        <v>15</v>
      </c>
      <c r="D1304">
        <v>59</v>
      </c>
      <c r="E1304" s="2" t="s">
        <v>12</v>
      </c>
      <c r="F1304" s="2" t="s">
        <v>13</v>
      </c>
      <c r="G1304">
        <v>55089</v>
      </c>
      <c r="H1304" s="1">
        <v>44717</v>
      </c>
      <c r="I1304">
        <v>12</v>
      </c>
      <c r="J1304">
        <v>3</v>
      </c>
      <c r="K1304">
        <v>5509</v>
      </c>
      <c r="L1304">
        <v>2754</v>
      </c>
      <c r="M1304">
        <v>57844</v>
      </c>
      <c r="N1304">
        <v>2754</v>
      </c>
      <c r="O1304">
        <v>63352</v>
      </c>
    </row>
    <row r="1305" spans="1:15" x14ac:dyDescent="0.35">
      <c r="A1305">
        <v>1304</v>
      </c>
      <c r="B1305" s="2" t="s">
        <v>10</v>
      </c>
      <c r="C1305" s="2" t="s">
        <v>11</v>
      </c>
      <c r="D1305">
        <v>22</v>
      </c>
      <c r="E1305" s="2" t="s">
        <v>16</v>
      </c>
      <c r="F1305" s="2" t="s">
        <v>21</v>
      </c>
      <c r="G1305">
        <v>81105</v>
      </c>
      <c r="H1305" s="1">
        <v>44916</v>
      </c>
      <c r="I1305">
        <v>10</v>
      </c>
      <c r="J1305">
        <v>2</v>
      </c>
      <c r="K1305">
        <v>8110</v>
      </c>
      <c r="L1305">
        <v>4055</v>
      </c>
      <c r="M1305">
        <v>85160</v>
      </c>
      <c r="N1305">
        <v>4055</v>
      </c>
      <c r="O1305">
        <v>93270</v>
      </c>
    </row>
    <row r="1306" spans="1:15" x14ac:dyDescent="0.35">
      <c r="A1306">
        <v>1305</v>
      </c>
      <c r="B1306" s="2" t="s">
        <v>14</v>
      </c>
      <c r="C1306" s="2" t="s">
        <v>15</v>
      </c>
      <c r="D1306">
        <v>26</v>
      </c>
      <c r="E1306" s="2" t="s">
        <v>24</v>
      </c>
      <c r="F1306" s="2" t="s">
        <v>17</v>
      </c>
      <c r="G1306">
        <v>20502</v>
      </c>
      <c r="H1306" s="1">
        <v>44730</v>
      </c>
      <c r="I1306">
        <v>12</v>
      </c>
      <c r="J1306">
        <v>1</v>
      </c>
      <c r="K1306">
        <v>2050</v>
      </c>
      <c r="L1306">
        <v>1025</v>
      </c>
      <c r="M1306">
        <v>21527</v>
      </c>
      <c r="N1306">
        <v>1025</v>
      </c>
      <c r="O1306">
        <v>23577</v>
      </c>
    </row>
    <row r="1307" spans="1:15" x14ac:dyDescent="0.35">
      <c r="A1307">
        <v>1306</v>
      </c>
      <c r="B1307" s="2" t="s">
        <v>14</v>
      </c>
      <c r="C1307" s="2" t="s">
        <v>11</v>
      </c>
      <c r="D1307">
        <v>55</v>
      </c>
      <c r="E1307" s="2" t="s">
        <v>16</v>
      </c>
      <c r="F1307" s="2" t="s">
        <v>25</v>
      </c>
      <c r="G1307">
        <v>72604</v>
      </c>
      <c r="H1307" s="1">
        <v>44772</v>
      </c>
      <c r="I1307">
        <v>17</v>
      </c>
      <c r="J1307">
        <v>3</v>
      </c>
      <c r="K1307">
        <v>7260</v>
      </c>
      <c r="L1307">
        <v>3630</v>
      </c>
      <c r="M1307">
        <v>76234</v>
      </c>
      <c r="N1307">
        <v>3630</v>
      </c>
      <c r="O1307">
        <v>83494</v>
      </c>
    </row>
    <row r="1308" spans="1:15" x14ac:dyDescent="0.35">
      <c r="A1308">
        <v>1307</v>
      </c>
      <c r="B1308" s="2" t="s">
        <v>20</v>
      </c>
      <c r="C1308" s="2" t="s">
        <v>11</v>
      </c>
      <c r="D1308">
        <v>42</v>
      </c>
      <c r="E1308" s="2" t="s">
        <v>16</v>
      </c>
      <c r="F1308" s="2" t="s">
        <v>13</v>
      </c>
      <c r="G1308">
        <v>26981</v>
      </c>
      <c r="H1308" s="1">
        <v>45038</v>
      </c>
      <c r="I1308">
        <v>8</v>
      </c>
      <c r="J1308">
        <v>1</v>
      </c>
      <c r="K1308">
        <v>2698</v>
      </c>
      <c r="L1308">
        <v>1349</v>
      </c>
      <c r="M1308">
        <v>28330</v>
      </c>
      <c r="N1308">
        <v>1349</v>
      </c>
      <c r="O1308">
        <v>31028</v>
      </c>
    </row>
    <row r="1309" spans="1:15" x14ac:dyDescent="0.35">
      <c r="A1309">
        <v>1308</v>
      </c>
      <c r="B1309" s="2" t="s">
        <v>26</v>
      </c>
      <c r="C1309" s="2" t="s">
        <v>11</v>
      </c>
      <c r="D1309">
        <v>36</v>
      </c>
      <c r="E1309" s="2" t="s">
        <v>28</v>
      </c>
      <c r="F1309" s="2" t="s">
        <v>17</v>
      </c>
      <c r="G1309">
        <v>37943</v>
      </c>
      <c r="H1309" s="1">
        <v>45263</v>
      </c>
      <c r="I1309">
        <v>10</v>
      </c>
      <c r="J1309">
        <v>5</v>
      </c>
      <c r="K1309">
        <v>3794</v>
      </c>
      <c r="L1309">
        <v>1897</v>
      </c>
      <c r="M1309">
        <v>39840</v>
      </c>
      <c r="N1309">
        <v>1897</v>
      </c>
      <c r="O1309">
        <v>43634</v>
      </c>
    </row>
    <row r="1310" spans="1:15" x14ac:dyDescent="0.35">
      <c r="A1310">
        <v>1309</v>
      </c>
      <c r="B1310" s="2" t="s">
        <v>22</v>
      </c>
      <c r="C1310" s="2" t="s">
        <v>15</v>
      </c>
      <c r="D1310">
        <v>44</v>
      </c>
      <c r="E1310" s="2" t="s">
        <v>28</v>
      </c>
      <c r="F1310" s="2" t="s">
        <v>13</v>
      </c>
      <c r="G1310">
        <v>71657</v>
      </c>
      <c r="H1310" s="1">
        <v>44780</v>
      </c>
      <c r="I1310">
        <v>17</v>
      </c>
      <c r="J1310">
        <v>1</v>
      </c>
      <c r="K1310">
        <v>7166</v>
      </c>
      <c r="L1310">
        <v>3583</v>
      </c>
      <c r="M1310">
        <v>75240</v>
      </c>
      <c r="N1310">
        <v>3583</v>
      </c>
      <c r="O1310">
        <v>82406</v>
      </c>
    </row>
    <row r="1311" spans="1:15" x14ac:dyDescent="0.35">
      <c r="A1311">
        <v>1310</v>
      </c>
      <c r="B1311" s="2" t="s">
        <v>27</v>
      </c>
      <c r="C1311" s="2" t="s">
        <v>11</v>
      </c>
      <c r="D1311">
        <v>47</v>
      </c>
      <c r="E1311" s="2" t="s">
        <v>24</v>
      </c>
      <c r="F1311" s="2" t="s">
        <v>21</v>
      </c>
      <c r="G1311">
        <v>39242</v>
      </c>
      <c r="H1311" s="1">
        <v>44762</v>
      </c>
      <c r="I1311">
        <v>11</v>
      </c>
      <c r="J1311">
        <v>3</v>
      </c>
      <c r="K1311">
        <v>3924</v>
      </c>
      <c r="L1311">
        <v>1962</v>
      </c>
      <c r="M1311">
        <v>41204</v>
      </c>
      <c r="N1311">
        <v>1962</v>
      </c>
      <c r="O1311">
        <v>45128</v>
      </c>
    </row>
    <row r="1312" spans="1:15" x14ac:dyDescent="0.35">
      <c r="A1312">
        <v>1311</v>
      </c>
      <c r="B1312" s="2" t="s">
        <v>30</v>
      </c>
      <c r="C1312" s="2" t="s">
        <v>11</v>
      </c>
      <c r="D1312">
        <v>23</v>
      </c>
      <c r="E1312" s="2" t="s">
        <v>12</v>
      </c>
      <c r="F1312" s="2" t="s">
        <v>17</v>
      </c>
      <c r="G1312">
        <v>33916</v>
      </c>
      <c r="H1312" s="1">
        <v>45087</v>
      </c>
      <c r="I1312">
        <v>16</v>
      </c>
      <c r="J1312">
        <v>4</v>
      </c>
      <c r="K1312">
        <v>3392</v>
      </c>
      <c r="L1312">
        <v>1696</v>
      </c>
      <c r="M1312">
        <v>35612</v>
      </c>
      <c r="N1312">
        <v>1696</v>
      </c>
      <c r="O1312">
        <v>39004</v>
      </c>
    </row>
    <row r="1313" spans="1:15" x14ac:dyDescent="0.35">
      <c r="A1313">
        <v>1312</v>
      </c>
      <c r="B1313" s="2" t="s">
        <v>18</v>
      </c>
      <c r="C1313" s="2" t="s">
        <v>15</v>
      </c>
      <c r="D1313">
        <v>28</v>
      </c>
      <c r="E1313" s="2" t="s">
        <v>24</v>
      </c>
      <c r="F1313" s="2" t="s">
        <v>19</v>
      </c>
      <c r="G1313">
        <v>57662</v>
      </c>
      <c r="H1313" s="1">
        <v>44936</v>
      </c>
      <c r="I1313">
        <v>13</v>
      </c>
      <c r="J1313">
        <v>5</v>
      </c>
      <c r="K1313">
        <v>5766</v>
      </c>
      <c r="L1313">
        <v>2883</v>
      </c>
      <c r="M1313">
        <v>60545</v>
      </c>
      <c r="N1313">
        <v>2883</v>
      </c>
      <c r="O1313">
        <v>66311</v>
      </c>
    </row>
    <row r="1314" spans="1:15" x14ac:dyDescent="0.35">
      <c r="A1314">
        <v>1313</v>
      </c>
      <c r="B1314" s="2" t="s">
        <v>14</v>
      </c>
      <c r="C1314" s="2" t="s">
        <v>15</v>
      </c>
      <c r="D1314">
        <v>56</v>
      </c>
      <c r="E1314" s="2" t="s">
        <v>16</v>
      </c>
      <c r="F1314" s="2" t="s">
        <v>21</v>
      </c>
      <c r="G1314">
        <v>54562</v>
      </c>
      <c r="H1314" s="1">
        <v>44656</v>
      </c>
      <c r="I1314">
        <v>12</v>
      </c>
      <c r="J1314">
        <v>3</v>
      </c>
      <c r="K1314">
        <v>5456</v>
      </c>
      <c r="L1314">
        <v>2728</v>
      </c>
      <c r="M1314">
        <v>57290</v>
      </c>
      <c r="N1314">
        <v>2728</v>
      </c>
      <c r="O1314">
        <v>62746</v>
      </c>
    </row>
    <row r="1315" spans="1:15" x14ac:dyDescent="0.35">
      <c r="A1315">
        <v>1314</v>
      </c>
      <c r="B1315" s="2" t="s">
        <v>23</v>
      </c>
      <c r="C1315" s="2" t="s">
        <v>11</v>
      </c>
      <c r="D1315">
        <v>57</v>
      </c>
      <c r="E1315" s="2" t="s">
        <v>29</v>
      </c>
      <c r="F1315" s="2" t="s">
        <v>21</v>
      </c>
      <c r="G1315">
        <v>44290</v>
      </c>
      <c r="H1315" s="1">
        <v>45419</v>
      </c>
      <c r="I1315">
        <v>6</v>
      </c>
      <c r="J1315">
        <v>1</v>
      </c>
      <c r="K1315">
        <v>4429</v>
      </c>
      <c r="L1315">
        <v>2214</v>
      </c>
      <c r="M1315">
        <v>46505</v>
      </c>
      <c r="N1315">
        <v>2214</v>
      </c>
      <c r="O1315">
        <v>50933</v>
      </c>
    </row>
    <row r="1316" spans="1:15" x14ac:dyDescent="0.35">
      <c r="A1316">
        <v>1315</v>
      </c>
      <c r="B1316" s="2" t="s">
        <v>27</v>
      </c>
      <c r="C1316" s="2" t="s">
        <v>15</v>
      </c>
      <c r="D1316">
        <v>43</v>
      </c>
      <c r="E1316" s="2" t="s">
        <v>29</v>
      </c>
      <c r="F1316" s="2" t="s">
        <v>13</v>
      </c>
      <c r="G1316">
        <v>73073</v>
      </c>
      <c r="H1316" s="1">
        <v>44814</v>
      </c>
      <c r="I1316">
        <v>15</v>
      </c>
      <c r="J1316">
        <v>1</v>
      </c>
      <c r="K1316">
        <v>7307</v>
      </c>
      <c r="L1316">
        <v>3654</v>
      </c>
      <c r="M1316">
        <v>76726</v>
      </c>
      <c r="N1316">
        <v>3654</v>
      </c>
      <c r="O1316">
        <v>84034</v>
      </c>
    </row>
    <row r="1317" spans="1:15" x14ac:dyDescent="0.35">
      <c r="A1317">
        <v>1316</v>
      </c>
      <c r="B1317" s="2" t="s">
        <v>14</v>
      </c>
      <c r="C1317" s="2" t="s">
        <v>15</v>
      </c>
      <c r="D1317">
        <v>25</v>
      </c>
      <c r="E1317" s="2" t="s">
        <v>28</v>
      </c>
      <c r="F1317" s="2" t="s">
        <v>17</v>
      </c>
      <c r="G1317">
        <v>41305</v>
      </c>
      <c r="H1317" s="1">
        <v>44575</v>
      </c>
      <c r="I1317">
        <v>13</v>
      </c>
      <c r="J1317">
        <v>3</v>
      </c>
      <c r="K1317">
        <v>4130</v>
      </c>
      <c r="L1317">
        <v>2065</v>
      </c>
      <c r="M1317">
        <v>43370</v>
      </c>
      <c r="N1317">
        <v>2065</v>
      </c>
      <c r="O1317">
        <v>47500</v>
      </c>
    </row>
    <row r="1318" spans="1:15" x14ac:dyDescent="0.35">
      <c r="A1318">
        <v>1317</v>
      </c>
      <c r="B1318" s="2" t="s">
        <v>18</v>
      </c>
      <c r="C1318" s="2" t="s">
        <v>15</v>
      </c>
      <c r="D1318">
        <v>52</v>
      </c>
      <c r="E1318" s="2" t="s">
        <v>12</v>
      </c>
      <c r="F1318" s="2" t="s">
        <v>17</v>
      </c>
      <c r="G1318">
        <v>78834</v>
      </c>
      <c r="H1318" s="1">
        <v>44703</v>
      </c>
      <c r="I1318">
        <v>20</v>
      </c>
      <c r="J1318">
        <v>4</v>
      </c>
      <c r="K1318">
        <v>7883</v>
      </c>
      <c r="L1318">
        <v>3942</v>
      </c>
      <c r="M1318">
        <v>82775</v>
      </c>
      <c r="N1318">
        <v>3942</v>
      </c>
      <c r="O1318">
        <v>90659</v>
      </c>
    </row>
    <row r="1319" spans="1:15" x14ac:dyDescent="0.35">
      <c r="A1319">
        <v>1318</v>
      </c>
      <c r="B1319" s="2" t="s">
        <v>10</v>
      </c>
      <c r="C1319" s="2" t="s">
        <v>11</v>
      </c>
      <c r="D1319">
        <v>48</v>
      </c>
      <c r="E1319" s="2" t="s">
        <v>12</v>
      </c>
      <c r="F1319" s="2" t="s">
        <v>21</v>
      </c>
      <c r="G1319">
        <v>35873</v>
      </c>
      <c r="H1319" s="1">
        <v>44610</v>
      </c>
      <c r="I1319">
        <v>17</v>
      </c>
      <c r="J1319">
        <v>5</v>
      </c>
      <c r="K1319">
        <v>3587</v>
      </c>
      <c r="L1319">
        <v>1794</v>
      </c>
      <c r="M1319">
        <v>37666</v>
      </c>
      <c r="N1319">
        <v>1794</v>
      </c>
      <c r="O1319">
        <v>41254</v>
      </c>
    </row>
    <row r="1320" spans="1:15" x14ac:dyDescent="0.35">
      <c r="A1320">
        <v>1319</v>
      </c>
      <c r="B1320" s="2" t="s">
        <v>18</v>
      </c>
      <c r="C1320" s="2" t="s">
        <v>15</v>
      </c>
      <c r="D1320">
        <v>38</v>
      </c>
      <c r="E1320" s="2" t="s">
        <v>28</v>
      </c>
      <c r="F1320" s="2" t="s">
        <v>13</v>
      </c>
      <c r="G1320">
        <v>37080</v>
      </c>
      <c r="H1320" s="1">
        <v>44937</v>
      </c>
      <c r="I1320">
        <v>9</v>
      </c>
      <c r="J1320">
        <v>4</v>
      </c>
      <c r="K1320">
        <v>3708</v>
      </c>
      <c r="L1320">
        <v>1854</v>
      </c>
      <c r="M1320">
        <v>38934</v>
      </c>
      <c r="N1320">
        <v>1854</v>
      </c>
      <c r="O1320">
        <v>42642</v>
      </c>
    </row>
    <row r="1321" spans="1:15" x14ac:dyDescent="0.35">
      <c r="A1321">
        <v>1320</v>
      </c>
      <c r="B1321" s="2" t="s">
        <v>20</v>
      </c>
      <c r="C1321" s="2" t="s">
        <v>11</v>
      </c>
      <c r="D1321">
        <v>43</v>
      </c>
      <c r="E1321" s="2" t="s">
        <v>29</v>
      </c>
      <c r="F1321" s="2" t="s">
        <v>25</v>
      </c>
      <c r="G1321">
        <v>72243</v>
      </c>
      <c r="H1321" s="1">
        <v>45452</v>
      </c>
      <c r="I1321">
        <v>7</v>
      </c>
      <c r="J1321">
        <v>4</v>
      </c>
      <c r="K1321">
        <v>7224</v>
      </c>
      <c r="L1321">
        <v>3612</v>
      </c>
      <c r="M1321">
        <v>75855</v>
      </c>
      <c r="N1321">
        <v>3612</v>
      </c>
      <c r="O1321">
        <v>83079</v>
      </c>
    </row>
    <row r="1322" spans="1:15" x14ac:dyDescent="0.35">
      <c r="A1322">
        <v>1321</v>
      </c>
      <c r="B1322" s="2" t="s">
        <v>26</v>
      </c>
      <c r="C1322" s="2" t="s">
        <v>11</v>
      </c>
      <c r="D1322">
        <v>56</v>
      </c>
      <c r="E1322" s="2" t="s">
        <v>16</v>
      </c>
      <c r="F1322" s="2" t="s">
        <v>25</v>
      </c>
      <c r="G1322">
        <v>30962</v>
      </c>
      <c r="H1322" s="1">
        <v>44997</v>
      </c>
      <c r="I1322">
        <v>11</v>
      </c>
      <c r="J1322">
        <v>3</v>
      </c>
      <c r="K1322">
        <v>3096</v>
      </c>
      <c r="L1322">
        <v>1548</v>
      </c>
      <c r="M1322">
        <v>32510</v>
      </c>
      <c r="N1322">
        <v>1548</v>
      </c>
      <c r="O1322">
        <v>35606</v>
      </c>
    </row>
    <row r="1323" spans="1:15" x14ac:dyDescent="0.35">
      <c r="A1323">
        <v>1322</v>
      </c>
      <c r="B1323" s="2" t="s">
        <v>30</v>
      </c>
      <c r="C1323" s="2" t="s">
        <v>11</v>
      </c>
      <c r="D1323">
        <v>25</v>
      </c>
      <c r="E1323" s="2" t="s">
        <v>29</v>
      </c>
      <c r="F1323" s="2" t="s">
        <v>19</v>
      </c>
      <c r="G1323">
        <v>52181</v>
      </c>
      <c r="H1323" s="1">
        <v>45024</v>
      </c>
      <c r="I1323">
        <v>6</v>
      </c>
      <c r="J1323">
        <v>3</v>
      </c>
      <c r="K1323">
        <v>5218</v>
      </c>
      <c r="L1323">
        <v>2609</v>
      </c>
      <c r="M1323">
        <v>54790</v>
      </c>
      <c r="N1323">
        <v>2609</v>
      </c>
      <c r="O1323">
        <v>60008</v>
      </c>
    </row>
    <row r="1324" spans="1:15" x14ac:dyDescent="0.35">
      <c r="A1324">
        <v>1323</v>
      </c>
      <c r="B1324" s="2" t="s">
        <v>10</v>
      </c>
      <c r="C1324" s="2" t="s">
        <v>15</v>
      </c>
      <c r="D1324">
        <v>60</v>
      </c>
      <c r="E1324" s="2" t="s">
        <v>16</v>
      </c>
      <c r="F1324" s="2" t="s">
        <v>25</v>
      </c>
      <c r="G1324">
        <v>67524</v>
      </c>
      <c r="H1324" s="1">
        <v>44662</v>
      </c>
      <c r="I1324">
        <v>10</v>
      </c>
      <c r="J1324">
        <v>2</v>
      </c>
      <c r="K1324">
        <v>6752</v>
      </c>
      <c r="L1324">
        <v>3376</v>
      </c>
      <c r="M1324">
        <v>70900</v>
      </c>
      <c r="N1324">
        <v>3376</v>
      </c>
      <c r="O1324">
        <v>77652</v>
      </c>
    </row>
    <row r="1325" spans="1:15" x14ac:dyDescent="0.35">
      <c r="A1325">
        <v>1324</v>
      </c>
      <c r="B1325" s="2" t="s">
        <v>22</v>
      </c>
      <c r="C1325" s="2" t="s">
        <v>11</v>
      </c>
      <c r="D1325">
        <v>27</v>
      </c>
      <c r="E1325" s="2" t="s">
        <v>29</v>
      </c>
      <c r="F1325" s="2" t="s">
        <v>13</v>
      </c>
      <c r="G1325">
        <v>38305</v>
      </c>
      <c r="H1325" s="1">
        <v>44853</v>
      </c>
      <c r="I1325">
        <v>11</v>
      </c>
      <c r="J1325">
        <v>1</v>
      </c>
      <c r="K1325">
        <v>3830</v>
      </c>
      <c r="L1325">
        <v>1915</v>
      </c>
      <c r="M1325">
        <v>40220</v>
      </c>
      <c r="N1325">
        <v>1915</v>
      </c>
      <c r="O1325">
        <v>44050</v>
      </c>
    </row>
    <row r="1326" spans="1:15" x14ac:dyDescent="0.35">
      <c r="A1326">
        <v>1325</v>
      </c>
      <c r="B1326" s="2" t="s">
        <v>27</v>
      </c>
      <c r="C1326" s="2" t="s">
        <v>15</v>
      </c>
      <c r="D1326">
        <v>42</v>
      </c>
      <c r="E1326" s="2" t="s">
        <v>29</v>
      </c>
      <c r="F1326" s="2" t="s">
        <v>19</v>
      </c>
      <c r="G1326">
        <v>60146</v>
      </c>
      <c r="H1326" s="1">
        <v>45023</v>
      </c>
      <c r="I1326">
        <v>18</v>
      </c>
      <c r="J1326">
        <v>3</v>
      </c>
      <c r="K1326">
        <v>6015</v>
      </c>
      <c r="L1326">
        <v>3007</v>
      </c>
      <c r="M1326">
        <v>63154</v>
      </c>
      <c r="N1326">
        <v>3007</v>
      </c>
      <c r="O1326">
        <v>69168</v>
      </c>
    </row>
    <row r="1327" spans="1:15" x14ac:dyDescent="0.35">
      <c r="A1327">
        <v>1326</v>
      </c>
      <c r="B1327" s="2" t="s">
        <v>30</v>
      </c>
      <c r="C1327" s="2" t="s">
        <v>11</v>
      </c>
      <c r="D1327">
        <v>48</v>
      </c>
      <c r="E1327" s="2" t="s">
        <v>12</v>
      </c>
      <c r="F1327" s="2" t="s">
        <v>19</v>
      </c>
      <c r="G1327">
        <v>88256</v>
      </c>
      <c r="H1327" s="1">
        <v>44601</v>
      </c>
      <c r="I1327">
        <v>17</v>
      </c>
      <c r="J1327">
        <v>1</v>
      </c>
      <c r="K1327">
        <v>8826</v>
      </c>
      <c r="L1327">
        <v>4413</v>
      </c>
      <c r="M1327">
        <v>92669</v>
      </c>
      <c r="N1327">
        <v>4413</v>
      </c>
      <c r="O1327">
        <v>101495</v>
      </c>
    </row>
    <row r="1328" spans="1:15" x14ac:dyDescent="0.35">
      <c r="A1328">
        <v>1327</v>
      </c>
      <c r="B1328" s="2" t="s">
        <v>20</v>
      </c>
      <c r="C1328" s="2" t="s">
        <v>11</v>
      </c>
      <c r="D1328">
        <v>30</v>
      </c>
      <c r="E1328" s="2" t="s">
        <v>16</v>
      </c>
      <c r="F1328" s="2" t="s">
        <v>19</v>
      </c>
      <c r="G1328">
        <v>43684</v>
      </c>
      <c r="H1328" s="1">
        <v>45488</v>
      </c>
      <c r="I1328">
        <v>8</v>
      </c>
      <c r="J1328">
        <v>3</v>
      </c>
      <c r="K1328">
        <v>4368</v>
      </c>
      <c r="L1328">
        <v>2184</v>
      </c>
      <c r="M1328">
        <v>45868</v>
      </c>
      <c r="N1328">
        <v>2184</v>
      </c>
      <c r="O1328">
        <v>50236</v>
      </c>
    </row>
    <row r="1329" spans="1:15" x14ac:dyDescent="0.35">
      <c r="A1329">
        <v>1328</v>
      </c>
      <c r="B1329" s="2" t="s">
        <v>31</v>
      </c>
      <c r="C1329" s="2" t="s">
        <v>11</v>
      </c>
      <c r="D1329">
        <v>40</v>
      </c>
      <c r="E1329" s="2" t="s">
        <v>16</v>
      </c>
      <c r="F1329" s="2" t="s">
        <v>13</v>
      </c>
      <c r="G1329">
        <v>77088</v>
      </c>
      <c r="H1329" s="1">
        <v>44594</v>
      </c>
      <c r="I1329">
        <v>16</v>
      </c>
      <c r="J1329">
        <v>4</v>
      </c>
      <c r="K1329">
        <v>7709</v>
      </c>
      <c r="L1329">
        <v>3854</v>
      </c>
      <c r="M1329">
        <v>80943</v>
      </c>
      <c r="N1329">
        <v>3854</v>
      </c>
      <c r="O1329">
        <v>88651</v>
      </c>
    </row>
    <row r="1330" spans="1:15" x14ac:dyDescent="0.35">
      <c r="A1330">
        <v>1329</v>
      </c>
      <c r="B1330" s="2" t="s">
        <v>14</v>
      </c>
      <c r="C1330" s="2" t="s">
        <v>11</v>
      </c>
      <c r="D1330">
        <v>39</v>
      </c>
      <c r="E1330" s="2" t="s">
        <v>12</v>
      </c>
      <c r="F1330" s="2" t="s">
        <v>21</v>
      </c>
      <c r="G1330">
        <v>69055</v>
      </c>
      <c r="H1330" s="1">
        <v>45507</v>
      </c>
      <c r="I1330">
        <v>12</v>
      </c>
      <c r="J1330">
        <v>1</v>
      </c>
      <c r="K1330">
        <v>6906</v>
      </c>
      <c r="L1330">
        <v>3453</v>
      </c>
      <c r="M1330">
        <v>72508</v>
      </c>
      <c r="N1330">
        <v>3453</v>
      </c>
      <c r="O1330">
        <v>79414</v>
      </c>
    </row>
    <row r="1331" spans="1:15" x14ac:dyDescent="0.35">
      <c r="A1331">
        <v>1330</v>
      </c>
      <c r="B1331" s="2" t="s">
        <v>26</v>
      </c>
      <c r="C1331" s="2" t="s">
        <v>15</v>
      </c>
      <c r="D1331">
        <v>38</v>
      </c>
      <c r="E1331" s="2" t="s">
        <v>24</v>
      </c>
      <c r="F1331" s="2" t="s">
        <v>17</v>
      </c>
      <c r="G1331">
        <v>88121</v>
      </c>
      <c r="H1331" s="1">
        <v>44929</v>
      </c>
      <c r="I1331">
        <v>6</v>
      </c>
      <c r="J1331">
        <v>5</v>
      </c>
      <c r="K1331">
        <v>8812</v>
      </c>
      <c r="L1331">
        <v>4406</v>
      </c>
      <c r="M1331">
        <v>92527</v>
      </c>
      <c r="N1331">
        <v>4406</v>
      </c>
      <c r="O1331">
        <v>101339</v>
      </c>
    </row>
    <row r="1332" spans="1:15" x14ac:dyDescent="0.35">
      <c r="A1332">
        <v>1331</v>
      </c>
      <c r="B1332" s="2" t="s">
        <v>22</v>
      </c>
      <c r="C1332" s="2" t="s">
        <v>11</v>
      </c>
      <c r="D1332">
        <v>26</v>
      </c>
      <c r="E1332" s="2" t="s">
        <v>12</v>
      </c>
      <c r="F1332" s="2" t="s">
        <v>19</v>
      </c>
      <c r="G1332">
        <v>43759</v>
      </c>
      <c r="H1332" s="1">
        <v>45239</v>
      </c>
      <c r="I1332">
        <v>14</v>
      </c>
      <c r="J1332">
        <v>2</v>
      </c>
      <c r="K1332">
        <v>4376</v>
      </c>
      <c r="L1332">
        <v>2188</v>
      </c>
      <c r="M1332">
        <v>45947</v>
      </c>
      <c r="N1332">
        <v>2188</v>
      </c>
      <c r="O1332">
        <v>50323</v>
      </c>
    </row>
    <row r="1333" spans="1:15" x14ac:dyDescent="0.35">
      <c r="A1333">
        <v>1332</v>
      </c>
      <c r="B1333" s="2" t="s">
        <v>22</v>
      </c>
      <c r="C1333" s="2" t="s">
        <v>15</v>
      </c>
      <c r="D1333">
        <v>53</v>
      </c>
      <c r="E1333" s="2" t="s">
        <v>16</v>
      </c>
      <c r="F1333" s="2" t="s">
        <v>19</v>
      </c>
      <c r="G1333">
        <v>94439</v>
      </c>
      <c r="H1333" s="1">
        <v>45263</v>
      </c>
      <c r="I1333">
        <v>13</v>
      </c>
      <c r="J1333">
        <v>2</v>
      </c>
      <c r="K1333">
        <v>9444</v>
      </c>
      <c r="L1333">
        <v>4722</v>
      </c>
      <c r="M1333">
        <v>99161</v>
      </c>
      <c r="N1333">
        <v>4722</v>
      </c>
      <c r="O1333">
        <v>108605</v>
      </c>
    </row>
    <row r="1334" spans="1:15" x14ac:dyDescent="0.35">
      <c r="A1334">
        <v>1333</v>
      </c>
      <c r="B1334" s="2" t="s">
        <v>31</v>
      </c>
      <c r="C1334" s="2" t="s">
        <v>11</v>
      </c>
      <c r="D1334">
        <v>21</v>
      </c>
      <c r="E1334" s="2" t="s">
        <v>28</v>
      </c>
      <c r="F1334" s="2" t="s">
        <v>21</v>
      </c>
      <c r="G1334">
        <v>26777</v>
      </c>
      <c r="H1334" s="1">
        <v>45048</v>
      </c>
      <c r="I1334">
        <v>8</v>
      </c>
      <c r="J1334">
        <v>1</v>
      </c>
      <c r="K1334">
        <v>2678</v>
      </c>
      <c r="L1334">
        <v>1339</v>
      </c>
      <c r="M1334">
        <v>28116</v>
      </c>
      <c r="N1334">
        <v>1339</v>
      </c>
      <c r="O1334">
        <v>30794</v>
      </c>
    </row>
    <row r="1335" spans="1:15" x14ac:dyDescent="0.35">
      <c r="A1335">
        <v>1334</v>
      </c>
      <c r="B1335" s="2" t="s">
        <v>23</v>
      </c>
      <c r="C1335" s="2" t="s">
        <v>15</v>
      </c>
      <c r="D1335">
        <v>59</v>
      </c>
      <c r="E1335" s="2" t="s">
        <v>28</v>
      </c>
      <c r="F1335" s="2" t="s">
        <v>21</v>
      </c>
      <c r="G1335">
        <v>27660</v>
      </c>
      <c r="H1335" s="1">
        <v>44620</v>
      </c>
      <c r="I1335">
        <v>18</v>
      </c>
      <c r="J1335">
        <v>2</v>
      </c>
      <c r="K1335">
        <v>2766</v>
      </c>
      <c r="L1335">
        <v>1383</v>
      </c>
      <c r="M1335">
        <v>29043</v>
      </c>
      <c r="N1335">
        <v>1383</v>
      </c>
      <c r="O1335">
        <v>31809</v>
      </c>
    </row>
    <row r="1336" spans="1:15" x14ac:dyDescent="0.35">
      <c r="A1336">
        <v>1335</v>
      </c>
      <c r="B1336" s="2" t="s">
        <v>18</v>
      </c>
      <c r="C1336" s="2" t="s">
        <v>11</v>
      </c>
      <c r="D1336">
        <v>59</v>
      </c>
      <c r="E1336" s="2" t="s">
        <v>28</v>
      </c>
      <c r="F1336" s="2" t="s">
        <v>21</v>
      </c>
      <c r="G1336">
        <v>41842</v>
      </c>
      <c r="H1336" s="1">
        <v>44919</v>
      </c>
      <c r="I1336">
        <v>16</v>
      </c>
      <c r="J1336">
        <v>2</v>
      </c>
      <c r="K1336">
        <v>4184</v>
      </c>
      <c r="L1336">
        <v>2092</v>
      </c>
      <c r="M1336">
        <v>43934</v>
      </c>
      <c r="N1336">
        <v>2092</v>
      </c>
      <c r="O1336">
        <v>48118</v>
      </c>
    </row>
    <row r="1337" spans="1:15" x14ac:dyDescent="0.35">
      <c r="A1337">
        <v>1336</v>
      </c>
      <c r="B1337" s="2" t="s">
        <v>22</v>
      </c>
      <c r="C1337" s="2" t="s">
        <v>15</v>
      </c>
      <c r="D1337">
        <v>47</v>
      </c>
      <c r="E1337" s="2" t="s">
        <v>29</v>
      </c>
      <c r="F1337" s="2" t="s">
        <v>25</v>
      </c>
      <c r="G1337">
        <v>75967</v>
      </c>
      <c r="H1337" s="1">
        <v>44589</v>
      </c>
      <c r="I1337">
        <v>5</v>
      </c>
      <c r="J1337">
        <v>2</v>
      </c>
      <c r="K1337">
        <v>7597</v>
      </c>
      <c r="L1337">
        <v>3798</v>
      </c>
      <c r="M1337">
        <v>79766</v>
      </c>
      <c r="N1337">
        <v>0</v>
      </c>
      <c r="O1337">
        <v>83564</v>
      </c>
    </row>
    <row r="1338" spans="1:15" x14ac:dyDescent="0.35">
      <c r="A1338">
        <v>1337</v>
      </c>
      <c r="B1338" s="2" t="s">
        <v>30</v>
      </c>
      <c r="C1338" s="2" t="s">
        <v>11</v>
      </c>
      <c r="D1338">
        <v>33</v>
      </c>
      <c r="E1338" s="2" t="s">
        <v>24</v>
      </c>
      <c r="F1338" s="2" t="s">
        <v>25</v>
      </c>
      <c r="G1338">
        <v>50895</v>
      </c>
      <c r="H1338" s="1">
        <v>44995</v>
      </c>
      <c r="I1338">
        <v>19</v>
      </c>
      <c r="J1338">
        <v>2</v>
      </c>
      <c r="K1338">
        <v>5090</v>
      </c>
      <c r="L1338">
        <v>2545</v>
      </c>
      <c r="M1338">
        <v>53440</v>
      </c>
      <c r="N1338">
        <v>2545</v>
      </c>
      <c r="O1338">
        <v>58530</v>
      </c>
    </row>
    <row r="1339" spans="1:15" x14ac:dyDescent="0.35">
      <c r="A1339">
        <v>1338</v>
      </c>
      <c r="B1339" s="2" t="s">
        <v>30</v>
      </c>
      <c r="C1339" s="2" t="s">
        <v>15</v>
      </c>
      <c r="D1339">
        <v>26</v>
      </c>
      <c r="E1339" s="2" t="s">
        <v>12</v>
      </c>
      <c r="F1339" s="2" t="s">
        <v>21</v>
      </c>
      <c r="G1339">
        <v>75245</v>
      </c>
      <c r="H1339" s="1">
        <v>44574</v>
      </c>
      <c r="I1339">
        <v>13</v>
      </c>
      <c r="J1339">
        <v>1</v>
      </c>
      <c r="K1339">
        <v>7524</v>
      </c>
      <c r="L1339">
        <v>3762</v>
      </c>
      <c r="M1339">
        <v>79007</v>
      </c>
      <c r="N1339">
        <v>3762</v>
      </c>
      <c r="O1339">
        <v>86531</v>
      </c>
    </row>
    <row r="1340" spans="1:15" x14ac:dyDescent="0.35">
      <c r="A1340">
        <v>1339</v>
      </c>
      <c r="B1340" s="2" t="s">
        <v>23</v>
      </c>
      <c r="C1340" s="2" t="s">
        <v>15</v>
      </c>
      <c r="D1340">
        <v>57</v>
      </c>
      <c r="E1340" s="2" t="s">
        <v>29</v>
      </c>
      <c r="F1340" s="2" t="s">
        <v>25</v>
      </c>
      <c r="G1340">
        <v>89250</v>
      </c>
      <c r="H1340" s="1">
        <v>45195</v>
      </c>
      <c r="I1340">
        <v>7</v>
      </c>
      <c r="J1340">
        <v>4</v>
      </c>
      <c r="K1340">
        <v>8925</v>
      </c>
      <c r="L1340">
        <v>4462</v>
      </c>
      <c r="M1340">
        <v>93713</v>
      </c>
      <c r="N1340">
        <v>4462</v>
      </c>
      <c r="O1340">
        <v>102637</v>
      </c>
    </row>
    <row r="1341" spans="1:15" x14ac:dyDescent="0.35">
      <c r="A1341">
        <v>1340</v>
      </c>
      <c r="B1341" s="2" t="s">
        <v>27</v>
      </c>
      <c r="C1341" s="2" t="s">
        <v>11</v>
      </c>
      <c r="D1341">
        <v>35</v>
      </c>
      <c r="E1341" s="2" t="s">
        <v>16</v>
      </c>
      <c r="F1341" s="2" t="s">
        <v>13</v>
      </c>
      <c r="G1341">
        <v>39834</v>
      </c>
      <c r="H1341" s="1">
        <v>44663</v>
      </c>
      <c r="I1341">
        <v>5</v>
      </c>
      <c r="J1341">
        <v>3</v>
      </c>
      <c r="K1341">
        <v>3983</v>
      </c>
      <c r="L1341">
        <v>1992</v>
      </c>
      <c r="M1341">
        <v>41825</v>
      </c>
      <c r="N1341">
        <v>0</v>
      </c>
      <c r="O1341">
        <v>43817</v>
      </c>
    </row>
    <row r="1342" spans="1:15" x14ac:dyDescent="0.35">
      <c r="A1342">
        <v>1341</v>
      </c>
      <c r="B1342" s="2" t="s">
        <v>14</v>
      </c>
      <c r="C1342" s="2" t="s">
        <v>11</v>
      </c>
      <c r="D1342">
        <v>24</v>
      </c>
      <c r="E1342" s="2" t="s">
        <v>16</v>
      </c>
      <c r="F1342" s="2" t="s">
        <v>19</v>
      </c>
      <c r="G1342">
        <v>25701</v>
      </c>
      <c r="H1342" s="1">
        <v>44973</v>
      </c>
      <c r="I1342">
        <v>10</v>
      </c>
      <c r="J1342">
        <v>2</v>
      </c>
      <c r="K1342">
        <v>2570</v>
      </c>
      <c r="L1342">
        <v>1285</v>
      </c>
      <c r="M1342">
        <v>26986</v>
      </c>
      <c r="N1342">
        <v>1285</v>
      </c>
      <c r="O1342">
        <v>29556</v>
      </c>
    </row>
    <row r="1343" spans="1:15" x14ac:dyDescent="0.35">
      <c r="A1343">
        <v>1342</v>
      </c>
      <c r="B1343" s="2" t="s">
        <v>18</v>
      </c>
      <c r="C1343" s="2" t="s">
        <v>15</v>
      </c>
      <c r="D1343">
        <v>39</v>
      </c>
      <c r="E1343" s="2" t="s">
        <v>12</v>
      </c>
      <c r="F1343" s="2" t="s">
        <v>25</v>
      </c>
      <c r="G1343">
        <v>70349</v>
      </c>
      <c r="H1343" s="1">
        <v>45103</v>
      </c>
      <c r="I1343">
        <v>17</v>
      </c>
      <c r="J1343">
        <v>5</v>
      </c>
      <c r="K1343">
        <v>7035</v>
      </c>
      <c r="L1343">
        <v>3517</v>
      </c>
      <c r="M1343">
        <v>73867</v>
      </c>
      <c r="N1343">
        <v>3517</v>
      </c>
      <c r="O1343">
        <v>80901</v>
      </c>
    </row>
    <row r="1344" spans="1:15" x14ac:dyDescent="0.35">
      <c r="A1344">
        <v>1343</v>
      </c>
      <c r="B1344" s="2" t="s">
        <v>31</v>
      </c>
      <c r="C1344" s="2" t="s">
        <v>11</v>
      </c>
      <c r="D1344">
        <v>36</v>
      </c>
      <c r="E1344" s="2" t="s">
        <v>16</v>
      </c>
      <c r="F1344" s="2" t="s">
        <v>17</v>
      </c>
      <c r="G1344">
        <v>86287</v>
      </c>
      <c r="H1344" s="1">
        <v>44945</v>
      </c>
      <c r="I1344">
        <v>6</v>
      </c>
      <c r="J1344">
        <v>4</v>
      </c>
      <c r="K1344">
        <v>8629</v>
      </c>
      <c r="L1344">
        <v>4314</v>
      </c>
      <c r="M1344">
        <v>90602</v>
      </c>
      <c r="N1344">
        <v>4314</v>
      </c>
      <c r="O1344">
        <v>99230</v>
      </c>
    </row>
    <row r="1345" spans="1:15" x14ac:dyDescent="0.35">
      <c r="A1345">
        <v>1344</v>
      </c>
      <c r="B1345" s="2" t="s">
        <v>18</v>
      </c>
      <c r="C1345" s="2" t="s">
        <v>11</v>
      </c>
      <c r="D1345">
        <v>38</v>
      </c>
      <c r="E1345" s="2" t="s">
        <v>28</v>
      </c>
      <c r="F1345" s="2" t="s">
        <v>25</v>
      </c>
      <c r="G1345">
        <v>32878</v>
      </c>
      <c r="H1345" s="1">
        <v>44645</v>
      </c>
      <c r="I1345">
        <v>6</v>
      </c>
      <c r="J1345">
        <v>5</v>
      </c>
      <c r="K1345">
        <v>3288</v>
      </c>
      <c r="L1345">
        <v>1644</v>
      </c>
      <c r="M1345">
        <v>34522</v>
      </c>
      <c r="N1345">
        <v>1644</v>
      </c>
      <c r="O1345">
        <v>37810</v>
      </c>
    </row>
    <row r="1346" spans="1:15" x14ac:dyDescent="0.35">
      <c r="A1346">
        <v>1345</v>
      </c>
      <c r="B1346" s="2" t="s">
        <v>22</v>
      </c>
      <c r="C1346" s="2" t="s">
        <v>15</v>
      </c>
      <c r="D1346">
        <v>56</v>
      </c>
      <c r="E1346" s="2" t="s">
        <v>24</v>
      </c>
      <c r="F1346" s="2" t="s">
        <v>13</v>
      </c>
      <c r="G1346">
        <v>58725</v>
      </c>
      <c r="H1346" s="1">
        <v>45232</v>
      </c>
      <c r="I1346">
        <v>11</v>
      </c>
      <c r="J1346">
        <v>1</v>
      </c>
      <c r="K1346">
        <v>5872</v>
      </c>
      <c r="L1346">
        <v>2936</v>
      </c>
      <c r="M1346">
        <v>61661</v>
      </c>
      <c r="N1346">
        <v>2936</v>
      </c>
      <c r="O1346">
        <v>67533</v>
      </c>
    </row>
    <row r="1347" spans="1:15" x14ac:dyDescent="0.35">
      <c r="A1347">
        <v>1346</v>
      </c>
      <c r="B1347" s="2" t="s">
        <v>26</v>
      </c>
      <c r="C1347" s="2" t="s">
        <v>11</v>
      </c>
      <c r="D1347">
        <v>36</v>
      </c>
      <c r="E1347" s="2" t="s">
        <v>28</v>
      </c>
      <c r="F1347" s="2" t="s">
        <v>13</v>
      </c>
      <c r="G1347">
        <v>51296</v>
      </c>
      <c r="H1347" s="1">
        <v>45411</v>
      </c>
      <c r="I1347">
        <v>7</v>
      </c>
      <c r="J1347">
        <v>2</v>
      </c>
      <c r="K1347">
        <v>5130</v>
      </c>
      <c r="L1347">
        <v>2565</v>
      </c>
      <c r="M1347">
        <v>53861</v>
      </c>
      <c r="N1347">
        <v>2565</v>
      </c>
      <c r="O1347">
        <v>58991</v>
      </c>
    </row>
    <row r="1348" spans="1:15" x14ac:dyDescent="0.35">
      <c r="A1348">
        <v>1347</v>
      </c>
      <c r="B1348" s="2" t="s">
        <v>22</v>
      </c>
      <c r="C1348" s="2" t="s">
        <v>15</v>
      </c>
      <c r="D1348">
        <v>57</v>
      </c>
      <c r="E1348" s="2" t="s">
        <v>28</v>
      </c>
      <c r="F1348" s="2" t="s">
        <v>21</v>
      </c>
      <c r="G1348">
        <v>65255</v>
      </c>
      <c r="H1348" s="1">
        <v>44687</v>
      </c>
      <c r="I1348">
        <v>9</v>
      </c>
      <c r="J1348">
        <v>2</v>
      </c>
      <c r="K1348">
        <v>6526</v>
      </c>
      <c r="L1348">
        <v>3263</v>
      </c>
      <c r="M1348">
        <v>68518</v>
      </c>
      <c r="N1348">
        <v>3263</v>
      </c>
      <c r="O1348">
        <v>75044</v>
      </c>
    </row>
    <row r="1349" spans="1:15" x14ac:dyDescent="0.35">
      <c r="A1349">
        <v>1348</v>
      </c>
      <c r="B1349" s="2" t="s">
        <v>23</v>
      </c>
      <c r="C1349" s="2" t="s">
        <v>15</v>
      </c>
      <c r="D1349">
        <v>38</v>
      </c>
      <c r="E1349" s="2" t="s">
        <v>16</v>
      </c>
      <c r="F1349" s="2" t="s">
        <v>21</v>
      </c>
      <c r="G1349">
        <v>72100</v>
      </c>
      <c r="H1349" s="1">
        <v>45380</v>
      </c>
      <c r="I1349">
        <v>17</v>
      </c>
      <c r="J1349">
        <v>5</v>
      </c>
      <c r="K1349">
        <v>7210</v>
      </c>
      <c r="L1349">
        <v>3605</v>
      </c>
      <c r="M1349">
        <v>75705</v>
      </c>
      <c r="N1349">
        <v>3605</v>
      </c>
      <c r="O1349">
        <v>82915</v>
      </c>
    </row>
    <row r="1350" spans="1:15" x14ac:dyDescent="0.35">
      <c r="A1350">
        <v>1349</v>
      </c>
      <c r="B1350" s="2" t="s">
        <v>22</v>
      </c>
      <c r="C1350" s="2" t="s">
        <v>15</v>
      </c>
      <c r="D1350">
        <v>23</v>
      </c>
      <c r="E1350" s="2" t="s">
        <v>16</v>
      </c>
      <c r="F1350" s="2" t="s">
        <v>13</v>
      </c>
      <c r="G1350">
        <v>72012</v>
      </c>
      <c r="H1350" s="1">
        <v>45146</v>
      </c>
      <c r="I1350">
        <v>11</v>
      </c>
      <c r="J1350">
        <v>3</v>
      </c>
      <c r="K1350">
        <v>7201</v>
      </c>
      <c r="L1350">
        <v>3601</v>
      </c>
      <c r="M1350">
        <v>75612</v>
      </c>
      <c r="N1350">
        <v>3601</v>
      </c>
      <c r="O1350">
        <v>82814</v>
      </c>
    </row>
    <row r="1351" spans="1:15" x14ac:dyDescent="0.35">
      <c r="A1351">
        <v>1350</v>
      </c>
      <c r="B1351" s="2" t="s">
        <v>23</v>
      </c>
      <c r="C1351" s="2" t="s">
        <v>11</v>
      </c>
      <c r="D1351">
        <v>38</v>
      </c>
      <c r="E1351" s="2" t="s">
        <v>16</v>
      </c>
      <c r="F1351" s="2" t="s">
        <v>13</v>
      </c>
      <c r="G1351">
        <v>60383</v>
      </c>
      <c r="H1351" s="1">
        <v>45138</v>
      </c>
      <c r="I1351">
        <v>16</v>
      </c>
      <c r="J1351">
        <v>4</v>
      </c>
      <c r="K1351">
        <v>6038</v>
      </c>
      <c r="L1351">
        <v>3019</v>
      </c>
      <c r="M1351">
        <v>63402</v>
      </c>
      <c r="N1351">
        <v>3019</v>
      </c>
      <c r="O1351">
        <v>69440</v>
      </c>
    </row>
    <row r="1352" spans="1:15" x14ac:dyDescent="0.35">
      <c r="A1352">
        <v>1351</v>
      </c>
      <c r="B1352" s="2" t="s">
        <v>30</v>
      </c>
      <c r="C1352" s="2" t="s">
        <v>15</v>
      </c>
      <c r="D1352">
        <v>40</v>
      </c>
      <c r="E1352" s="2" t="s">
        <v>28</v>
      </c>
      <c r="F1352" s="2" t="s">
        <v>25</v>
      </c>
      <c r="G1352">
        <v>49958</v>
      </c>
      <c r="H1352" s="1">
        <v>45210</v>
      </c>
      <c r="I1352">
        <v>2</v>
      </c>
      <c r="J1352">
        <v>1</v>
      </c>
      <c r="K1352">
        <v>4996</v>
      </c>
      <c r="L1352">
        <v>2498</v>
      </c>
      <c r="M1352">
        <v>52456</v>
      </c>
      <c r="N1352">
        <v>0</v>
      </c>
      <c r="O1352">
        <v>54954</v>
      </c>
    </row>
    <row r="1353" spans="1:15" x14ac:dyDescent="0.35">
      <c r="A1353">
        <v>1352</v>
      </c>
      <c r="B1353" s="2" t="s">
        <v>20</v>
      </c>
      <c r="C1353" s="2" t="s">
        <v>11</v>
      </c>
      <c r="D1353">
        <v>32</v>
      </c>
      <c r="E1353" s="2" t="s">
        <v>16</v>
      </c>
      <c r="F1353" s="2" t="s">
        <v>17</v>
      </c>
      <c r="G1353">
        <v>76962</v>
      </c>
      <c r="H1353" s="1">
        <v>45321</v>
      </c>
      <c r="I1353">
        <v>13</v>
      </c>
      <c r="J1353">
        <v>3</v>
      </c>
      <c r="K1353">
        <v>7696</v>
      </c>
      <c r="L1353">
        <v>3848</v>
      </c>
      <c r="M1353">
        <v>80810</v>
      </c>
      <c r="N1353">
        <v>3848</v>
      </c>
      <c r="O1353">
        <v>88506</v>
      </c>
    </row>
    <row r="1354" spans="1:15" x14ac:dyDescent="0.35">
      <c r="A1354">
        <v>1353</v>
      </c>
      <c r="B1354" s="2" t="s">
        <v>27</v>
      </c>
      <c r="C1354" s="2" t="s">
        <v>11</v>
      </c>
      <c r="D1354">
        <v>56</v>
      </c>
      <c r="E1354" s="2" t="s">
        <v>12</v>
      </c>
      <c r="F1354" s="2" t="s">
        <v>21</v>
      </c>
      <c r="G1354">
        <v>80384</v>
      </c>
      <c r="H1354" s="1">
        <v>45323</v>
      </c>
      <c r="I1354">
        <v>8</v>
      </c>
      <c r="J1354">
        <v>3</v>
      </c>
      <c r="K1354">
        <v>8038</v>
      </c>
      <c r="L1354">
        <v>4019</v>
      </c>
      <c r="M1354">
        <v>84403</v>
      </c>
      <c r="N1354">
        <v>4019</v>
      </c>
      <c r="O1354">
        <v>92441</v>
      </c>
    </row>
    <row r="1355" spans="1:15" x14ac:dyDescent="0.35">
      <c r="A1355">
        <v>1354</v>
      </c>
      <c r="B1355" s="2" t="s">
        <v>27</v>
      </c>
      <c r="C1355" s="2" t="s">
        <v>15</v>
      </c>
      <c r="D1355">
        <v>27</v>
      </c>
      <c r="E1355" s="2" t="s">
        <v>12</v>
      </c>
      <c r="F1355" s="2" t="s">
        <v>19</v>
      </c>
      <c r="G1355">
        <v>29097</v>
      </c>
      <c r="H1355" s="1">
        <v>45023</v>
      </c>
      <c r="I1355">
        <v>4</v>
      </c>
      <c r="J1355">
        <v>4</v>
      </c>
      <c r="K1355">
        <v>2910</v>
      </c>
      <c r="L1355">
        <v>1455</v>
      </c>
      <c r="M1355">
        <v>30552</v>
      </c>
      <c r="N1355">
        <v>0</v>
      </c>
      <c r="O1355">
        <v>32007</v>
      </c>
    </row>
    <row r="1356" spans="1:15" x14ac:dyDescent="0.35">
      <c r="A1356">
        <v>1355</v>
      </c>
      <c r="B1356" s="2" t="s">
        <v>27</v>
      </c>
      <c r="C1356" s="2" t="s">
        <v>15</v>
      </c>
      <c r="D1356">
        <v>45</v>
      </c>
      <c r="E1356" s="2" t="s">
        <v>24</v>
      </c>
      <c r="F1356" s="2" t="s">
        <v>21</v>
      </c>
      <c r="G1356">
        <v>40974</v>
      </c>
      <c r="H1356" s="1">
        <v>44717</v>
      </c>
      <c r="I1356">
        <v>13</v>
      </c>
      <c r="J1356">
        <v>1</v>
      </c>
      <c r="K1356">
        <v>4097</v>
      </c>
      <c r="L1356">
        <v>2049</v>
      </c>
      <c r="M1356">
        <v>43022</v>
      </c>
      <c r="N1356">
        <v>2049</v>
      </c>
      <c r="O1356">
        <v>47120</v>
      </c>
    </row>
    <row r="1357" spans="1:15" x14ac:dyDescent="0.35">
      <c r="A1357">
        <v>1356</v>
      </c>
      <c r="B1357" s="2" t="s">
        <v>22</v>
      </c>
      <c r="C1357" s="2" t="s">
        <v>15</v>
      </c>
      <c r="D1357">
        <v>36</v>
      </c>
      <c r="E1357" s="2" t="s">
        <v>28</v>
      </c>
      <c r="F1357" s="2" t="s">
        <v>19</v>
      </c>
      <c r="G1357">
        <v>24576</v>
      </c>
      <c r="H1357" s="1">
        <v>45543</v>
      </c>
      <c r="I1357">
        <v>13</v>
      </c>
      <c r="J1357">
        <v>2</v>
      </c>
      <c r="K1357">
        <v>2458</v>
      </c>
      <c r="L1357">
        <v>1229</v>
      </c>
      <c r="M1357">
        <v>25805</v>
      </c>
      <c r="N1357">
        <v>1229</v>
      </c>
      <c r="O1357">
        <v>28263</v>
      </c>
    </row>
    <row r="1358" spans="1:15" x14ac:dyDescent="0.35">
      <c r="A1358">
        <v>1357</v>
      </c>
      <c r="B1358" s="2" t="s">
        <v>18</v>
      </c>
      <c r="C1358" s="2" t="s">
        <v>11</v>
      </c>
      <c r="D1358">
        <v>30</v>
      </c>
      <c r="E1358" s="2" t="s">
        <v>28</v>
      </c>
      <c r="F1358" s="2" t="s">
        <v>21</v>
      </c>
      <c r="G1358">
        <v>51720</v>
      </c>
      <c r="H1358" s="1">
        <v>45047</v>
      </c>
      <c r="I1358">
        <v>5</v>
      </c>
      <c r="J1358">
        <v>4</v>
      </c>
      <c r="K1358">
        <v>5172</v>
      </c>
      <c r="L1358">
        <v>2586</v>
      </c>
      <c r="M1358">
        <v>54306</v>
      </c>
      <c r="N1358">
        <v>0</v>
      </c>
      <c r="O1358">
        <v>56892</v>
      </c>
    </row>
    <row r="1359" spans="1:15" x14ac:dyDescent="0.35">
      <c r="A1359">
        <v>1358</v>
      </c>
      <c r="B1359" s="2" t="s">
        <v>26</v>
      </c>
      <c r="C1359" s="2" t="s">
        <v>11</v>
      </c>
      <c r="D1359">
        <v>37</v>
      </c>
      <c r="E1359" s="2" t="s">
        <v>28</v>
      </c>
      <c r="F1359" s="2" t="s">
        <v>17</v>
      </c>
      <c r="G1359">
        <v>85439</v>
      </c>
      <c r="H1359" s="1">
        <v>45442</v>
      </c>
      <c r="I1359">
        <v>3</v>
      </c>
      <c r="J1359">
        <v>2</v>
      </c>
      <c r="K1359">
        <v>8544</v>
      </c>
      <c r="L1359">
        <v>4272</v>
      </c>
      <c r="M1359">
        <v>89711</v>
      </c>
      <c r="N1359">
        <v>0</v>
      </c>
      <c r="O1359">
        <v>93983</v>
      </c>
    </row>
    <row r="1360" spans="1:15" x14ac:dyDescent="0.35">
      <c r="A1360">
        <v>1359</v>
      </c>
      <c r="B1360" s="2" t="s">
        <v>14</v>
      </c>
      <c r="C1360" s="2" t="s">
        <v>11</v>
      </c>
      <c r="D1360">
        <v>56</v>
      </c>
      <c r="E1360" s="2" t="s">
        <v>24</v>
      </c>
      <c r="F1360" s="2" t="s">
        <v>25</v>
      </c>
      <c r="G1360">
        <v>81539</v>
      </c>
      <c r="H1360" s="1">
        <v>45116</v>
      </c>
      <c r="I1360">
        <v>9</v>
      </c>
      <c r="J1360">
        <v>4</v>
      </c>
      <c r="K1360">
        <v>8154</v>
      </c>
      <c r="L1360">
        <v>4077</v>
      </c>
      <c r="M1360">
        <v>85616</v>
      </c>
      <c r="N1360">
        <v>4077</v>
      </c>
      <c r="O1360">
        <v>93770</v>
      </c>
    </row>
    <row r="1361" spans="1:15" x14ac:dyDescent="0.35">
      <c r="A1361">
        <v>1360</v>
      </c>
      <c r="B1361" s="2" t="s">
        <v>31</v>
      </c>
      <c r="C1361" s="2" t="s">
        <v>15</v>
      </c>
      <c r="D1361">
        <v>45</v>
      </c>
      <c r="E1361" s="2" t="s">
        <v>16</v>
      </c>
      <c r="F1361" s="2" t="s">
        <v>13</v>
      </c>
      <c r="G1361">
        <v>34313</v>
      </c>
      <c r="H1361" s="1">
        <v>44890</v>
      </c>
      <c r="I1361">
        <v>13</v>
      </c>
      <c r="J1361">
        <v>4</v>
      </c>
      <c r="K1361">
        <v>3431</v>
      </c>
      <c r="L1361">
        <v>1716</v>
      </c>
      <c r="M1361">
        <v>36028</v>
      </c>
      <c r="N1361">
        <v>1716</v>
      </c>
      <c r="O1361">
        <v>39460</v>
      </c>
    </row>
    <row r="1362" spans="1:15" x14ac:dyDescent="0.35">
      <c r="A1362">
        <v>1361</v>
      </c>
      <c r="B1362" s="2" t="s">
        <v>18</v>
      </c>
      <c r="C1362" s="2" t="s">
        <v>15</v>
      </c>
      <c r="D1362">
        <v>30</v>
      </c>
      <c r="E1362" s="2" t="s">
        <v>16</v>
      </c>
      <c r="F1362" s="2" t="s">
        <v>19</v>
      </c>
      <c r="G1362">
        <v>66882</v>
      </c>
      <c r="H1362" s="1">
        <v>44990</v>
      </c>
      <c r="I1362">
        <v>12</v>
      </c>
      <c r="J1362">
        <v>2</v>
      </c>
      <c r="K1362">
        <v>6688</v>
      </c>
      <c r="L1362">
        <v>3344</v>
      </c>
      <c r="M1362">
        <v>70226</v>
      </c>
      <c r="N1362">
        <v>3344</v>
      </c>
      <c r="O1362">
        <v>76914</v>
      </c>
    </row>
    <row r="1363" spans="1:15" x14ac:dyDescent="0.35">
      <c r="A1363">
        <v>1362</v>
      </c>
      <c r="B1363" s="2" t="s">
        <v>31</v>
      </c>
      <c r="C1363" s="2" t="s">
        <v>11</v>
      </c>
      <c r="D1363">
        <v>29</v>
      </c>
      <c r="E1363" s="2" t="s">
        <v>16</v>
      </c>
      <c r="F1363" s="2" t="s">
        <v>17</v>
      </c>
      <c r="G1363">
        <v>76549</v>
      </c>
      <c r="H1363" s="1">
        <v>44987</v>
      </c>
      <c r="I1363">
        <v>16</v>
      </c>
      <c r="J1363">
        <v>5</v>
      </c>
      <c r="K1363">
        <v>7655</v>
      </c>
      <c r="L1363">
        <v>3827</v>
      </c>
      <c r="M1363">
        <v>80377</v>
      </c>
      <c r="N1363">
        <v>3827</v>
      </c>
      <c r="O1363">
        <v>88031</v>
      </c>
    </row>
    <row r="1364" spans="1:15" x14ac:dyDescent="0.35">
      <c r="A1364">
        <v>1363</v>
      </c>
      <c r="B1364" s="2" t="s">
        <v>30</v>
      </c>
      <c r="C1364" s="2" t="s">
        <v>11</v>
      </c>
      <c r="D1364">
        <v>43</v>
      </c>
      <c r="E1364" s="2" t="s">
        <v>16</v>
      </c>
      <c r="F1364" s="2" t="s">
        <v>21</v>
      </c>
      <c r="G1364">
        <v>33347</v>
      </c>
      <c r="H1364" s="1">
        <v>45454</v>
      </c>
      <c r="I1364">
        <v>11</v>
      </c>
      <c r="J1364">
        <v>4</v>
      </c>
      <c r="K1364">
        <v>3335</v>
      </c>
      <c r="L1364">
        <v>1667</v>
      </c>
      <c r="M1364">
        <v>35015</v>
      </c>
      <c r="N1364">
        <v>1667</v>
      </c>
      <c r="O1364">
        <v>38349</v>
      </c>
    </row>
    <row r="1365" spans="1:15" x14ac:dyDescent="0.35">
      <c r="A1365">
        <v>1364</v>
      </c>
      <c r="B1365" s="2" t="s">
        <v>22</v>
      </c>
      <c r="C1365" s="2" t="s">
        <v>15</v>
      </c>
      <c r="D1365">
        <v>24</v>
      </c>
      <c r="E1365" s="2" t="s">
        <v>29</v>
      </c>
      <c r="F1365" s="2" t="s">
        <v>25</v>
      </c>
      <c r="G1365">
        <v>34609</v>
      </c>
      <c r="H1365" s="1">
        <v>45215</v>
      </c>
      <c r="I1365">
        <v>20</v>
      </c>
      <c r="J1365">
        <v>5</v>
      </c>
      <c r="K1365">
        <v>3461</v>
      </c>
      <c r="L1365">
        <v>1730</v>
      </c>
      <c r="M1365">
        <v>36340</v>
      </c>
      <c r="N1365">
        <v>1730</v>
      </c>
      <c r="O1365">
        <v>39800</v>
      </c>
    </row>
    <row r="1366" spans="1:15" x14ac:dyDescent="0.35">
      <c r="A1366">
        <v>1365</v>
      </c>
      <c r="B1366" s="2" t="s">
        <v>30</v>
      </c>
      <c r="C1366" s="2" t="s">
        <v>15</v>
      </c>
      <c r="D1366">
        <v>36</v>
      </c>
      <c r="E1366" s="2" t="s">
        <v>29</v>
      </c>
      <c r="F1366" s="2" t="s">
        <v>13</v>
      </c>
      <c r="G1366">
        <v>74543</v>
      </c>
      <c r="H1366" s="1">
        <v>45333</v>
      </c>
      <c r="I1366">
        <v>15</v>
      </c>
      <c r="J1366">
        <v>2</v>
      </c>
      <c r="K1366">
        <v>7454</v>
      </c>
      <c r="L1366">
        <v>3727</v>
      </c>
      <c r="M1366">
        <v>78270</v>
      </c>
      <c r="N1366">
        <v>3727</v>
      </c>
      <c r="O1366">
        <v>85724</v>
      </c>
    </row>
    <row r="1367" spans="1:15" x14ac:dyDescent="0.35">
      <c r="A1367">
        <v>1366</v>
      </c>
      <c r="B1367" s="2" t="s">
        <v>20</v>
      </c>
      <c r="C1367" s="2" t="s">
        <v>11</v>
      </c>
      <c r="D1367">
        <v>58</v>
      </c>
      <c r="E1367" s="2" t="s">
        <v>16</v>
      </c>
      <c r="F1367" s="2" t="s">
        <v>17</v>
      </c>
      <c r="G1367">
        <v>76976</v>
      </c>
      <c r="H1367" s="1">
        <v>45382</v>
      </c>
      <c r="I1367">
        <v>9</v>
      </c>
      <c r="J1367">
        <v>2</v>
      </c>
      <c r="K1367">
        <v>7698</v>
      </c>
      <c r="L1367">
        <v>3849</v>
      </c>
      <c r="M1367">
        <v>80825</v>
      </c>
      <c r="N1367">
        <v>3849</v>
      </c>
      <c r="O1367">
        <v>88523</v>
      </c>
    </row>
    <row r="1368" spans="1:15" x14ac:dyDescent="0.35">
      <c r="A1368">
        <v>1367</v>
      </c>
      <c r="B1368" s="2" t="s">
        <v>31</v>
      </c>
      <c r="C1368" s="2" t="s">
        <v>15</v>
      </c>
      <c r="D1368">
        <v>56</v>
      </c>
      <c r="E1368" s="2" t="s">
        <v>16</v>
      </c>
      <c r="F1368" s="2" t="s">
        <v>19</v>
      </c>
      <c r="G1368">
        <v>74109</v>
      </c>
      <c r="H1368" s="1">
        <v>45495</v>
      </c>
      <c r="I1368">
        <v>15</v>
      </c>
      <c r="J1368">
        <v>3</v>
      </c>
      <c r="K1368">
        <v>7411</v>
      </c>
      <c r="L1368">
        <v>3705</v>
      </c>
      <c r="M1368">
        <v>77815</v>
      </c>
      <c r="N1368">
        <v>3705</v>
      </c>
      <c r="O1368">
        <v>85225</v>
      </c>
    </row>
    <row r="1369" spans="1:15" x14ac:dyDescent="0.35">
      <c r="A1369">
        <v>1368</v>
      </c>
      <c r="B1369" s="2" t="s">
        <v>14</v>
      </c>
      <c r="C1369" s="2" t="s">
        <v>15</v>
      </c>
      <c r="D1369">
        <v>60</v>
      </c>
      <c r="E1369" s="2" t="s">
        <v>12</v>
      </c>
      <c r="F1369" s="2" t="s">
        <v>13</v>
      </c>
      <c r="G1369">
        <v>87385</v>
      </c>
      <c r="H1369" s="1">
        <v>45213</v>
      </c>
      <c r="I1369">
        <v>2</v>
      </c>
      <c r="J1369">
        <v>3</v>
      </c>
      <c r="K1369">
        <v>8738</v>
      </c>
      <c r="L1369">
        <v>4369</v>
      </c>
      <c r="M1369">
        <v>91754</v>
      </c>
      <c r="N1369">
        <v>0</v>
      </c>
      <c r="O1369">
        <v>96123</v>
      </c>
    </row>
    <row r="1370" spans="1:15" x14ac:dyDescent="0.35">
      <c r="A1370">
        <v>1369</v>
      </c>
      <c r="B1370" s="2" t="s">
        <v>27</v>
      </c>
      <c r="C1370" s="2" t="s">
        <v>11</v>
      </c>
      <c r="D1370">
        <v>28</v>
      </c>
      <c r="E1370" s="2" t="s">
        <v>12</v>
      </c>
      <c r="F1370" s="2" t="s">
        <v>13</v>
      </c>
      <c r="G1370">
        <v>76495</v>
      </c>
      <c r="H1370" s="1">
        <v>45067</v>
      </c>
      <c r="I1370">
        <v>1</v>
      </c>
      <c r="J1370">
        <v>1</v>
      </c>
      <c r="K1370">
        <v>7650</v>
      </c>
      <c r="L1370">
        <v>3825</v>
      </c>
      <c r="M1370">
        <v>80320</v>
      </c>
      <c r="N1370">
        <v>0</v>
      </c>
      <c r="O1370">
        <v>84145</v>
      </c>
    </row>
    <row r="1371" spans="1:15" x14ac:dyDescent="0.35">
      <c r="A1371">
        <v>1370</v>
      </c>
      <c r="B1371" s="2" t="s">
        <v>30</v>
      </c>
      <c r="C1371" s="2" t="s">
        <v>11</v>
      </c>
      <c r="D1371">
        <v>38</v>
      </c>
      <c r="E1371" s="2" t="s">
        <v>28</v>
      </c>
      <c r="F1371" s="2" t="s">
        <v>25</v>
      </c>
      <c r="G1371">
        <v>43525</v>
      </c>
      <c r="H1371" s="1">
        <v>44588</v>
      </c>
      <c r="I1371">
        <v>7</v>
      </c>
      <c r="J1371">
        <v>3</v>
      </c>
      <c r="K1371">
        <v>4352</v>
      </c>
      <c r="L1371">
        <v>2176</v>
      </c>
      <c r="M1371">
        <v>45701</v>
      </c>
      <c r="N1371">
        <v>2176</v>
      </c>
      <c r="O1371">
        <v>50053</v>
      </c>
    </row>
    <row r="1372" spans="1:15" x14ac:dyDescent="0.35">
      <c r="A1372">
        <v>1371</v>
      </c>
      <c r="B1372" s="2" t="s">
        <v>18</v>
      </c>
      <c r="C1372" s="2" t="s">
        <v>15</v>
      </c>
      <c r="D1372">
        <v>23</v>
      </c>
      <c r="E1372" s="2" t="s">
        <v>24</v>
      </c>
      <c r="F1372" s="2" t="s">
        <v>13</v>
      </c>
      <c r="G1372">
        <v>48333</v>
      </c>
      <c r="H1372" s="1">
        <v>45408</v>
      </c>
      <c r="I1372">
        <v>15</v>
      </c>
      <c r="J1372">
        <v>4</v>
      </c>
      <c r="K1372">
        <v>4833</v>
      </c>
      <c r="L1372">
        <v>2417</v>
      </c>
      <c r="M1372">
        <v>50749</v>
      </c>
      <c r="N1372">
        <v>2417</v>
      </c>
      <c r="O1372">
        <v>55583</v>
      </c>
    </row>
    <row r="1373" spans="1:15" x14ac:dyDescent="0.35">
      <c r="A1373">
        <v>1372</v>
      </c>
      <c r="B1373" s="2" t="s">
        <v>27</v>
      </c>
      <c r="C1373" s="2" t="s">
        <v>15</v>
      </c>
      <c r="D1373">
        <v>47</v>
      </c>
      <c r="E1373" s="2" t="s">
        <v>16</v>
      </c>
      <c r="F1373" s="2" t="s">
        <v>19</v>
      </c>
      <c r="G1373">
        <v>95086</v>
      </c>
      <c r="H1373" s="1">
        <v>44732</v>
      </c>
      <c r="I1373">
        <v>18</v>
      </c>
      <c r="J1373">
        <v>2</v>
      </c>
      <c r="K1373">
        <v>9509</v>
      </c>
      <c r="L1373">
        <v>4754</v>
      </c>
      <c r="M1373">
        <v>99841</v>
      </c>
      <c r="N1373">
        <v>4754</v>
      </c>
      <c r="O1373">
        <v>109349</v>
      </c>
    </row>
    <row r="1374" spans="1:15" x14ac:dyDescent="0.35">
      <c r="A1374">
        <v>1373</v>
      </c>
      <c r="B1374" s="2" t="s">
        <v>14</v>
      </c>
      <c r="C1374" s="2" t="s">
        <v>15</v>
      </c>
      <c r="D1374">
        <v>49</v>
      </c>
      <c r="E1374" s="2" t="s">
        <v>12</v>
      </c>
      <c r="F1374" s="2" t="s">
        <v>19</v>
      </c>
      <c r="G1374">
        <v>38022</v>
      </c>
      <c r="H1374" s="1">
        <v>45459</v>
      </c>
      <c r="I1374">
        <v>9</v>
      </c>
      <c r="J1374">
        <v>5</v>
      </c>
      <c r="K1374">
        <v>3802</v>
      </c>
      <c r="L1374">
        <v>1901</v>
      </c>
      <c r="M1374">
        <v>39923</v>
      </c>
      <c r="N1374">
        <v>1901</v>
      </c>
      <c r="O1374">
        <v>43725</v>
      </c>
    </row>
    <row r="1375" spans="1:15" x14ac:dyDescent="0.35">
      <c r="A1375">
        <v>1374</v>
      </c>
      <c r="B1375" s="2" t="s">
        <v>22</v>
      </c>
      <c r="C1375" s="2" t="s">
        <v>11</v>
      </c>
      <c r="D1375">
        <v>41</v>
      </c>
      <c r="E1375" s="2" t="s">
        <v>24</v>
      </c>
      <c r="F1375" s="2" t="s">
        <v>17</v>
      </c>
      <c r="G1375">
        <v>47731</v>
      </c>
      <c r="H1375" s="1">
        <v>45386</v>
      </c>
      <c r="I1375">
        <v>5</v>
      </c>
      <c r="J1375">
        <v>3</v>
      </c>
      <c r="K1375">
        <v>4773</v>
      </c>
      <c r="L1375">
        <v>2387</v>
      </c>
      <c r="M1375">
        <v>50117</v>
      </c>
      <c r="N1375">
        <v>0</v>
      </c>
      <c r="O1375">
        <v>52504</v>
      </c>
    </row>
    <row r="1376" spans="1:15" x14ac:dyDescent="0.35">
      <c r="A1376">
        <v>1375</v>
      </c>
      <c r="B1376" s="2" t="s">
        <v>31</v>
      </c>
      <c r="C1376" s="2" t="s">
        <v>11</v>
      </c>
      <c r="D1376">
        <v>23</v>
      </c>
      <c r="E1376" s="2" t="s">
        <v>16</v>
      </c>
      <c r="F1376" s="2" t="s">
        <v>21</v>
      </c>
      <c r="G1376">
        <v>36988</v>
      </c>
      <c r="H1376" s="1">
        <v>44973</v>
      </c>
      <c r="I1376">
        <v>9</v>
      </c>
      <c r="J1376">
        <v>2</v>
      </c>
      <c r="K1376">
        <v>3699</v>
      </c>
      <c r="L1376">
        <v>1849</v>
      </c>
      <c r="M1376">
        <v>38838</v>
      </c>
      <c r="N1376">
        <v>1849</v>
      </c>
      <c r="O1376">
        <v>42536</v>
      </c>
    </row>
    <row r="1377" spans="1:15" x14ac:dyDescent="0.35">
      <c r="A1377">
        <v>1376</v>
      </c>
      <c r="B1377" s="2" t="s">
        <v>22</v>
      </c>
      <c r="C1377" s="2" t="s">
        <v>15</v>
      </c>
      <c r="D1377">
        <v>28</v>
      </c>
      <c r="E1377" s="2" t="s">
        <v>16</v>
      </c>
      <c r="F1377" s="2" t="s">
        <v>17</v>
      </c>
      <c r="G1377">
        <v>27442</v>
      </c>
      <c r="H1377" s="1">
        <v>44647</v>
      </c>
      <c r="I1377">
        <v>18</v>
      </c>
      <c r="J1377">
        <v>5</v>
      </c>
      <c r="K1377">
        <v>2744</v>
      </c>
      <c r="L1377">
        <v>1372</v>
      </c>
      <c r="M1377">
        <v>28814</v>
      </c>
      <c r="N1377">
        <v>1372</v>
      </c>
      <c r="O1377">
        <v>31558</v>
      </c>
    </row>
    <row r="1378" spans="1:15" x14ac:dyDescent="0.35">
      <c r="A1378">
        <v>1377</v>
      </c>
      <c r="B1378" s="2" t="s">
        <v>18</v>
      </c>
      <c r="C1378" s="2" t="s">
        <v>15</v>
      </c>
      <c r="D1378">
        <v>43</v>
      </c>
      <c r="E1378" s="2" t="s">
        <v>16</v>
      </c>
      <c r="F1378" s="2" t="s">
        <v>25</v>
      </c>
      <c r="G1378">
        <v>39500</v>
      </c>
      <c r="H1378" s="1">
        <v>45480</v>
      </c>
      <c r="I1378">
        <v>9</v>
      </c>
      <c r="J1378">
        <v>2</v>
      </c>
      <c r="K1378">
        <v>3950</v>
      </c>
      <c r="L1378">
        <v>1975</v>
      </c>
      <c r="M1378">
        <v>41475</v>
      </c>
      <c r="N1378">
        <v>1975</v>
      </c>
      <c r="O1378">
        <v>45425</v>
      </c>
    </row>
    <row r="1379" spans="1:15" x14ac:dyDescent="0.35">
      <c r="A1379">
        <v>1378</v>
      </c>
      <c r="B1379" s="2" t="s">
        <v>10</v>
      </c>
      <c r="C1379" s="2" t="s">
        <v>15</v>
      </c>
      <c r="D1379">
        <v>39</v>
      </c>
      <c r="E1379" s="2" t="s">
        <v>12</v>
      </c>
      <c r="F1379" s="2" t="s">
        <v>25</v>
      </c>
      <c r="G1379">
        <v>99222</v>
      </c>
      <c r="H1379" s="1">
        <v>44944</v>
      </c>
      <c r="I1379">
        <v>18</v>
      </c>
      <c r="J1379">
        <v>3</v>
      </c>
      <c r="K1379">
        <v>9922</v>
      </c>
      <c r="L1379">
        <v>4961</v>
      </c>
      <c r="M1379">
        <v>104183</v>
      </c>
      <c r="N1379">
        <v>4961</v>
      </c>
      <c r="O1379">
        <v>114105</v>
      </c>
    </row>
    <row r="1380" spans="1:15" x14ac:dyDescent="0.35">
      <c r="A1380">
        <v>1379</v>
      </c>
      <c r="B1380" s="2" t="s">
        <v>22</v>
      </c>
      <c r="C1380" s="2" t="s">
        <v>11</v>
      </c>
      <c r="D1380">
        <v>44</v>
      </c>
      <c r="E1380" s="2" t="s">
        <v>16</v>
      </c>
      <c r="F1380" s="2" t="s">
        <v>25</v>
      </c>
      <c r="G1380">
        <v>43770</v>
      </c>
      <c r="H1380" s="1">
        <v>45065</v>
      </c>
      <c r="I1380">
        <v>16</v>
      </c>
      <c r="J1380">
        <v>3</v>
      </c>
      <c r="K1380">
        <v>4377</v>
      </c>
      <c r="L1380">
        <v>2188</v>
      </c>
      <c r="M1380">
        <v>45959</v>
      </c>
      <c r="N1380">
        <v>2188</v>
      </c>
      <c r="O1380">
        <v>50335</v>
      </c>
    </row>
    <row r="1381" spans="1:15" x14ac:dyDescent="0.35">
      <c r="A1381">
        <v>1380</v>
      </c>
      <c r="B1381" s="2" t="s">
        <v>10</v>
      </c>
      <c r="C1381" s="2" t="s">
        <v>15</v>
      </c>
      <c r="D1381">
        <v>47</v>
      </c>
      <c r="E1381" s="2" t="s">
        <v>29</v>
      </c>
      <c r="F1381" s="2" t="s">
        <v>17</v>
      </c>
      <c r="G1381">
        <v>65303</v>
      </c>
      <c r="H1381" s="1">
        <v>45177</v>
      </c>
      <c r="I1381">
        <v>17</v>
      </c>
      <c r="J1381">
        <v>1</v>
      </c>
      <c r="K1381">
        <v>6530</v>
      </c>
      <c r="L1381">
        <v>3265</v>
      </c>
      <c r="M1381">
        <v>68568</v>
      </c>
      <c r="N1381">
        <v>3265</v>
      </c>
      <c r="O1381">
        <v>75098</v>
      </c>
    </row>
    <row r="1382" spans="1:15" x14ac:dyDescent="0.35">
      <c r="A1382">
        <v>1381</v>
      </c>
      <c r="B1382" s="2" t="s">
        <v>23</v>
      </c>
      <c r="C1382" s="2" t="s">
        <v>15</v>
      </c>
      <c r="D1382">
        <v>42</v>
      </c>
      <c r="E1382" s="2" t="s">
        <v>29</v>
      </c>
      <c r="F1382" s="2" t="s">
        <v>13</v>
      </c>
      <c r="G1382">
        <v>98215</v>
      </c>
      <c r="H1382" s="1">
        <v>45216</v>
      </c>
      <c r="I1382">
        <v>16</v>
      </c>
      <c r="J1382">
        <v>2</v>
      </c>
      <c r="K1382">
        <v>9822</v>
      </c>
      <c r="L1382">
        <v>4911</v>
      </c>
      <c r="M1382">
        <v>103126</v>
      </c>
      <c r="N1382">
        <v>4911</v>
      </c>
      <c r="O1382">
        <v>112948</v>
      </c>
    </row>
    <row r="1383" spans="1:15" x14ac:dyDescent="0.35">
      <c r="A1383">
        <v>1382</v>
      </c>
      <c r="B1383" s="2" t="s">
        <v>22</v>
      </c>
      <c r="C1383" s="2" t="s">
        <v>15</v>
      </c>
      <c r="D1383">
        <v>48</v>
      </c>
      <c r="E1383" s="2" t="s">
        <v>12</v>
      </c>
      <c r="F1383" s="2" t="s">
        <v>19</v>
      </c>
      <c r="G1383">
        <v>61356</v>
      </c>
      <c r="H1383" s="1">
        <v>44618</v>
      </c>
      <c r="I1383">
        <v>2</v>
      </c>
      <c r="J1383">
        <v>5</v>
      </c>
      <c r="K1383">
        <v>6136</v>
      </c>
      <c r="L1383">
        <v>3068</v>
      </c>
      <c r="M1383">
        <v>64424</v>
      </c>
      <c r="N1383">
        <v>0</v>
      </c>
      <c r="O1383">
        <v>67492</v>
      </c>
    </row>
    <row r="1384" spans="1:15" x14ac:dyDescent="0.35">
      <c r="A1384">
        <v>1383</v>
      </c>
      <c r="B1384" s="2" t="s">
        <v>27</v>
      </c>
      <c r="C1384" s="2" t="s">
        <v>11</v>
      </c>
      <c r="D1384">
        <v>27</v>
      </c>
      <c r="E1384" s="2" t="s">
        <v>29</v>
      </c>
      <c r="F1384" s="2" t="s">
        <v>17</v>
      </c>
      <c r="G1384">
        <v>64035</v>
      </c>
      <c r="H1384" s="1">
        <v>45371</v>
      </c>
      <c r="I1384">
        <v>8</v>
      </c>
      <c r="J1384">
        <v>4</v>
      </c>
      <c r="K1384">
        <v>6404</v>
      </c>
      <c r="L1384">
        <v>3202</v>
      </c>
      <c r="M1384">
        <v>67237</v>
      </c>
      <c r="N1384">
        <v>3202</v>
      </c>
      <c r="O1384">
        <v>73641</v>
      </c>
    </row>
    <row r="1385" spans="1:15" x14ac:dyDescent="0.35">
      <c r="A1385">
        <v>1384</v>
      </c>
      <c r="B1385" s="2" t="s">
        <v>30</v>
      </c>
      <c r="C1385" s="2" t="s">
        <v>15</v>
      </c>
      <c r="D1385">
        <v>36</v>
      </c>
      <c r="E1385" s="2" t="s">
        <v>29</v>
      </c>
      <c r="F1385" s="2" t="s">
        <v>21</v>
      </c>
      <c r="G1385">
        <v>33309</v>
      </c>
      <c r="H1385" s="1">
        <v>44754</v>
      </c>
      <c r="I1385">
        <v>18</v>
      </c>
      <c r="J1385">
        <v>5</v>
      </c>
      <c r="K1385">
        <v>3331</v>
      </c>
      <c r="L1385">
        <v>1665</v>
      </c>
      <c r="M1385">
        <v>34975</v>
      </c>
      <c r="N1385">
        <v>1665</v>
      </c>
      <c r="O1385">
        <v>38305</v>
      </c>
    </row>
    <row r="1386" spans="1:15" x14ac:dyDescent="0.35">
      <c r="A1386">
        <v>1385</v>
      </c>
      <c r="B1386" s="2" t="s">
        <v>27</v>
      </c>
      <c r="C1386" s="2" t="s">
        <v>15</v>
      </c>
      <c r="D1386">
        <v>21</v>
      </c>
      <c r="E1386" s="2" t="s">
        <v>12</v>
      </c>
      <c r="F1386" s="2" t="s">
        <v>17</v>
      </c>
      <c r="G1386">
        <v>77581</v>
      </c>
      <c r="H1386" s="1">
        <v>45322</v>
      </c>
      <c r="I1386">
        <v>19</v>
      </c>
      <c r="J1386">
        <v>1</v>
      </c>
      <c r="K1386">
        <v>7758</v>
      </c>
      <c r="L1386">
        <v>3879</v>
      </c>
      <c r="M1386">
        <v>81460</v>
      </c>
      <c r="N1386">
        <v>3879</v>
      </c>
      <c r="O1386">
        <v>89218</v>
      </c>
    </row>
    <row r="1387" spans="1:15" x14ac:dyDescent="0.35">
      <c r="A1387">
        <v>1386</v>
      </c>
      <c r="B1387" s="2" t="s">
        <v>26</v>
      </c>
      <c r="C1387" s="2" t="s">
        <v>15</v>
      </c>
      <c r="D1387">
        <v>48</v>
      </c>
      <c r="E1387" s="2" t="s">
        <v>12</v>
      </c>
      <c r="F1387" s="2" t="s">
        <v>25</v>
      </c>
      <c r="G1387">
        <v>92939</v>
      </c>
      <c r="H1387" s="1">
        <v>44667</v>
      </c>
      <c r="I1387">
        <v>9</v>
      </c>
      <c r="J1387">
        <v>4</v>
      </c>
      <c r="K1387">
        <v>9294</v>
      </c>
      <c r="L1387">
        <v>4647</v>
      </c>
      <c r="M1387">
        <v>97586</v>
      </c>
      <c r="N1387">
        <v>4647</v>
      </c>
      <c r="O1387">
        <v>106880</v>
      </c>
    </row>
    <row r="1388" spans="1:15" x14ac:dyDescent="0.35">
      <c r="A1388">
        <v>1387</v>
      </c>
      <c r="B1388" s="2" t="s">
        <v>27</v>
      </c>
      <c r="C1388" s="2" t="s">
        <v>11</v>
      </c>
      <c r="D1388">
        <v>30</v>
      </c>
      <c r="E1388" s="2" t="s">
        <v>28</v>
      </c>
      <c r="F1388" s="2" t="s">
        <v>25</v>
      </c>
      <c r="G1388">
        <v>70396</v>
      </c>
      <c r="H1388" s="1">
        <v>44688</v>
      </c>
      <c r="I1388">
        <v>6</v>
      </c>
      <c r="J1388">
        <v>5</v>
      </c>
      <c r="K1388">
        <v>7040</v>
      </c>
      <c r="L1388">
        <v>3520</v>
      </c>
      <c r="M1388">
        <v>73916</v>
      </c>
      <c r="N1388">
        <v>3520</v>
      </c>
      <c r="O1388">
        <v>80956</v>
      </c>
    </row>
    <row r="1389" spans="1:15" x14ac:dyDescent="0.35">
      <c r="A1389">
        <v>1388</v>
      </c>
      <c r="B1389" s="2" t="s">
        <v>30</v>
      </c>
      <c r="C1389" s="2" t="s">
        <v>11</v>
      </c>
      <c r="D1389">
        <v>23</v>
      </c>
      <c r="E1389" s="2" t="s">
        <v>16</v>
      </c>
      <c r="F1389" s="2" t="s">
        <v>25</v>
      </c>
      <c r="G1389">
        <v>22530</v>
      </c>
      <c r="H1389" s="1">
        <v>44796</v>
      </c>
      <c r="I1389">
        <v>18</v>
      </c>
      <c r="J1389">
        <v>3</v>
      </c>
      <c r="K1389">
        <v>2253</v>
      </c>
      <c r="L1389">
        <v>1126</v>
      </c>
      <c r="M1389">
        <v>23657</v>
      </c>
      <c r="N1389">
        <v>1126</v>
      </c>
      <c r="O1389">
        <v>25909</v>
      </c>
    </row>
    <row r="1390" spans="1:15" x14ac:dyDescent="0.35">
      <c r="A1390">
        <v>1389</v>
      </c>
      <c r="B1390" s="2" t="s">
        <v>26</v>
      </c>
      <c r="C1390" s="2" t="s">
        <v>15</v>
      </c>
      <c r="D1390">
        <v>59</v>
      </c>
      <c r="E1390" s="2" t="s">
        <v>12</v>
      </c>
      <c r="F1390" s="2" t="s">
        <v>19</v>
      </c>
      <c r="G1390">
        <v>34947</v>
      </c>
      <c r="H1390" s="1">
        <v>45384</v>
      </c>
      <c r="I1390">
        <v>17</v>
      </c>
      <c r="J1390">
        <v>3</v>
      </c>
      <c r="K1390">
        <v>3495</v>
      </c>
      <c r="L1390">
        <v>1747</v>
      </c>
      <c r="M1390">
        <v>36695</v>
      </c>
      <c r="N1390">
        <v>1747</v>
      </c>
      <c r="O1390">
        <v>40189</v>
      </c>
    </row>
    <row r="1391" spans="1:15" x14ac:dyDescent="0.35">
      <c r="A1391">
        <v>1390</v>
      </c>
      <c r="B1391" s="2" t="s">
        <v>10</v>
      </c>
      <c r="C1391" s="2" t="s">
        <v>11</v>
      </c>
      <c r="D1391">
        <v>47</v>
      </c>
      <c r="E1391" s="2" t="s">
        <v>12</v>
      </c>
      <c r="F1391" s="2" t="s">
        <v>21</v>
      </c>
      <c r="G1391">
        <v>31911</v>
      </c>
      <c r="H1391" s="1">
        <v>44579</v>
      </c>
      <c r="I1391">
        <v>5</v>
      </c>
      <c r="J1391">
        <v>3</v>
      </c>
      <c r="K1391">
        <v>3191</v>
      </c>
      <c r="L1391">
        <v>1596</v>
      </c>
      <c r="M1391">
        <v>33506</v>
      </c>
      <c r="N1391">
        <v>0</v>
      </c>
      <c r="O1391">
        <v>35102</v>
      </c>
    </row>
    <row r="1392" spans="1:15" x14ac:dyDescent="0.35">
      <c r="A1392">
        <v>1391</v>
      </c>
      <c r="B1392" s="2" t="s">
        <v>30</v>
      </c>
      <c r="C1392" s="2" t="s">
        <v>15</v>
      </c>
      <c r="D1392">
        <v>51</v>
      </c>
      <c r="E1392" s="2" t="s">
        <v>16</v>
      </c>
      <c r="F1392" s="2" t="s">
        <v>25</v>
      </c>
      <c r="G1392">
        <v>67262</v>
      </c>
      <c r="H1392" s="1">
        <v>44814</v>
      </c>
      <c r="I1392">
        <v>4</v>
      </c>
      <c r="J1392">
        <v>2</v>
      </c>
      <c r="K1392">
        <v>6726</v>
      </c>
      <c r="L1392">
        <v>3363</v>
      </c>
      <c r="M1392">
        <v>70625</v>
      </c>
      <c r="N1392">
        <v>0</v>
      </c>
      <c r="O1392">
        <v>73988</v>
      </c>
    </row>
    <row r="1393" spans="1:15" x14ac:dyDescent="0.35">
      <c r="A1393">
        <v>1392</v>
      </c>
      <c r="B1393" s="2" t="s">
        <v>26</v>
      </c>
      <c r="C1393" s="2" t="s">
        <v>11</v>
      </c>
      <c r="D1393">
        <v>35</v>
      </c>
      <c r="E1393" s="2" t="s">
        <v>28</v>
      </c>
      <c r="F1393" s="2" t="s">
        <v>21</v>
      </c>
      <c r="G1393">
        <v>22497</v>
      </c>
      <c r="H1393" s="1">
        <v>44646</v>
      </c>
      <c r="I1393">
        <v>2</v>
      </c>
      <c r="J1393">
        <v>4</v>
      </c>
      <c r="K1393">
        <v>2250</v>
      </c>
      <c r="L1393">
        <v>1125</v>
      </c>
      <c r="M1393">
        <v>23622</v>
      </c>
      <c r="N1393">
        <v>0</v>
      </c>
      <c r="O1393">
        <v>24747</v>
      </c>
    </row>
    <row r="1394" spans="1:15" x14ac:dyDescent="0.35">
      <c r="A1394">
        <v>1393</v>
      </c>
      <c r="B1394" s="2" t="s">
        <v>23</v>
      </c>
      <c r="C1394" s="2" t="s">
        <v>15</v>
      </c>
      <c r="D1394">
        <v>51</v>
      </c>
      <c r="E1394" s="2" t="s">
        <v>16</v>
      </c>
      <c r="F1394" s="2" t="s">
        <v>25</v>
      </c>
      <c r="G1394">
        <v>59315</v>
      </c>
      <c r="H1394" s="1">
        <v>45047</v>
      </c>
      <c r="I1394">
        <v>8</v>
      </c>
      <c r="J1394">
        <v>5</v>
      </c>
      <c r="K1394">
        <v>5932</v>
      </c>
      <c r="L1394">
        <v>2966</v>
      </c>
      <c r="M1394">
        <v>62281</v>
      </c>
      <c r="N1394">
        <v>2966</v>
      </c>
      <c r="O1394">
        <v>68213</v>
      </c>
    </row>
    <row r="1395" spans="1:15" x14ac:dyDescent="0.35">
      <c r="A1395">
        <v>1394</v>
      </c>
      <c r="B1395" s="2" t="s">
        <v>10</v>
      </c>
      <c r="C1395" s="2" t="s">
        <v>11</v>
      </c>
      <c r="D1395">
        <v>22</v>
      </c>
      <c r="E1395" s="2" t="s">
        <v>28</v>
      </c>
      <c r="F1395" s="2" t="s">
        <v>19</v>
      </c>
      <c r="G1395">
        <v>67090</v>
      </c>
      <c r="H1395" s="1">
        <v>44591</v>
      </c>
      <c r="I1395">
        <v>8</v>
      </c>
      <c r="J1395">
        <v>4</v>
      </c>
      <c r="K1395">
        <v>6709</v>
      </c>
      <c r="L1395">
        <v>3354</v>
      </c>
      <c r="M1395">
        <v>70445</v>
      </c>
      <c r="N1395">
        <v>3354</v>
      </c>
      <c r="O1395">
        <v>77153</v>
      </c>
    </row>
    <row r="1396" spans="1:15" x14ac:dyDescent="0.35">
      <c r="A1396">
        <v>1395</v>
      </c>
      <c r="B1396" s="2" t="s">
        <v>18</v>
      </c>
      <c r="C1396" s="2" t="s">
        <v>11</v>
      </c>
      <c r="D1396">
        <v>33</v>
      </c>
      <c r="E1396" s="2" t="s">
        <v>24</v>
      </c>
      <c r="F1396" s="2" t="s">
        <v>25</v>
      </c>
      <c r="G1396">
        <v>90002</v>
      </c>
      <c r="H1396" s="1">
        <v>44762</v>
      </c>
      <c r="I1396">
        <v>19</v>
      </c>
      <c r="J1396">
        <v>4</v>
      </c>
      <c r="K1396">
        <v>9000</v>
      </c>
      <c r="L1396">
        <v>4500</v>
      </c>
      <c r="M1396">
        <v>94502</v>
      </c>
      <c r="N1396">
        <v>4500</v>
      </c>
      <c r="O1396">
        <v>103502</v>
      </c>
    </row>
    <row r="1397" spans="1:15" x14ac:dyDescent="0.35">
      <c r="A1397">
        <v>1396</v>
      </c>
      <c r="B1397" s="2" t="s">
        <v>20</v>
      </c>
      <c r="C1397" s="2" t="s">
        <v>15</v>
      </c>
      <c r="D1397">
        <v>29</v>
      </c>
      <c r="E1397" s="2" t="s">
        <v>28</v>
      </c>
      <c r="F1397" s="2" t="s">
        <v>19</v>
      </c>
      <c r="G1397">
        <v>71809</v>
      </c>
      <c r="H1397" s="1">
        <v>44902</v>
      </c>
      <c r="I1397">
        <v>8</v>
      </c>
      <c r="J1397">
        <v>3</v>
      </c>
      <c r="K1397">
        <v>7181</v>
      </c>
      <c r="L1397">
        <v>3590</v>
      </c>
      <c r="M1397">
        <v>75400</v>
      </c>
      <c r="N1397">
        <v>3590</v>
      </c>
      <c r="O1397">
        <v>82580</v>
      </c>
    </row>
    <row r="1398" spans="1:15" x14ac:dyDescent="0.35">
      <c r="A1398">
        <v>1397</v>
      </c>
      <c r="B1398" s="2" t="s">
        <v>14</v>
      </c>
      <c r="C1398" s="2" t="s">
        <v>11</v>
      </c>
      <c r="D1398">
        <v>47</v>
      </c>
      <c r="E1398" s="2" t="s">
        <v>16</v>
      </c>
      <c r="F1398" s="2" t="s">
        <v>17</v>
      </c>
      <c r="G1398">
        <v>83489</v>
      </c>
      <c r="H1398" s="1">
        <v>45040</v>
      </c>
      <c r="I1398">
        <v>13</v>
      </c>
      <c r="J1398">
        <v>2</v>
      </c>
      <c r="K1398">
        <v>8349</v>
      </c>
      <c r="L1398">
        <v>4174</v>
      </c>
      <c r="M1398">
        <v>87664</v>
      </c>
      <c r="N1398">
        <v>4174</v>
      </c>
      <c r="O1398">
        <v>96012</v>
      </c>
    </row>
    <row r="1399" spans="1:15" x14ac:dyDescent="0.35">
      <c r="A1399">
        <v>1398</v>
      </c>
      <c r="B1399" s="2" t="s">
        <v>23</v>
      </c>
      <c r="C1399" s="2" t="s">
        <v>15</v>
      </c>
      <c r="D1399">
        <v>53</v>
      </c>
      <c r="E1399" s="2" t="s">
        <v>24</v>
      </c>
      <c r="F1399" s="2" t="s">
        <v>25</v>
      </c>
      <c r="G1399">
        <v>57658</v>
      </c>
      <c r="H1399" s="1">
        <v>44669</v>
      </c>
      <c r="I1399">
        <v>20</v>
      </c>
      <c r="J1399">
        <v>1</v>
      </c>
      <c r="K1399">
        <v>5766</v>
      </c>
      <c r="L1399">
        <v>2883</v>
      </c>
      <c r="M1399">
        <v>60541</v>
      </c>
      <c r="N1399">
        <v>2883</v>
      </c>
      <c r="O1399">
        <v>66307</v>
      </c>
    </row>
    <row r="1400" spans="1:15" x14ac:dyDescent="0.35">
      <c r="A1400">
        <v>1399</v>
      </c>
      <c r="B1400" s="2" t="s">
        <v>10</v>
      </c>
      <c r="C1400" s="2" t="s">
        <v>15</v>
      </c>
      <c r="D1400">
        <v>23</v>
      </c>
      <c r="E1400" s="2" t="s">
        <v>12</v>
      </c>
      <c r="F1400" s="2" t="s">
        <v>25</v>
      </c>
      <c r="G1400">
        <v>57422</v>
      </c>
      <c r="H1400" s="1">
        <v>45488</v>
      </c>
      <c r="I1400">
        <v>7</v>
      </c>
      <c r="J1400">
        <v>3</v>
      </c>
      <c r="K1400">
        <v>5742</v>
      </c>
      <c r="L1400">
        <v>2871</v>
      </c>
      <c r="M1400">
        <v>60293</v>
      </c>
      <c r="N1400">
        <v>2871</v>
      </c>
      <c r="O1400">
        <v>66035</v>
      </c>
    </row>
    <row r="1401" spans="1:15" x14ac:dyDescent="0.35">
      <c r="A1401">
        <v>1400</v>
      </c>
      <c r="B1401" s="2" t="s">
        <v>30</v>
      </c>
      <c r="C1401" s="2" t="s">
        <v>11</v>
      </c>
      <c r="D1401">
        <v>42</v>
      </c>
      <c r="E1401" s="2" t="s">
        <v>24</v>
      </c>
      <c r="F1401" s="2" t="s">
        <v>13</v>
      </c>
      <c r="G1401">
        <v>33257</v>
      </c>
      <c r="H1401" s="1">
        <v>45066</v>
      </c>
      <c r="I1401">
        <v>7</v>
      </c>
      <c r="J1401">
        <v>5</v>
      </c>
      <c r="K1401">
        <v>3326</v>
      </c>
      <c r="L1401">
        <v>1663</v>
      </c>
      <c r="M1401">
        <v>34920</v>
      </c>
      <c r="N1401">
        <v>1663</v>
      </c>
      <c r="O1401">
        <v>38246</v>
      </c>
    </row>
    <row r="1402" spans="1:15" x14ac:dyDescent="0.35">
      <c r="A1402">
        <v>1401</v>
      </c>
      <c r="B1402" s="2" t="s">
        <v>30</v>
      </c>
      <c r="C1402" s="2" t="s">
        <v>15</v>
      </c>
      <c r="D1402">
        <v>32</v>
      </c>
      <c r="E1402" s="2" t="s">
        <v>24</v>
      </c>
      <c r="F1402" s="2" t="s">
        <v>19</v>
      </c>
      <c r="G1402">
        <v>70100</v>
      </c>
      <c r="H1402" s="1">
        <v>44905</v>
      </c>
      <c r="I1402">
        <v>7</v>
      </c>
      <c r="J1402">
        <v>3</v>
      </c>
      <c r="K1402">
        <v>7010</v>
      </c>
      <c r="L1402">
        <v>3505</v>
      </c>
      <c r="M1402">
        <v>73605</v>
      </c>
      <c r="N1402">
        <v>3505</v>
      </c>
      <c r="O1402">
        <v>80615</v>
      </c>
    </row>
    <row r="1403" spans="1:15" x14ac:dyDescent="0.35">
      <c r="A1403">
        <v>1402</v>
      </c>
      <c r="B1403" s="2" t="s">
        <v>23</v>
      </c>
      <c r="C1403" s="2" t="s">
        <v>11</v>
      </c>
      <c r="D1403">
        <v>56</v>
      </c>
      <c r="E1403" s="2" t="s">
        <v>29</v>
      </c>
      <c r="F1403" s="2" t="s">
        <v>25</v>
      </c>
      <c r="G1403">
        <v>60470</v>
      </c>
      <c r="H1403" s="1">
        <v>44946</v>
      </c>
      <c r="I1403">
        <v>16</v>
      </c>
      <c r="J1403">
        <v>2</v>
      </c>
      <c r="K1403">
        <v>6047</v>
      </c>
      <c r="L1403">
        <v>3024</v>
      </c>
      <c r="M1403">
        <v>63493</v>
      </c>
      <c r="N1403">
        <v>3024</v>
      </c>
      <c r="O1403">
        <v>69541</v>
      </c>
    </row>
    <row r="1404" spans="1:15" x14ac:dyDescent="0.35">
      <c r="A1404">
        <v>1403</v>
      </c>
      <c r="B1404" s="2" t="s">
        <v>18</v>
      </c>
      <c r="C1404" s="2" t="s">
        <v>11</v>
      </c>
      <c r="D1404">
        <v>42</v>
      </c>
      <c r="E1404" s="2" t="s">
        <v>24</v>
      </c>
      <c r="F1404" s="2" t="s">
        <v>17</v>
      </c>
      <c r="G1404">
        <v>39734</v>
      </c>
      <c r="H1404" s="1">
        <v>45363</v>
      </c>
      <c r="I1404">
        <v>13</v>
      </c>
      <c r="J1404">
        <v>2</v>
      </c>
      <c r="K1404">
        <v>3973</v>
      </c>
      <c r="L1404">
        <v>1987</v>
      </c>
      <c r="M1404">
        <v>41720</v>
      </c>
      <c r="N1404">
        <v>1987</v>
      </c>
      <c r="O1404">
        <v>45694</v>
      </c>
    </row>
    <row r="1405" spans="1:15" x14ac:dyDescent="0.35">
      <c r="A1405">
        <v>1404</v>
      </c>
      <c r="B1405" s="2" t="s">
        <v>20</v>
      </c>
      <c r="C1405" s="2" t="s">
        <v>11</v>
      </c>
      <c r="D1405">
        <v>31</v>
      </c>
      <c r="E1405" s="2" t="s">
        <v>28</v>
      </c>
      <c r="F1405" s="2" t="s">
        <v>17</v>
      </c>
      <c r="G1405">
        <v>45221</v>
      </c>
      <c r="H1405" s="1">
        <v>44654</v>
      </c>
      <c r="I1405">
        <v>5</v>
      </c>
      <c r="J1405">
        <v>3</v>
      </c>
      <c r="K1405">
        <v>4522</v>
      </c>
      <c r="L1405">
        <v>2261</v>
      </c>
      <c r="M1405">
        <v>47482</v>
      </c>
      <c r="N1405">
        <v>0</v>
      </c>
      <c r="O1405">
        <v>49743</v>
      </c>
    </row>
    <row r="1406" spans="1:15" x14ac:dyDescent="0.35">
      <c r="A1406">
        <v>1405</v>
      </c>
      <c r="B1406" s="2" t="s">
        <v>18</v>
      </c>
      <c r="C1406" s="2" t="s">
        <v>15</v>
      </c>
      <c r="D1406">
        <v>58</v>
      </c>
      <c r="E1406" s="2" t="s">
        <v>28</v>
      </c>
      <c r="F1406" s="2" t="s">
        <v>21</v>
      </c>
      <c r="G1406">
        <v>91276</v>
      </c>
      <c r="H1406" s="1">
        <v>44912</v>
      </c>
      <c r="I1406">
        <v>10</v>
      </c>
      <c r="J1406">
        <v>2</v>
      </c>
      <c r="K1406">
        <v>9128</v>
      </c>
      <c r="L1406">
        <v>4564</v>
      </c>
      <c r="M1406">
        <v>95840</v>
      </c>
      <c r="N1406">
        <v>4564</v>
      </c>
      <c r="O1406">
        <v>104968</v>
      </c>
    </row>
    <row r="1407" spans="1:15" x14ac:dyDescent="0.35">
      <c r="A1407">
        <v>1406</v>
      </c>
      <c r="B1407" s="2" t="s">
        <v>18</v>
      </c>
      <c r="C1407" s="2" t="s">
        <v>15</v>
      </c>
      <c r="D1407">
        <v>42</v>
      </c>
      <c r="E1407" s="2" t="s">
        <v>28</v>
      </c>
      <c r="F1407" s="2" t="s">
        <v>21</v>
      </c>
      <c r="G1407">
        <v>76808</v>
      </c>
      <c r="H1407" s="1">
        <v>45274</v>
      </c>
      <c r="I1407">
        <v>15</v>
      </c>
      <c r="J1407">
        <v>3</v>
      </c>
      <c r="K1407">
        <v>7681</v>
      </c>
      <c r="L1407">
        <v>3840</v>
      </c>
      <c r="M1407">
        <v>80649</v>
      </c>
      <c r="N1407">
        <v>3840</v>
      </c>
      <c r="O1407">
        <v>88329</v>
      </c>
    </row>
    <row r="1408" spans="1:15" x14ac:dyDescent="0.35">
      <c r="A1408">
        <v>1407</v>
      </c>
      <c r="B1408" s="2" t="s">
        <v>31</v>
      </c>
      <c r="C1408" s="2" t="s">
        <v>15</v>
      </c>
      <c r="D1408">
        <v>28</v>
      </c>
      <c r="E1408" s="2" t="s">
        <v>28</v>
      </c>
      <c r="F1408" s="2" t="s">
        <v>17</v>
      </c>
      <c r="G1408">
        <v>53596</v>
      </c>
      <c r="H1408" s="1">
        <v>44661</v>
      </c>
      <c r="I1408">
        <v>6</v>
      </c>
      <c r="J1408">
        <v>2</v>
      </c>
      <c r="K1408">
        <v>5360</v>
      </c>
      <c r="L1408">
        <v>2680</v>
      </c>
      <c r="M1408">
        <v>56276</v>
      </c>
      <c r="N1408">
        <v>2680</v>
      </c>
      <c r="O1408">
        <v>61636</v>
      </c>
    </row>
    <row r="1409" spans="1:15" x14ac:dyDescent="0.35">
      <c r="A1409">
        <v>1408</v>
      </c>
      <c r="B1409" s="2" t="s">
        <v>26</v>
      </c>
      <c r="C1409" s="2" t="s">
        <v>15</v>
      </c>
      <c r="D1409">
        <v>40</v>
      </c>
      <c r="E1409" s="2" t="s">
        <v>24</v>
      </c>
      <c r="F1409" s="2" t="s">
        <v>13</v>
      </c>
      <c r="G1409">
        <v>96527</v>
      </c>
      <c r="H1409" s="1">
        <v>45535</v>
      </c>
      <c r="I1409">
        <v>12</v>
      </c>
      <c r="J1409">
        <v>4</v>
      </c>
      <c r="K1409">
        <v>9653</v>
      </c>
      <c r="L1409">
        <v>4826</v>
      </c>
      <c r="M1409">
        <v>101354</v>
      </c>
      <c r="N1409">
        <v>4826</v>
      </c>
      <c r="O1409">
        <v>111006</v>
      </c>
    </row>
    <row r="1410" spans="1:15" x14ac:dyDescent="0.35">
      <c r="A1410">
        <v>1409</v>
      </c>
      <c r="B1410" s="2" t="s">
        <v>30</v>
      </c>
      <c r="C1410" s="2" t="s">
        <v>15</v>
      </c>
      <c r="D1410">
        <v>50</v>
      </c>
      <c r="E1410" s="2" t="s">
        <v>28</v>
      </c>
      <c r="F1410" s="2" t="s">
        <v>17</v>
      </c>
      <c r="G1410">
        <v>28046</v>
      </c>
      <c r="H1410" s="1">
        <v>45208</v>
      </c>
      <c r="I1410">
        <v>13</v>
      </c>
      <c r="J1410">
        <v>1</v>
      </c>
      <c r="K1410">
        <v>2805</v>
      </c>
      <c r="L1410">
        <v>1402</v>
      </c>
      <c r="M1410">
        <v>29449</v>
      </c>
      <c r="N1410">
        <v>1402</v>
      </c>
      <c r="O1410">
        <v>32253</v>
      </c>
    </row>
    <row r="1411" spans="1:15" x14ac:dyDescent="0.35">
      <c r="A1411">
        <v>1410</v>
      </c>
      <c r="B1411" s="2" t="s">
        <v>18</v>
      </c>
      <c r="C1411" s="2" t="s">
        <v>15</v>
      </c>
      <c r="D1411">
        <v>58</v>
      </c>
      <c r="E1411" s="2" t="s">
        <v>29</v>
      </c>
      <c r="F1411" s="2" t="s">
        <v>13</v>
      </c>
      <c r="G1411">
        <v>28294</v>
      </c>
      <c r="H1411" s="1">
        <v>44706</v>
      </c>
      <c r="I1411">
        <v>11</v>
      </c>
      <c r="J1411">
        <v>5</v>
      </c>
      <c r="K1411">
        <v>2829</v>
      </c>
      <c r="L1411">
        <v>1415</v>
      </c>
      <c r="M1411">
        <v>29708</v>
      </c>
      <c r="N1411">
        <v>1415</v>
      </c>
      <c r="O1411">
        <v>32538</v>
      </c>
    </row>
    <row r="1412" spans="1:15" x14ac:dyDescent="0.35">
      <c r="A1412">
        <v>1411</v>
      </c>
      <c r="B1412" s="2" t="s">
        <v>27</v>
      </c>
      <c r="C1412" s="2" t="s">
        <v>15</v>
      </c>
      <c r="D1412">
        <v>55</v>
      </c>
      <c r="E1412" s="2" t="s">
        <v>12</v>
      </c>
      <c r="F1412" s="2" t="s">
        <v>21</v>
      </c>
      <c r="G1412">
        <v>21960</v>
      </c>
      <c r="H1412" s="1">
        <v>44978</v>
      </c>
      <c r="I1412">
        <v>7</v>
      </c>
      <c r="J1412">
        <v>2</v>
      </c>
      <c r="K1412">
        <v>2196</v>
      </c>
      <c r="L1412">
        <v>1098</v>
      </c>
      <c r="M1412">
        <v>23058</v>
      </c>
      <c r="N1412">
        <v>1098</v>
      </c>
      <c r="O1412">
        <v>25254</v>
      </c>
    </row>
    <row r="1413" spans="1:15" x14ac:dyDescent="0.35">
      <c r="A1413">
        <v>1412</v>
      </c>
      <c r="B1413" s="2" t="s">
        <v>23</v>
      </c>
      <c r="C1413" s="2" t="s">
        <v>11</v>
      </c>
      <c r="D1413">
        <v>46</v>
      </c>
      <c r="E1413" s="2" t="s">
        <v>16</v>
      </c>
      <c r="F1413" s="2" t="s">
        <v>19</v>
      </c>
      <c r="G1413">
        <v>29499</v>
      </c>
      <c r="H1413" s="1">
        <v>45322</v>
      </c>
      <c r="I1413">
        <v>20</v>
      </c>
      <c r="J1413">
        <v>2</v>
      </c>
      <c r="K1413">
        <v>2950</v>
      </c>
      <c r="L1413">
        <v>1475</v>
      </c>
      <c r="M1413">
        <v>30974</v>
      </c>
      <c r="N1413">
        <v>1475</v>
      </c>
      <c r="O1413">
        <v>33924</v>
      </c>
    </row>
    <row r="1414" spans="1:15" x14ac:dyDescent="0.35">
      <c r="A1414">
        <v>1413</v>
      </c>
      <c r="B1414" s="2" t="s">
        <v>22</v>
      </c>
      <c r="C1414" s="2" t="s">
        <v>15</v>
      </c>
      <c r="D1414">
        <v>46</v>
      </c>
      <c r="E1414" s="2" t="s">
        <v>16</v>
      </c>
      <c r="F1414" s="2" t="s">
        <v>25</v>
      </c>
      <c r="G1414">
        <v>44250</v>
      </c>
      <c r="H1414" s="1">
        <v>44901</v>
      </c>
      <c r="I1414">
        <v>4</v>
      </c>
      <c r="J1414">
        <v>1</v>
      </c>
      <c r="K1414">
        <v>4425</v>
      </c>
      <c r="L1414">
        <v>2212</v>
      </c>
      <c r="M1414">
        <v>46463</v>
      </c>
      <c r="N1414">
        <v>0</v>
      </c>
      <c r="O1414">
        <v>48675</v>
      </c>
    </row>
    <row r="1415" spans="1:15" x14ac:dyDescent="0.35">
      <c r="A1415">
        <v>1414</v>
      </c>
      <c r="B1415" s="2" t="s">
        <v>14</v>
      </c>
      <c r="C1415" s="2" t="s">
        <v>11</v>
      </c>
      <c r="D1415">
        <v>25</v>
      </c>
      <c r="E1415" s="2" t="s">
        <v>28</v>
      </c>
      <c r="F1415" s="2" t="s">
        <v>13</v>
      </c>
      <c r="G1415">
        <v>94883</v>
      </c>
      <c r="H1415" s="1">
        <v>44873</v>
      </c>
      <c r="I1415">
        <v>6</v>
      </c>
      <c r="J1415">
        <v>3</v>
      </c>
      <c r="K1415">
        <v>9488</v>
      </c>
      <c r="L1415">
        <v>4744</v>
      </c>
      <c r="M1415">
        <v>99627</v>
      </c>
      <c r="N1415">
        <v>4744</v>
      </c>
      <c r="O1415">
        <v>109115</v>
      </c>
    </row>
    <row r="1416" spans="1:15" x14ac:dyDescent="0.35">
      <c r="A1416">
        <v>1415</v>
      </c>
      <c r="B1416" s="2" t="s">
        <v>20</v>
      </c>
      <c r="C1416" s="2" t="s">
        <v>11</v>
      </c>
      <c r="D1416">
        <v>42</v>
      </c>
      <c r="E1416" s="2" t="s">
        <v>28</v>
      </c>
      <c r="F1416" s="2" t="s">
        <v>13</v>
      </c>
      <c r="G1416">
        <v>28943</v>
      </c>
      <c r="H1416" s="1">
        <v>44592</v>
      </c>
      <c r="I1416">
        <v>4</v>
      </c>
      <c r="J1416">
        <v>5</v>
      </c>
      <c r="K1416">
        <v>2894</v>
      </c>
      <c r="L1416">
        <v>1447</v>
      </c>
      <c r="M1416">
        <v>30390</v>
      </c>
      <c r="N1416">
        <v>0</v>
      </c>
      <c r="O1416">
        <v>31837</v>
      </c>
    </row>
    <row r="1417" spans="1:15" x14ac:dyDescent="0.35">
      <c r="A1417">
        <v>1416</v>
      </c>
      <c r="B1417" s="2" t="s">
        <v>14</v>
      </c>
      <c r="C1417" s="2" t="s">
        <v>11</v>
      </c>
      <c r="D1417">
        <v>31</v>
      </c>
      <c r="E1417" s="2" t="s">
        <v>29</v>
      </c>
      <c r="F1417" s="2" t="s">
        <v>25</v>
      </c>
      <c r="G1417">
        <v>53008</v>
      </c>
      <c r="H1417" s="1">
        <v>44648</v>
      </c>
      <c r="I1417">
        <v>18</v>
      </c>
      <c r="J1417">
        <v>1</v>
      </c>
      <c r="K1417">
        <v>5301</v>
      </c>
      <c r="L1417">
        <v>2650</v>
      </c>
      <c r="M1417">
        <v>55659</v>
      </c>
      <c r="N1417">
        <v>2650</v>
      </c>
      <c r="O1417">
        <v>60959</v>
      </c>
    </row>
    <row r="1418" spans="1:15" x14ac:dyDescent="0.35">
      <c r="A1418">
        <v>1417</v>
      </c>
      <c r="B1418" s="2" t="s">
        <v>27</v>
      </c>
      <c r="C1418" s="2" t="s">
        <v>11</v>
      </c>
      <c r="D1418">
        <v>26</v>
      </c>
      <c r="E1418" s="2" t="s">
        <v>24</v>
      </c>
      <c r="F1418" s="2" t="s">
        <v>13</v>
      </c>
      <c r="G1418">
        <v>32222</v>
      </c>
      <c r="H1418" s="1">
        <v>45382</v>
      </c>
      <c r="I1418">
        <v>15</v>
      </c>
      <c r="J1418">
        <v>5</v>
      </c>
      <c r="K1418">
        <v>3222</v>
      </c>
      <c r="L1418">
        <v>1611</v>
      </c>
      <c r="M1418">
        <v>33833</v>
      </c>
      <c r="N1418">
        <v>1611</v>
      </c>
      <c r="O1418">
        <v>37055</v>
      </c>
    </row>
    <row r="1419" spans="1:15" x14ac:dyDescent="0.35">
      <c r="A1419">
        <v>1418</v>
      </c>
      <c r="B1419" s="2" t="s">
        <v>20</v>
      </c>
      <c r="C1419" s="2" t="s">
        <v>15</v>
      </c>
      <c r="D1419">
        <v>45</v>
      </c>
      <c r="E1419" s="2" t="s">
        <v>28</v>
      </c>
      <c r="F1419" s="2" t="s">
        <v>17</v>
      </c>
      <c r="G1419">
        <v>77519</v>
      </c>
      <c r="H1419" s="1">
        <v>45311</v>
      </c>
      <c r="I1419">
        <v>1</v>
      </c>
      <c r="J1419">
        <v>1</v>
      </c>
      <c r="K1419">
        <v>7752</v>
      </c>
      <c r="L1419">
        <v>3876</v>
      </c>
      <c r="M1419">
        <v>81395</v>
      </c>
      <c r="N1419">
        <v>0</v>
      </c>
      <c r="O1419">
        <v>85271</v>
      </c>
    </row>
    <row r="1420" spans="1:15" x14ac:dyDescent="0.35">
      <c r="A1420">
        <v>1419</v>
      </c>
      <c r="B1420" s="2" t="s">
        <v>14</v>
      </c>
      <c r="C1420" s="2" t="s">
        <v>11</v>
      </c>
      <c r="D1420">
        <v>42</v>
      </c>
      <c r="E1420" s="2" t="s">
        <v>29</v>
      </c>
      <c r="F1420" s="2" t="s">
        <v>13</v>
      </c>
      <c r="G1420">
        <v>72494</v>
      </c>
      <c r="H1420" s="1">
        <v>45515</v>
      </c>
      <c r="I1420">
        <v>1</v>
      </c>
      <c r="J1420">
        <v>5</v>
      </c>
      <c r="K1420">
        <v>7249</v>
      </c>
      <c r="L1420">
        <v>3625</v>
      </c>
      <c r="M1420">
        <v>76118</v>
      </c>
      <c r="N1420">
        <v>0</v>
      </c>
      <c r="O1420">
        <v>79743</v>
      </c>
    </row>
    <row r="1421" spans="1:15" x14ac:dyDescent="0.35">
      <c r="A1421">
        <v>1420</v>
      </c>
      <c r="B1421" s="2" t="s">
        <v>27</v>
      </c>
      <c r="C1421" s="2" t="s">
        <v>15</v>
      </c>
      <c r="D1421">
        <v>37</v>
      </c>
      <c r="E1421" s="2" t="s">
        <v>12</v>
      </c>
      <c r="F1421" s="2" t="s">
        <v>17</v>
      </c>
      <c r="G1421">
        <v>30260</v>
      </c>
      <c r="H1421" s="1">
        <v>45494</v>
      </c>
      <c r="I1421">
        <v>7</v>
      </c>
      <c r="J1421">
        <v>1</v>
      </c>
      <c r="K1421">
        <v>3026</v>
      </c>
      <c r="L1421">
        <v>1513</v>
      </c>
      <c r="M1421">
        <v>31773</v>
      </c>
      <c r="N1421">
        <v>1513</v>
      </c>
      <c r="O1421">
        <v>34799</v>
      </c>
    </row>
    <row r="1422" spans="1:15" x14ac:dyDescent="0.35">
      <c r="A1422">
        <v>1421</v>
      </c>
      <c r="B1422" s="2" t="s">
        <v>26</v>
      </c>
      <c r="C1422" s="2" t="s">
        <v>15</v>
      </c>
      <c r="D1422">
        <v>47</v>
      </c>
      <c r="E1422" s="2" t="s">
        <v>12</v>
      </c>
      <c r="F1422" s="2" t="s">
        <v>19</v>
      </c>
      <c r="G1422">
        <v>65289</v>
      </c>
      <c r="H1422" s="1">
        <v>45156</v>
      </c>
      <c r="I1422">
        <v>14</v>
      </c>
      <c r="J1422">
        <v>1</v>
      </c>
      <c r="K1422">
        <v>6529</v>
      </c>
      <c r="L1422">
        <v>3264</v>
      </c>
      <c r="M1422">
        <v>68554</v>
      </c>
      <c r="N1422">
        <v>3264</v>
      </c>
      <c r="O1422">
        <v>75082</v>
      </c>
    </row>
    <row r="1423" spans="1:15" x14ac:dyDescent="0.35">
      <c r="A1423">
        <v>1422</v>
      </c>
      <c r="B1423" s="2" t="s">
        <v>18</v>
      </c>
      <c r="C1423" s="2" t="s">
        <v>11</v>
      </c>
      <c r="D1423">
        <v>51</v>
      </c>
      <c r="E1423" s="2" t="s">
        <v>28</v>
      </c>
      <c r="F1423" s="2" t="s">
        <v>21</v>
      </c>
      <c r="G1423">
        <v>53966</v>
      </c>
      <c r="H1423" s="1">
        <v>44595</v>
      </c>
      <c r="I1423">
        <v>2</v>
      </c>
      <c r="J1423">
        <v>4</v>
      </c>
      <c r="K1423">
        <v>5397</v>
      </c>
      <c r="L1423">
        <v>2698</v>
      </c>
      <c r="M1423">
        <v>56665</v>
      </c>
      <c r="N1423">
        <v>0</v>
      </c>
      <c r="O1423">
        <v>59363</v>
      </c>
    </row>
    <row r="1424" spans="1:15" x14ac:dyDescent="0.35">
      <c r="A1424">
        <v>1423</v>
      </c>
      <c r="B1424" s="2" t="s">
        <v>30</v>
      </c>
      <c r="C1424" s="2" t="s">
        <v>15</v>
      </c>
      <c r="D1424">
        <v>23</v>
      </c>
      <c r="E1424" s="2" t="s">
        <v>24</v>
      </c>
      <c r="F1424" s="2" t="s">
        <v>17</v>
      </c>
      <c r="G1424">
        <v>64122</v>
      </c>
      <c r="H1424" s="1">
        <v>45353</v>
      </c>
      <c r="I1424">
        <v>15</v>
      </c>
      <c r="J1424">
        <v>3</v>
      </c>
      <c r="K1424">
        <v>6412</v>
      </c>
      <c r="L1424">
        <v>3206</v>
      </c>
      <c r="M1424">
        <v>67328</v>
      </c>
      <c r="N1424">
        <v>3206</v>
      </c>
      <c r="O1424">
        <v>73740</v>
      </c>
    </row>
    <row r="1425" spans="1:15" x14ac:dyDescent="0.35">
      <c r="A1425">
        <v>1424</v>
      </c>
      <c r="B1425" s="2" t="s">
        <v>31</v>
      </c>
      <c r="C1425" s="2" t="s">
        <v>15</v>
      </c>
      <c r="D1425">
        <v>55</v>
      </c>
      <c r="E1425" s="2" t="s">
        <v>12</v>
      </c>
      <c r="F1425" s="2" t="s">
        <v>19</v>
      </c>
      <c r="G1425">
        <v>29301</v>
      </c>
      <c r="H1425" s="1">
        <v>44783</v>
      </c>
      <c r="I1425">
        <v>7</v>
      </c>
      <c r="J1425">
        <v>3</v>
      </c>
      <c r="K1425">
        <v>2930</v>
      </c>
      <c r="L1425">
        <v>1465</v>
      </c>
      <c r="M1425">
        <v>30766</v>
      </c>
      <c r="N1425">
        <v>1465</v>
      </c>
      <c r="O1425">
        <v>33696</v>
      </c>
    </row>
    <row r="1426" spans="1:15" x14ac:dyDescent="0.35">
      <c r="A1426">
        <v>1425</v>
      </c>
      <c r="B1426" s="2" t="s">
        <v>22</v>
      </c>
      <c r="C1426" s="2" t="s">
        <v>11</v>
      </c>
      <c r="D1426">
        <v>49</v>
      </c>
      <c r="E1426" s="2" t="s">
        <v>24</v>
      </c>
      <c r="F1426" s="2" t="s">
        <v>25</v>
      </c>
      <c r="G1426">
        <v>41891</v>
      </c>
      <c r="H1426" s="1">
        <v>45532</v>
      </c>
      <c r="I1426">
        <v>18</v>
      </c>
      <c r="J1426">
        <v>4</v>
      </c>
      <c r="K1426">
        <v>4189</v>
      </c>
      <c r="L1426">
        <v>2095</v>
      </c>
      <c r="M1426">
        <v>43985</v>
      </c>
      <c r="N1426">
        <v>2095</v>
      </c>
      <c r="O1426">
        <v>48175</v>
      </c>
    </row>
    <row r="1427" spans="1:15" x14ac:dyDescent="0.35">
      <c r="A1427">
        <v>1426</v>
      </c>
      <c r="B1427" s="2" t="s">
        <v>20</v>
      </c>
      <c r="C1427" s="2" t="s">
        <v>15</v>
      </c>
      <c r="D1427">
        <v>53</v>
      </c>
      <c r="E1427" s="2" t="s">
        <v>24</v>
      </c>
      <c r="F1427" s="2" t="s">
        <v>21</v>
      </c>
      <c r="G1427">
        <v>86768</v>
      </c>
      <c r="H1427" s="1">
        <v>45337</v>
      </c>
      <c r="I1427">
        <v>19</v>
      </c>
      <c r="J1427">
        <v>4</v>
      </c>
      <c r="K1427">
        <v>8677</v>
      </c>
      <c r="L1427">
        <v>4338</v>
      </c>
      <c r="M1427">
        <v>91107</v>
      </c>
      <c r="N1427">
        <v>4338</v>
      </c>
      <c r="O1427">
        <v>99783</v>
      </c>
    </row>
    <row r="1428" spans="1:15" x14ac:dyDescent="0.35">
      <c r="A1428">
        <v>1427</v>
      </c>
      <c r="B1428" s="2" t="s">
        <v>20</v>
      </c>
      <c r="C1428" s="2" t="s">
        <v>15</v>
      </c>
      <c r="D1428">
        <v>56</v>
      </c>
      <c r="E1428" s="2" t="s">
        <v>29</v>
      </c>
      <c r="F1428" s="2" t="s">
        <v>21</v>
      </c>
      <c r="G1428">
        <v>81789</v>
      </c>
      <c r="H1428" s="1">
        <v>45280</v>
      </c>
      <c r="I1428">
        <v>6</v>
      </c>
      <c r="J1428">
        <v>5</v>
      </c>
      <c r="K1428">
        <v>8179</v>
      </c>
      <c r="L1428">
        <v>4089</v>
      </c>
      <c r="M1428">
        <v>85879</v>
      </c>
      <c r="N1428">
        <v>4089</v>
      </c>
      <c r="O1428">
        <v>94057</v>
      </c>
    </row>
    <row r="1429" spans="1:15" x14ac:dyDescent="0.35">
      <c r="A1429">
        <v>1428</v>
      </c>
      <c r="B1429" s="2" t="s">
        <v>30</v>
      </c>
      <c r="C1429" s="2" t="s">
        <v>11</v>
      </c>
      <c r="D1429">
        <v>34</v>
      </c>
      <c r="E1429" s="2" t="s">
        <v>16</v>
      </c>
      <c r="F1429" s="2" t="s">
        <v>21</v>
      </c>
      <c r="G1429">
        <v>67795</v>
      </c>
      <c r="H1429" s="1">
        <v>44700</v>
      </c>
      <c r="I1429">
        <v>2</v>
      </c>
      <c r="J1429">
        <v>5</v>
      </c>
      <c r="K1429">
        <v>6780</v>
      </c>
      <c r="L1429">
        <v>3390</v>
      </c>
      <c r="M1429">
        <v>71185</v>
      </c>
      <c r="N1429">
        <v>0</v>
      </c>
      <c r="O1429">
        <v>74575</v>
      </c>
    </row>
    <row r="1430" spans="1:15" x14ac:dyDescent="0.35">
      <c r="A1430">
        <v>1429</v>
      </c>
      <c r="B1430" s="2" t="s">
        <v>20</v>
      </c>
      <c r="C1430" s="2" t="s">
        <v>15</v>
      </c>
      <c r="D1430">
        <v>24</v>
      </c>
      <c r="E1430" s="2" t="s">
        <v>12</v>
      </c>
      <c r="F1430" s="2" t="s">
        <v>13</v>
      </c>
      <c r="G1430">
        <v>21448</v>
      </c>
      <c r="H1430" s="1">
        <v>45367</v>
      </c>
      <c r="I1430">
        <v>12</v>
      </c>
      <c r="J1430">
        <v>4</v>
      </c>
      <c r="K1430">
        <v>2145</v>
      </c>
      <c r="L1430">
        <v>1072</v>
      </c>
      <c r="M1430">
        <v>22521</v>
      </c>
      <c r="N1430">
        <v>1072</v>
      </c>
      <c r="O1430">
        <v>24665</v>
      </c>
    </row>
    <row r="1431" spans="1:15" x14ac:dyDescent="0.35">
      <c r="A1431">
        <v>1430</v>
      </c>
      <c r="B1431" s="2" t="s">
        <v>27</v>
      </c>
      <c r="C1431" s="2" t="s">
        <v>11</v>
      </c>
      <c r="D1431">
        <v>43</v>
      </c>
      <c r="E1431" s="2" t="s">
        <v>29</v>
      </c>
      <c r="F1431" s="2" t="s">
        <v>13</v>
      </c>
      <c r="G1431">
        <v>36138</v>
      </c>
      <c r="H1431" s="1">
        <v>45385</v>
      </c>
      <c r="I1431">
        <v>12</v>
      </c>
      <c r="J1431">
        <v>5</v>
      </c>
      <c r="K1431">
        <v>3614</v>
      </c>
      <c r="L1431">
        <v>1807</v>
      </c>
      <c r="M1431">
        <v>37945</v>
      </c>
      <c r="N1431">
        <v>1807</v>
      </c>
      <c r="O1431">
        <v>41559</v>
      </c>
    </row>
    <row r="1432" spans="1:15" x14ac:dyDescent="0.35">
      <c r="A1432">
        <v>1431</v>
      </c>
      <c r="B1432" s="2" t="s">
        <v>31</v>
      </c>
      <c r="C1432" s="2" t="s">
        <v>11</v>
      </c>
      <c r="D1432">
        <v>45</v>
      </c>
      <c r="E1432" s="2" t="s">
        <v>29</v>
      </c>
      <c r="F1432" s="2" t="s">
        <v>13</v>
      </c>
      <c r="G1432">
        <v>76985</v>
      </c>
      <c r="H1432" s="1">
        <v>45239</v>
      </c>
      <c r="I1432">
        <v>13</v>
      </c>
      <c r="J1432">
        <v>1</v>
      </c>
      <c r="K1432">
        <v>7698</v>
      </c>
      <c r="L1432">
        <v>3849</v>
      </c>
      <c r="M1432">
        <v>80834</v>
      </c>
      <c r="N1432">
        <v>3849</v>
      </c>
      <c r="O1432">
        <v>88532</v>
      </c>
    </row>
    <row r="1433" spans="1:15" x14ac:dyDescent="0.35">
      <c r="A1433">
        <v>1432</v>
      </c>
      <c r="B1433" s="2" t="s">
        <v>23</v>
      </c>
      <c r="C1433" s="2" t="s">
        <v>11</v>
      </c>
      <c r="D1433">
        <v>44</v>
      </c>
      <c r="E1433" s="2" t="s">
        <v>29</v>
      </c>
      <c r="F1433" s="2" t="s">
        <v>13</v>
      </c>
      <c r="G1433">
        <v>74560</v>
      </c>
      <c r="H1433" s="1">
        <v>44747</v>
      </c>
      <c r="I1433">
        <v>2</v>
      </c>
      <c r="J1433">
        <v>5</v>
      </c>
      <c r="K1433">
        <v>7456</v>
      </c>
      <c r="L1433">
        <v>3728</v>
      </c>
      <c r="M1433">
        <v>78288</v>
      </c>
      <c r="N1433">
        <v>0</v>
      </c>
      <c r="O1433">
        <v>82016</v>
      </c>
    </row>
    <row r="1434" spans="1:15" x14ac:dyDescent="0.35">
      <c r="A1434">
        <v>1433</v>
      </c>
      <c r="B1434" s="2" t="s">
        <v>18</v>
      </c>
      <c r="C1434" s="2" t="s">
        <v>11</v>
      </c>
      <c r="D1434">
        <v>33</v>
      </c>
      <c r="E1434" s="2" t="s">
        <v>28</v>
      </c>
      <c r="F1434" s="2" t="s">
        <v>13</v>
      </c>
      <c r="G1434">
        <v>30579</v>
      </c>
      <c r="H1434" s="1">
        <v>45095</v>
      </c>
      <c r="I1434">
        <v>17</v>
      </c>
      <c r="J1434">
        <v>5</v>
      </c>
      <c r="K1434">
        <v>3058</v>
      </c>
      <c r="L1434">
        <v>1529</v>
      </c>
      <c r="M1434">
        <v>32108</v>
      </c>
      <c r="N1434">
        <v>1529</v>
      </c>
      <c r="O1434">
        <v>35166</v>
      </c>
    </row>
    <row r="1435" spans="1:15" x14ac:dyDescent="0.35">
      <c r="A1435">
        <v>1434</v>
      </c>
      <c r="B1435" s="2" t="s">
        <v>10</v>
      </c>
      <c r="C1435" s="2" t="s">
        <v>15</v>
      </c>
      <c r="D1435">
        <v>43</v>
      </c>
      <c r="E1435" s="2" t="s">
        <v>28</v>
      </c>
      <c r="F1435" s="2" t="s">
        <v>25</v>
      </c>
      <c r="G1435">
        <v>86676</v>
      </c>
      <c r="H1435" s="1">
        <v>45515</v>
      </c>
      <c r="I1435">
        <v>18</v>
      </c>
      <c r="J1435">
        <v>3</v>
      </c>
      <c r="K1435">
        <v>8668</v>
      </c>
      <c r="L1435">
        <v>4334</v>
      </c>
      <c r="M1435">
        <v>91010</v>
      </c>
      <c r="N1435">
        <v>4334</v>
      </c>
      <c r="O1435">
        <v>99678</v>
      </c>
    </row>
    <row r="1436" spans="1:15" x14ac:dyDescent="0.35">
      <c r="A1436">
        <v>1435</v>
      </c>
      <c r="B1436" s="2" t="s">
        <v>26</v>
      </c>
      <c r="C1436" s="2" t="s">
        <v>15</v>
      </c>
      <c r="D1436">
        <v>31</v>
      </c>
      <c r="E1436" s="2" t="s">
        <v>28</v>
      </c>
      <c r="F1436" s="2" t="s">
        <v>19</v>
      </c>
      <c r="G1436">
        <v>63700</v>
      </c>
      <c r="H1436" s="1">
        <v>45552</v>
      </c>
      <c r="I1436">
        <v>12</v>
      </c>
      <c r="J1436">
        <v>4</v>
      </c>
      <c r="K1436">
        <v>6370</v>
      </c>
      <c r="L1436">
        <v>3185</v>
      </c>
      <c r="M1436">
        <v>66885</v>
      </c>
      <c r="N1436">
        <v>3185</v>
      </c>
      <c r="O1436">
        <v>73255</v>
      </c>
    </row>
    <row r="1437" spans="1:15" x14ac:dyDescent="0.35">
      <c r="A1437">
        <v>1436</v>
      </c>
      <c r="B1437" s="2" t="s">
        <v>10</v>
      </c>
      <c r="C1437" s="2" t="s">
        <v>15</v>
      </c>
      <c r="D1437">
        <v>31</v>
      </c>
      <c r="E1437" s="2" t="s">
        <v>28</v>
      </c>
      <c r="F1437" s="2" t="s">
        <v>13</v>
      </c>
      <c r="G1437">
        <v>44635</v>
      </c>
      <c r="H1437" s="1">
        <v>45468</v>
      </c>
      <c r="I1437">
        <v>3</v>
      </c>
      <c r="J1437">
        <v>4</v>
      </c>
      <c r="K1437">
        <v>4464</v>
      </c>
      <c r="L1437">
        <v>2232</v>
      </c>
      <c r="M1437">
        <v>46867</v>
      </c>
      <c r="N1437">
        <v>0</v>
      </c>
      <c r="O1437">
        <v>49099</v>
      </c>
    </row>
    <row r="1438" spans="1:15" x14ac:dyDescent="0.35">
      <c r="A1438">
        <v>1437</v>
      </c>
      <c r="B1438" s="2" t="s">
        <v>22</v>
      </c>
      <c r="C1438" s="2" t="s">
        <v>11</v>
      </c>
      <c r="D1438">
        <v>25</v>
      </c>
      <c r="E1438" s="2" t="s">
        <v>12</v>
      </c>
      <c r="F1438" s="2" t="s">
        <v>17</v>
      </c>
      <c r="G1438">
        <v>70696</v>
      </c>
      <c r="H1438" s="1">
        <v>45511</v>
      </c>
      <c r="I1438">
        <v>18</v>
      </c>
      <c r="J1438">
        <v>3</v>
      </c>
      <c r="K1438">
        <v>7070</v>
      </c>
      <c r="L1438">
        <v>3535</v>
      </c>
      <c r="M1438">
        <v>74231</v>
      </c>
      <c r="N1438">
        <v>3535</v>
      </c>
      <c r="O1438">
        <v>81301</v>
      </c>
    </row>
    <row r="1439" spans="1:15" x14ac:dyDescent="0.35">
      <c r="A1439">
        <v>1438</v>
      </c>
      <c r="B1439" s="2" t="s">
        <v>23</v>
      </c>
      <c r="C1439" s="2" t="s">
        <v>11</v>
      </c>
      <c r="D1439">
        <v>34</v>
      </c>
      <c r="E1439" s="2" t="s">
        <v>24</v>
      </c>
      <c r="F1439" s="2" t="s">
        <v>21</v>
      </c>
      <c r="G1439">
        <v>80190</v>
      </c>
      <c r="H1439" s="1">
        <v>45409</v>
      </c>
      <c r="I1439">
        <v>8</v>
      </c>
      <c r="J1439">
        <v>1</v>
      </c>
      <c r="K1439">
        <v>8019</v>
      </c>
      <c r="L1439">
        <v>4010</v>
      </c>
      <c r="M1439">
        <v>84199</v>
      </c>
      <c r="N1439">
        <v>4010</v>
      </c>
      <c r="O1439">
        <v>92219</v>
      </c>
    </row>
    <row r="1440" spans="1:15" x14ac:dyDescent="0.35">
      <c r="A1440">
        <v>1439</v>
      </c>
      <c r="B1440" s="2" t="s">
        <v>10</v>
      </c>
      <c r="C1440" s="2" t="s">
        <v>11</v>
      </c>
      <c r="D1440">
        <v>53</v>
      </c>
      <c r="E1440" s="2" t="s">
        <v>16</v>
      </c>
      <c r="F1440" s="2" t="s">
        <v>25</v>
      </c>
      <c r="G1440">
        <v>51281</v>
      </c>
      <c r="H1440" s="1">
        <v>44699</v>
      </c>
      <c r="I1440">
        <v>17</v>
      </c>
      <c r="J1440">
        <v>5</v>
      </c>
      <c r="K1440">
        <v>5128</v>
      </c>
      <c r="L1440">
        <v>2564</v>
      </c>
      <c r="M1440">
        <v>53845</v>
      </c>
      <c r="N1440">
        <v>2564</v>
      </c>
      <c r="O1440">
        <v>58973</v>
      </c>
    </row>
    <row r="1441" spans="1:15" x14ac:dyDescent="0.35">
      <c r="A1441">
        <v>1440</v>
      </c>
      <c r="B1441" s="2" t="s">
        <v>20</v>
      </c>
      <c r="C1441" s="2" t="s">
        <v>11</v>
      </c>
      <c r="D1441">
        <v>38</v>
      </c>
      <c r="E1441" s="2" t="s">
        <v>28</v>
      </c>
      <c r="F1441" s="2" t="s">
        <v>19</v>
      </c>
      <c r="G1441">
        <v>33201</v>
      </c>
      <c r="H1441" s="1">
        <v>44996</v>
      </c>
      <c r="I1441">
        <v>14</v>
      </c>
      <c r="J1441">
        <v>5</v>
      </c>
      <c r="K1441">
        <v>3320</v>
      </c>
      <c r="L1441">
        <v>1660</v>
      </c>
      <c r="M1441">
        <v>34861</v>
      </c>
      <c r="N1441">
        <v>1660</v>
      </c>
      <c r="O1441">
        <v>38181</v>
      </c>
    </row>
    <row r="1442" spans="1:15" x14ac:dyDescent="0.35">
      <c r="A1442">
        <v>1441</v>
      </c>
      <c r="B1442" s="2" t="s">
        <v>26</v>
      </c>
      <c r="C1442" s="2" t="s">
        <v>15</v>
      </c>
      <c r="D1442">
        <v>33</v>
      </c>
      <c r="E1442" s="2" t="s">
        <v>28</v>
      </c>
      <c r="F1442" s="2" t="s">
        <v>25</v>
      </c>
      <c r="G1442">
        <v>38109</v>
      </c>
      <c r="H1442" s="1">
        <v>45492</v>
      </c>
      <c r="I1442">
        <v>12</v>
      </c>
      <c r="J1442">
        <v>2</v>
      </c>
      <c r="K1442">
        <v>3811</v>
      </c>
      <c r="L1442">
        <v>1905</v>
      </c>
      <c r="M1442">
        <v>40015</v>
      </c>
      <c r="N1442">
        <v>1905</v>
      </c>
      <c r="O1442">
        <v>43825</v>
      </c>
    </row>
    <row r="1443" spans="1:15" x14ac:dyDescent="0.35">
      <c r="A1443">
        <v>1442</v>
      </c>
      <c r="B1443" s="2" t="s">
        <v>18</v>
      </c>
      <c r="C1443" s="2" t="s">
        <v>11</v>
      </c>
      <c r="D1443">
        <v>37</v>
      </c>
      <c r="E1443" s="2" t="s">
        <v>28</v>
      </c>
      <c r="F1443" s="2" t="s">
        <v>25</v>
      </c>
      <c r="G1443">
        <v>49722</v>
      </c>
      <c r="H1443" s="1">
        <v>45484</v>
      </c>
      <c r="I1443">
        <v>7</v>
      </c>
      <c r="J1443">
        <v>4</v>
      </c>
      <c r="K1443">
        <v>4972</v>
      </c>
      <c r="L1443">
        <v>2486</v>
      </c>
      <c r="M1443">
        <v>52208</v>
      </c>
      <c r="N1443">
        <v>2486</v>
      </c>
      <c r="O1443">
        <v>57180</v>
      </c>
    </row>
    <row r="1444" spans="1:15" x14ac:dyDescent="0.35">
      <c r="A1444">
        <v>1443</v>
      </c>
      <c r="B1444" s="2" t="s">
        <v>22</v>
      </c>
      <c r="C1444" s="2" t="s">
        <v>11</v>
      </c>
      <c r="D1444">
        <v>52</v>
      </c>
      <c r="E1444" s="2" t="s">
        <v>12</v>
      </c>
      <c r="F1444" s="2" t="s">
        <v>21</v>
      </c>
      <c r="G1444">
        <v>78536</v>
      </c>
      <c r="H1444" s="1">
        <v>45115</v>
      </c>
      <c r="I1444">
        <v>14</v>
      </c>
      <c r="J1444">
        <v>4</v>
      </c>
      <c r="K1444">
        <v>7854</v>
      </c>
      <c r="L1444">
        <v>3927</v>
      </c>
      <c r="M1444">
        <v>82463</v>
      </c>
      <c r="N1444">
        <v>3927</v>
      </c>
      <c r="O1444">
        <v>90317</v>
      </c>
    </row>
    <row r="1445" spans="1:15" x14ac:dyDescent="0.35">
      <c r="A1445">
        <v>1444</v>
      </c>
      <c r="B1445" s="2" t="s">
        <v>10</v>
      </c>
      <c r="C1445" s="2" t="s">
        <v>11</v>
      </c>
      <c r="D1445">
        <v>60</v>
      </c>
      <c r="E1445" s="2" t="s">
        <v>12</v>
      </c>
      <c r="F1445" s="2" t="s">
        <v>13</v>
      </c>
      <c r="G1445">
        <v>35375</v>
      </c>
      <c r="H1445" s="1">
        <v>44946</v>
      </c>
      <c r="I1445">
        <v>8</v>
      </c>
      <c r="J1445">
        <v>1</v>
      </c>
      <c r="K1445">
        <v>3538</v>
      </c>
      <c r="L1445">
        <v>1769</v>
      </c>
      <c r="M1445">
        <v>37144</v>
      </c>
      <c r="N1445">
        <v>1769</v>
      </c>
      <c r="O1445">
        <v>40682</v>
      </c>
    </row>
    <row r="1446" spans="1:15" x14ac:dyDescent="0.35">
      <c r="A1446">
        <v>1445</v>
      </c>
      <c r="B1446" s="2" t="s">
        <v>22</v>
      </c>
      <c r="C1446" s="2" t="s">
        <v>11</v>
      </c>
      <c r="D1446">
        <v>24</v>
      </c>
      <c r="E1446" s="2" t="s">
        <v>12</v>
      </c>
      <c r="F1446" s="2" t="s">
        <v>25</v>
      </c>
      <c r="G1446">
        <v>66732</v>
      </c>
      <c r="H1446" s="1">
        <v>44959</v>
      </c>
      <c r="I1446">
        <v>18</v>
      </c>
      <c r="J1446">
        <v>4</v>
      </c>
      <c r="K1446">
        <v>6673</v>
      </c>
      <c r="L1446">
        <v>3337</v>
      </c>
      <c r="M1446">
        <v>70068</v>
      </c>
      <c r="N1446">
        <v>3337</v>
      </c>
      <c r="O1446">
        <v>76742</v>
      </c>
    </row>
    <row r="1447" spans="1:15" x14ac:dyDescent="0.35">
      <c r="A1447">
        <v>1446</v>
      </c>
      <c r="B1447" s="2" t="s">
        <v>31</v>
      </c>
      <c r="C1447" s="2" t="s">
        <v>15</v>
      </c>
      <c r="D1447">
        <v>53</v>
      </c>
      <c r="E1447" s="2" t="s">
        <v>24</v>
      </c>
      <c r="F1447" s="2" t="s">
        <v>19</v>
      </c>
      <c r="G1447">
        <v>40201</v>
      </c>
      <c r="H1447" s="1">
        <v>45043</v>
      </c>
      <c r="I1447">
        <v>17</v>
      </c>
      <c r="J1447">
        <v>3</v>
      </c>
      <c r="K1447">
        <v>4020</v>
      </c>
      <c r="L1447">
        <v>2010</v>
      </c>
      <c r="M1447">
        <v>42211</v>
      </c>
      <c r="N1447">
        <v>2010</v>
      </c>
      <c r="O1447">
        <v>46231</v>
      </c>
    </row>
    <row r="1448" spans="1:15" x14ac:dyDescent="0.35">
      <c r="A1448">
        <v>1447</v>
      </c>
      <c r="B1448" s="2" t="s">
        <v>14</v>
      </c>
      <c r="C1448" s="2" t="s">
        <v>11</v>
      </c>
      <c r="D1448">
        <v>37</v>
      </c>
      <c r="E1448" s="2" t="s">
        <v>28</v>
      </c>
      <c r="F1448" s="2" t="s">
        <v>21</v>
      </c>
      <c r="G1448">
        <v>30789</v>
      </c>
      <c r="H1448" s="1">
        <v>45287</v>
      </c>
      <c r="I1448">
        <v>18</v>
      </c>
      <c r="J1448">
        <v>5</v>
      </c>
      <c r="K1448">
        <v>3079</v>
      </c>
      <c r="L1448">
        <v>1539</v>
      </c>
      <c r="M1448">
        <v>32329</v>
      </c>
      <c r="N1448">
        <v>1539</v>
      </c>
      <c r="O1448">
        <v>35407</v>
      </c>
    </row>
    <row r="1449" spans="1:15" x14ac:dyDescent="0.35">
      <c r="A1449">
        <v>1448</v>
      </c>
      <c r="B1449" s="2" t="s">
        <v>26</v>
      </c>
      <c r="C1449" s="2" t="s">
        <v>11</v>
      </c>
      <c r="D1449">
        <v>32</v>
      </c>
      <c r="E1449" s="2" t="s">
        <v>12</v>
      </c>
      <c r="F1449" s="2" t="s">
        <v>13</v>
      </c>
      <c r="G1449">
        <v>24169</v>
      </c>
      <c r="H1449" s="1">
        <v>45432</v>
      </c>
      <c r="I1449">
        <v>6</v>
      </c>
      <c r="J1449">
        <v>3</v>
      </c>
      <c r="K1449">
        <v>2417</v>
      </c>
      <c r="L1449">
        <v>1208</v>
      </c>
      <c r="M1449">
        <v>25378</v>
      </c>
      <c r="N1449">
        <v>1208</v>
      </c>
      <c r="O1449">
        <v>27794</v>
      </c>
    </row>
    <row r="1450" spans="1:15" x14ac:dyDescent="0.35">
      <c r="A1450">
        <v>1449</v>
      </c>
      <c r="B1450" s="2" t="s">
        <v>23</v>
      </c>
      <c r="C1450" s="2" t="s">
        <v>11</v>
      </c>
      <c r="D1450">
        <v>36</v>
      </c>
      <c r="E1450" s="2" t="s">
        <v>24</v>
      </c>
      <c r="F1450" s="2" t="s">
        <v>25</v>
      </c>
      <c r="G1450">
        <v>80839</v>
      </c>
      <c r="H1450" s="1">
        <v>45164</v>
      </c>
      <c r="I1450">
        <v>5</v>
      </c>
      <c r="J1450">
        <v>5</v>
      </c>
      <c r="K1450">
        <v>8084</v>
      </c>
      <c r="L1450">
        <v>4042</v>
      </c>
      <c r="M1450">
        <v>84881</v>
      </c>
      <c r="N1450">
        <v>0</v>
      </c>
      <c r="O1450">
        <v>88923</v>
      </c>
    </row>
    <row r="1451" spans="1:15" x14ac:dyDescent="0.35">
      <c r="A1451">
        <v>1450</v>
      </c>
      <c r="B1451" s="2" t="s">
        <v>27</v>
      </c>
      <c r="C1451" s="2" t="s">
        <v>15</v>
      </c>
      <c r="D1451">
        <v>43</v>
      </c>
      <c r="E1451" s="2" t="s">
        <v>28</v>
      </c>
      <c r="F1451" s="2" t="s">
        <v>25</v>
      </c>
      <c r="G1451">
        <v>21847</v>
      </c>
      <c r="H1451" s="1">
        <v>45388</v>
      </c>
      <c r="I1451">
        <v>16</v>
      </c>
      <c r="J1451">
        <v>5</v>
      </c>
      <c r="K1451">
        <v>2185</v>
      </c>
      <c r="L1451">
        <v>1092</v>
      </c>
      <c r="M1451">
        <v>22940</v>
      </c>
      <c r="N1451">
        <v>1092</v>
      </c>
      <c r="O1451">
        <v>25124</v>
      </c>
    </row>
    <row r="1452" spans="1:15" x14ac:dyDescent="0.35">
      <c r="A1452">
        <v>1451</v>
      </c>
      <c r="B1452" s="2" t="s">
        <v>14</v>
      </c>
      <c r="C1452" s="2" t="s">
        <v>11</v>
      </c>
      <c r="D1452">
        <v>32</v>
      </c>
      <c r="E1452" s="2" t="s">
        <v>24</v>
      </c>
      <c r="F1452" s="2" t="s">
        <v>19</v>
      </c>
      <c r="G1452">
        <v>33164</v>
      </c>
      <c r="H1452" s="1">
        <v>45422</v>
      </c>
      <c r="I1452">
        <v>15</v>
      </c>
      <c r="J1452">
        <v>1</v>
      </c>
      <c r="K1452">
        <v>3316</v>
      </c>
      <c r="L1452">
        <v>1658</v>
      </c>
      <c r="M1452">
        <v>34822</v>
      </c>
      <c r="N1452">
        <v>1658</v>
      </c>
      <c r="O1452">
        <v>38138</v>
      </c>
    </row>
    <row r="1453" spans="1:15" x14ac:dyDescent="0.35">
      <c r="A1453">
        <v>1452</v>
      </c>
      <c r="B1453" s="2" t="s">
        <v>26</v>
      </c>
      <c r="C1453" s="2" t="s">
        <v>15</v>
      </c>
      <c r="D1453">
        <v>31</v>
      </c>
      <c r="E1453" s="2" t="s">
        <v>29</v>
      </c>
      <c r="F1453" s="2" t="s">
        <v>21</v>
      </c>
      <c r="G1453">
        <v>71462</v>
      </c>
      <c r="H1453" s="1">
        <v>45061</v>
      </c>
      <c r="I1453">
        <v>8</v>
      </c>
      <c r="J1453">
        <v>4</v>
      </c>
      <c r="K1453">
        <v>7146</v>
      </c>
      <c r="L1453">
        <v>3573</v>
      </c>
      <c r="M1453">
        <v>75035</v>
      </c>
      <c r="N1453">
        <v>3573</v>
      </c>
      <c r="O1453">
        <v>82181</v>
      </c>
    </row>
    <row r="1454" spans="1:15" x14ac:dyDescent="0.35">
      <c r="A1454">
        <v>1453</v>
      </c>
      <c r="B1454" s="2" t="s">
        <v>10</v>
      </c>
      <c r="C1454" s="2" t="s">
        <v>11</v>
      </c>
      <c r="D1454">
        <v>21</v>
      </c>
      <c r="E1454" s="2" t="s">
        <v>24</v>
      </c>
      <c r="F1454" s="2" t="s">
        <v>13</v>
      </c>
      <c r="G1454">
        <v>90255</v>
      </c>
      <c r="H1454" s="1">
        <v>45177</v>
      </c>
      <c r="I1454">
        <v>15</v>
      </c>
      <c r="J1454">
        <v>3</v>
      </c>
      <c r="K1454">
        <v>9026</v>
      </c>
      <c r="L1454">
        <v>4513</v>
      </c>
      <c r="M1454">
        <v>94768</v>
      </c>
      <c r="N1454">
        <v>4513</v>
      </c>
      <c r="O1454">
        <v>103794</v>
      </c>
    </row>
    <row r="1455" spans="1:15" x14ac:dyDescent="0.35">
      <c r="A1455">
        <v>1454</v>
      </c>
      <c r="B1455" s="2" t="s">
        <v>31</v>
      </c>
      <c r="C1455" s="2" t="s">
        <v>11</v>
      </c>
      <c r="D1455">
        <v>51</v>
      </c>
      <c r="E1455" s="2" t="s">
        <v>16</v>
      </c>
      <c r="F1455" s="2" t="s">
        <v>19</v>
      </c>
      <c r="G1455">
        <v>29766</v>
      </c>
      <c r="H1455" s="1">
        <v>44760</v>
      </c>
      <c r="I1455">
        <v>20</v>
      </c>
      <c r="J1455">
        <v>1</v>
      </c>
      <c r="K1455">
        <v>2977</v>
      </c>
      <c r="L1455">
        <v>1488</v>
      </c>
      <c r="M1455">
        <v>31255</v>
      </c>
      <c r="N1455">
        <v>1488</v>
      </c>
      <c r="O1455">
        <v>34231</v>
      </c>
    </row>
    <row r="1456" spans="1:15" x14ac:dyDescent="0.35">
      <c r="A1456">
        <v>1455</v>
      </c>
      <c r="B1456" s="2" t="s">
        <v>27</v>
      </c>
      <c r="C1456" s="2" t="s">
        <v>15</v>
      </c>
      <c r="D1456">
        <v>60</v>
      </c>
      <c r="E1456" s="2" t="s">
        <v>29</v>
      </c>
      <c r="F1456" s="2" t="s">
        <v>19</v>
      </c>
      <c r="G1456">
        <v>52994</v>
      </c>
      <c r="H1456" s="1">
        <v>44710</v>
      </c>
      <c r="I1456">
        <v>1</v>
      </c>
      <c r="J1456">
        <v>5</v>
      </c>
      <c r="K1456">
        <v>5299</v>
      </c>
      <c r="L1456">
        <v>2650</v>
      </c>
      <c r="M1456">
        <v>55643</v>
      </c>
      <c r="N1456">
        <v>0</v>
      </c>
      <c r="O1456">
        <v>58293</v>
      </c>
    </row>
    <row r="1457" spans="1:15" x14ac:dyDescent="0.35">
      <c r="A1457">
        <v>1456</v>
      </c>
      <c r="B1457" s="2" t="s">
        <v>23</v>
      </c>
      <c r="C1457" s="2" t="s">
        <v>11</v>
      </c>
      <c r="D1457">
        <v>48</v>
      </c>
      <c r="E1457" s="2" t="s">
        <v>29</v>
      </c>
      <c r="F1457" s="2" t="s">
        <v>25</v>
      </c>
      <c r="G1457">
        <v>27675</v>
      </c>
      <c r="H1457" s="1">
        <v>44783</v>
      </c>
      <c r="I1457">
        <v>16</v>
      </c>
      <c r="J1457">
        <v>3</v>
      </c>
      <c r="K1457">
        <v>2768</v>
      </c>
      <c r="L1457">
        <v>1384</v>
      </c>
      <c r="M1457">
        <v>29059</v>
      </c>
      <c r="N1457">
        <v>1384</v>
      </c>
      <c r="O1457">
        <v>31827</v>
      </c>
    </row>
    <row r="1458" spans="1:15" x14ac:dyDescent="0.35">
      <c r="A1458">
        <v>1457</v>
      </c>
      <c r="B1458" s="2" t="s">
        <v>14</v>
      </c>
      <c r="C1458" s="2" t="s">
        <v>15</v>
      </c>
      <c r="D1458">
        <v>43</v>
      </c>
      <c r="E1458" s="2" t="s">
        <v>16</v>
      </c>
      <c r="F1458" s="2" t="s">
        <v>17</v>
      </c>
      <c r="G1458">
        <v>59137</v>
      </c>
      <c r="H1458" s="1">
        <v>45369</v>
      </c>
      <c r="I1458">
        <v>8</v>
      </c>
      <c r="J1458">
        <v>1</v>
      </c>
      <c r="K1458">
        <v>5914</v>
      </c>
      <c r="L1458">
        <v>2957</v>
      </c>
      <c r="M1458">
        <v>62094</v>
      </c>
      <c r="N1458">
        <v>2957</v>
      </c>
      <c r="O1458">
        <v>68008</v>
      </c>
    </row>
    <row r="1459" spans="1:15" x14ac:dyDescent="0.35">
      <c r="A1459">
        <v>1458</v>
      </c>
      <c r="B1459" s="2" t="s">
        <v>18</v>
      </c>
      <c r="C1459" s="2" t="s">
        <v>11</v>
      </c>
      <c r="D1459">
        <v>44</v>
      </c>
      <c r="E1459" s="2" t="s">
        <v>24</v>
      </c>
      <c r="F1459" s="2" t="s">
        <v>21</v>
      </c>
      <c r="G1459">
        <v>39033</v>
      </c>
      <c r="H1459" s="1">
        <v>44966</v>
      </c>
      <c r="I1459">
        <v>11</v>
      </c>
      <c r="J1459">
        <v>2</v>
      </c>
      <c r="K1459">
        <v>3903</v>
      </c>
      <c r="L1459">
        <v>1952</v>
      </c>
      <c r="M1459">
        <v>40984</v>
      </c>
      <c r="N1459">
        <v>1952</v>
      </c>
      <c r="O1459">
        <v>44888</v>
      </c>
    </row>
    <row r="1460" spans="1:15" x14ac:dyDescent="0.35">
      <c r="A1460">
        <v>1459</v>
      </c>
      <c r="B1460" s="2" t="s">
        <v>23</v>
      </c>
      <c r="C1460" s="2" t="s">
        <v>15</v>
      </c>
      <c r="D1460">
        <v>42</v>
      </c>
      <c r="E1460" s="2" t="s">
        <v>28</v>
      </c>
      <c r="F1460" s="2" t="s">
        <v>25</v>
      </c>
      <c r="G1460">
        <v>46112</v>
      </c>
      <c r="H1460" s="1">
        <v>45081</v>
      </c>
      <c r="I1460">
        <v>17</v>
      </c>
      <c r="J1460">
        <v>1</v>
      </c>
      <c r="K1460">
        <v>4611</v>
      </c>
      <c r="L1460">
        <v>2306</v>
      </c>
      <c r="M1460">
        <v>48417</v>
      </c>
      <c r="N1460">
        <v>2306</v>
      </c>
      <c r="O1460">
        <v>53029</v>
      </c>
    </row>
    <row r="1461" spans="1:15" x14ac:dyDescent="0.35">
      <c r="A1461">
        <v>1460</v>
      </c>
      <c r="B1461" s="2" t="s">
        <v>20</v>
      </c>
      <c r="C1461" s="2" t="s">
        <v>11</v>
      </c>
      <c r="D1461">
        <v>58</v>
      </c>
      <c r="E1461" s="2" t="s">
        <v>29</v>
      </c>
      <c r="F1461" s="2" t="s">
        <v>19</v>
      </c>
      <c r="G1461">
        <v>47759</v>
      </c>
      <c r="H1461" s="1">
        <v>44644</v>
      </c>
      <c r="I1461">
        <v>13</v>
      </c>
      <c r="J1461">
        <v>5</v>
      </c>
      <c r="K1461">
        <v>4776</v>
      </c>
      <c r="L1461">
        <v>2388</v>
      </c>
      <c r="M1461">
        <v>50147</v>
      </c>
      <c r="N1461">
        <v>2388</v>
      </c>
      <c r="O1461">
        <v>54923</v>
      </c>
    </row>
    <row r="1462" spans="1:15" x14ac:dyDescent="0.35">
      <c r="A1462">
        <v>1461</v>
      </c>
      <c r="B1462" s="2" t="s">
        <v>23</v>
      </c>
      <c r="C1462" s="2" t="s">
        <v>11</v>
      </c>
      <c r="D1462">
        <v>44</v>
      </c>
      <c r="E1462" s="2" t="s">
        <v>16</v>
      </c>
      <c r="F1462" s="2" t="s">
        <v>25</v>
      </c>
      <c r="G1462">
        <v>99741</v>
      </c>
      <c r="H1462" s="1">
        <v>44804</v>
      </c>
      <c r="I1462">
        <v>6</v>
      </c>
      <c r="J1462">
        <v>4</v>
      </c>
      <c r="K1462">
        <v>9974</v>
      </c>
      <c r="L1462">
        <v>4987</v>
      </c>
      <c r="M1462">
        <v>104728</v>
      </c>
      <c r="N1462">
        <v>4987</v>
      </c>
      <c r="O1462">
        <v>114702</v>
      </c>
    </row>
    <row r="1463" spans="1:15" x14ac:dyDescent="0.35">
      <c r="A1463">
        <v>1462</v>
      </c>
      <c r="B1463" s="2" t="s">
        <v>23</v>
      </c>
      <c r="C1463" s="2" t="s">
        <v>15</v>
      </c>
      <c r="D1463">
        <v>23</v>
      </c>
      <c r="E1463" s="2" t="s">
        <v>16</v>
      </c>
      <c r="F1463" s="2" t="s">
        <v>13</v>
      </c>
      <c r="G1463">
        <v>86925</v>
      </c>
      <c r="H1463" s="1">
        <v>44795</v>
      </c>
      <c r="I1463">
        <v>7</v>
      </c>
      <c r="J1463">
        <v>3</v>
      </c>
      <c r="K1463">
        <v>8692</v>
      </c>
      <c r="L1463">
        <v>4346</v>
      </c>
      <c r="M1463">
        <v>91271</v>
      </c>
      <c r="N1463">
        <v>4346</v>
      </c>
      <c r="O1463">
        <v>99963</v>
      </c>
    </row>
    <row r="1464" spans="1:15" x14ac:dyDescent="0.35">
      <c r="A1464">
        <v>1463</v>
      </c>
      <c r="B1464" s="2" t="s">
        <v>10</v>
      </c>
      <c r="C1464" s="2" t="s">
        <v>11</v>
      </c>
      <c r="D1464">
        <v>25</v>
      </c>
      <c r="E1464" s="2" t="s">
        <v>29</v>
      </c>
      <c r="F1464" s="2" t="s">
        <v>21</v>
      </c>
      <c r="G1464">
        <v>33912</v>
      </c>
      <c r="H1464" s="1">
        <v>44919</v>
      </c>
      <c r="I1464">
        <v>16</v>
      </c>
      <c r="J1464">
        <v>1</v>
      </c>
      <c r="K1464">
        <v>3391</v>
      </c>
      <c r="L1464">
        <v>1696</v>
      </c>
      <c r="M1464">
        <v>35607</v>
      </c>
      <c r="N1464">
        <v>1696</v>
      </c>
      <c r="O1464">
        <v>38999</v>
      </c>
    </row>
    <row r="1465" spans="1:15" x14ac:dyDescent="0.35">
      <c r="A1465">
        <v>1464</v>
      </c>
      <c r="B1465" s="2" t="s">
        <v>18</v>
      </c>
      <c r="C1465" s="2" t="s">
        <v>11</v>
      </c>
      <c r="D1465">
        <v>45</v>
      </c>
      <c r="E1465" s="2" t="s">
        <v>12</v>
      </c>
      <c r="F1465" s="2" t="s">
        <v>21</v>
      </c>
      <c r="G1465">
        <v>84093</v>
      </c>
      <c r="H1465" s="1">
        <v>44769</v>
      </c>
      <c r="I1465">
        <v>19</v>
      </c>
      <c r="J1465">
        <v>1</v>
      </c>
      <c r="K1465">
        <v>8409</v>
      </c>
      <c r="L1465">
        <v>4205</v>
      </c>
      <c r="M1465">
        <v>88297</v>
      </c>
      <c r="N1465">
        <v>4205</v>
      </c>
      <c r="O1465">
        <v>96707</v>
      </c>
    </row>
    <row r="1466" spans="1:15" x14ac:dyDescent="0.35">
      <c r="A1466">
        <v>1465</v>
      </c>
      <c r="B1466" s="2" t="s">
        <v>23</v>
      </c>
      <c r="C1466" s="2" t="s">
        <v>11</v>
      </c>
      <c r="D1466">
        <v>60</v>
      </c>
      <c r="E1466" s="2" t="s">
        <v>28</v>
      </c>
      <c r="F1466" s="2" t="s">
        <v>17</v>
      </c>
      <c r="G1466">
        <v>72442</v>
      </c>
      <c r="H1466" s="1">
        <v>44778</v>
      </c>
      <c r="I1466">
        <v>13</v>
      </c>
      <c r="J1466">
        <v>3</v>
      </c>
      <c r="K1466">
        <v>7244</v>
      </c>
      <c r="L1466">
        <v>3622</v>
      </c>
      <c r="M1466">
        <v>76064</v>
      </c>
      <c r="N1466">
        <v>3622</v>
      </c>
      <c r="O1466">
        <v>83308</v>
      </c>
    </row>
    <row r="1467" spans="1:15" x14ac:dyDescent="0.35">
      <c r="A1467">
        <v>1466</v>
      </c>
      <c r="B1467" s="2" t="s">
        <v>14</v>
      </c>
      <c r="C1467" s="2" t="s">
        <v>15</v>
      </c>
      <c r="D1467">
        <v>50</v>
      </c>
      <c r="E1467" s="2" t="s">
        <v>28</v>
      </c>
      <c r="F1467" s="2" t="s">
        <v>17</v>
      </c>
      <c r="G1467">
        <v>23162</v>
      </c>
      <c r="H1467" s="1">
        <v>44588</v>
      </c>
      <c r="I1467">
        <v>11</v>
      </c>
      <c r="J1467">
        <v>3</v>
      </c>
      <c r="K1467">
        <v>2316</v>
      </c>
      <c r="L1467">
        <v>1158</v>
      </c>
      <c r="M1467">
        <v>24320</v>
      </c>
      <c r="N1467">
        <v>1158</v>
      </c>
      <c r="O1467">
        <v>26636</v>
      </c>
    </row>
    <row r="1468" spans="1:15" x14ac:dyDescent="0.35">
      <c r="A1468">
        <v>1467</v>
      </c>
      <c r="B1468" s="2" t="s">
        <v>23</v>
      </c>
      <c r="C1468" s="2" t="s">
        <v>11</v>
      </c>
      <c r="D1468">
        <v>52</v>
      </c>
      <c r="E1468" s="2" t="s">
        <v>28</v>
      </c>
      <c r="F1468" s="2" t="s">
        <v>13</v>
      </c>
      <c r="G1468">
        <v>66783</v>
      </c>
      <c r="H1468" s="1">
        <v>45229</v>
      </c>
      <c r="I1468">
        <v>4</v>
      </c>
      <c r="J1468">
        <v>1</v>
      </c>
      <c r="K1468">
        <v>6678</v>
      </c>
      <c r="L1468">
        <v>3339</v>
      </c>
      <c r="M1468">
        <v>70122</v>
      </c>
      <c r="N1468">
        <v>0</v>
      </c>
      <c r="O1468">
        <v>73461</v>
      </c>
    </row>
    <row r="1469" spans="1:15" x14ac:dyDescent="0.35">
      <c r="A1469">
        <v>1468</v>
      </c>
      <c r="B1469" s="2" t="s">
        <v>30</v>
      </c>
      <c r="C1469" s="2" t="s">
        <v>11</v>
      </c>
      <c r="D1469">
        <v>26</v>
      </c>
      <c r="E1469" s="2" t="s">
        <v>29</v>
      </c>
      <c r="F1469" s="2" t="s">
        <v>21</v>
      </c>
      <c r="G1469">
        <v>25585</v>
      </c>
      <c r="H1469" s="1">
        <v>44870</v>
      </c>
      <c r="I1469">
        <v>11</v>
      </c>
      <c r="J1469">
        <v>2</v>
      </c>
      <c r="K1469">
        <v>2558</v>
      </c>
      <c r="L1469">
        <v>1279</v>
      </c>
      <c r="M1469">
        <v>26864</v>
      </c>
      <c r="N1469">
        <v>1279</v>
      </c>
      <c r="O1469">
        <v>29422</v>
      </c>
    </row>
    <row r="1470" spans="1:15" x14ac:dyDescent="0.35">
      <c r="A1470">
        <v>1469</v>
      </c>
      <c r="B1470" s="2" t="s">
        <v>22</v>
      </c>
      <c r="C1470" s="2" t="s">
        <v>15</v>
      </c>
      <c r="D1470">
        <v>44</v>
      </c>
      <c r="E1470" s="2" t="s">
        <v>28</v>
      </c>
      <c r="F1470" s="2" t="s">
        <v>25</v>
      </c>
      <c r="G1470">
        <v>95740</v>
      </c>
      <c r="H1470" s="1">
        <v>44931</v>
      </c>
      <c r="I1470">
        <v>13</v>
      </c>
      <c r="J1470">
        <v>3</v>
      </c>
      <c r="K1470">
        <v>9574</v>
      </c>
      <c r="L1470">
        <v>4787</v>
      </c>
      <c r="M1470">
        <v>100527</v>
      </c>
      <c r="N1470">
        <v>4787</v>
      </c>
      <c r="O1470">
        <v>110101</v>
      </c>
    </row>
    <row r="1471" spans="1:15" x14ac:dyDescent="0.35">
      <c r="A1471">
        <v>1470</v>
      </c>
      <c r="B1471" s="2" t="s">
        <v>31</v>
      </c>
      <c r="C1471" s="2" t="s">
        <v>15</v>
      </c>
      <c r="D1471">
        <v>25</v>
      </c>
      <c r="E1471" s="2" t="s">
        <v>16</v>
      </c>
      <c r="F1471" s="2" t="s">
        <v>13</v>
      </c>
      <c r="G1471">
        <v>93683</v>
      </c>
      <c r="H1471" s="1">
        <v>44763</v>
      </c>
      <c r="I1471">
        <v>9</v>
      </c>
      <c r="J1471">
        <v>2</v>
      </c>
      <c r="K1471">
        <v>9368</v>
      </c>
      <c r="L1471">
        <v>4684</v>
      </c>
      <c r="M1471">
        <v>98367</v>
      </c>
      <c r="N1471">
        <v>4684</v>
      </c>
      <c r="O1471">
        <v>107735</v>
      </c>
    </row>
    <row r="1472" spans="1:15" x14ac:dyDescent="0.35">
      <c r="A1472">
        <v>1471</v>
      </c>
      <c r="B1472" s="2" t="s">
        <v>14</v>
      </c>
      <c r="C1472" s="2" t="s">
        <v>11</v>
      </c>
      <c r="D1472">
        <v>34</v>
      </c>
      <c r="E1472" s="2" t="s">
        <v>24</v>
      </c>
      <c r="F1472" s="2" t="s">
        <v>25</v>
      </c>
      <c r="G1472">
        <v>22800</v>
      </c>
      <c r="H1472" s="1">
        <v>45387</v>
      </c>
      <c r="I1472">
        <v>9</v>
      </c>
      <c r="J1472">
        <v>2</v>
      </c>
      <c r="K1472">
        <v>2280</v>
      </c>
      <c r="L1472">
        <v>1140</v>
      </c>
      <c r="M1472">
        <v>23940</v>
      </c>
      <c r="N1472">
        <v>1140</v>
      </c>
      <c r="O1472">
        <v>26220</v>
      </c>
    </row>
    <row r="1473" spans="1:15" x14ac:dyDescent="0.35">
      <c r="A1473">
        <v>1472</v>
      </c>
      <c r="B1473" s="2" t="s">
        <v>18</v>
      </c>
      <c r="C1473" s="2" t="s">
        <v>15</v>
      </c>
      <c r="D1473">
        <v>33</v>
      </c>
      <c r="E1473" s="2" t="s">
        <v>24</v>
      </c>
      <c r="F1473" s="2" t="s">
        <v>13</v>
      </c>
      <c r="G1473">
        <v>70584</v>
      </c>
      <c r="H1473" s="1">
        <v>45318</v>
      </c>
      <c r="I1473">
        <v>10</v>
      </c>
      <c r="J1473">
        <v>5</v>
      </c>
      <c r="K1473">
        <v>7058</v>
      </c>
      <c r="L1473">
        <v>3529</v>
      </c>
      <c r="M1473">
        <v>74113</v>
      </c>
      <c r="N1473">
        <v>3529</v>
      </c>
      <c r="O1473">
        <v>81171</v>
      </c>
    </row>
    <row r="1474" spans="1:15" x14ac:dyDescent="0.35">
      <c r="A1474">
        <v>1473</v>
      </c>
      <c r="B1474" s="2" t="s">
        <v>26</v>
      </c>
      <c r="C1474" s="2" t="s">
        <v>11</v>
      </c>
      <c r="D1474">
        <v>30</v>
      </c>
      <c r="E1474" s="2" t="s">
        <v>16</v>
      </c>
      <c r="F1474" s="2" t="s">
        <v>13</v>
      </c>
      <c r="G1474">
        <v>50179</v>
      </c>
      <c r="H1474" s="1">
        <v>45237</v>
      </c>
      <c r="I1474">
        <v>18</v>
      </c>
      <c r="J1474">
        <v>2</v>
      </c>
      <c r="K1474">
        <v>5018</v>
      </c>
      <c r="L1474">
        <v>2509</v>
      </c>
      <c r="M1474">
        <v>52688</v>
      </c>
      <c r="N1474">
        <v>2509</v>
      </c>
      <c r="O1474">
        <v>57706</v>
      </c>
    </row>
    <row r="1475" spans="1:15" x14ac:dyDescent="0.35">
      <c r="A1475">
        <v>1474</v>
      </c>
      <c r="B1475" s="2" t="s">
        <v>22</v>
      </c>
      <c r="C1475" s="2" t="s">
        <v>15</v>
      </c>
      <c r="D1475">
        <v>50</v>
      </c>
      <c r="E1475" s="2" t="s">
        <v>29</v>
      </c>
      <c r="F1475" s="2" t="s">
        <v>13</v>
      </c>
      <c r="G1475">
        <v>62838</v>
      </c>
      <c r="H1475" s="1">
        <v>45437</v>
      </c>
      <c r="I1475">
        <v>15</v>
      </c>
      <c r="J1475">
        <v>1</v>
      </c>
      <c r="K1475">
        <v>6284</v>
      </c>
      <c r="L1475">
        <v>3142</v>
      </c>
      <c r="M1475">
        <v>65980</v>
      </c>
      <c r="N1475">
        <v>3142</v>
      </c>
      <c r="O1475">
        <v>72264</v>
      </c>
    </row>
    <row r="1476" spans="1:15" x14ac:dyDescent="0.35">
      <c r="A1476">
        <v>1475</v>
      </c>
      <c r="B1476" s="2" t="s">
        <v>27</v>
      </c>
      <c r="C1476" s="2" t="s">
        <v>15</v>
      </c>
      <c r="D1476">
        <v>53</v>
      </c>
      <c r="E1476" s="2" t="s">
        <v>16</v>
      </c>
      <c r="F1476" s="2" t="s">
        <v>17</v>
      </c>
      <c r="G1476">
        <v>73563</v>
      </c>
      <c r="H1476" s="1">
        <v>45414</v>
      </c>
      <c r="I1476">
        <v>11</v>
      </c>
      <c r="J1476">
        <v>3</v>
      </c>
      <c r="K1476">
        <v>7356</v>
      </c>
      <c r="L1476">
        <v>3678</v>
      </c>
      <c r="M1476">
        <v>77241</v>
      </c>
      <c r="N1476">
        <v>3678</v>
      </c>
      <c r="O1476">
        <v>84597</v>
      </c>
    </row>
    <row r="1477" spans="1:15" x14ac:dyDescent="0.35">
      <c r="A1477">
        <v>1476</v>
      </c>
      <c r="B1477" s="2" t="s">
        <v>18</v>
      </c>
      <c r="C1477" s="2" t="s">
        <v>15</v>
      </c>
      <c r="D1477">
        <v>24</v>
      </c>
      <c r="E1477" s="2" t="s">
        <v>12</v>
      </c>
      <c r="F1477" s="2" t="s">
        <v>21</v>
      </c>
      <c r="G1477">
        <v>23341</v>
      </c>
      <c r="H1477" s="1">
        <v>44711</v>
      </c>
      <c r="I1477">
        <v>8</v>
      </c>
      <c r="J1477">
        <v>5</v>
      </c>
      <c r="K1477">
        <v>2334</v>
      </c>
      <c r="L1477">
        <v>1167</v>
      </c>
      <c r="M1477">
        <v>24508</v>
      </c>
      <c r="N1477">
        <v>1167</v>
      </c>
      <c r="O1477">
        <v>26842</v>
      </c>
    </row>
    <row r="1478" spans="1:15" x14ac:dyDescent="0.35">
      <c r="A1478">
        <v>1477</v>
      </c>
      <c r="B1478" s="2" t="s">
        <v>30</v>
      </c>
      <c r="C1478" s="2" t="s">
        <v>11</v>
      </c>
      <c r="D1478">
        <v>26</v>
      </c>
      <c r="E1478" s="2" t="s">
        <v>29</v>
      </c>
      <c r="F1478" s="2" t="s">
        <v>25</v>
      </c>
      <c r="G1478">
        <v>79643</v>
      </c>
      <c r="H1478" s="1">
        <v>45086</v>
      </c>
      <c r="I1478">
        <v>13</v>
      </c>
      <c r="J1478">
        <v>1</v>
      </c>
      <c r="K1478">
        <v>7964</v>
      </c>
      <c r="L1478">
        <v>3982</v>
      </c>
      <c r="M1478">
        <v>83625</v>
      </c>
      <c r="N1478">
        <v>3982</v>
      </c>
      <c r="O1478">
        <v>91589</v>
      </c>
    </row>
    <row r="1479" spans="1:15" x14ac:dyDescent="0.35">
      <c r="A1479">
        <v>1478</v>
      </c>
      <c r="B1479" s="2" t="s">
        <v>26</v>
      </c>
      <c r="C1479" s="2" t="s">
        <v>11</v>
      </c>
      <c r="D1479">
        <v>47</v>
      </c>
      <c r="E1479" s="2" t="s">
        <v>12</v>
      </c>
      <c r="F1479" s="2" t="s">
        <v>13</v>
      </c>
      <c r="G1479">
        <v>46501</v>
      </c>
      <c r="H1479" s="1">
        <v>45138</v>
      </c>
      <c r="I1479">
        <v>10</v>
      </c>
      <c r="J1479">
        <v>2</v>
      </c>
      <c r="K1479">
        <v>4650</v>
      </c>
      <c r="L1479">
        <v>2325</v>
      </c>
      <c r="M1479">
        <v>48826</v>
      </c>
      <c r="N1479">
        <v>2325</v>
      </c>
      <c r="O1479">
        <v>53476</v>
      </c>
    </row>
    <row r="1480" spans="1:15" x14ac:dyDescent="0.35">
      <c r="A1480">
        <v>1479</v>
      </c>
      <c r="B1480" s="2" t="s">
        <v>14</v>
      </c>
      <c r="C1480" s="2" t="s">
        <v>11</v>
      </c>
      <c r="D1480">
        <v>53</v>
      </c>
      <c r="E1480" s="2" t="s">
        <v>16</v>
      </c>
      <c r="F1480" s="2" t="s">
        <v>17</v>
      </c>
      <c r="G1480">
        <v>87914</v>
      </c>
      <c r="H1480" s="1">
        <v>45296</v>
      </c>
      <c r="I1480">
        <v>14</v>
      </c>
      <c r="J1480">
        <v>3</v>
      </c>
      <c r="K1480">
        <v>8791</v>
      </c>
      <c r="L1480">
        <v>4396</v>
      </c>
      <c r="M1480">
        <v>92309</v>
      </c>
      <c r="N1480">
        <v>4396</v>
      </c>
      <c r="O1480">
        <v>101101</v>
      </c>
    </row>
    <row r="1481" spans="1:15" x14ac:dyDescent="0.35">
      <c r="A1481">
        <v>1480</v>
      </c>
      <c r="B1481" s="2" t="s">
        <v>26</v>
      </c>
      <c r="C1481" s="2" t="s">
        <v>15</v>
      </c>
      <c r="D1481">
        <v>40</v>
      </c>
      <c r="E1481" s="2" t="s">
        <v>12</v>
      </c>
      <c r="F1481" s="2" t="s">
        <v>25</v>
      </c>
      <c r="G1481">
        <v>92595</v>
      </c>
      <c r="H1481" s="1">
        <v>44630</v>
      </c>
      <c r="I1481">
        <v>6</v>
      </c>
      <c r="J1481">
        <v>1</v>
      </c>
      <c r="K1481">
        <v>9260</v>
      </c>
      <c r="L1481">
        <v>4630</v>
      </c>
      <c r="M1481">
        <v>97225</v>
      </c>
      <c r="N1481">
        <v>4630</v>
      </c>
      <c r="O1481">
        <v>106485</v>
      </c>
    </row>
    <row r="1482" spans="1:15" x14ac:dyDescent="0.35">
      <c r="A1482">
        <v>1481</v>
      </c>
      <c r="B1482" s="2" t="s">
        <v>27</v>
      </c>
      <c r="C1482" s="2" t="s">
        <v>11</v>
      </c>
      <c r="D1482">
        <v>27</v>
      </c>
      <c r="E1482" s="2" t="s">
        <v>12</v>
      </c>
      <c r="F1482" s="2" t="s">
        <v>17</v>
      </c>
      <c r="G1482">
        <v>95866</v>
      </c>
      <c r="H1482" s="1">
        <v>44885</v>
      </c>
      <c r="I1482">
        <v>20</v>
      </c>
      <c r="J1482">
        <v>4</v>
      </c>
      <c r="K1482">
        <v>9587</v>
      </c>
      <c r="L1482">
        <v>4793</v>
      </c>
      <c r="M1482">
        <v>100660</v>
      </c>
      <c r="N1482">
        <v>4793</v>
      </c>
      <c r="O1482">
        <v>110246</v>
      </c>
    </row>
    <row r="1483" spans="1:15" x14ac:dyDescent="0.35">
      <c r="A1483">
        <v>1482</v>
      </c>
      <c r="B1483" s="2" t="s">
        <v>26</v>
      </c>
      <c r="C1483" s="2" t="s">
        <v>11</v>
      </c>
      <c r="D1483">
        <v>51</v>
      </c>
      <c r="E1483" s="2" t="s">
        <v>24</v>
      </c>
      <c r="F1483" s="2" t="s">
        <v>19</v>
      </c>
      <c r="G1483">
        <v>20938</v>
      </c>
      <c r="H1483" s="1">
        <v>44968</v>
      </c>
      <c r="I1483">
        <v>5</v>
      </c>
      <c r="J1483">
        <v>3</v>
      </c>
      <c r="K1483">
        <v>2094</v>
      </c>
      <c r="L1483">
        <v>1047</v>
      </c>
      <c r="M1483">
        <v>21985</v>
      </c>
      <c r="N1483">
        <v>0</v>
      </c>
      <c r="O1483">
        <v>23032</v>
      </c>
    </row>
    <row r="1484" spans="1:15" x14ac:dyDescent="0.35">
      <c r="A1484">
        <v>1483</v>
      </c>
      <c r="B1484" s="2" t="s">
        <v>10</v>
      </c>
      <c r="C1484" s="2" t="s">
        <v>15</v>
      </c>
      <c r="D1484">
        <v>31</v>
      </c>
      <c r="E1484" s="2" t="s">
        <v>16</v>
      </c>
      <c r="F1484" s="2" t="s">
        <v>25</v>
      </c>
      <c r="G1484">
        <v>90041</v>
      </c>
      <c r="H1484" s="1">
        <v>45216</v>
      </c>
      <c r="I1484">
        <v>8</v>
      </c>
      <c r="J1484">
        <v>3</v>
      </c>
      <c r="K1484">
        <v>9004</v>
      </c>
      <c r="L1484">
        <v>4502</v>
      </c>
      <c r="M1484">
        <v>94543</v>
      </c>
      <c r="N1484">
        <v>4502</v>
      </c>
      <c r="O1484">
        <v>103547</v>
      </c>
    </row>
    <row r="1485" spans="1:15" x14ac:dyDescent="0.35">
      <c r="A1485">
        <v>1484</v>
      </c>
      <c r="B1485" s="2" t="s">
        <v>27</v>
      </c>
      <c r="C1485" s="2" t="s">
        <v>11</v>
      </c>
      <c r="D1485">
        <v>39</v>
      </c>
      <c r="E1485" s="2" t="s">
        <v>16</v>
      </c>
      <c r="F1485" s="2" t="s">
        <v>17</v>
      </c>
      <c r="G1485">
        <v>85929</v>
      </c>
      <c r="H1485" s="1">
        <v>44677</v>
      </c>
      <c r="I1485">
        <v>18</v>
      </c>
      <c r="J1485">
        <v>1</v>
      </c>
      <c r="K1485">
        <v>8593</v>
      </c>
      <c r="L1485">
        <v>4296</v>
      </c>
      <c r="M1485">
        <v>90226</v>
      </c>
      <c r="N1485">
        <v>4296</v>
      </c>
      <c r="O1485">
        <v>98818</v>
      </c>
    </row>
    <row r="1486" spans="1:15" x14ac:dyDescent="0.35">
      <c r="A1486">
        <v>1485</v>
      </c>
      <c r="B1486" s="2" t="s">
        <v>18</v>
      </c>
      <c r="C1486" s="2" t="s">
        <v>11</v>
      </c>
      <c r="D1486">
        <v>52</v>
      </c>
      <c r="E1486" s="2" t="s">
        <v>12</v>
      </c>
      <c r="F1486" s="2" t="s">
        <v>21</v>
      </c>
      <c r="G1486">
        <v>23525</v>
      </c>
      <c r="H1486" s="1">
        <v>45320</v>
      </c>
      <c r="I1486">
        <v>12</v>
      </c>
      <c r="J1486">
        <v>3</v>
      </c>
      <c r="K1486">
        <v>2352</v>
      </c>
      <c r="L1486">
        <v>1176</v>
      </c>
      <c r="M1486">
        <v>24701</v>
      </c>
      <c r="N1486">
        <v>1176</v>
      </c>
      <c r="O1486">
        <v>27053</v>
      </c>
    </row>
    <row r="1487" spans="1:15" x14ac:dyDescent="0.35">
      <c r="A1487">
        <v>1486</v>
      </c>
      <c r="B1487" s="2" t="s">
        <v>14</v>
      </c>
      <c r="C1487" s="2" t="s">
        <v>11</v>
      </c>
      <c r="D1487">
        <v>33</v>
      </c>
      <c r="E1487" s="2" t="s">
        <v>24</v>
      </c>
      <c r="F1487" s="2" t="s">
        <v>19</v>
      </c>
      <c r="G1487">
        <v>85857</v>
      </c>
      <c r="H1487" s="1">
        <v>44824</v>
      </c>
      <c r="I1487">
        <v>3</v>
      </c>
      <c r="J1487">
        <v>5</v>
      </c>
      <c r="K1487">
        <v>8586</v>
      </c>
      <c r="L1487">
        <v>4293</v>
      </c>
      <c r="M1487">
        <v>90150</v>
      </c>
      <c r="N1487">
        <v>0</v>
      </c>
      <c r="O1487">
        <v>94443</v>
      </c>
    </row>
    <row r="1488" spans="1:15" x14ac:dyDescent="0.35">
      <c r="A1488">
        <v>1487</v>
      </c>
      <c r="B1488" s="2" t="s">
        <v>23</v>
      </c>
      <c r="C1488" s="2" t="s">
        <v>11</v>
      </c>
      <c r="D1488">
        <v>53</v>
      </c>
      <c r="E1488" s="2" t="s">
        <v>28</v>
      </c>
      <c r="F1488" s="2" t="s">
        <v>19</v>
      </c>
      <c r="G1488">
        <v>30778</v>
      </c>
      <c r="H1488" s="1">
        <v>44810</v>
      </c>
      <c r="I1488">
        <v>14</v>
      </c>
      <c r="J1488">
        <v>4</v>
      </c>
      <c r="K1488">
        <v>3078</v>
      </c>
      <c r="L1488">
        <v>1539</v>
      </c>
      <c r="M1488">
        <v>32317</v>
      </c>
      <c r="N1488">
        <v>1539</v>
      </c>
      <c r="O1488">
        <v>35395</v>
      </c>
    </row>
    <row r="1489" spans="1:15" x14ac:dyDescent="0.35">
      <c r="A1489">
        <v>1488</v>
      </c>
      <c r="B1489" s="2" t="s">
        <v>14</v>
      </c>
      <c r="C1489" s="2" t="s">
        <v>15</v>
      </c>
      <c r="D1489">
        <v>59</v>
      </c>
      <c r="E1489" s="2" t="s">
        <v>16</v>
      </c>
      <c r="F1489" s="2" t="s">
        <v>19</v>
      </c>
      <c r="G1489">
        <v>57115</v>
      </c>
      <c r="H1489" s="1">
        <v>45512</v>
      </c>
      <c r="I1489">
        <v>13</v>
      </c>
      <c r="J1489">
        <v>3</v>
      </c>
      <c r="K1489">
        <v>5712</v>
      </c>
      <c r="L1489">
        <v>2856</v>
      </c>
      <c r="M1489">
        <v>59971</v>
      </c>
      <c r="N1489">
        <v>2856</v>
      </c>
      <c r="O1489">
        <v>65683</v>
      </c>
    </row>
    <row r="1490" spans="1:15" x14ac:dyDescent="0.35">
      <c r="A1490">
        <v>1489</v>
      </c>
      <c r="B1490" s="2" t="s">
        <v>14</v>
      </c>
      <c r="C1490" s="2" t="s">
        <v>15</v>
      </c>
      <c r="D1490">
        <v>46</v>
      </c>
      <c r="E1490" s="2" t="s">
        <v>28</v>
      </c>
      <c r="F1490" s="2" t="s">
        <v>25</v>
      </c>
      <c r="G1490">
        <v>76573</v>
      </c>
      <c r="H1490" s="1">
        <v>45417</v>
      </c>
      <c r="I1490">
        <v>13</v>
      </c>
      <c r="J1490">
        <v>2</v>
      </c>
      <c r="K1490">
        <v>7657</v>
      </c>
      <c r="L1490">
        <v>3829</v>
      </c>
      <c r="M1490">
        <v>80401</v>
      </c>
      <c r="N1490">
        <v>3829</v>
      </c>
      <c r="O1490">
        <v>88059</v>
      </c>
    </row>
    <row r="1491" spans="1:15" x14ac:dyDescent="0.35">
      <c r="A1491">
        <v>1490</v>
      </c>
      <c r="B1491" s="2" t="s">
        <v>10</v>
      </c>
      <c r="C1491" s="2" t="s">
        <v>11</v>
      </c>
      <c r="D1491">
        <v>45</v>
      </c>
      <c r="E1491" s="2" t="s">
        <v>28</v>
      </c>
      <c r="F1491" s="2" t="s">
        <v>19</v>
      </c>
      <c r="G1491">
        <v>64430</v>
      </c>
      <c r="H1491" s="1">
        <v>45427</v>
      </c>
      <c r="I1491">
        <v>15</v>
      </c>
      <c r="J1491">
        <v>2</v>
      </c>
      <c r="K1491">
        <v>6443</v>
      </c>
      <c r="L1491">
        <v>3222</v>
      </c>
      <c r="M1491">
        <v>67651</v>
      </c>
      <c r="N1491">
        <v>3222</v>
      </c>
      <c r="O1491">
        <v>74095</v>
      </c>
    </row>
    <row r="1492" spans="1:15" x14ac:dyDescent="0.35">
      <c r="A1492">
        <v>1491</v>
      </c>
      <c r="B1492" s="2" t="s">
        <v>18</v>
      </c>
      <c r="C1492" s="2" t="s">
        <v>15</v>
      </c>
      <c r="D1492">
        <v>30</v>
      </c>
      <c r="E1492" s="2" t="s">
        <v>24</v>
      </c>
      <c r="F1492" s="2" t="s">
        <v>13</v>
      </c>
      <c r="G1492">
        <v>38249</v>
      </c>
      <c r="H1492" s="1">
        <v>45286</v>
      </c>
      <c r="I1492">
        <v>11</v>
      </c>
      <c r="J1492">
        <v>4</v>
      </c>
      <c r="K1492">
        <v>3825</v>
      </c>
      <c r="L1492">
        <v>1912</v>
      </c>
      <c r="M1492">
        <v>40162</v>
      </c>
      <c r="N1492">
        <v>1912</v>
      </c>
      <c r="O1492">
        <v>43986</v>
      </c>
    </row>
    <row r="1493" spans="1:15" x14ac:dyDescent="0.35">
      <c r="A1493">
        <v>1492</v>
      </c>
      <c r="B1493" s="2" t="s">
        <v>27</v>
      </c>
      <c r="C1493" s="2" t="s">
        <v>11</v>
      </c>
      <c r="D1493">
        <v>22</v>
      </c>
      <c r="E1493" s="2" t="s">
        <v>28</v>
      </c>
      <c r="F1493" s="2" t="s">
        <v>21</v>
      </c>
      <c r="G1493">
        <v>24566</v>
      </c>
      <c r="H1493" s="1">
        <v>45195</v>
      </c>
      <c r="I1493">
        <v>2</v>
      </c>
      <c r="J1493">
        <v>3</v>
      </c>
      <c r="K1493">
        <v>2457</v>
      </c>
      <c r="L1493">
        <v>1228</v>
      </c>
      <c r="M1493">
        <v>25795</v>
      </c>
      <c r="N1493">
        <v>0</v>
      </c>
      <c r="O1493">
        <v>27023</v>
      </c>
    </row>
    <row r="1494" spans="1:15" x14ac:dyDescent="0.35">
      <c r="A1494">
        <v>1493</v>
      </c>
      <c r="B1494" s="2" t="s">
        <v>30</v>
      </c>
      <c r="C1494" s="2" t="s">
        <v>11</v>
      </c>
      <c r="D1494">
        <v>45</v>
      </c>
      <c r="E1494" s="2" t="s">
        <v>12</v>
      </c>
      <c r="F1494" s="2" t="s">
        <v>25</v>
      </c>
      <c r="G1494">
        <v>54136</v>
      </c>
      <c r="H1494" s="1">
        <v>45034</v>
      </c>
      <c r="I1494">
        <v>9</v>
      </c>
      <c r="J1494">
        <v>5</v>
      </c>
      <c r="K1494">
        <v>5414</v>
      </c>
      <c r="L1494">
        <v>2707</v>
      </c>
      <c r="M1494">
        <v>56843</v>
      </c>
      <c r="N1494">
        <v>2707</v>
      </c>
      <c r="O1494">
        <v>62257</v>
      </c>
    </row>
    <row r="1495" spans="1:15" x14ac:dyDescent="0.35">
      <c r="A1495">
        <v>1494</v>
      </c>
      <c r="B1495" s="2" t="s">
        <v>18</v>
      </c>
      <c r="C1495" s="2" t="s">
        <v>11</v>
      </c>
      <c r="D1495">
        <v>54</v>
      </c>
      <c r="E1495" s="2" t="s">
        <v>16</v>
      </c>
      <c r="F1495" s="2" t="s">
        <v>13</v>
      </c>
      <c r="G1495">
        <v>73838</v>
      </c>
      <c r="H1495" s="1">
        <v>44941</v>
      </c>
      <c r="I1495">
        <v>5</v>
      </c>
      <c r="J1495">
        <v>5</v>
      </c>
      <c r="K1495">
        <v>7384</v>
      </c>
      <c r="L1495">
        <v>3692</v>
      </c>
      <c r="M1495">
        <v>77530</v>
      </c>
      <c r="N1495">
        <v>0</v>
      </c>
      <c r="O1495">
        <v>81222</v>
      </c>
    </row>
    <row r="1496" spans="1:15" x14ac:dyDescent="0.35">
      <c r="A1496">
        <v>1495</v>
      </c>
      <c r="B1496" s="2" t="s">
        <v>10</v>
      </c>
      <c r="C1496" s="2" t="s">
        <v>11</v>
      </c>
      <c r="D1496">
        <v>60</v>
      </c>
      <c r="E1496" s="2" t="s">
        <v>29</v>
      </c>
      <c r="F1496" s="2" t="s">
        <v>25</v>
      </c>
      <c r="G1496">
        <v>70709</v>
      </c>
      <c r="H1496" s="1">
        <v>44622</v>
      </c>
      <c r="I1496">
        <v>1</v>
      </c>
      <c r="J1496">
        <v>5</v>
      </c>
      <c r="K1496">
        <v>7071</v>
      </c>
      <c r="L1496">
        <v>3535</v>
      </c>
      <c r="M1496">
        <v>74245</v>
      </c>
      <c r="N1496">
        <v>0</v>
      </c>
      <c r="O1496">
        <v>77780</v>
      </c>
    </row>
    <row r="1497" spans="1:15" x14ac:dyDescent="0.35">
      <c r="A1497">
        <v>1496</v>
      </c>
      <c r="B1497" s="2" t="s">
        <v>20</v>
      </c>
      <c r="C1497" s="2" t="s">
        <v>15</v>
      </c>
      <c r="D1497">
        <v>59</v>
      </c>
      <c r="E1497" s="2" t="s">
        <v>29</v>
      </c>
      <c r="F1497" s="2" t="s">
        <v>13</v>
      </c>
      <c r="G1497">
        <v>34747</v>
      </c>
      <c r="H1497" s="1">
        <v>45514</v>
      </c>
      <c r="I1497">
        <v>8</v>
      </c>
      <c r="J1497">
        <v>5</v>
      </c>
      <c r="K1497">
        <v>3475</v>
      </c>
      <c r="L1497">
        <v>1737</v>
      </c>
      <c r="M1497">
        <v>36485</v>
      </c>
      <c r="N1497">
        <v>1737</v>
      </c>
      <c r="O1497">
        <v>39959</v>
      </c>
    </row>
    <row r="1498" spans="1:15" x14ac:dyDescent="0.35">
      <c r="A1498">
        <v>1497</v>
      </c>
      <c r="B1498" s="2" t="s">
        <v>23</v>
      </c>
      <c r="C1498" s="2" t="s">
        <v>15</v>
      </c>
      <c r="D1498">
        <v>34</v>
      </c>
      <c r="E1498" s="2" t="s">
        <v>16</v>
      </c>
      <c r="F1498" s="2" t="s">
        <v>13</v>
      </c>
      <c r="G1498">
        <v>94171</v>
      </c>
      <c r="H1498" s="1">
        <v>45382</v>
      </c>
      <c r="I1498">
        <v>10</v>
      </c>
      <c r="J1498">
        <v>3</v>
      </c>
      <c r="K1498">
        <v>9417</v>
      </c>
      <c r="L1498">
        <v>4709</v>
      </c>
      <c r="M1498">
        <v>98879</v>
      </c>
      <c r="N1498">
        <v>4709</v>
      </c>
      <c r="O1498">
        <v>108297</v>
      </c>
    </row>
    <row r="1499" spans="1:15" x14ac:dyDescent="0.35">
      <c r="A1499">
        <v>1498</v>
      </c>
      <c r="B1499" s="2" t="s">
        <v>22</v>
      </c>
      <c r="C1499" s="2" t="s">
        <v>15</v>
      </c>
      <c r="D1499">
        <v>57</v>
      </c>
      <c r="E1499" s="2" t="s">
        <v>28</v>
      </c>
      <c r="F1499" s="2" t="s">
        <v>13</v>
      </c>
      <c r="G1499">
        <v>64175</v>
      </c>
      <c r="H1499" s="1">
        <v>44994</v>
      </c>
      <c r="I1499">
        <v>4</v>
      </c>
      <c r="J1499">
        <v>2</v>
      </c>
      <c r="K1499">
        <v>6418</v>
      </c>
      <c r="L1499">
        <v>3209</v>
      </c>
      <c r="M1499">
        <v>67384</v>
      </c>
      <c r="N1499">
        <v>0</v>
      </c>
      <c r="O1499">
        <v>70593</v>
      </c>
    </row>
    <row r="1500" spans="1:15" x14ac:dyDescent="0.35">
      <c r="A1500">
        <v>1499</v>
      </c>
      <c r="B1500" s="2" t="s">
        <v>14</v>
      </c>
      <c r="C1500" s="2" t="s">
        <v>15</v>
      </c>
      <c r="D1500">
        <v>36</v>
      </c>
      <c r="E1500" s="2" t="s">
        <v>12</v>
      </c>
      <c r="F1500" s="2" t="s">
        <v>13</v>
      </c>
      <c r="G1500">
        <v>60324</v>
      </c>
      <c r="H1500" s="1">
        <v>44680</v>
      </c>
      <c r="I1500">
        <v>3</v>
      </c>
      <c r="J1500">
        <v>4</v>
      </c>
      <c r="K1500">
        <v>6032</v>
      </c>
      <c r="L1500">
        <v>3016</v>
      </c>
      <c r="M1500">
        <v>63340</v>
      </c>
      <c r="N1500">
        <v>0</v>
      </c>
      <c r="O1500">
        <v>66356</v>
      </c>
    </row>
    <row r="1501" spans="1:15" x14ac:dyDescent="0.35">
      <c r="A1501">
        <v>1500</v>
      </c>
      <c r="B1501" s="2" t="s">
        <v>14</v>
      </c>
      <c r="C1501" s="2" t="s">
        <v>11</v>
      </c>
      <c r="D1501">
        <v>59</v>
      </c>
      <c r="E1501" s="2" t="s">
        <v>12</v>
      </c>
      <c r="F1501" s="2" t="s">
        <v>13</v>
      </c>
      <c r="G1501">
        <v>48742</v>
      </c>
      <c r="H1501" s="1">
        <v>44607</v>
      </c>
      <c r="I1501">
        <v>15</v>
      </c>
      <c r="J1501">
        <v>3</v>
      </c>
      <c r="K1501">
        <v>4874</v>
      </c>
      <c r="L1501">
        <v>2437</v>
      </c>
      <c r="M1501">
        <v>51179</v>
      </c>
      <c r="N1501">
        <v>2437</v>
      </c>
      <c r="O1501">
        <v>56053</v>
      </c>
    </row>
    <row r="1502" spans="1:15" x14ac:dyDescent="0.35">
      <c r="A1502">
        <v>1501</v>
      </c>
      <c r="B1502" s="2" t="s">
        <v>14</v>
      </c>
      <c r="C1502" s="2" t="s">
        <v>15</v>
      </c>
      <c r="D1502">
        <v>35</v>
      </c>
      <c r="E1502" s="2" t="s">
        <v>16</v>
      </c>
      <c r="F1502" s="2" t="s">
        <v>19</v>
      </c>
      <c r="G1502">
        <v>70094</v>
      </c>
      <c r="H1502" s="1">
        <v>45009</v>
      </c>
      <c r="I1502">
        <v>14</v>
      </c>
      <c r="J1502">
        <v>1</v>
      </c>
      <c r="K1502">
        <v>7009</v>
      </c>
      <c r="L1502">
        <v>3505</v>
      </c>
      <c r="M1502">
        <v>73598</v>
      </c>
      <c r="N1502">
        <v>3505</v>
      </c>
      <c r="O1502">
        <v>80608</v>
      </c>
    </row>
    <row r="1503" spans="1:15" x14ac:dyDescent="0.35">
      <c r="A1503">
        <v>1502</v>
      </c>
      <c r="B1503" s="2" t="s">
        <v>14</v>
      </c>
      <c r="C1503" s="2" t="s">
        <v>11</v>
      </c>
      <c r="D1503">
        <v>26</v>
      </c>
      <c r="E1503" s="2" t="s">
        <v>24</v>
      </c>
      <c r="F1503" s="2" t="s">
        <v>21</v>
      </c>
      <c r="G1503">
        <v>90788</v>
      </c>
      <c r="H1503" s="1">
        <v>44588</v>
      </c>
      <c r="I1503">
        <v>19</v>
      </c>
      <c r="J1503">
        <v>4</v>
      </c>
      <c r="K1503">
        <v>9079</v>
      </c>
      <c r="L1503">
        <v>4539</v>
      </c>
      <c r="M1503">
        <v>95328</v>
      </c>
      <c r="N1503">
        <v>4539</v>
      </c>
      <c r="O1503">
        <v>104406</v>
      </c>
    </row>
    <row r="1504" spans="1:15" x14ac:dyDescent="0.35">
      <c r="A1504">
        <v>1503</v>
      </c>
      <c r="B1504" s="2" t="s">
        <v>31</v>
      </c>
      <c r="C1504" s="2" t="s">
        <v>15</v>
      </c>
      <c r="D1504">
        <v>60</v>
      </c>
      <c r="E1504" s="2" t="s">
        <v>28</v>
      </c>
      <c r="F1504" s="2" t="s">
        <v>21</v>
      </c>
      <c r="G1504">
        <v>92370</v>
      </c>
      <c r="H1504" s="1">
        <v>44811</v>
      </c>
      <c r="I1504">
        <v>2</v>
      </c>
      <c r="J1504">
        <v>4</v>
      </c>
      <c r="K1504">
        <v>9237</v>
      </c>
      <c r="L1504">
        <v>4618</v>
      </c>
      <c r="M1504">
        <v>96989</v>
      </c>
      <c r="N1504">
        <v>0</v>
      </c>
      <c r="O1504">
        <v>101607</v>
      </c>
    </row>
    <row r="1505" spans="1:15" x14ac:dyDescent="0.35">
      <c r="A1505">
        <v>1504</v>
      </c>
      <c r="B1505" s="2" t="s">
        <v>31</v>
      </c>
      <c r="C1505" s="2" t="s">
        <v>11</v>
      </c>
      <c r="D1505">
        <v>41</v>
      </c>
      <c r="E1505" s="2" t="s">
        <v>29</v>
      </c>
      <c r="F1505" s="2" t="s">
        <v>25</v>
      </c>
      <c r="G1505">
        <v>35049</v>
      </c>
      <c r="H1505" s="1">
        <v>45454</v>
      </c>
      <c r="I1505">
        <v>4</v>
      </c>
      <c r="J1505">
        <v>1</v>
      </c>
      <c r="K1505">
        <v>3505</v>
      </c>
      <c r="L1505">
        <v>1752</v>
      </c>
      <c r="M1505">
        <v>36802</v>
      </c>
      <c r="N1505">
        <v>0</v>
      </c>
      <c r="O1505">
        <v>38554</v>
      </c>
    </row>
    <row r="1506" spans="1:15" x14ac:dyDescent="0.35">
      <c r="A1506">
        <v>1505</v>
      </c>
      <c r="B1506" s="2" t="s">
        <v>26</v>
      </c>
      <c r="C1506" s="2" t="s">
        <v>11</v>
      </c>
      <c r="D1506">
        <v>49</v>
      </c>
      <c r="E1506" s="2" t="s">
        <v>28</v>
      </c>
      <c r="F1506" s="2" t="s">
        <v>13</v>
      </c>
      <c r="G1506">
        <v>88561</v>
      </c>
      <c r="H1506" s="1">
        <v>44955</v>
      </c>
      <c r="I1506">
        <v>8</v>
      </c>
      <c r="J1506">
        <v>5</v>
      </c>
      <c r="K1506">
        <v>8856</v>
      </c>
      <c r="L1506">
        <v>4428</v>
      </c>
      <c r="M1506">
        <v>92989</v>
      </c>
      <c r="N1506">
        <v>4428</v>
      </c>
      <c r="O1506">
        <v>101845</v>
      </c>
    </row>
    <row r="1507" spans="1:15" x14ac:dyDescent="0.35">
      <c r="A1507">
        <v>1506</v>
      </c>
      <c r="B1507" s="2" t="s">
        <v>14</v>
      </c>
      <c r="C1507" s="2" t="s">
        <v>11</v>
      </c>
      <c r="D1507">
        <v>40</v>
      </c>
      <c r="E1507" s="2" t="s">
        <v>24</v>
      </c>
      <c r="F1507" s="2" t="s">
        <v>19</v>
      </c>
      <c r="G1507">
        <v>84455</v>
      </c>
      <c r="H1507" s="1">
        <v>44938</v>
      </c>
      <c r="I1507">
        <v>3</v>
      </c>
      <c r="J1507">
        <v>4</v>
      </c>
      <c r="K1507">
        <v>8446</v>
      </c>
      <c r="L1507">
        <v>4223</v>
      </c>
      <c r="M1507">
        <v>88678</v>
      </c>
      <c r="N1507">
        <v>0</v>
      </c>
      <c r="O1507">
        <v>92901</v>
      </c>
    </row>
    <row r="1508" spans="1:15" x14ac:dyDescent="0.35">
      <c r="A1508">
        <v>1507</v>
      </c>
      <c r="B1508" s="2" t="s">
        <v>27</v>
      </c>
      <c r="C1508" s="2" t="s">
        <v>11</v>
      </c>
      <c r="D1508">
        <v>29</v>
      </c>
      <c r="E1508" s="2" t="s">
        <v>16</v>
      </c>
      <c r="F1508" s="2" t="s">
        <v>21</v>
      </c>
      <c r="G1508">
        <v>40901</v>
      </c>
      <c r="H1508" s="1">
        <v>44657</v>
      </c>
      <c r="I1508">
        <v>4</v>
      </c>
      <c r="J1508">
        <v>4</v>
      </c>
      <c r="K1508">
        <v>4090</v>
      </c>
      <c r="L1508">
        <v>2045</v>
      </c>
      <c r="M1508">
        <v>42946</v>
      </c>
      <c r="N1508">
        <v>0</v>
      </c>
      <c r="O1508">
        <v>44991</v>
      </c>
    </row>
    <row r="1509" spans="1:15" x14ac:dyDescent="0.35">
      <c r="A1509">
        <v>1508</v>
      </c>
      <c r="B1509" s="2" t="s">
        <v>20</v>
      </c>
      <c r="C1509" s="2" t="s">
        <v>11</v>
      </c>
      <c r="D1509">
        <v>28</v>
      </c>
      <c r="E1509" s="2" t="s">
        <v>29</v>
      </c>
      <c r="F1509" s="2" t="s">
        <v>25</v>
      </c>
      <c r="G1509">
        <v>70191</v>
      </c>
      <c r="H1509" s="1">
        <v>45169</v>
      </c>
      <c r="I1509">
        <v>8</v>
      </c>
      <c r="J1509">
        <v>5</v>
      </c>
      <c r="K1509">
        <v>7019</v>
      </c>
      <c r="L1509">
        <v>3510</v>
      </c>
      <c r="M1509">
        <v>73700</v>
      </c>
      <c r="N1509">
        <v>3510</v>
      </c>
      <c r="O1509">
        <v>80720</v>
      </c>
    </row>
    <row r="1510" spans="1:15" x14ac:dyDescent="0.35">
      <c r="A1510">
        <v>1509</v>
      </c>
      <c r="B1510" s="2" t="s">
        <v>30</v>
      </c>
      <c r="C1510" s="2" t="s">
        <v>15</v>
      </c>
      <c r="D1510">
        <v>48</v>
      </c>
      <c r="E1510" s="2" t="s">
        <v>12</v>
      </c>
      <c r="F1510" s="2" t="s">
        <v>25</v>
      </c>
      <c r="G1510">
        <v>88476</v>
      </c>
      <c r="H1510" s="1">
        <v>45148</v>
      </c>
      <c r="I1510">
        <v>17</v>
      </c>
      <c r="J1510">
        <v>5</v>
      </c>
      <c r="K1510">
        <v>8848</v>
      </c>
      <c r="L1510">
        <v>4424</v>
      </c>
      <c r="M1510">
        <v>92900</v>
      </c>
      <c r="N1510">
        <v>4424</v>
      </c>
      <c r="O1510">
        <v>101748</v>
      </c>
    </row>
    <row r="1511" spans="1:15" x14ac:dyDescent="0.35">
      <c r="A1511">
        <v>1510</v>
      </c>
      <c r="B1511" s="2" t="s">
        <v>14</v>
      </c>
      <c r="C1511" s="2" t="s">
        <v>11</v>
      </c>
      <c r="D1511">
        <v>27</v>
      </c>
      <c r="E1511" s="2" t="s">
        <v>29</v>
      </c>
      <c r="F1511" s="2" t="s">
        <v>19</v>
      </c>
      <c r="G1511">
        <v>38703</v>
      </c>
      <c r="H1511" s="1">
        <v>44815</v>
      </c>
      <c r="I1511">
        <v>3</v>
      </c>
      <c r="J1511">
        <v>3</v>
      </c>
      <c r="K1511">
        <v>3870</v>
      </c>
      <c r="L1511">
        <v>1935</v>
      </c>
      <c r="M1511">
        <v>40638</v>
      </c>
      <c r="N1511">
        <v>0</v>
      </c>
      <c r="O1511">
        <v>42573</v>
      </c>
    </row>
    <row r="1512" spans="1:15" x14ac:dyDescent="0.35">
      <c r="A1512">
        <v>1511</v>
      </c>
      <c r="B1512" s="2" t="s">
        <v>31</v>
      </c>
      <c r="C1512" s="2" t="s">
        <v>15</v>
      </c>
      <c r="D1512">
        <v>37</v>
      </c>
      <c r="E1512" s="2" t="s">
        <v>29</v>
      </c>
      <c r="F1512" s="2" t="s">
        <v>19</v>
      </c>
      <c r="G1512">
        <v>40102</v>
      </c>
      <c r="H1512" s="1">
        <v>44822</v>
      </c>
      <c r="I1512">
        <v>8</v>
      </c>
      <c r="J1512">
        <v>4</v>
      </c>
      <c r="K1512">
        <v>4010</v>
      </c>
      <c r="L1512">
        <v>2005</v>
      </c>
      <c r="M1512">
        <v>42107</v>
      </c>
      <c r="N1512">
        <v>2005</v>
      </c>
      <c r="O1512">
        <v>46117</v>
      </c>
    </row>
    <row r="1513" spans="1:15" x14ac:dyDescent="0.35">
      <c r="A1513">
        <v>1512</v>
      </c>
      <c r="B1513" s="2" t="s">
        <v>20</v>
      </c>
      <c r="C1513" s="2" t="s">
        <v>11</v>
      </c>
      <c r="D1513">
        <v>57</v>
      </c>
      <c r="E1513" s="2" t="s">
        <v>24</v>
      </c>
      <c r="F1513" s="2" t="s">
        <v>25</v>
      </c>
      <c r="G1513">
        <v>90625</v>
      </c>
      <c r="H1513" s="1">
        <v>44568</v>
      </c>
      <c r="I1513">
        <v>19</v>
      </c>
      <c r="J1513">
        <v>2</v>
      </c>
      <c r="K1513">
        <v>9062</v>
      </c>
      <c r="L1513">
        <v>4531</v>
      </c>
      <c r="M1513">
        <v>95156</v>
      </c>
      <c r="N1513">
        <v>4531</v>
      </c>
      <c r="O1513">
        <v>104218</v>
      </c>
    </row>
    <row r="1514" spans="1:15" x14ac:dyDescent="0.35">
      <c r="A1514">
        <v>1513</v>
      </c>
      <c r="B1514" s="2" t="s">
        <v>30</v>
      </c>
      <c r="C1514" s="2" t="s">
        <v>11</v>
      </c>
      <c r="D1514">
        <v>51</v>
      </c>
      <c r="E1514" s="2" t="s">
        <v>12</v>
      </c>
      <c r="F1514" s="2" t="s">
        <v>25</v>
      </c>
      <c r="G1514">
        <v>59862</v>
      </c>
      <c r="H1514" s="1">
        <v>45167</v>
      </c>
      <c r="I1514">
        <v>20</v>
      </c>
      <c r="J1514">
        <v>4</v>
      </c>
      <c r="K1514">
        <v>5986</v>
      </c>
      <c r="L1514">
        <v>2993</v>
      </c>
      <c r="M1514">
        <v>62855</v>
      </c>
      <c r="N1514">
        <v>2993</v>
      </c>
      <c r="O1514">
        <v>68841</v>
      </c>
    </row>
    <row r="1515" spans="1:15" x14ac:dyDescent="0.35">
      <c r="A1515">
        <v>1514</v>
      </c>
      <c r="B1515" s="2" t="s">
        <v>20</v>
      </c>
      <c r="C1515" s="2" t="s">
        <v>15</v>
      </c>
      <c r="D1515">
        <v>38</v>
      </c>
      <c r="E1515" s="2" t="s">
        <v>28</v>
      </c>
      <c r="F1515" s="2" t="s">
        <v>19</v>
      </c>
      <c r="G1515">
        <v>63472</v>
      </c>
      <c r="H1515" s="1">
        <v>44760</v>
      </c>
      <c r="I1515">
        <v>16</v>
      </c>
      <c r="J1515">
        <v>4</v>
      </c>
      <c r="K1515">
        <v>6347</v>
      </c>
      <c r="L1515">
        <v>3174</v>
      </c>
      <c r="M1515">
        <v>66645</v>
      </c>
      <c r="N1515">
        <v>3174</v>
      </c>
      <c r="O1515">
        <v>72993</v>
      </c>
    </row>
    <row r="1516" spans="1:15" x14ac:dyDescent="0.35">
      <c r="A1516">
        <v>1515</v>
      </c>
      <c r="B1516" s="2" t="s">
        <v>10</v>
      </c>
      <c r="C1516" s="2" t="s">
        <v>15</v>
      </c>
      <c r="D1516">
        <v>38</v>
      </c>
      <c r="E1516" s="2" t="s">
        <v>24</v>
      </c>
      <c r="F1516" s="2" t="s">
        <v>21</v>
      </c>
      <c r="G1516">
        <v>99562</v>
      </c>
      <c r="H1516" s="1">
        <v>45106</v>
      </c>
      <c r="I1516">
        <v>19</v>
      </c>
      <c r="J1516">
        <v>3</v>
      </c>
      <c r="K1516">
        <v>9956</v>
      </c>
      <c r="L1516">
        <v>4978</v>
      </c>
      <c r="M1516">
        <v>104540</v>
      </c>
      <c r="N1516">
        <v>4978</v>
      </c>
      <c r="O1516">
        <v>114496</v>
      </c>
    </row>
    <row r="1517" spans="1:15" x14ac:dyDescent="0.35">
      <c r="A1517">
        <v>1516</v>
      </c>
      <c r="B1517" s="2" t="s">
        <v>22</v>
      </c>
      <c r="C1517" s="2" t="s">
        <v>15</v>
      </c>
      <c r="D1517">
        <v>48</v>
      </c>
      <c r="E1517" s="2" t="s">
        <v>24</v>
      </c>
      <c r="F1517" s="2" t="s">
        <v>13</v>
      </c>
      <c r="G1517">
        <v>65902</v>
      </c>
      <c r="H1517" s="1">
        <v>44851</v>
      </c>
      <c r="I1517">
        <v>13</v>
      </c>
      <c r="J1517">
        <v>1</v>
      </c>
      <c r="K1517">
        <v>6590</v>
      </c>
      <c r="L1517">
        <v>3295</v>
      </c>
      <c r="M1517">
        <v>69197</v>
      </c>
      <c r="N1517">
        <v>3295</v>
      </c>
      <c r="O1517">
        <v>75787</v>
      </c>
    </row>
    <row r="1518" spans="1:15" x14ac:dyDescent="0.35">
      <c r="A1518">
        <v>1517</v>
      </c>
      <c r="B1518" s="2" t="s">
        <v>18</v>
      </c>
      <c r="C1518" s="2" t="s">
        <v>15</v>
      </c>
      <c r="D1518">
        <v>50</v>
      </c>
      <c r="E1518" s="2" t="s">
        <v>12</v>
      </c>
      <c r="F1518" s="2" t="s">
        <v>13</v>
      </c>
      <c r="G1518">
        <v>80631</v>
      </c>
      <c r="H1518" s="1">
        <v>44753</v>
      </c>
      <c r="I1518">
        <v>15</v>
      </c>
      <c r="J1518">
        <v>5</v>
      </c>
      <c r="K1518">
        <v>8063</v>
      </c>
      <c r="L1518">
        <v>4032</v>
      </c>
      <c r="M1518">
        <v>84662</v>
      </c>
      <c r="N1518">
        <v>4032</v>
      </c>
      <c r="O1518">
        <v>92726</v>
      </c>
    </row>
    <row r="1519" spans="1:15" x14ac:dyDescent="0.35">
      <c r="A1519">
        <v>1518</v>
      </c>
      <c r="B1519" s="2" t="s">
        <v>26</v>
      </c>
      <c r="C1519" s="2" t="s">
        <v>15</v>
      </c>
      <c r="D1519">
        <v>23</v>
      </c>
      <c r="E1519" s="2" t="s">
        <v>16</v>
      </c>
      <c r="F1519" s="2" t="s">
        <v>17</v>
      </c>
      <c r="G1519">
        <v>58968</v>
      </c>
      <c r="H1519" s="1">
        <v>45478</v>
      </c>
      <c r="I1519">
        <v>1</v>
      </c>
      <c r="J1519">
        <v>1</v>
      </c>
      <c r="K1519">
        <v>5897</v>
      </c>
      <c r="L1519">
        <v>2948</v>
      </c>
      <c r="M1519">
        <v>61917</v>
      </c>
      <c r="N1519">
        <v>0</v>
      </c>
      <c r="O1519">
        <v>64865</v>
      </c>
    </row>
    <row r="1520" spans="1:15" x14ac:dyDescent="0.35">
      <c r="A1520">
        <v>1519</v>
      </c>
      <c r="B1520" s="2" t="s">
        <v>20</v>
      </c>
      <c r="C1520" s="2" t="s">
        <v>15</v>
      </c>
      <c r="D1520">
        <v>21</v>
      </c>
      <c r="E1520" s="2" t="s">
        <v>28</v>
      </c>
      <c r="F1520" s="2" t="s">
        <v>21</v>
      </c>
      <c r="G1520">
        <v>98706</v>
      </c>
      <c r="H1520" s="1">
        <v>44811</v>
      </c>
      <c r="I1520">
        <v>3</v>
      </c>
      <c r="J1520">
        <v>2</v>
      </c>
      <c r="K1520">
        <v>9871</v>
      </c>
      <c r="L1520">
        <v>4935</v>
      </c>
      <c r="M1520">
        <v>103642</v>
      </c>
      <c r="N1520">
        <v>0</v>
      </c>
      <c r="O1520">
        <v>108577</v>
      </c>
    </row>
    <row r="1521" spans="1:15" x14ac:dyDescent="0.35">
      <c r="A1521">
        <v>1520</v>
      </c>
      <c r="B1521" s="2" t="s">
        <v>23</v>
      </c>
      <c r="C1521" s="2" t="s">
        <v>11</v>
      </c>
      <c r="D1521">
        <v>46</v>
      </c>
      <c r="E1521" s="2" t="s">
        <v>16</v>
      </c>
      <c r="F1521" s="2" t="s">
        <v>17</v>
      </c>
      <c r="G1521">
        <v>32689</v>
      </c>
      <c r="H1521" s="1">
        <v>45454</v>
      </c>
      <c r="I1521">
        <v>5</v>
      </c>
      <c r="J1521">
        <v>3</v>
      </c>
      <c r="K1521">
        <v>3269</v>
      </c>
      <c r="L1521">
        <v>1634</v>
      </c>
      <c r="M1521">
        <v>34324</v>
      </c>
      <c r="N1521">
        <v>0</v>
      </c>
      <c r="O1521">
        <v>35958</v>
      </c>
    </row>
    <row r="1522" spans="1:15" x14ac:dyDescent="0.35">
      <c r="A1522">
        <v>1521</v>
      </c>
      <c r="B1522" s="2" t="s">
        <v>20</v>
      </c>
      <c r="C1522" s="2" t="s">
        <v>15</v>
      </c>
      <c r="D1522">
        <v>25</v>
      </c>
      <c r="E1522" s="2" t="s">
        <v>24</v>
      </c>
      <c r="F1522" s="2" t="s">
        <v>17</v>
      </c>
      <c r="G1522">
        <v>21469</v>
      </c>
      <c r="H1522" s="1">
        <v>44826</v>
      </c>
      <c r="I1522">
        <v>17</v>
      </c>
      <c r="J1522">
        <v>2</v>
      </c>
      <c r="K1522">
        <v>2147</v>
      </c>
      <c r="L1522">
        <v>1073</v>
      </c>
      <c r="M1522">
        <v>22543</v>
      </c>
      <c r="N1522">
        <v>1073</v>
      </c>
      <c r="O1522">
        <v>24689</v>
      </c>
    </row>
    <row r="1523" spans="1:15" x14ac:dyDescent="0.35">
      <c r="A1523">
        <v>1522</v>
      </c>
      <c r="B1523" s="2" t="s">
        <v>14</v>
      </c>
      <c r="C1523" s="2" t="s">
        <v>15</v>
      </c>
      <c r="D1523">
        <v>34</v>
      </c>
      <c r="E1523" s="2" t="s">
        <v>24</v>
      </c>
      <c r="F1523" s="2" t="s">
        <v>19</v>
      </c>
      <c r="G1523">
        <v>85008</v>
      </c>
      <c r="H1523" s="1">
        <v>44587</v>
      </c>
      <c r="I1523">
        <v>17</v>
      </c>
      <c r="J1523">
        <v>1</v>
      </c>
      <c r="K1523">
        <v>8501</v>
      </c>
      <c r="L1523">
        <v>4250</v>
      </c>
      <c r="M1523">
        <v>89259</v>
      </c>
      <c r="N1523">
        <v>4250</v>
      </c>
      <c r="O1523">
        <v>97759</v>
      </c>
    </row>
    <row r="1524" spans="1:15" x14ac:dyDescent="0.35">
      <c r="A1524">
        <v>1523</v>
      </c>
      <c r="B1524" s="2" t="s">
        <v>10</v>
      </c>
      <c r="C1524" s="2" t="s">
        <v>15</v>
      </c>
      <c r="D1524">
        <v>44</v>
      </c>
      <c r="E1524" s="2" t="s">
        <v>24</v>
      </c>
      <c r="F1524" s="2" t="s">
        <v>19</v>
      </c>
      <c r="G1524">
        <v>20018</v>
      </c>
      <c r="H1524" s="1">
        <v>45371</v>
      </c>
      <c r="I1524">
        <v>5</v>
      </c>
      <c r="J1524">
        <v>3</v>
      </c>
      <c r="K1524">
        <v>2002</v>
      </c>
      <c r="L1524">
        <v>1001</v>
      </c>
      <c r="M1524">
        <v>21019</v>
      </c>
      <c r="N1524">
        <v>0</v>
      </c>
      <c r="O1524">
        <v>22020</v>
      </c>
    </row>
    <row r="1525" spans="1:15" x14ac:dyDescent="0.35">
      <c r="A1525">
        <v>1524</v>
      </c>
      <c r="B1525" s="2" t="s">
        <v>30</v>
      </c>
      <c r="C1525" s="2" t="s">
        <v>15</v>
      </c>
      <c r="D1525">
        <v>48</v>
      </c>
      <c r="E1525" s="2" t="s">
        <v>16</v>
      </c>
      <c r="F1525" s="2" t="s">
        <v>13</v>
      </c>
      <c r="G1525">
        <v>34245</v>
      </c>
      <c r="H1525" s="1">
        <v>45133</v>
      </c>
      <c r="I1525">
        <v>15</v>
      </c>
      <c r="J1525">
        <v>3</v>
      </c>
      <c r="K1525">
        <v>3424</v>
      </c>
      <c r="L1525">
        <v>1712</v>
      </c>
      <c r="M1525">
        <v>35957</v>
      </c>
      <c r="N1525">
        <v>1712</v>
      </c>
      <c r="O1525">
        <v>39381</v>
      </c>
    </row>
    <row r="1526" spans="1:15" x14ac:dyDescent="0.35">
      <c r="A1526">
        <v>1525</v>
      </c>
      <c r="B1526" s="2" t="s">
        <v>14</v>
      </c>
      <c r="C1526" s="2" t="s">
        <v>15</v>
      </c>
      <c r="D1526">
        <v>56</v>
      </c>
      <c r="E1526" s="2" t="s">
        <v>28</v>
      </c>
      <c r="F1526" s="2" t="s">
        <v>17</v>
      </c>
      <c r="G1526">
        <v>41103</v>
      </c>
      <c r="H1526" s="1">
        <v>45207</v>
      </c>
      <c r="I1526">
        <v>10</v>
      </c>
      <c r="J1526">
        <v>2</v>
      </c>
      <c r="K1526">
        <v>4110</v>
      </c>
      <c r="L1526">
        <v>2055</v>
      </c>
      <c r="M1526">
        <v>43158</v>
      </c>
      <c r="N1526">
        <v>2055</v>
      </c>
      <c r="O1526">
        <v>47268</v>
      </c>
    </row>
    <row r="1527" spans="1:15" x14ac:dyDescent="0.35">
      <c r="A1527">
        <v>1526</v>
      </c>
      <c r="B1527" s="2" t="s">
        <v>20</v>
      </c>
      <c r="C1527" s="2" t="s">
        <v>11</v>
      </c>
      <c r="D1527">
        <v>55</v>
      </c>
      <c r="E1527" s="2" t="s">
        <v>12</v>
      </c>
      <c r="F1527" s="2" t="s">
        <v>19</v>
      </c>
      <c r="G1527">
        <v>53013</v>
      </c>
      <c r="H1527" s="1">
        <v>45545</v>
      </c>
      <c r="I1527">
        <v>1</v>
      </c>
      <c r="J1527">
        <v>5</v>
      </c>
      <c r="K1527">
        <v>5301</v>
      </c>
      <c r="L1527">
        <v>2651</v>
      </c>
      <c r="M1527">
        <v>55663</v>
      </c>
      <c r="N1527">
        <v>0</v>
      </c>
      <c r="O1527">
        <v>58314</v>
      </c>
    </row>
    <row r="1528" spans="1:15" x14ac:dyDescent="0.35">
      <c r="A1528">
        <v>1527</v>
      </c>
      <c r="B1528" s="2" t="s">
        <v>26</v>
      </c>
      <c r="C1528" s="2" t="s">
        <v>15</v>
      </c>
      <c r="D1528">
        <v>31</v>
      </c>
      <c r="E1528" s="2" t="s">
        <v>24</v>
      </c>
      <c r="F1528" s="2" t="s">
        <v>13</v>
      </c>
      <c r="G1528">
        <v>99546</v>
      </c>
      <c r="H1528" s="1">
        <v>44673</v>
      </c>
      <c r="I1528">
        <v>14</v>
      </c>
      <c r="J1528">
        <v>1</v>
      </c>
      <c r="K1528">
        <v>9955</v>
      </c>
      <c r="L1528">
        <v>4977</v>
      </c>
      <c r="M1528">
        <v>104524</v>
      </c>
      <c r="N1528">
        <v>4977</v>
      </c>
      <c r="O1528">
        <v>114478</v>
      </c>
    </row>
    <row r="1529" spans="1:15" x14ac:dyDescent="0.35">
      <c r="A1529">
        <v>1528</v>
      </c>
      <c r="B1529" s="2" t="s">
        <v>22</v>
      </c>
      <c r="C1529" s="2" t="s">
        <v>15</v>
      </c>
      <c r="D1529">
        <v>28</v>
      </c>
      <c r="E1529" s="2" t="s">
        <v>12</v>
      </c>
      <c r="F1529" s="2" t="s">
        <v>17</v>
      </c>
      <c r="G1529">
        <v>44205</v>
      </c>
      <c r="H1529" s="1">
        <v>44809</v>
      </c>
      <c r="I1529">
        <v>2</v>
      </c>
      <c r="J1529">
        <v>4</v>
      </c>
      <c r="K1529">
        <v>4420</v>
      </c>
      <c r="L1529">
        <v>2210</v>
      </c>
      <c r="M1529">
        <v>46415</v>
      </c>
      <c r="N1529">
        <v>0</v>
      </c>
      <c r="O1529">
        <v>48625</v>
      </c>
    </row>
    <row r="1530" spans="1:15" x14ac:dyDescent="0.35">
      <c r="A1530">
        <v>1529</v>
      </c>
      <c r="B1530" s="2" t="s">
        <v>23</v>
      </c>
      <c r="C1530" s="2" t="s">
        <v>15</v>
      </c>
      <c r="D1530">
        <v>39</v>
      </c>
      <c r="E1530" s="2" t="s">
        <v>28</v>
      </c>
      <c r="F1530" s="2" t="s">
        <v>25</v>
      </c>
      <c r="G1530">
        <v>70919</v>
      </c>
      <c r="H1530" s="1">
        <v>45387</v>
      </c>
      <c r="I1530">
        <v>3</v>
      </c>
      <c r="J1530">
        <v>2</v>
      </c>
      <c r="K1530">
        <v>7092</v>
      </c>
      <c r="L1530">
        <v>3546</v>
      </c>
      <c r="M1530">
        <v>74465</v>
      </c>
      <c r="N1530">
        <v>0</v>
      </c>
      <c r="O1530">
        <v>78011</v>
      </c>
    </row>
    <row r="1531" spans="1:15" x14ac:dyDescent="0.35">
      <c r="A1531">
        <v>1530</v>
      </c>
      <c r="B1531" s="2" t="s">
        <v>20</v>
      </c>
      <c r="C1531" s="2" t="s">
        <v>15</v>
      </c>
      <c r="D1531">
        <v>31</v>
      </c>
      <c r="E1531" s="2" t="s">
        <v>29</v>
      </c>
      <c r="F1531" s="2" t="s">
        <v>25</v>
      </c>
      <c r="G1531">
        <v>24608</v>
      </c>
      <c r="H1531" s="1">
        <v>45045</v>
      </c>
      <c r="I1531">
        <v>3</v>
      </c>
      <c r="J1531">
        <v>5</v>
      </c>
      <c r="K1531">
        <v>2461</v>
      </c>
      <c r="L1531">
        <v>1230</v>
      </c>
      <c r="M1531">
        <v>25839</v>
      </c>
      <c r="N1531">
        <v>0</v>
      </c>
      <c r="O1531">
        <v>27069</v>
      </c>
    </row>
    <row r="1532" spans="1:15" x14ac:dyDescent="0.35">
      <c r="A1532">
        <v>1531</v>
      </c>
      <c r="B1532" s="2" t="s">
        <v>27</v>
      </c>
      <c r="C1532" s="2" t="s">
        <v>15</v>
      </c>
      <c r="D1532">
        <v>56</v>
      </c>
      <c r="E1532" s="2" t="s">
        <v>24</v>
      </c>
      <c r="F1532" s="2" t="s">
        <v>21</v>
      </c>
      <c r="G1532">
        <v>79160</v>
      </c>
      <c r="H1532" s="1">
        <v>45349</v>
      </c>
      <c r="I1532">
        <v>4</v>
      </c>
      <c r="J1532">
        <v>2</v>
      </c>
      <c r="K1532">
        <v>7916</v>
      </c>
      <c r="L1532">
        <v>3958</v>
      </c>
      <c r="M1532">
        <v>83118</v>
      </c>
      <c r="N1532">
        <v>0</v>
      </c>
      <c r="O1532">
        <v>87076</v>
      </c>
    </row>
    <row r="1533" spans="1:15" x14ac:dyDescent="0.35">
      <c r="A1533">
        <v>1532</v>
      </c>
      <c r="B1533" s="2" t="s">
        <v>10</v>
      </c>
      <c r="C1533" s="2" t="s">
        <v>11</v>
      </c>
      <c r="D1533">
        <v>59</v>
      </c>
      <c r="E1533" s="2" t="s">
        <v>12</v>
      </c>
      <c r="F1533" s="2" t="s">
        <v>17</v>
      </c>
      <c r="G1533">
        <v>27939</v>
      </c>
      <c r="H1533" s="1">
        <v>45048</v>
      </c>
      <c r="I1533">
        <v>5</v>
      </c>
      <c r="J1533">
        <v>3</v>
      </c>
      <c r="K1533">
        <v>2794</v>
      </c>
      <c r="L1533">
        <v>1397</v>
      </c>
      <c r="M1533">
        <v>29336</v>
      </c>
      <c r="N1533">
        <v>0</v>
      </c>
      <c r="O1533">
        <v>30733</v>
      </c>
    </row>
    <row r="1534" spans="1:15" x14ac:dyDescent="0.35">
      <c r="A1534">
        <v>1533</v>
      </c>
      <c r="B1534" s="2" t="s">
        <v>20</v>
      </c>
      <c r="C1534" s="2" t="s">
        <v>11</v>
      </c>
      <c r="D1534">
        <v>44</v>
      </c>
      <c r="E1534" s="2" t="s">
        <v>16</v>
      </c>
      <c r="F1534" s="2" t="s">
        <v>17</v>
      </c>
      <c r="G1534">
        <v>29796</v>
      </c>
      <c r="H1534" s="1">
        <v>45023</v>
      </c>
      <c r="I1534">
        <v>11</v>
      </c>
      <c r="J1534">
        <v>1</v>
      </c>
      <c r="K1534">
        <v>2980</v>
      </c>
      <c r="L1534">
        <v>1490</v>
      </c>
      <c r="M1534">
        <v>31286</v>
      </c>
      <c r="N1534">
        <v>1490</v>
      </c>
      <c r="O1534">
        <v>34266</v>
      </c>
    </row>
    <row r="1535" spans="1:15" x14ac:dyDescent="0.35">
      <c r="A1535">
        <v>1534</v>
      </c>
      <c r="B1535" s="2" t="s">
        <v>18</v>
      </c>
      <c r="C1535" s="2" t="s">
        <v>15</v>
      </c>
      <c r="D1535">
        <v>54</v>
      </c>
      <c r="E1535" s="2" t="s">
        <v>12</v>
      </c>
      <c r="F1535" s="2" t="s">
        <v>19</v>
      </c>
      <c r="G1535">
        <v>47855</v>
      </c>
      <c r="H1535" s="1">
        <v>45418</v>
      </c>
      <c r="I1535">
        <v>2</v>
      </c>
      <c r="J1535">
        <v>3</v>
      </c>
      <c r="K1535">
        <v>4786</v>
      </c>
      <c r="L1535">
        <v>2393</v>
      </c>
      <c r="M1535">
        <v>50248</v>
      </c>
      <c r="N1535">
        <v>0</v>
      </c>
      <c r="O1535">
        <v>52641</v>
      </c>
    </row>
    <row r="1536" spans="1:15" x14ac:dyDescent="0.35">
      <c r="A1536">
        <v>1535</v>
      </c>
      <c r="B1536" s="2" t="s">
        <v>26</v>
      </c>
      <c r="C1536" s="2" t="s">
        <v>15</v>
      </c>
      <c r="D1536">
        <v>43</v>
      </c>
      <c r="E1536" s="2" t="s">
        <v>28</v>
      </c>
      <c r="F1536" s="2" t="s">
        <v>13</v>
      </c>
      <c r="G1536">
        <v>31871</v>
      </c>
      <c r="H1536" s="1">
        <v>45344</v>
      </c>
      <c r="I1536">
        <v>4</v>
      </c>
      <c r="J1536">
        <v>1</v>
      </c>
      <c r="K1536">
        <v>3187</v>
      </c>
      <c r="L1536">
        <v>1594</v>
      </c>
      <c r="M1536">
        <v>33464</v>
      </c>
      <c r="N1536">
        <v>0</v>
      </c>
      <c r="O1536">
        <v>35058</v>
      </c>
    </row>
    <row r="1537" spans="1:15" x14ac:dyDescent="0.35">
      <c r="A1537">
        <v>1536</v>
      </c>
      <c r="B1537" s="2" t="s">
        <v>14</v>
      </c>
      <c r="C1537" s="2" t="s">
        <v>11</v>
      </c>
      <c r="D1537">
        <v>25</v>
      </c>
      <c r="E1537" s="2" t="s">
        <v>29</v>
      </c>
      <c r="F1537" s="2" t="s">
        <v>19</v>
      </c>
      <c r="G1537">
        <v>44872</v>
      </c>
      <c r="H1537" s="1">
        <v>45065</v>
      </c>
      <c r="I1537">
        <v>11</v>
      </c>
      <c r="J1537">
        <v>5</v>
      </c>
      <c r="K1537">
        <v>4487</v>
      </c>
      <c r="L1537">
        <v>2244</v>
      </c>
      <c r="M1537">
        <v>47115</v>
      </c>
      <c r="N1537">
        <v>2244</v>
      </c>
      <c r="O1537">
        <v>51603</v>
      </c>
    </row>
    <row r="1538" spans="1:15" x14ac:dyDescent="0.35">
      <c r="A1538">
        <v>1537</v>
      </c>
      <c r="B1538" s="2" t="s">
        <v>27</v>
      </c>
      <c r="C1538" s="2" t="s">
        <v>11</v>
      </c>
      <c r="D1538">
        <v>52</v>
      </c>
      <c r="E1538" s="2" t="s">
        <v>12</v>
      </c>
      <c r="F1538" s="2" t="s">
        <v>13</v>
      </c>
      <c r="G1538">
        <v>31702</v>
      </c>
      <c r="H1538" s="1">
        <v>44687</v>
      </c>
      <c r="I1538">
        <v>13</v>
      </c>
      <c r="J1538">
        <v>3</v>
      </c>
      <c r="K1538">
        <v>3170</v>
      </c>
      <c r="L1538">
        <v>1585</v>
      </c>
      <c r="M1538">
        <v>33287</v>
      </c>
      <c r="N1538">
        <v>1585</v>
      </c>
      <c r="O1538">
        <v>36457</v>
      </c>
    </row>
    <row r="1539" spans="1:15" x14ac:dyDescent="0.35">
      <c r="A1539">
        <v>1538</v>
      </c>
      <c r="B1539" s="2" t="s">
        <v>26</v>
      </c>
      <c r="C1539" s="2" t="s">
        <v>15</v>
      </c>
      <c r="D1539">
        <v>53</v>
      </c>
      <c r="E1539" s="2" t="s">
        <v>16</v>
      </c>
      <c r="F1539" s="2" t="s">
        <v>21</v>
      </c>
      <c r="G1539">
        <v>71107</v>
      </c>
      <c r="H1539" s="1">
        <v>44740</v>
      </c>
      <c r="I1539">
        <v>9</v>
      </c>
      <c r="J1539">
        <v>4</v>
      </c>
      <c r="K1539">
        <v>7111</v>
      </c>
      <c r="L1539">
        <v>3555</v>
      </c>
      <c r="M1539">
        <v>74663</v>
      </c>
      <c r="N1539">
        <v>3555</v>
      </c>
      <c r="O1539">
        <v>81773</v>
      </c>
    </row>
    <row r="1540" spans="1:15" x14ac:dyDescent="0.35">
      <c r="A1540">
        <v>1539</v>
      </c>
      <c r="B1540" s="2" t="s">
        <v>18</v>
      </c>
      <c r="C1540" s="2" t="s">
        <v>15</v>
      </c>
      <c r="D1540">
        <v>51</v>
      </c>
      <c r="E1540" s="2" t="s">
        <v>29</v>
      </c>
      <c r="F1540" s="2" t="s">
        <v>19</v>
      </c>
      <c r="G1540">
        <v>61018</v>
      </c>
      <c r="H1540" s="1">
        <v>45528</v>
      </c>
      <c r="I1540">
        <v>15</v>
      </c>
      <c r="J1540">
        <v>1</v>
      </c>
      <c r="K1540">
        <v>6102</v>
      </c>
      <c r="L1540">
        <v>3051</v>
      </c>
      <c r="M1540">
        <v>64069</v>
      </c>
      <c r="N1540">
        <v>3051</v>
      </c>
      <c r="O1540">
        <v>70171</v>
      </c>
    </row>
    <row r="1541" spans="1:15" x14ac:dyDescent="0.35">
      <c r="A1541">
        <v>1540</v>
      </c>
      <c r="B1541" s="2" t="s">
        <v>22</v>
      </c>
      <c r="C1541" s="2" t="s">
        <v>15</v>
      </c>
      <c r="D1541">
        <v>46</v>
      </c>
      <c r="E1541" s="2" t="s">
        <v>12</v>
      </c>
      <c r="F1541" s="2" t="s">
        <v>17</v>
      </c>
      <c r="G1541">
        <v>94401</v>
      </c>
      <c r="H1541" s="1">
        <v>45518</v>
      </c>
      <c r="I1541">
        <v>5</v>
      </c>
      <c r="J1541">
        <v>5</v>
      </c>
      <c r="K1541">
        <v>9440</v>
      </c>
      <c r="L1541">
        <v>4720</v>
      </c>
      <c r="M1541">
        <v>99121</v>
      </c>
      <c r="N1541">
        <v>0</v>
      </c>
      <c r="O1541">
        <v>103841</v>
      </c>
    </row>
    <row r="1542" spans="1:15" x14ac:dyDescent="0.35">
      <c r="A1542">
        <v>1541</v>
      </c>
      <c r="B1542" s="2" t="s">
        <v>23</v>
      </c>
      <c r="C1542" s="2" t="s">
        <v>15</v>
      </c>
      <c r="D1542">
        <v>27</v>
      </c>
      <c r="E1542" s="2" t="s">
        <v>29</v>
      </c>
      <c r="F1542" s="2" t="s">
        <v>19</v>
      </c>
      <c r="G1542">
        <v>56596</v>
      </c>
      <c r="H1542" s="1">
        <v>44667</v>
      </c>
      <c r="I1542">
        <v>10</v>
      </c>
      <c r="J1542">
        <v>5</v>
      </c>
      <c r="K1542">
        <v>5660</v>
      </c>
      <c r="L1542">
        <v>2830</v>
      </c>
      <c r="M1542">
        <v>59426</v>
      </c>
      <c r="N1542">
        <v>2830</v>
      </c>
      <c r="O1542">
        <v>65086</v>
      </c>
    </row>
    <row r="1543" spans="1:15" x14ac:dyDescent="0.35">
      <c r="A1543">
        <v>1542</v>
      </c>
      <c r="B1543" s="2" t="s">
        <v>14</v>
      </c>
      <c r="C1543" s="2" t="s">
        <v>11</v>
      </c>
      <c r="D1543">
        <v>46</v>
      </c>
      <c r="E1543" s="2" t="s">
        <v>29</v>
      </c>
      <c r="F1543" s="2" t="s">
        <v>17</v>
      </c>
      <c r="G1543">
        <v>78920</v>
      </c>
      <c r="H1543" s="1">
        <v>45517</v>
      </c>
      <c r="I1543">
        <v>18</v>
      </c>
      <c r="J1543">
        <v>5</v>
      </c>
      <c r="K1543">
        <v>7892</v>
      </c>
      <c r="L1543">
        <v>3946</v>
      </c>
      <c r="M1543">
        <v>82866</v>
      </c>
      <c r="N1543">
        <v>3946</v>
      </c>
      <c r="O1543">
        <v>90758</v>
      </c>
    </row>
    <row r="1544" spans="1:15" x14ac:dyDescent="0.35">
      <c r="A1544">
        <v>1543</v>
      </c>
      <c r="B1544" s="2" t="s">
        <v>30</v>
      </c>
      <c r="C1544" s="2" t="s">
        <v>15</v>
      </c>
      <c r="D1544">
        <v>44</v>
      </c>
      <c r="E1544" s="2" t="s">
        <v>12</v>
      </c>
      <c r="F1544" s="2" t="s">
        <v>25</v>
      </c>
      <c r="G1544">
        <v>91488</v>
      </c>
      <c r="H1544" s="1">
        <v>45544</v>
      </c>
      <c r="I1544">
        <v>13</v>
      </c>
      <c r="J1544">
        <v>3</v>
      </c>
      <c r="K1544">
        <v>9149</v>
      </c>
      <c r="L1544">
        <v>4574</v>
      </c>
      <c r="M1544">
        <v>96063</v>
      </c>
      <c r="N1544">
        <v>4574</v>
      </c>
      <c r="O1544">
        <v>105211</v>
      </c>
    </row>
    <row r="1545" spans="1:15" x14ac:dyDescent="0.35">
      <c r="A1545">
        <v>1544</v>
      </c>
      <c r="B1545" s="2" t="s">
        <v>20</v>
      </c>
      <c r="C1545" s="2" t="s">
        <v>15</v>
      </c>
      <c r="D1545">
        <v>45</v>
      </c>
      <c r="E1545" s="2" t="s">
        <v>28</v>
      </c>
      <c r="F1545" s="2" t="s">
        <v>19</v>
      </c>
      <c r="G1545">
        <v>37939</v>
      </c>
      <c r="H1545" s="1">
        <v>45201</v>
      </c>
      <c r="I1545">
        <v>12</v>
      </c>
      <c r="J1545">
        <v>1</v>
      </c>
      <c r="K1545">
        <v>3794</v>
      </c>
      <c r="L1545">
        <v>1897</v>
      </c>
      <c r="M1545">
        <v>39836</v>
      </c>
      <c r="N1545">
        <v>1897</v>
      </c>
      <c r="O1545">
        <v>43630</v>
      </c>
    </row>
    <row r="1546" spans="1:15" x14ac:dyDescent="0.35">
      <c r="A1546">
        <v>1545</v>
      </c>
      <c r="B1546" s="2" t="s">
        <v>18</v>
      </c>
      <c r="C1546" s="2" t="s">
        <v>11</v>
      </c>
      <c r="D1546">
        <v>27</v>
      </c>
      <c r="E1546" s="2" t="s">
        <v>29</v>
      </c>
      <c r="F1546" s="2" t="s">
        <v>21</v>
      </c>
      <c r="G1546">
        <v>53095</v>
      </c>
      <c r="H1546" s="1">
        <v>45212</v>
      </c>
      <c r="I1546">
        <v>3</v>
      </c>
      <c r="J1546">
        <v>5</v>
      </c>
      <c r="K1546">
        <v>5310</v>
      </c>
      <c r="L1546">
        <v>2655</v>
      </c>
      <c r="M1546">
        <v>55750</v>
      </c>
      <c r="N1546">
        <v>0</v>
      </c>
      <c r="O1546">
        <v>58405</v>
      </c>
    </row>
    <row r="1547" spans="1:15" x14ac:dyDescent="0.35">
      <c r="A1547">
        <v>1546</v>
      </c>
      <c r="B1547" s="2" t="s">
        <v>30</v>
      </c>
      <c r="C1547" s="2" t="s">
        <v>15</v>
      </c>
      <c r="D1547">
        <v>32</v>
      </c>
      <c r="E1547" s="2" t="s">
        <v>16</v>
      </c>
      <c r="F1547" s="2" t="s">
        <v>13</v>
      </c>
      <c r="G1547">
        <v>70047</v>
      </c>
      <c r="H1547" s="1">
        <v>44609</v>
      </c>
      <c r="I1547">
        <v>18</v>
      </c>
      <c r="J1547">
        <v>2</v>
      </c>
      <c r="K1547">
        <v>7005</v>
      </c>
      <c r="L1547">
        <v>3502</v>
      </c>
      <c r="M1547">
        <v>73550</v>
      </c>
      <c r="N1547">
        <v>3502</v>
      </c>
      <c r="O1547">
        <v>80554</v>
      </c>
    </row>
    <row r="1548" spans="1:15" x14ac:dyDescent="0.35">
      <c r="A1548">
        <v>1547</v>
      </c>
      <c r="B1548" s="2" t="s">
        <v>14</v>
      </c>
      <c r="C1548" s="2" t="s">
        <v>15</v>
      </c>
      <c r="D1548">
        <v>26</v>
      </c>
      <c r="E1548" s="2" t="s">
        <v>29</v>
      </c>
      <c r="F1548" s="2" t="s">
        <v>19</v>
      </c>
      <c r="G1548">
        <v>58150</v>
      </c>
      <c r="H1548" s="1">
        <v>44664</v>
      </c>
      <c r="I1548">
        <v>7</v>
      </c>
      <c r="J1548">
        <v>5</v>
      </c>
      <c r="K1548">
        <v>5815</v>
      </c>
      <c r="L1548">
        <v>2908</v>
      </c>
      <c r="M1548">
        <v>61057</v>
      </c>
      <c r="N1548">
        <v>2908</v>
      </c>
      <c r="O1548">
        <v>66873</v>
      </c>
    </row>
    <row r="1549" spans="1:15" x14ac:dyDescent="0.35">
      <c r="A1549">
        <v>1548</v>
      </c>
      <c r="B1549" s="2" t="s">
        <v>26</v>
      </c>
      <c r="C1549" s="2" t="s">
        <v>11</v>
      </c>
      <c r="D1549">
        <v>51</v>
      </c>
      <c r="E1549" s="2" t="s">
        <v>29</v>
      </c>
      <c r="F1549" s="2" t="s">
        <v>21</v>
      </c>
      <c r="G1549">
        <v>57587</v>
      </c>
      <c r="H1549" s="1">
        <v>45512</v>
      </c>
      <c r="I1549">
        <v>11</v>
      </c>
      <c r="J1549">
        <v>2</v>
      </c>
      <c r="K1549">
        <v>5759</v>
      </c>
      <c r="L1549">
        <v>2879</v>
      </c>
      <c r="M1549">
        <v>60467</v>
      </c>
      <c r="N1549">
        <v>2879</v>
      </c>
      <c r="O1549">
        <v>66225</v>
      </c>
    </row>
    <row r="1550" spans="1:15" x14ac:dyDescent="0.35">
      <c r="A1550">
        <v>1549</v>
      </c>
      <c r="B1550" s="2" t="s">
        <v>30</v>
      </c>
      <c r="C1550" s="2" t="s">
        <v>15</v>
      </c>
      <c r="D1550">
        <v>36</v>
      </c>
      <c r="E1550" s="2" t="s">
        <v>12</v>
      </c>
      <c r="F1550" s="2" t="s">
        <v>21</v>
      </c>
      <c r="G1550">
        <v>63043</v>
      </c>
      <c r="H1550" s="1">
        <v>44920</v>
      </c>
      <c r="I1550">
        <v>7</v>
      </c>
      <c r="J1550">
        <v>3</v>
      </c>
      <c r="K1550">
        <v>6304</v>
      </c>
      <c r="L1550">
        <v>3152</v>
      </c>
      <c r="M1550">
        <v>66195</v>
      </c>
      <c r="N1550">
        <v>3152</v>
      </c>
      <c r="O1550">
        <v>72499</v>
      </c>
    </row>
    <row r="1551" spans="1:15" x14ac:dyDescent="0.35">
      <c r="A1551">
        <v>1550</v>
      </c>
      <c r="B1551" s="2" t="s">
        <v>23</v>
      </c>
      <c r="C1551" s="2" t="s">
        <v>15</v>
      </c>
      <c r="D1551">
        <v>38</v>
      </c>
      <c r="E1551" s="2" t="s">
        <v>28</v>
      </c>
      <c r="F1551" s="2" t="s">
        <v>21</v>
      </c>
      <c r="G1551">
        <v>24046</v>
      </c>
      <c r="H1551" s="1">
        <v>45520</v>
      </c>
      <c r="I1551">
        <v>3</v>
      </c>
      <c r="J1551">
        <v>2</v>
      </c>
      <c r="K1551">
        <v>2405</v>
      </c>
      <c r="L1551">
        <v>1202</v>
      </c>
      <c r="M1551">
        <v>25249</v>
      </c>
      <c r="N1551">
        <v>0</v>
      </c>
      <c r="O1551">
        <v>26451</v>
      </c>
    </row>
    <row r="1552" spans="1:15" x14ac:dyDescent="0.35">
      <c r="A1552">
        <v>1551</v>
      </c>
      <c r="B1552" s="2" t="s">
        <v>27</v>
      </c>
      <c r="C1552" s="2" t="s">
        <v>15</v>
      </c>
      <c r="D1552">
        <v>27</v>
      </c>
      <c r="E1552" s="2" t="s">
        <v>29</v>
      </c>
      <c r="F1552" s="2" t="s">
        <v>25</v>
      </c>
      <c r="G1552">
        <v>40597</v>
      </c>
      <c r="H1552" s="1">
        <v>44782</v>
      </c>
      <c r="I1552">
        <v>12</v>
      </c>
      <c r="J1552">
        <v>2</v>
      </c>
      <c r="K1552">
        <v>4060</v>
      </c>
      <c r="L1552">
        <v>2030</v>
      </c>
      <c r="M1552">
        <v>42627</v>
      </c>
      <c r="N1552">
        <v>2030</v>
      </c>
      <c r="O1552">
        <v>46687</v>
      </c>
    </row>
    <row r="1553" spans="1:15" x14ac:dyDescent="0.35">
      <c r="A1553">
        <v>1552</v>
      </c>
      <c r="B1553" s="2" t="s">
        <v>20</v>
      </c>
      <c r="C1553" s="2" t="s">
        <v>15</v>
      </c>
      <c r="D1553">
        <v>41</v>
      </c>
      <c r="E1553" s="2" t="s">
        <v>24</v>
      </c>
      <c r="F1553" s="2" t="s">
        <v>21</v>
      </c>
      <c r="G1553">
        <v>71467</v>
      </c>
      <c r="H1553" s="1">
        <v>44838</v>
      </c>
      <c r="I1553">
        <v>7</v>
      </c>
      <c r="J1553">
        <v>4</v>
      </c>
      <c r="K1553">
        <v>7147</v>
      </c>
      <c r="L1553">
        <v>3573</v>
      </c>
      <c r="M1553">
        <v>75041</v>
      </c>
      <c r="N1553">
        <v>3573</v>
      </c>
      <c r="O1553">
        <v>82187</v>
      </c>
    </row>
    <row r="1554" spans="1:15" x14ac:dyDescent="0.35">
      <c r="A1554">
        <v>1553</v>
      </c>
      <c r="B1554" s="2" t="s">
        <v>14</v>
      </c>
      <c r="C1554" s="2" t="s">
        <v>11</v>
      </c>
      <c r="D1554">
        <v>52</v>
      </c>
      <c r="E1554" s="2" t="s">
        <v>29</v>
      </c>
      <c r="F1554" s="2" t="s">
        <v>13</v>
      </c>
      <c r="G1554">
        <v>21244</v>
      </c>
      <c r="H1554" s="1">
        <v>44892</v>
      </c>
      <c r="I1554">
        <v>9</v>
      </c>
      <c r="J1554">
        <v>1</v>
      </c>
      <c r="K1554">
        <v>2124</v>
      </c>
      <c r="L1554">
        <v>1062</v>
      </c>
      <c r="M1554">
        <v>22306</v>
      </c>
      <c r="N1554">
        <v>1062</v>
      </c>
      <c r="O1554">
        <v>24430</v>
      </c>
    </row>
    <row r="1555" spans="1:15" x14ac:dyDescent="0.35">
      <c r="A1555">
        <v>1554</v>
      </c>
      <c r="B1555" s="2" t="s">
        <v>18</v>
      </c>
      <c r="C1555" s="2" t="s">
        <v>11</v>
      </c>
      <c r="D1555">
        <v>24</v>
      </c>
      <c r="E1555" s="2" t="s">
        <v>24</v>
      </c>
      <c r="F1555" s="2" t="s">
        <v>25</v>
      </c>
      <c r="G1555">
        <v>40572</v>
      </c>
      <c r="H1555" s="1">
        <v>45316</v>
      </c>
      <c r="I1555">
        <v>13</v>
      </c>
      <c r="J1555">
        <v>5</v>
      </c>
      <c r="K1555">
        <v>4057</v>
      </c>
      <c r="L1555">
        <v>2029</v>
      </c>
      <c r="M1555">
        <v>42600</v>
      </c>
      <c r="N1555">
        <v>2029</v>
      </c>
      <c r="O1555">
        <v>46658</v>
      </c>
    </row>
    <row r="1556" spans="1:15" x14ac:dyDescent="0.35">
      <c r="A1556">
        <v>1555</v>
      </c>
      <c r="B1556" s="2" t="s">
        <v>18</v>
      </c>
      <c r="C1556" s="2" t="s">
        <v>11</v>
      </c>
      <c r="D1556">
        <v>27</v>
      </c>
      <c r="E1556" s="2" t="s">
        <v>12</v>
      </c>
      <c r="F1556" s="2" t="s">
        <v>13</v>
      </c>
      <c r="G1556">
        <v>70764</v>
      </c>
      <c r="H1556" s="1">
        <v>45502</v>
      </c>
      <c r="I1556">
        <v>16</v>
      </c>
      <c r="J1556">
        <v>1</v>
      </c>
      <c r="K1556">
        <v>7076</v>
      </c>
      <c r="L1556">
        <v>3538</v>
      </c>
      <c r="M1556">
        <v>74302</v>
      </c>
      <c r="N1556">
        <v>3538</v>
      </c>
      <c r="O1556">
        <v>81378</v>
      </c>
    </row>
    <row r="1557" spans="1:15" x14ac:dyDescent="0.35">
      <c r="A1557">
        <v>1556</v>
      </c>
      <c r="B1557" s="2" t="s">
        <v>30</v>
      </c>
      <c r="C1557" s="2" t="s">
        <v>15</v>
      </c>
      <c r="D1557">
        <v>36</v>
      </c>
      <c r="E1557" s="2" t="s">
        <v>29</v>
      </c>
      <c r="F1557" s="2" t="s">
        <v>19</v>
      </c>
      <c r="G1557">
        <v>59260</v>
      </c>
      <c r="H1557" s="1">
        <v>45228</v>
      </c>
      <c r="I1557">
        <v>1</v>
      </c>
      <c r="J1557">
        <v>5</v>
      </c>
      <c r="K1557">
        <v>5926</v>
      </c>
      <c r="L1557">
        <v>2963</v>
      </c>
      <c r="M1557">
        <v>62223</v>
      </c>
      <c r="N1557">
        <v>0</v>
      </c>
      <c r="O1557">
        <v>65186</v>
      </c>
    </row>
    <row r="1558" spans="1:15" x14ac:dyDescent="0.35">
      <c r="A1558">
        <v>1557</v>
      </c>
      <c r="B1558" s="2" t="s">
        <v>18</v>
      </c>
      <c r="C1558" s="2" t="s">
        <v>11</v>
      </c>
      <c r="D1558">
        <v>42</v>
      </c>
      <c r="E1558" s="2" t="s">
        <v>16</v>
      </c>
      <c r="F1558" s="2" t="s">
        <v>21</v>
      </c>
      <c r="G1558">
        <v>95379</v>
      </c>
      <c r="H1558" s="1">
        <v>44939</v>
      </c>
      <c r="I1558">
        <v>20</v>
      </c>
      <c r="J1558">
        <v>4</v>
      </c>
      <c r="K1558">
        <v>9538</v>
      </c>
      <c r="L1558">
        <v>4769</v>
      </c>
      <c r="M1558">
        <v>100148</v>
      </c>
      <c r="N1558">
        <v>4769</v>
      </c>
      <c r="O1558">
        <v>109686</v>
      </c>
    </row>
    <row r="1559" spans="1:15" x14ac:dyDescent="0.35">
      <c r="A1559">
        <v>1558</v>
      </c>
      <c r="B1559" s="2" t="s">
        <v>20</v>
      </c>
      <c r="C1559" s="2" t="s">
        <v>11</v>
      </c>
      <c r="D1559">
        <v>34</v>
      </c>
      <c r="E1559" s="2" t="s">
        <v>12</v>
      </c>
      <c r="F1559" s="2" t="s">
        <v>17</v>
      </c>
      <c r="G1559">
        <v>29309</v>
      </c>
      <c r="H1559" s="1">
        <v>44772</v>
      </c>
      <c r="I1559">
        <v>3</v>
      </c>
      <c r="J1559">
        <v>3</v>
      </c>
      <c r="K1559">
        <v>2931</v>
      </c>
      <c r="L1559">
        <v>1465</v>
      </c>
      <c r="M1559">
        <v>30775</v>
      </c>
      <c r="N1559">
        <v>0</v>
      </c>
      <c r="O1559">
        <v>32240</v>
      </c>
    </row>
    <row r="1560" spans="1:15" x14ac:dyDescent="0.35">
      <c r="A1560">
        <v>1559</v>
      </c>
      <c r="B1560" s="2" t="s">
        <v>30</v>
      </c>
      <c r="C1560" s="2" t="s">
        <v>11</v>
      </c>
      <c r="D1560">
        <v>31</v>
      </c>
      <c r="E1560" s="2" t="s">
        <v>29</v>
      </c>
      <c r="F1560" s="2" t="s">
        <v>19</v>
      </c>
      <c r="G1560">
        <v>64878</v>
      </c>
      <c r="H1560" s="1">
        <v>45292</v>
      </c>
      <c r="I1560">
        <v>1</v>
      </c>
      <c r="J1560">
        <v>5</v>
      </c>
      <c r="K1560">
        <v>6488</v>
      </c>
      <c r="L1560">
        <v>3244</v>
      </c>
      <c r="M1560">
        <v>68122</v>
      </c>
      <c r="N1560">
        <v>0</v>
      </c>
      <c r="O1560">
        <v>71366</v>
      </c>
    </row>
    <row r="1561" spans="1:15" x14ac:dyDescent="0.35">
      <c r="A1561">
        <v>1560</v>
      </c>
      <c r="B1561" s="2" t="s">
        <v>31</v>
      </c>
      <c r="C1561" s="2" t="s">
        <v>15</v>
      </c>
      <c r="D1561">
        <v>60</v>
      </c>
      <c r="E1561" s="2" t="s">
        <v>28</v>
      </c>
      <c r="F1561" s="2" t="s">
        <v>19</v>
      </c>
      <c r="G1561">
        <v>98978</v>
      </c>
      <c r="H1561" s="1">
        <v>44921</v>
      </c>
      <c r="I1561">
        <v>17</v>
      </c>
      <c r="J1561">
        <v>3</v>
      </c>
      <c r="K1561">
        <v>9898</v>
      </c>
      <c r="L1561">
        <v>4949</v>
      </c>
      <c r="M1561">
        <v>103927</v>
      </c>
      <c r="N1561">
        <v>4949</v>
      </c>
      <c r="O1561">
        <v>113825</v>
      </c>
    </row>
    <row r="1562" spans="1:15" x14ac:dyDescent="0.35">
      <c r="A1562">
        <v>1561</v>
      </c>
      <c r="B1562" s="2" t="s">
        <v>26</v>
      </c>
      <c r="C1562" s="2" t="s">
        <v>11</v>
      </c>
      <c r="D1562">
        <v>24</v>
      </c>
      <c r="E1562" s="2" t="s">
        <v>24</v>
      </c>
      <c r="F1562" s="2" t="s">
        <v>19</v>
      </c>
      <c r="G1562">
        <v>36537</v>
      </c>
      <c r="H1562" s="1">
        <v>45030</v>
      </c>
      <c r="I1562">
        <v>19</v>
      </c>
      <c r="J1562">
        <v>3</v>
      </c>
      <c r="K1562">
        <v>3654</v>
      </c>
      <c r="L1562">
        <v>1827</v>
      </c>
      <c r="M1562">
        <v>38364</v>
      </c>
      <c r="N1562">
        <v>1827</v>
      </c>
      <c r="O1562">
        <v>42018</v>
      </c>
    </row>
    <row r="1563" spans="1:15" x14ac:dyDescent="0.35">
      <c r="A1563">
        <v>1562</v>
      </c>
      <c r="B1563" s="2" t="s">
        <v>27</v>
      </c>
      <c r="C1563" s="2" t="s">
        <v>11</v>
      </c>
      <c r="D1563">
        <v>38</v>
      </c>
      <c r="E1563" s="2" t="s">
        <v>24</v>
      </c>
      <c r="F1563" s="2" t="s">
        <v>17</v>
      </c>
      <c r="G1563">
        <v>20808</v>
      </c>
      <c r="H1563" s="1">
        <v>44899</v>
      </c>
      <c r="I1563">
        <v>17</v>
      </c>
      <c r="J1563">
        <v>4</v>
      </c>
      <c r="K1563">
        <v>2081</v>
      </c>
      <c r="L1563">
        <v>1040</v>
      </c>
      <c r="M1563">
        <v>21849</v>
      </c>
      <c r="N1563">
        <v>1040</v>
      </c>
      <c r="O1563">
        <v>23929</v>
      </c>
    </row>
    <row r="1564" spans="1:15" x14ac:dyDescent="0.35">
      <c r="A1564">
        <v>1563</v>
      </c>
      <c r="B1564" s="2" t="s">
        <v>31</v>
      </c>
      <c r="C1564" s="2" t="s">
        <v>11</v>
      </c>
      <c r="D1564">
        <v>45</v>
      </c>
      <c r="E1564" s="2" t="s">
        <v>29</v>
      </c>
      <c r="F1564" s="2" t="s">
        <v>19</v>
      </c>
      <c r="G1564">
        <v>91791</v>
      </c>
      <c r="H1564" s="1">
        <v>45121</v>
      </c>
      <c r="I1564">
        <v>3</v>
      </c>
      <c r="J1564">
        <v>1</v>
      </c>
      <c r="K1564">
        <v>9179</v>
      </c>
      <c r="L1564">
        <v>4590</v>
      </c>
      <c r="M1564">
        <v>96380</v>
      </c>
      <c r="N1564">
        <v>0</v>
      </c>
      <c r="O1564">
        <v>100970</v>
      </c>
    </row>
    <row r="1565" spans="1:15" x14ac:dyDescent="0.35">
      <c r="A1565">
        <v>1564</v>
      </c>
      <c r="B1565" s="2" t="s">
        <v>10</v>
      </c>
      <c r="C1565" s="2" t="s">
        <v>11</v>
      </c>
      <c r="D1565">
        <v>59</v>
      </c>
      <c r="E1565" s="2" t="s">
        <v>28</v>
      </c>
      <c r="F1565" s="2" t="s">
        <v>17</v>
      </c>
      <c r="G1565">
        <v>82984</v>
      </c>
      <c r="H1565" s="1">
        <v>45391</v>
      </c>
      <c r="I1565">
        <v>17</v>
      </c>
      <c r="J1565">
        <v>4</v>
      </c>
      <c r="K1565">
        <v>8298</v>
      </c>
      <c r="L1565">
        <v>4149</v>
      </c>
      <c r="M1565">
        <v>87133</v>
      </c>
      <c r="N1565">
        <v>4149</v>
      </c>
      <c r="O1565">
        <v>95431</v>
      </c>
    </row>
    <row r="1566" spans="1:15" x14ac:dyDescent="0.35">
      <c r="A1566">
        <v>1565</v>
      </c>
      <c r="B1566" s="2" t="s">
        <v>18</v>
      </c>
      <c r="C1566" s="2" t="s">
        <v>15</v>
      </c>
      <c r="D1566">
        <v>51</v>
      </c>
      <c r="E1566" s="2" t="s">
        <v>29</v>
      </c>
      <c r="F1566" s="2" t="s">
        <v>19</v>
      </c>
      <c r="G1566">
        <v>69218</v>
      </c>
      <c r="H1566" s="1">
        <v>45467</v>
      </c>
      <c r="I1566">
        <v>3</v>
      </c>
      <c r="J1566">
        <v>1</v>
      </c>
      <c r="K1566">
        <v>6922</v>
      </c>
      <c r="L1566">
        <v>3461</v>
      </c>
      <c r="M1566">
        <v>72679</v>
      </c>
      <c r="N1566">
        <v>0</v>
      </c>
      <c r="O1566">
        <v>76140</v>
      </c>
    </row>
    <row r="1567" spans="1:15" x14ac:dyDescent="0.35">
      <c r="A1567">
        <v>1566</v>
      </c>
      <c r="B1567" s="2" t="s">
        <v>20</v>
      </c>
      <c r="C1567" s="2" t="s">
        <v>15</v>
      </c>
      <c r="D1567">
        <v>39</v>
      </c>
      <c r="E1567" s="2" t="s">
        <v>24</v>
      </c>
      <c r="F1567" s="2" t="s">
        <v>21</v>
      </c>
      <c r="G1567">
        <v>77849</v>
      </c>
      <c r="H1567" s="1">
        <v>45436</v>
      </c>
      <c r="I1567">
        <v>18</v>
      </c>
      <c r="J1567">
        <v>2</v>
      </c>
      <c r="K1567">
        <v>7785</v>
      </c>
      <c r="L1567">
        <v>3892</v>
      </c>
      <c r="M1567">
        <v>81742</v>
      </c>
      <c r="N1567">
        <v>3892</v>
      </c>
      <c r="O1567">
        <v>89526</v>
      </c>
    </row>
    <row r="1568" spans="1:15" x14ac:dyDescent="0.35">
      <c r="A1568">
        <v>1567</v>
      </c>
      <c r="B1568" s="2" t="s">
        <v>30</v>
      </c>
      <c r="C1568" s="2" t="s">
        <v>15</v>
      </c>
      <c r="D1568">
        <v>47</v>
      </c>
      <c r="E1568" s="2" t="s">
        <v>12</v>
      </c>
      <c r="F1568" s="2" t="s">
        <v>25</v>
      </c>
      <c r="G1568">
        <v>20720</v>
      </c>
      <c r="H1568" s="1">
        <v>45416</v>
      </c>
      <c r="I1568">
        <v>8</v>
      </c>
      <c r="J1568">
        <v>2</v>
      </c>
      <c r="K1568">
        <v>2072</v>
      </c>
      <c r="L1568">
        <v>1036</v>
      </c>
      <c r="M1568">
        <v>21756</v>
      </c>
      <c r="N1568">
        <v>1036</v>
      </c>
      <c r="O1568">
        <v>23828</v>
      </c>
    </row>
    <row r="1569" spans="1:15" x14ac:dyDescent="0.35">
      <c r="A1569">
        <v>1568</v>
      </c>
      <c r="B1569" s="2" t="s">
        <v>31</v>
      </c>
      <c r="C1569" s="2" t="s">
        <v>15</v>
      </c>
      <c r="D1569">
        <v>44</v>
      </c>
      <c r="E1569" s="2" t="s">
        <v>12</v>
      </c>
      <c r="F1569" s="2" t="s">
        <v>21</v>
      </c>
      <c r="G1569">
        <v>85377</v>
      </c>
      <c r="H1569" s="1">
        <v>45534</v>
      </c>
      <c r="I1569">
        <v>3</v>
      </c>
      <c r="J1569">
        <v>2</v>
      </c>
      <c r="K1569">
        <v>8538</v>
      </c>
      <c r="L1569">
        <v>4269</v>
      </c>
      <c r="M1569">
        <v>89646</v>
      </c>
      <c r="N1569">
        <v>0</v>
      </c>
      <c r="O1569">
        <v>93915</v>
      </c>
    </row>
    <row r="1570" spans="1:15" x14ac:dyDescent="0.35">
      <c r="A1570">
        <v>1569</v>
      </c>
      <c r="B1570" s="2" t="s">
        <v>31</v>
      </c>
      <c r="C1570" s="2" t="s">
        <v>15</v>
      </c>
      <c r="D1570">
        <v>31</v>
      </c>
      <c r="E1570" s="2" t="s">
        <v>16</v>
      </c>
      <c r="F1570" s="2" t="s">
        <v>21</v>
      </c>
      <c r="G1570">
        <v>23121</v>
      </c>
      <c r="H1570" s="1">
        <v>45046</v>
      </c>
      <c r="I1570">
        <v>7</v>
      </c>
      <c r="J1570">
        <v>4</v>
      </c>
      <c r="K1570">
        <v>2312</v>
      </c>
      <c r="L1570">
        <v>1156</v>
      </c>
      <c r="M1570">
        <v>24277</v>
      </c>
      <c r="N1570">
        <v>1156</v>
      </c>
      <c r="O1570">
        <v>26589</v>
      </c>
    </row>
    <row r="1571" spans="1:15" x14ac:dyDescent="0.35">
      <c r="A1571">
        <v>1570</v>
      </c>
      <c r="B1571" s="2" t="s">
        <v>10</v>
      </c>
      <c r="C1571" s="2" t="s">
        <v>11</v>
      </c>
      <c r="D1571">
        <v>34</v>
      </c>
      <c r="E1571" s="2" t="s">
        <v>24</v>
      </c>
      <c r="F1571" s="2" t="s">
        <v>25</v>
      </c>
      <c r="G1571">
        <v>61891</v>
      </c>
      <c r="H1571" s="1">
        <v>45312</v>
      </c>
      <c r="I1571">
        <v>14</v>
      </c>
      <c r="J1571">
        <v>3</v>
      </c>
      <c r="K1571">
        <v>6189</v>
      </c>
      <c r="L1571">
        <v>3095</v>
      </c>
      <c r="M1571">
        <v>64985</v>
      </c>
      <c r="N1571">
        <v>3095</v>
      </c>
      <c r="O1571">
        <v>71175</v>
      </c>
    </row>
    <row r="1572" spans="1:15" x14ac:dyDescent="0.35">
      <c r="A1572">
        <v>1571</v>
      </c>
      <c r="B1572" s="2" t="s">
        <v>26</v>
      </c>
      <c r="C1572" s="2" t="s">
        <v>15</v>
      </c>
      <c r="D1572">
        <v>38</v>
      </c>
      <c r="E1572" s="2" t="s">
        <v>16</v>
      </c>
      <c r="F1572" s="2" t="s">
        <v>21</v>
      </c>
      <c r="G1572">
        <v>62583</v>
      </c>
      <c r="H1572" s="1">
        <v>44648</v>
      </c>
      <c r="I1572">
        <v>15</v>
      </c>
      <c r="J1572">
        <v>1</v>
      </c>
      <c r="K1572">
        <v>6258</v>
      </c>
      <c r="L1572">
        <v>3129</v>
      </c>
      <c r="M1572">
        <v>65712</v>
      </c>
      <c r="N1572">
        <v>3129</v>
      </c>
      <c r="O1572">
        <v>71970</v>
      </c>
    </row>
    <row r="1573" spans="1:15" x14ac:dyDescent="0.35">
      <c r="A1573">
        <v>1572</v>
      </c>
      <c r="B1573" s="2" t="s">
        <v>22</v>
      </c>
      <c r="C1573" s="2" t="s">
        <v>11</v>
      </c>
      <c r="D1573">
        <v>32</v>
      </c>
      <c r="E1573" s="2" t="s">
        <v>29</v>
      </c>
      <c r="F1573" s="2" t="s">
        <v>21</v>
      </c>
      <c r="G1573">
        <v>65263</v>
      </c>
      <c r="H1573" s="1">
        <v>45411</v>
      </c>
      <c r="I1573">
        <v>7</v>
      </c>
      <c r="J1573">
        <v>4</v>
      </c>
      <c r="K1573">
        <v>6526</v>
      </c>
      <c r="L1573">
        <v>3263</v>
      </c>
      <c r="M1573">
        <v>68526</v>
      </c>
      <c r="N1573">
        <v>3263</v>
      </c>
      <c r="O1573">
        <v>75052</v>
      </c>
    </row>
    <row r="1574" spans="1:15" x14ac:dyDescent="0.35">
      <c r="A1574">
        <v>1573</v>
      </c>
      <c r="B1574" s="2" t="s">
        <v>26</v>
      </c>
      <c r="C1574" s="2" t="s">
        <v>15</v>
      </c>
      <c r="D1574">
        <v>48</v>
      </c>
      <c r="E1574" s="2" t="s">
        <v>28</v>
      </c>
      <c r="F1574" s="2" t="s">
        <v>19</v>
      </c>
      <c r="G1574">
        <v>75406</v>
      </c>
      <c r="H1574" s="1">
        <v>44635</v>
      </c>
      <c r="I1574">
        <v>17</v>
      </c>
      <c r="J1574">
        <v>2</v>
      </c>
      <c r="K1574">
        <v>7541</v>
      </c>
      <c r="L1574">
        <v>3770</v>
      </c>
      <c r="M1574">
        <v>79177</v>
      </c>
      <c r="N1574">
        <v>3770</v>
      </c>
      <c r="O1574">
        <v>86717</v>
      </c>
    </row>
    <row r="1575" spans="1:15" x14ac:dyDescent="0.35">
      <c r="A1575">
        <v>1574</v>
      </c>
      <c r="B1575" s="2" t="s">
        <v>27</v>
      </c>
      <c r="C1575" s="2" t="s">
        <v>15</v>
      </c>
      <c r="D1575">
        <v>56</v>
      </c>
      <c r="E1575" s="2" t="s">
        <v>16</v>
      </c>
      <c r="F1575" s="2" t="s">
        <v>17</v>
      </c>
      <c r="G1575">
        <v>70709</v>
      </c>
      <c r="H1575" s="1">
        <v>44855</v>
      </c>
      <c r="I1575">
        <v>13</v>
      </c>
      <c r="J1575">
        <v>4</v>
      </c>
      <c r="K1575">
        <v>7071</v>
      </c>
      <c r="L1575">
        <v>3535</v>
      </c>
      <c r="M1575">
        <v>74245</v>
      </c>
      <c r="N1575">
        <v>3535</v>
      </c>
      <c r="O1575">
        <v>81315</v>
      </c>
    </row>
    <row r="1576" spans="1:15" x14ac:dyDescent="0.35">
      <c r="A1576">
        <v>1575</v>
      </c>
      <c r="B1576" s="2" t="s">
        <v>30</v>
      </c>
      <c r="C1576" s="2" t="s">
        <v>15</v>
      </c>
      <c r="D1576">
        <v>36</v>
      </c>
      <c r="E1576" s="2" t="s">
        <v>12</v>
      </c>
      <c r="F1576" s="2" t="s">
        <v>19</v>
      </c>
      <c r="G1576">
        <v>38590</v>
      </c>
      <c r="H1576" s="1">
        <v>45539</v>
      </c>
      <c r="I1576">
        <v>13</v>
      </c>
      <c r="J1576">
        <v>2</v>
      </c>
      <c r="K1576">
        <v>3859</v>
      </c>
      <c r="L1576">
        <v>1930</v>
      </c>
      <c r="M1576">
        <v>40519</v>
      </c>
      <c r="N1576">
        <v>1930</v>
      </c>
      <c r="O1576">
        <v>44379</v>
      </c>
    </row>
    <row r="1577" spans="1:15" x14ac:dyDescent="0.35">
      <c r="A1577">
        <v>1576</v>
      </c>
      <c r="B1577" s="2" t="s">
        <v>14</v>
      </c>
      <c r="C1577" s="2" t="s">
        <v>15</v>
      </c>
      <c r="D1577">
        <v>22</v>
      </c>
      <c r="E1577" s="2" t="s">
        <v>29</v>
      </c>
      <c r="F1577" s="2" t="s">
        <v>17</v>
      </c>
      <c r="G1577">
        <v>84753</v>
      </c>
      <c r="H1577" s="1">
        <v>44851</v>
      </c>
      <c r="I1577">
        <v>1</v>
      </c>
      <c r="J1577">
        <v>1</v>
      </c>
      <c r="K1577">
        <v>8475</v>
      </c>
      <c r="L1577">
        <v>4238</v>
      </c>
      <c r="M1577">
        <v>88990</v>
      </c>
      <c r="N1577">
        <v>0</v>
      </c>
      <c r="O1577">
        <v>93228</v>
      </c>
    </row>
    <row r="1578" spans="1:15" x14ac:dyDescent="0.35">
      <c r="A1578">
        <v>1577</v>
      </c>
      <c r="B1578" s="2" t="s">
        <v>22</v>
      </c>
      <c r="C1578" s="2" t="s">
        <v>11</v>
      </c>
      <c r="D1578">
        <v>32</v>
      </c>
      <c r="E1578" s="2" t="s">
        <v>29</v>
      </c>
      <c r="F1578" s="2" t="s">
        <v>17</v>
      </c>
      <c r="G1578">
        <v>86477</v>
      </c>
      <c r="H1578" s="1">
        <v>45453</v>
      </c>
      <c r="I1578">
        <v>16</v>
      </c>
      <c r="J1578">
        <v>2</v>
      </c>
      <c r="K1578">
        <v>8648</v>
      </c>
      <c r="L1578">
        <v>4324</v>
      </c>
      <c r="M1578">
        <v>90801</v>
      </c>
      <c r="N1578">
        <v>4324</v>
      </c>
      <c r="O1578">
        <v>99449</v>
      </c>
    </row>
    <row r="1579" spans="1:15" x14ac:dyDescent="0.35">
      <c r="A1579">
        <v>1578</v>
      </c>
      <c r="B1579" s="2" t="s">
        <v>22</v>
      </c>
      <c r="C1579" s="2" t="s">
        <v>11</v>
      </c>
      <c r="D1579">
        <v>32</v>
      </c>
      <c r="E1579" s="2" t="s">
        <v>29</v>
      </c>
      <c r="F1579" s="2" t="s">
        <v>19</v>
      </c>
      <c r="G1579">
        <v>40648</v>
      </c>
      <c r="H1579" s="1">
        <v>45042</v>
      </c>
      <c r="I1579">
        <v>9</v>
      </c>
      <c r="J1579">
        <v>1</v>
      </c>
      <c r="K1579">
        <v>4065</v>
      </c>
      <c r="L1579">
        <v>2032</v>
      </c>
      <c r="M1579">
        <v>42681</v>
      </c>
      <c r="N1579">
        <v>2032</v>
      </c>
      <c r="O1579">
        <v>46745</v>
      </c>
    </row>
    <row r="1580" spans="1:15" x14ac:dyDescent="0.35">
      <c r="A1580">
        <v>1579</v>
      </c>
      <c r="B1580" s="2" t="s">
        <v>31</v>
      </c>
      <c r="C1580" s="2" t="s">
        <v>15</v>
      </c>
      <c r="D1580">
        <v>31</v>
      </c>
      <c r="E1580" s="2" t="s">
        <v>16</v>
      </c>
      <c r="F1580" s="2" t="s">
        <v>25</v>
      </c>
      <c r="G1580">
        <v>28744</v>
      </c>
      <c r="H1580" s="1">
        <v>44655</v>
      </c>
      <c r="I1580">
        <v>1</v>
      </c>
      <c r="J1580">
        <v>2</v>
      </c>
      <c r="K1580">
        <v>2874</v>
      </c>
      <c r="L1580">
        <v>1437</v>
      </c>
      <c r="M1580">
        <v>30181</v>
      </c>
      <c r="N1580">
        <v>0</v>
      </c>
      <c r="O1580">
        <v>31618</v>
      </c>
    </row>
    <row r="1581" spans="1:15" x14ac:dyDescent="0.35">
      <c r="A1581">
        <v>1580</v>
      </c>
      <c r="B1581" s="2" t="s">
        <v>26</v>
      </c>
      <c r="C1581" s="2" t="s">
        <v>15</v>
      </c>
      <c r="D1581">
        <v>27</v>
      </c>
      <c r="E1581" s="2" t="s">
        <v>28</v>
      </c>
      <c r="F1581" s="2" t="s">
        <v>21</v>
      </c>
      <c r="G1581">
        <v>85510</v>
      </c>
      <c r="H1581" s="1">
        <v>45498</v>
      </c>
      <c r="I1581">
        <v>8</v>
      </c>
      <c r="J1581">
        <v>4</v>
      </c>
      <c r="K1581">
        <v>8551</v>
      </c>
      <c r="L1581">
        <v>4276</v>
      </c>
      <c r="M1581">
        <v>89785</v>
      </c>
      <c r="N1581">
        <v>4276</v>
      </c>
      <c r="O1581">
        <v>98337</v>
      </c>
    </row>
    <row r="1582" spans="1:15" x14ac:dyDescent="0.35">
      <c r="A1582">
        <v>1581</v>
      </c>
      <c r="B1582" s="2" t="s">
        <v>18</v>
      </c>
      <c r="C1582" s="2" t="s">
        <v>15</v>
      </c>
      <c r="D1582">
        <v>55</v>
      </c>
      <c r="E1582" s="2" t="s">
        <v>12</v>
      </c>
      <c r="F1582" s="2" t="s">
        <v>21</v>
      </c>
      <c r="G1582">
        <v>51728</v>
      </c>
      <c r="H1582" s="1">
        <v>45535</v>
      </c>
      <c r="I1582">
        <v>5</v>
      </c>
      <c r="J1582">
        <v>3</v>
      </c>
      <c r="K1582">
        <v>5173</v>
      </c>
      <c r="L1582">
        <v>2586</v>
      </c>
      <c r="M1582">
        <v>54315</v>
      </c>
      <c r="N1582">
        <v>0</v>
      </c>
      <c r="O1582">
        <v>56901</v>
      </c>
    </row>
    <row r="1583" spans="1:15" x14ac:dyDescent="0.35">
      <c r="A1583">
        <v>1582</v>
      </c>
      <c r="B1583" s="2" t="s">
        <v>30</v>
      </c>
      <c r="C1583" s="2" t="s">
        <v>11</v>
      </c>
      <c r="D1583">
        <v>54</v>
      </c>
      <c r="E1583" s="2" t="s">
        <v>29</v>
      </c>
      <c r="F1583" s="2" t="s">
        <v>17</v>
      </c>
      <c r="G1583">
        <v>47064</v>
      </c>
      <c r="H1583" s="1">
        <v>45476</v>
      </c>
      <c r="I1583">
        <v>14</v>
      </c>
      <c r="J1583">
        <v>2</v>
      </c>
      <c r="K1583">
        <v>4706</v>
      </c>
      <c r="L1583">
        <v>2353</v>
      </c>
      <c r="M1583">
        <v>49417</v>
      </c>
      <c r="N1583">
        <v>2353</v>
      </c>
      <c r="O1583">
        <v>54123</v>
      </c>
    </row>
    <row r="1584" spans="1:15" x14ac:dyDescent="0.35">
      <c r="A1584">
        <v>1583</v>
      </c>
      <c r="B1584" s="2" t="s">
        <v>31</v>
      </c>
      <c r="C1584" s="2" t="s">
        <v>11</v>
      </c>
      <c r="D1584">
        <v>38</v>
      </c>
      <c r="E1584" s="2" t="s">
        <v>24</v>
      </c>
      <c r="F1584" s="2" t="s">
        <v>25</v>
      </c>
      <c r="G1584">
        <v>56463</v>
      </c>
      <c r="H1584" s="1">
        <v>44713</v>
      </c>
      <c r="I1584">
        <v>11</v>
      </c>
      <c r="J1584">
        <v>3</v>
      </c>
      <c r="K1584">
        <v>5646</v>
      </c>
      <c r="L1584">
        <v>2823</v>
      </c>
      <c r="M1584">
        <v>59286</v>
      </c>
      <c r="N1584">
        <v>2823</v>
      </c>
      <c r="O1584">
        <v>64932</v>
      </c>
    </row>
    <row r="1585" spans="1:15" x14ac:dyDescent="0.35">
      <c r="A1585">
        <v>1584</v>
      </c>
      <c r="B1585" s="2" t="s">
        <v>10</v>
      </c>
      <c r="C1585" s="2" t="s">
        <v>15</v>
      </c>
      <c r="D1585">
        <v>53</v>
      </c>
      <c r="E1585" s="2" t="s">
        <v>12</v>
      </c>
      <c r="F1585" s="2" t="s">
        <v>13</v>
      </c>
      <c r="G1585">
        <v>46570</v>
      </c>
      <c r="H1585" s="1">
        <v>44565</v>
      </c>
      <c r="I1585">
        <v>10</v>
      </c>
      <c r="J1585">
        <v>3</v>
      </c>
      <c r="K1585">
        <v>4657</v>
      </c>
      <c r="L1585">
        <v>2328</v>
      </c>
      <c r="M1585">
        <v>48899</v>
      </c>
      <c r="N1585">
        <v>2328</v>
      </c>
      <c r="O1585">
        <v>53555</v>
      </c>
    </row>
    <row r="1586" spans="1:15" x14ac:dyDescent="0.35">
      <c r="A1586">
        <v>1585</v>
      </c>
      <c r="B1586" s="2" t="s">
        <v>10</v>
      </c>
      <c r="C1586" s="2" t="s">
        <v>15</v>
      </c>
      <c r="D1586">
        <v>35</v>
      </c>
      <c r="E1586" s="2" t="s">
        <v>12</v>
      </c>
      <c r="F1586" s="2" t="s">
        <v>21</v>
      </c>
      <c r="G1586">
        <v>71641</v>
      </c>
      <c r="H1586" s="1">
        <v>44824</v>
      </c>
      <c r="I1586">
        <v>17</v>
      </c>
      <c r="J1586">
        <v>4</v>
      </c>
      <c r="K1586">
        <v>7164</v>
      </c>
      <c r="L1586">
        <v>3582</v>
      </c>
      <c r="M1586">
        <v>75223</v>
      </c>
      <c r="N1586">
        <v>3582</v>
      </c>
      <c r="O1586">
        <v>82387</v>
      </c>
    </row>
    <row r="1587" spans="1:15" x14ac:dyDescent="0.35">
      <c r="A1587">
        <v>1586</v>
      </c>
      <c r="B1587" s="2" t="s">
        <v>20</v>
      </c>
      <c r="C1587" s="2" t="s">
        <v>15</v>
      </c>
      <c r="D1587">
        <v>52</v>
      </c>
      <c r="E1587" s="2" t="s">
        <v>29</v>
      </c>
      <c r="F1587" s="2" t="s">
        <v>19</v>
      </c>
      <c r="G1587">
        <v>91962</v>
      </c>
      <c r="H1587" s="1">
        <v>44939</v>
      </c>
      <c r="I1587">
        <v>4</v>
      </c>
      <c r="J1587">
        <v>5</v>
      </c>
      <c r="K1587">
        <v>9196</v>
      </c>
      <c r="L1587">
        <v>4598</v>
      </c>
      <c r="M1587">
        <v>96560</v>
      </c>
      <c r="N1587">
        <v>0</v>
      </c>
      <c r="O1587">
        <v>101158</v>
      </c>
    </row>
    <row r="1588" spans="1:15" x14ac:dyDescent="0.35">
      <c r="A1588">
        <v>1587</v>
      </c>
      <c r="B1588" s="2" t="s">
        <v>31</v>
      </c>
      <c r="C1588" s="2" t="s">
        <v>15</v>
      </c>
      <c r="D1588">
        <v>34</v>
      </c>
      <c r="E1588" s="2" t="s">
        <v>24</v>
      </c>
      <c r="F1588" s="2" t="s">
        <v>13</v>
      </c>
      <c r="G1588">
        <v>29325</v>
      </c>
      <c r="H1588" s="1">
        <v>45509</v>
      </c>
      <c r="I1588">
        <v>14</v>
      </c>
      <c r="J1588">
        <v>1</v>
      </c>
      <c r="K1588">
        <v>2932</v>
      </c>
      <c r="L1588">
        <v>1466</v>
      </c>
      <c r="M1588">
        <v>30791</v>
      </c>
      <c r="N1588">
        <v>1466</v>
      </c>
      <c r="O1588">
        <v>33723</v>
      </c>
    </row>
    <row r="1589" spans="1:15" x14ac:dyDescent="0.35">
      <c r="A1589">
        <v>1588</v>
      </c>
      <c r="B1589" s="2" t="s">
        <v>23</v>
      </c>
      <c r="C1589" s="2" t="s">
        <v>11</v>
      </c>
      <c r="D1589">
        <v>31</v>
      </c>
      <c r="E1589" s="2" t="s">
        <v>12</v>
      </c>
      <c r="F1589" s="2" t="s">
        <v>19</v>
      </c>
      <c r="G1589">
        <v>74083</v>
      </c>
      <c r="H1589" s="1">
        <v>45494</v>
      </c>
      <c r="I1589">
        <v>11</v>
      </c>
      <c r="J1589">
        <v>4</v>
      </c>
      <c r="K1589">
        <v>7408</v>
      </c>
      <c r="L1589">
        <v>3704</v>
      </c>
      <c r="M1589">
        <v>77787</v>
      </c>
      <c r="N1589">
        <v>3704</v>
      </c>
      <c r="O1589">
        <v>85195</v>
      </c>
    </row>
    <row r="1590" spans="1:15" x14ac:dyDescent="0.35">
      <c r="A1590">
        <v>1589</v>
      </c>
      <c r="B1590" s="2" t="s">
        <v>31</v>
      </c>
      <c r="C1590" s="2" t="s">
        <v>15</v>
      </c>
      <c r="D1590">
        <v>26</v>
      </c>
      <c r="E1590" s="2" t="s">
        <v>16</v>
      </c>
      <c r="F1590" s="2" t="s">
        <v>21</v>
      </c>
      <c r="G1590">
        <v>77251</v>
      </c>
      <c r="H1590" s="1">
        <v>45540</v>
      </c>
      <c r="I1590">
        <v>16</v>
      </c>
      <c r="J1590">
        <v>5</v>
      </c>
      <c r="K1590">
        <v>7725</v>
      </c>
      <c r="L1590">
        <v>3863</v>
      </c>
      <c r="M1590">
        <v>81113</v>
      </c>
      <c r="N1590">
        <v>3863</v>
      </c>
      <c r="O1590">
        <v>88839</v>
      </c>
    </row>
    <row r="1591" spans="1:15" x14ac:dyDescent="0.35">
      <c r="A1591">
        <v>1590</v>
      </c>
      <c r="B1591" s="2" t="s">
        <v>31</v>
      </c>
      <c r="C1591" s="2" t="s">
        <v>11</v>
      </c>
      <c r="D1591">
        <v>49</v>
      </c>
      <c r="E1591" s="2" t="s">
        <v>12</v>
      </c>
      <c r="F1591" s="2" t="s">
        <v>19</v>
      </c>
      <c r="G1591">
        <v>40474</v>
      </c>
      <c r="H1591" s="1">
        <v>45277</v>
      </c>
      <c r="I1591">
        <v>14</v>
      </c>
      <c r="J1591">
        <v>4</v>
      </c>
      <c r="K1591">
        <v>4047</v>
      </c>
      <c r="L1591">
        <v>2024</v>
      </c>
      <c r="M1591">
        <v>42497</v>
      </c>
      <c r="N1591">
        <v>2024</v>
      </c>
      <c r="O1591">
        <v>46545</v>
      </c>
    </row>
    <row r="1592" spans="1:15" x14ac:dyDescent="0.35">
      <c r="A1592">
        <v>1591</v>
      </c>
      <c r="B1592" s="2" t="s">
        <v>18</v>
      </c>
      <c r="C1592" s="2" t="s">
        <v>15</v>
      </c>
      <c r="D1592">
        <v>42</v>
      </c>
      <c r="E1592" s="2" t="s">
        <v>16</v>
      </c>
      <c r="F1592" s="2" t="s">
        <v>21</v>
      </c>
      <c r="G1592">
        <v>82067</v>
      </c>
      <c r="H1592" s="1">
        <v>45273</v>
      </c>
      <c r="I1592">
        <v>1</v>
      </c>
      <c r="J1592">
        <v>4</v>
      </c>
      <c r="K1592">
        <v>8207</v>
      </c>
      <c r="L1592">
        <v>4103</v>
      </c>
      <c r="M1592">
        <v>86171</v>
      </c>
      <c r="N1592">
        <v>0</v>
      </c>
      <c r="O1592">
        <v>90274</v>
      </c>
    </row>
    <row r="1593" spans="1:15" x14ac:dyDescent="0.35">
      <c r="A1593">
        <v>1592</v>
      </c>
      <c r="B1593" s="2" t="s">
        <v>10</v>
      </c>
      <c r="C1593" s="2" t="s">
        <v>11</v>
      </c>
      <c r="D1593">
        <v>27</v>
      </c>
      <c r="E1593" s="2" t="s">
        <v>12</v>
      </c>
      <c r="F1593" s="2" t="s">
        <v>17</v>
      </c>
      <c r="G1593">
        <v>39741</v>
      </c>
      <c r="H1593" s="1">
        <v>45345</v>
      </c>
      <c r="I1593">
        <v>19</v>
      </c>
      <c r="J1593">
        <v>3</v>
      </c>
      <c r="K1593">
        <v>3974</v>
      </c>
      <c r="L1593">
        <v>1987</v>
      </c>
      <c r="M1593">
        <v>41728</v>
      </c>
      <c r="N1593">
        <v>1987</v>
      </c>
      <c r="O1593">
        <v>45702</v>
      </c>
    </row>
    <row r="1594" spans="1:15" x14ac:dyDescent="0.35">
      <c r="A1594">
        <v>1593</v>
      </c>
      <c r="B1594" s="2" t="s">
        <v>27</v>
      </c>
      <c r="C1594" s="2" t="s">
        <v>11</v>
      </c>
      <c r="D1594">
        <v>35</v>
      </c>
      <c r="E1594" s="2" t="s">
        <v>24</v>
      </c>
      <c r="F1594" s="2" t="s">
        <v>25</v>
      </c>
      <c r="G1594">
        <v>93926</v>
      </c>
      <c r="H1594" s="1">
        <v>45516</v>
      </c>
      <c r="I1594">
        <v>6</v>
      </c>
      <c r="J1594">
        <v>1</v>
      </c>
      <c r="K1594">
        <v>9393</v>
      </c>
      <c r="L1594">
        <v>4696</v>
      </c>
      <c r="M1594">
        <v>98623</v>
      </c>
      <c r="N1594">
        <v>4696</v>
      </c>
      <c r="O1594">
        <v>108015</v>
      </c>
    </row>
    <row r="1595" spans="1:15" x14ac:dyDescent="0.35">
      <c r="A1595">
        <v>1594</v>
      </c>
      <c r="B1595" s="2" t="s">
        <v>23</v>
      </c>
      <c r="C1595" s="2" t="s">
        <v>11</v>
      </c>
      <c r="D1595">
        <v>50</v>
      </c>
      <c r="E1595" s="2" t="s">
        <v>24</v>
      </c>
      <c r="F1595" s="2" t="s">
        <v>21</v>
      </c>
      <c r="G1595">
        <v>89025</v>
      </c>
      <c r="H1595" s="1">
        <v>45533</v>
      </c>
      <c r="I1595">
        <v>19</v>
      </c>
      <c r="J1595">
        <v>4</v>
      </c>
      <c r="K1595">
        <v>8902</v>
      </c>
      <c r="L1595">
        <v>4451</v>
      </c>
      <c r="M1595">
        <v>93476</v>
      </c>
      <c r="N1595">
        <v>4451</v>
      </c>
      <c r="O1595">
        <v>102378</v>
      </c>
    </row>
    <row r="1596" spans="1:15" x14ac:dyDescent="0.35">
      <c r="A1596">
        <v>1595</v>
      </c>
      <c r="B1596" s="2" t="s">
        <v>10</v>
      </c>
      <c r="C1596" s="2" t="s">
        <v>15</v>
      </c>
      <c r="D1596">
        <v>47</v>
      </c>
      <c r="E1596" s="2" t="s">
        <v>29</v>
      </c>
      <c r="F1596" s="2" t="s">
        <v>13</v>
      </c>
      <c r="G1596">
        <v>76797</v>
      </c>
      <c r="H1596" s="1">
        <v>44657</v>
      </c>
      <c r="I1596">
        <v>15</v>
      </c>
      <c r="J1596">
        <v>5</v>
      </c>
      <c r="K1596">
        <v>7680</v>
      </c>
      <c r="L1596">
        <v>3840</v>
      </c>
      <c r="M1596">
        <v>80637</v>
      </c>
      <c r="N1596">
        <v>3840</v>
      </c>
      <c r="O1596">
        <v>88317</v>
      </c>
    </row>
    <row r="1597" spans="1:15" x14ac:dyDescent="0.35">
      <c r="A1597">
        <v>1596</v>
      </c>
      <c r="B1597" s="2" t="s">
        <v>14</v>
      </c>
      <c r="C1597" s="2" t="s">
        <v>15</v>
      </c>
      <c r="D1597">
        <v>23</v>
      </c>
      <c r="E1597" s="2" t="s">
        <v>29</v>
      </c>
      <c r="F1597" s="2" t="s">
        <v>21</v>
      </c>
      <c r="G1597">
        <v>55007</v>
      </c>
      <c r="H1597" s="1">
        <v>44842</v>
      </c>
      <c r="I1597">
        <v>14</v>
      </c>
      <c r="J1597">
        <v>4</v>
      </c>
      <c r="K1597">
        <v>5501</v>
      </c>
      <c r="L1597">
        <v>2750</v>
      </c>
      <c r="M1597">
        <v>57758</v>
      </c>
      <c r="N1597">
        <v>2750</v>
      </c>
      <c r="O1597">
        <v>63258</v>
      </c>
    </row>
    <row r="1598" spans="1:15" x14ac:dyDescent="0.35">
      <c r="A1598">
        <v>1597</v>
      </c>
      <c r="B1598" s="2" t="s">
        <v>20</v>
      </c>
      <c r="C1598" s="2" t="s">
        <v>15</v>
      </c>
      <c r="D1598">
        <v>47</v>
      </c>
      <c r="E1598" s="2" t="s">
        <v>28</v>
      </c>
      <c r="F1598" s="2" t="s">
        <v>21</v>
      </c>
      <c r="G1598">
        <v>46336</v>
      </c>
      <c r="H1598" s="1">
        <v>45198</v>
      </c>
      <c r="I1598">
        <v>1</v>
      </c>
      <c r="J1598">
        <v>5</v>
      </c>
      <c r="K1598">
        <v>4634</v>
      </c>
      <c r="L1598">
        <v>2317</v>
      </c>
      <c r="M1598">
        <v>48653</v>
      </c>
      <c r="N1598">
        <v>0</v>
      </c>
      <c r="O1598">
        <v>50970</v>
      </c>
    </row>
    <row r="1599" spans="1:15" x14ac:dyDescent="0.35">
      <c r="A1599">
        <v>1598</v>
      </c>
      <c r="B1599" s="2" t="s">
        <v>18</v>
      </c>
      <c r="C1599" s="2" t="s">
        <v>15</v>
      </c>
      <c r="D1599">
        <v>45</v>
      </c>
      <c r="E1599" s="2" t="s">
        <v>16</v>
      </c>
      <c r="F1599" s="2" t="s">
        <v>25</v>
      </c>
      <c r="G1599">
        <v>29908</v>
      </c>
      <c r="H1599" s="1">
        <v>44813</v>
      </c>
      <c r="I1599">
        <v>20</v>
      </c>
      <c r="J1599">
        <v>2</v>
      </c>
      <c r="K1599">
        <v>2991</v>
      </c>
      <c r="L1599">
        <v>1495</v>
      </c>
      <c r="M1599">
        <v>31404</v>
      </c>
      <c r="N1599">
        <v>1495</v>
      </c>
      <c r="O1599">
        <v>34394</v>
      </c>
    </row>
    <row r="1600" spans="1:15" x14ac:dyDescent="0.35">
      <c r="A1600">
        <v>1599</v>
      </c>
      <c r="B1600" s="2" t="s">
        <v>22</v>
      </c>
      <c r="C1600" s="2" t="s">
        <v>11</v>
      </c>
      <c r="D1600">
        <v>43</v>
      </c>
      <c r="E1600" s="2" t="s">
        <v>16</v>
      </c>
      <c r="F1600" s="2" t="s">
        <v>13</v>
      </c>
      <c r="G1600">
        <v>97541</v>
      </c>
      <c r="H1600" s="1">
        <v>44881</v>
      </c>
      <c r="I1600">
        <v>13</v>
      </c>
      <c r="J1600">
        <v>2</v>
      </c>
      <c r="K1600">
        <v>9754</v>
      </c>
      <c r="L1600">
        <v>4877</v>
      </c>
      <c r="M1600">
        <v>102418</v>
      </c>
      <c r="N1600">
        <v>4877</v>
      </c>
      <c r="O1600">
        <v>112172</v>
      </c>
    </row>
    <row r="1601" spans="1:15" x14ac:dyDescent="0.35">
      <c r="A1601">
        <v>1600</v>
      </c>
      <c r="B1601" s="2" t="s">
        <v>22</v>
      </c>
      <c r="C1601" s="2" t="s">
        <v>15</v>
      </c>
      <c r="D1601">
        <v>53</v>
      </c>
      <c r="E1601" s="2" t="s">
        <v>12</v>
      </c>
      <c r="F1601" s="2" t="s">
        <v>17</v>
      </c>
      <c r="G1601">
        <v>77213</v>
      </c>
      <c r="H1601" s="1">
        <v>44807</v>
      </c>
      <c r="I1601">
        <v>7</v>
      </c>
      <c r="J1601">
        <v>5</v>
      </c>
      <c r="K1601">
        <v>7721</v>
      </c>
      <c r="L1601">
        <v>3861</v>
      </c>
      <c r="M1601">
        <v>81073</v>
      </c>
      <c r="N1601">
        <v>3861</v>
      </c>
      <c r="O1601">
        <v>88795</v>
      </c>
    </row>
    <row r="1602" spans="1:15" x14ac:dyDescent="0.35">
      <c r="A1602">
        <v>1601</v>
      </c>
      <c r="B1602" s="2" t="s">
        <v>27</v>
      </c>
      <c r="C1602" s="2" t="s">
        <v>11</v>
      </c>
      <c r="D1602">
        <v>25</v>
      </c>
      <c r="E1602" s="2" t="s">
        <v>29</v>
      </c>
      <c r="F1602" s="2" t="s">
        <v>19</v>
      </c>
      <c r="G1602">
        <v>21560</v>
      </c>
      <c r="H1602" s="1">
        <v>45116</v>
      </c>
      <c r="I1602">
        <v>3</v>
      </c>
      <c r="J1602">
        <v>1</v>
      </c>
      <c r="K1602">
        <v>2156</v>
      </c>
      <c r="L1602">
        <v>1078</v>
      </c>
      <c r="M1602">
        <v>22638</v>
      </c>
      <c r="N1602">
        <v>0</v>
      </c>
      <c r="O1602">
        <v>23716</v>
      </c>
    </row>
    <row r="1603" spans="1:15" x14ac:dyDescent="0.35">
      <c r="A1603">
        <v>1602</v>
      </c>
      <c r="B1603" s="2" t="s">
        <v>30</v>
      </c>
      <c r="C1603" s="2" t="s">
        <v>11</v>
      </c>
      <c r="D1603">
        <v>52</v>
      </c>
      <c r="E1603" s="2" t="s">
        <v>12</v>
      </c>
      <c r="F1603" s="2" t="s">
        <v>17</v>
      </c>
      <c r="G1603">
        <v>83667</v>
      </c>
      <c r="H1603" s="1">
        <v>45196</v>
      </c>
      <c r="I1603">
        <v>1</v>
      </c>
      <c r="J1603">
        <v>5</v>
      </c>
      <c r="K1603">
        <v>8367</v>
      </c>
      <c r="L1603">
        <v>4183</v>
      </c>
      <c r="M1603">
        <v>87851</v>
      </c>
      <c r="N1603">
        <v>0</v>
      </c>
      <c r="O1603">
        <v>92034</v>
      </c>
    </row>
    <row r="1604" spans="1:15" x14ac:dyDescent="0.35">
      <c r="A1604">
        <v>1603</v>
      </c>
      <c r="B1604" s="2" t="s">
        <v>18</v>
      </c>
      <c r="C1604" s="2" t="s">
        <v>15</v>
      </c>
      <c r="D1604">
        <v>29</v>
      </c>
      <c r="E1604" s="2" t="s">
        <v>12</v>
      </c>
      <c r="F1604" s="2" t="s">
        <v>19</v>
      </c>
      <c r="G1604">
        <v>25083</v>
      </c>
      <c r="H1604" s="1">
        <v>45169</v>
      </c>
      <c r="I1604">
        <v>12</v>
      </c>
      <c r="J1604">
        <v>3</v>
      </c>
      <c r="K1604">
        <v>2508</v>
      </c>
      <c r="L1604">
        <v>1254</v>
      </c>
      <c r="M1604">
        <v>26337</v>
      </c>
      <c r="N1604">
        <v>1254</v>
      </c>
      <c r="O1604">
        <v>28845</v>
      </c>
    </row>
    <row r="1605" spans="1:15" x14ac:dyDescent="0.35">
      <c r="A1605">
        <v>1604</v>
      </c>
      <c r="B1605" s="2" t="s">
        <v>18</v>
      </c>
      <c r="C1605" s="2" t="s">
        <v>15</v>
      </c>
      <c r="D1605">
        <v>58</v>
      </c>
      <c r="E1605" s="2" t="s">
        <v>16</v>
      </c>
      <c r="F1605" s="2" t="s">
        <v>21</v>
      </c>
      <c r="G1605">
        <v>23134</v>
      </c>
      <c r="H1605" s="1">
        <v>45484</v>
      </c>
      <c r="I1605">
        <v>14</v>
      </c>
      <c r="J1605">
        <v>5</v>
      </c>
      <c r="K1605">
        <v>2313</v>
      </c>
      <c r="L1605">
        <v>1157</v>
      </c>
      <c r="M1605">
        <v>24290</v>
      </c>
      <c r="N1605">
        <v>1157</v>
      </c>
      <c r="O1605">
        <v>26604</v>
      </c>
    </row>
    <row r="1606" spans="1:15" x14ac:dyDescent="0.35">
      <c r="A1606">
        <v>1605</v>
      </c>
      <c r="B1606" s="2" t="s">
        <v>14</v>
      </c>
      <c r="C1606" s="2" t="s">
        <v>15</v>
      </c>
      <c r="D1606">
        <v>24</v>
      </c>
      <c r="E1606" s="2" t="s">
        <v>16</v>
      </c>
      <c r="F1606" s="2" t="s">
        <v>17</v>
      </c>
      <c r="G1606">
        <v>61455</v>
      </c>
      <c r="H1606" s="1">
        <v>44647</v>
      </c>
      <c r="I1606">
        <v>8</v>
      </c>
      <c r="J1606">
        <v>3</v>
      </c>
      <c r="K1606">
        <v>6146</v>
      </c>
      <c r="L1606">
        <v>3073</v>
      </c>
      <c r="M1606">
        <v>64528</v>
      </c>
      <c r="N1606">
        <v>3073</v>
      </c>
      <c r="O1606">
        <v>70674</v>
      </c>
    </row>
    <row r="1607" spans="1:15" x14ac:dyDescent="0.35">
      <c r="A1607">
        <v>1606</v>
      </c>
      <c r="B1607" s="2" t="s">
        <v>22</v>
      </c>
      <c r="C1607" s="2" t="s">
        <v>11</v>
      </c>
      <c r="D1607">
        <v>30</v>
      </c>
      <c r="E1607" s="2" t="s">
        <v>29</v>
      </c>
      <c r="F1607" s="2" t="s">
        <v>21</v>
      </c>
      <c r="G1607">
        <v>62982</v>
      </c>
      <c r="H1607" s="1">
        <v>44959</v>
      </c>
      <c r="I1607">
        <v>7</v>
      </c>
      <c r="J1607">
        <v>5</v>
      </c>
      <c r="K1607">
        <v>6298</v>
      </c>
      <c r="L1607">
        <v>3149</v>
      </c>
      <c r="M1607">
        <v>66131</v>
      </c>
      <c r="N1607">
        <v>3149</v>
      </c>
      <c r="O1607">
        <v>72429</v>
      </c>
    </row>
    <row r="1608" spans="1:15" x14ac:dyDescent="0.35">
      <c r="A1608">
        <v>1607</v>
      </c>
      <c r="B1608" s="2" t="s">
        <v>27</v>
      </c>
      <c r="C1608" s="2" t="s">
        <v>15</v>
      </c>
      <c r="D1608">
        <v>48</v>
      </c>
      <c r="E1608" s="2" t="s">
        <v>29</v>
      </c>
      <c r="F1608" s="2" t="s">
        <v>17</v>
      </c>
      <c r="G1608">
        <v>36397</v>
      </c>
      <c r="H1608" s="1">
        <v>44761</v>
      </c>
      <c r="I1608">
        <v>8</v>
      </c>
      <c r="J1608">
        <v>1</v>
      </c>
      <c r="K1608">
        <v>3640</v>
      </c>
      <c r="L1608">
        <v>1820</v>
      </c>
      <c r="M1608">
        <v>38217</v>
      </c>
      <c r="N1608">
        <v>1820</v>
      </c>
      <c r="O1608">
        <v>41857</v>
      </c>
    </row>
    <row r="1609" spans="1:15" x14ac:dyDescent="0.35">
      <c r="A1609">
        <v>1608</v>
      </c>
      <c r="B1609" s="2" t="s">
        <v>14</v>
      </c>
      <c r="C1609" s="2" t="s">
        <v>11</v>
      </c>
      <c r="D1609">
        <v>50</v>
      </c>
      <c r="E1609" s="2" t="s">
        <v>12</v>
      </c>
      <c r="F1609" s="2" t="s">
        <v>21</v>
      </c>
      <c r="G1609">
        <v>90116</v>
      </c>
      <c r="H1609" s="1">
        <v>44738</v>
      </c>
      <c r="I1609">
        <v>9</v>
      </c>
      <c r="J1609">
        <v>2</v>
      </c>
      <c r="K1609">
        <v>9012</v>
      </c>
      <c r="L1609">
        <v>4506</v>
      </c>
      <c r="M1609">
        <v>94622</v>
      </c>
      <c r="N1609">
        <v>4506</v>
      </c>
      <c r="O1609">
        <v>103634</v>
      </c>
    </row>
    <row r="1610" spans="1:15" x14ac:dyDescent="0.35">
      <c r="A1610">
        <v>1609</v>
      </c>
      <c r="B1610" s="2" t="s">
        <v>31</v>
      </c>
      <c r="C1610" s="2" t="s">
        <v>15</v>
      </c>
      <c r="D1610">
        <v>53</v>
      </c>
      <c r="E1610" s="2" t="s">
        <v>24</v>
      </c>
      <c r="F1610" s="2" t="s">
        <v>21</v>
      </c>
      <c r="G1610">
        <v>23259</v>
      </c>
      <c r="H1610" s="1">
        <v>45528</v>
      </c>
      <c r="I1610">
        <v>20</v>
      </c>
      <c r="J1610">
        <v>2</v>
      </c>
      <c r="K1610">
        <v>2326</v>
      </c>
      <c r="L1610">
        <v>1163</v>
      </c>
      <c r="M1610">
        <v>24422</v>
      </c>
      <c r="N1610">
        <v>1163</v>
      </c>
      <c r="O1610">
        <v>26748</v>
      </c>
    </row>
    <row r="1611" spans="1:15" x14ac:dyDescent="0.35">
      <c r="A1611">
        <v>1610</v>
      </c>
      <c r="B1611" s="2" t="s">
        <v>10</v>
      </c>
      <c r="C1611" s="2" t="s">
        <v>11</v>
      </c>
      <c r="D1611">
        <v>32</v>
      </c>
      <c r="E1611" s="2" t="s">
        <v>12</v>
      </c>
      <c r="F1611" s="2" t="s">
        <v>13</v>
      </c>
      <c r="G1611">
        <v>95806</v>
      </c>
      <c r="H1611" s="1">
        <v>45522</v>
      </c>
      <c r="I1611">
        <v>11</v>
      </c>
      <c r="J1611">
        <v>1</v>
      </c>
      <c r="K1611">
        <v>9581</v>
      </c>
      <c r="L1611">
        <v>4790</v>
      </c>
      <c r="M1611">
        <v>100597</v>
      </c>
      <c r="N1611">
        <v>4790</v>
      </c>
      <c r="O1611">
        <v>110177</v>
      </c>
    </row>
    <row r="1612" spans="1:15" x14ac:dyDescent="0.35">
      <c r="A1612">
        <v>1611</v>
      </c>
      <c r="B1612" s="2" t="s">
        <v>10</v>
      </c>
      <c r="C1612" s="2" t="s">
        <v>11</v>
      </c>
      <c r="D1612">
        <v>28</v>
      </c>
      <c r="E1612" s="2" t="s">
        <v>24</v>
      </c>
      <c r="F1612" s="2" t="s">
        <v>19</v>
      </c>
      <c r="G1612">
        <v>26399</v>
      </c>
      <c r="H1612" s="1">
        <v>45357</v>
      </c>
      <c r="I1612">
        <v>15</v>
      </c>
      <c r="J1612">
        <v>2</v>
      </c>
      <c r="K1612">
        <v>2640</v>
      </c>
      <c r="L1612">
        <v>1320</v>
      </c>
      <c r="M1612">
        <v>27719</v>
      </c>
      <c r="N1612">
        <v>1320</v>
      </c>
      <c r="O1612">
        <v>30359</v>
      </c>
    </row>
    <row r="1613" spans="1:15" x14ac:dyDescent="0.35">
      <c r="A1613">
        <v>1612</v>
      </c>
      <c r="B1613" s="2" t="s">
        <v>18</v>
      </c>
      <c r="C1613" s="2" t="s">
        <v>15</v>
      </c>
      <c r="D1613">
        <v>36</v>
      </c>
      <c r="E1613" s="2" t="s">
        <v>28</v>
      </c>
      <c r="F1613" s="2" t="s">
        <v>13</v>
      </c>
      <c r="G1613">
        <v>93233</v>
      </c>
      <c r="H1613" s="1">
        <v>45364</v>
      </c>
      <c r="I1613">
        <v>18</v>
      </c>
      <c r="J1613">
        <v>2</v>
      </c>
      <c r="K1613">
        <v>9323</v>
      </c>
      <c r="L1613">
        <v>4662</v>
      </c>
      <c r="M1613">
        <v>97894</v>
      </c>
      <c r="N1613">
        <v>4662</v>
      </c>
      <c r="O1613">
        <v>107218</v>
      </c>
    </row>
    <row r="1614" spans="1:15" x14ac:dyDescent="0.35">
      <c r="A1614">
        <v>1613</v>
      </c>
      <c r="B1614" s="2" t="s">
        <v>30</v>
      </c>
      <c r="C1614" s="2" t="s">
        <v>11</v>
      </c>
      <c r="D1614">
        <v>60</v>
      </c>
      <c r="E1614" s="2" t="s">
        <v>12</v>
      </c>
      <c r="F1614" s="2" t="s">
        <v>17</v>
      </c>
      <c r="G1614">
        <v>40487</v>
      </c>
      <c r="H1614" s="1">
        <v>44901</v>
      </c>
      <c r="I1614">
        <v>13</v>
      </c>
      <c r="J1614">
        <v>5</v>
      </c>
      <c r="K1614">
        <v>4049</v>
      </c>
      <c r="L1614">
        <v>2024</v>
      </c>
      <c r="M1614">
        <v>42512</v>
      </c>
      <c r="N1614">
        <v>2024</v>
      </c>
      <c r="O1614">
        <v>46560</v>
      </c>
    </row>
    <row r="1615" spans="1:15" x14ac:dyDescent="0.35">
      <c r="A1615">
        <v>1614</v>
      </c>
      <c r="B1615" s="2" t="s">
        <v>30</v>
      </c>
      <c r="C1615" s="2" t="s">
        <v>11</v>
      </c>
      <c r="D1615">
        <v>28</v>
      </c>
      <c r="E1615" s="2" t="s">
        <v>29</v>
      </c>
      <c r="F1615" s="2" t="s">
        <v>21</v>
      </c>
      <c r="G1615">
        <v>31302</v>
      </c>
      <c r="H1615" s="1">
        <v>45264</v>
      </c>
      <c r="I1615">
        <v>4</v>
      </c>
      <c r="J1615">
        <v>4</v>
      </c>
      <c r="K1615">
        <v>3130</v>
      </c>
      <c r="L1615">
        <v>1565</v>
      </c>
      <c r="M1615">
        <v>32867</v>
      </c>
      <c r="N1615">
        <v>0</v>
      </c>
      <c r="O1615">
        <v>34432</v>
      </c>
    </row>
    <row r="1616" spans="1:15" x14ac:dyDescent="0.35">
      <c r="A1616">
        <v>1615</v>
      </c>
      <c r="B1616" s="2" t="s">
        <v>30</v>
      </c>
      <c r="C1616" s="2" t="s">
        <v>11</v>
      </c>
      <c r="D1616">
        <v>60</v>
      </c>
      <c r="E1616" s="2" t="s">
        <v>16</v>
      </c>
      <c r="F1616" s="2" t="s">
        <v>19</v>
      </c>
      <c r="G1616">
        <v>96432</v>
      </c>
      <c r="H1616" s="1">
        <v>45070</v>
      </c>
      <c r="I1616">
        <v>13</v>
      </c>
      <c r="J1616">
        <v>4</v>
      </c>
      <c r="K1616">
        <v>9643</v>
      </c>
      <c r="L1616">
        <v>4822</v>
      </c>
      <c r="M1616">
        <v>101253</v>
      </c>
      <c r="N1616">
        <v>4822</v>
      </c>
      <c r="O1616">
        <v>110897</v>
      </c>
    </row>
    <row r="1617" spans="1:15" x14ac:dyDescent="0.35">
      <c r="A1617">
        <v>1616</v>
      </c>
      <c r="B1617" s="2" t="s">
        <v>31</v>
      </c>
      <c r="C1617" s="2" t="s">
        <v>15</v>
      </c>
      <c r="D1617">
        <v>41</v>
      </c>
      <c r="E1617" s="2" t="s">
        <v>12</v>
      </c>
      <c r="F1617" s="2" t="s">
        <v>13</v>
      </c>
      <c r="G1617">
        <v>85440</v>
      </c>
      <c r="H1617" s="1">
        <v>45387</v>
      </c>
      <c r="I1617">
        <v>7</v>
      </c>
      <c r="J1617">
        <v>1</v>
      </c>
      <c r="K1617">
        <v>8544</v>
      </c>
      <c r="L1617">
        <v>4272</v>
      </c>
      <c r="M1617">
        <v>89712</v>
      </c>
      <c r="N1617">
        <v>4272</v>
      </c>
      <c r="O1617">
        <v>98256</v>
      </c>
    </row>
    <row r="1618" spans="1:15" x14ac:dyDescent="0.35">
      <c r="A1618">
        <v>1617</v>
      </c>
      <c r="B1618" s="2" t="s">
        <v>10</v>
      </c>
      <c r="C1618" s="2" t="s">
        <v>11</v>
      </c>
      <c r="D1618">
        <v>49</v>
      </c>
      <c r="E1618" s="2" t="s">
        <v>28</v>
      </c>
      <c r="F1618" s="2" t="s">
        <v>17</v>
      </c>
      <c r="G1618">
        <v>40682</v>
      </c>
      <c r="H1618" s="1">
        <v>44592</v>
      </c>
      <c r="I1618">
        <v>12</v>
      </c>
      <c r="J1618">
        <v>3</v>
      </c>
      <c r="K1618">
        <v>4068</v>
      </c>
      <c r="L1618">
        <v>2034</v>
      </c>
      <c r="M1618">
        <v>42716</v>
      </c>
      <c r="N1618">
        <v>2034</v>
      </c>
      <c r="O1618">
        <v>46784</v>
      </c>
    </row>
    <row r="1619" spans="1:15" x14ac:dyDescent="0.35">
      <c r="A1619">
        <v>1618</v>
      </c>
      <c r="B1619" s="2" t="s">
        <v>22</v>
      </c>
      <c r="C1619" s="2" t="s">
        <v>11</v>
      </c>
      <c r="D1619">
        <v>53</v>
      </c>
      <c r="E1619" s="2" t="s">
        <v>16</v>
      </c>
      <c r="F1619" s="2" t="s">
        <v>17</v>
      </c>
      <c r="G1619">
        <v>60718</v>
      </c>
      <c r="H1619" s="1">
        <v>44721</v>
      </c>
      <c r="I1619">
        <v>7</v>
      </c>
      <c r="J1619">
        <v>3</v>
      </c>
      <c r="K1619">
        <v>6072</v>
      </c>
      <c r="L1619">
        <v>3036</v>
      </c>
      <c r="M1619">
        <v>63754</v>
      </c>
      <c r="N1619">
        <v>3036</v>
      </c>
      <c r="O1619">
        <v>69826</v>
      </c>
    </row>
    <row r="1620" spans="1:15" x14ac:dyDescent="0.35">
      <c r="A1620">
        <v>1619</v>
      </c>
      <c r="B1620" s="2" t="s">
        <v>31</v>
      </c>
      <c r="C1620" s="2" t="s">
        <v>15</v>
      </c>
      <c r="D1620">
        <v>57</v>
      </c>
      <c r="E1620" s="2" t="s">
        <v>29</v>
      </c>
      <c r="F1620" s="2" t="s">
        <v>19</v>
      </c>
      <c r="G1620">
        <v>46377</v>
      </c>
      <c r="H1620" s="1">
        <v>44986</v>
      </c>
      <c r="I1620">
        <v>2</v>
      </c>
      <c r="J1620">
        <v>5</v>
      </c>
      <c r="K1620">
        <v>4638</v>
      </c>
      <c r="L1620">
        <v>2319</v>
      </c>
      <c r="M1620">
        <v>48696</v>
      </c>
      <c r="N1620">
        <v>0</v>
      </c>
      <c r="O1620">
        <v>51015</v>
      </c>
    </row>
    <row r="1621" spans="1:15" x14ac:dyDescent="0.35">
      <c r="A1621">
        <v>1620</v>
      </c>
      <c r="B1621" s="2" t="s">
        <v>30</v>
      </c>
      <c r="C1621" s="2" t="s">
        <v>15</v>
      </c>
      <c r="D1621">
        <v>25</v>
      </c>
      <c r="E1621" s="2" t="s">
        <v>28</v>
      </c>
      <c r="F1621" s="2" t="s">
        <v>17</v>
      </c>
      <c r="G1621">
        <v>92491</v>
      </c>
      <c r="H1621" s="1">
        <v>45123</v>
      </c>
      <c r="I1621">
        <v>1</v>
      </c>
      <c r="J1621">
        <v>5</v>
      </c>
      <c r="K1621">
        <v>9249</v>
      </c>
      <c r="L1621">
        <v>4625</v>
      </c>
      <c r="M1621">
        <v>97115</v>
      </c>
      <c r="N1621">
        <v>0</v>
      </c>
      <c r="O1621">
        <v>101740</v>
      </c>
    </row>
    <row r="1622" spans="1:15" x14ac:dyDescent="0.35">
      <c r="A1622">
        <v>1621</v>
      </c>
      <c r="B1622" s="2" t="s">
        <v>30</v>
      </c>
      <c r="C1622" s="2" t="s">
        <v>15</v>
      </c>
      <c r="D1622">
        <v>58</v>
      </c>
      <c r="E1622" s="2" t="s">
        <v>29</v>
      </c>
      <c r="F1622" s="2" t="s">
        <v>19</v>
      </c>
      <c r="G1622">
        <v>50094</v>
      </c>
      <c r="H1622" s="1">
        <v>45061</v>
      </c>
      <c r="I1622">
        <v>9</v>
      </c>
      <c r="J1622">
        <v>5</v>
      </c>
      <c r="K1622">
        <v>5009</v>
      </c>
      <c r="L1622">
        <v>2505</v>
      </c>
      <c r="M1622">
        <v>52598</v>
      </c>
      <c r="N1622">
        <v>2505</v>
      </c>
      <c r="O1622">
        <v>57608</v>
      </c>
    </row>
    <row r="1623" spans="1:15" x14ac:dyDescent="0.35">
      <c r="A1623">
        <v>1622</v>
      </c>
      <c r="B1623" s="2" t="s">
        <v>22</v>
      </c>
      <c r="C1623" s="2" t="s">
        <v>11</v>
      </c>
      <c r="D1623">
        <v>21</v>
      </c>
      <c r="E1623" s="2" t="s">
        <v>28</v>
      </c>
      <c r="F1623" s="2" t="s">
        <v>25</v>
      </c>
      <c r="G1623">
        <v>37472</v>
      </c>
      <c r="H1623" s="1">
        <v>44696</v>
      </c>
      <c r="I1623">
        <v>4</v>
      </c>
      <c r="J1623">
        <v>5</v>
      </c>
      <c r="K1623">
        <v>3747</v>
      </c>
      <c r="L1623">
        <v>1874</v>
      </c>
      <c r="M1623">
        <v>39345</v>
      </c>
      <c r="N1623">
        <v>0</v>
      </c>
      <c r="O1623">
        <v>41219</v>
      </c>
    </row>
    <row r="1624" spans="1:15" x14ac:dyDescent="0.35">
      <c r="A1624">
        <v>1623</v>
      </c>
      <c r="B1624" s="2" t="s">
        <v>22</v>
      </c>
      <c r="C1624" s="2" t="s">
        <v>11</v>
      </c>
      <c r="D1624">
        <v>45</v>
      </c>
      <c r="E1624" s="2" t="s">
        <v>29</v>
      </c>
      <c r="F1624" s="2" t="s">
        <v>25</v>
      </c>
      <c r="G1624">
        <v>86986</v>
      </c>
      <c r="H1624" s="1">
        <v>44998</v>
      </c>
      <c r="I1624">
        <v>18</v>
      </c>
      <c r="J1624">
        <v>3</v>
      </c>
      <c r="K1624">
        <v>8699</v>
      </c>
      <c r="L1624">
        <v>4349</v>
      </c>
      <c r="M1624">
        <v>91336</v>
      </c>
      <c r="N1624">
        <v>4349</v>
      </c>
      <c r="O1624">
        <v>100034</v>
      </c>
    </row>
    <row r="1625" spans="1:15" x14ac:dyDescent="0.35">
      <c r="A1625">
        <v>1624</v>
      </c>
      <c r="B1625" s="2" t="s">
        <v>31</v>
      </c>
      <c r="C1625" s="2" t="s">
        <v>11</v>
      </c>
      <c r="D1625">
        <v>37</v>
      </c>
      <c r="E1625" s="2" t="s">
        <v>29</v>
      </c>
      <c r="F1625" s="2" t="s">
        <v>21</v>
      </c>
      <c r="G1625">
        <v>86449</v>
      </c>
      <c r="H1625" s="1">
        <v>44643</v>
      </c>
      <c r="I1625">
        <v>5</v>
      </c>
      <c r="J1625">
        <v>2</v>
      </c>
      <c r="K1625">
        <v>8645</v>
      </c>
      <c r="L1625">
        <v>4322</v>
      </c>
      <c r="M1625">
        <v>90772</v>
      </c>
      <c r="N1625">
        <v>0</v>
      </c>
      <c r="O1625">
        <v>95094</v>
      </c>
    </row>
    <row r="1626" spans="1:15" x14ac:dyDescent="0.35">
      <c r="A1626">
        <v>1625</v>
      </c>
      <c r="B1626" s="2" t="s">
        <v>14</v>
      </c>
      <c r="C1626" s="2" t="s">
        <v>15</v>
      </c>
      <c r="D1626">
        <v>30</v>
      </c>
      <c r="E1626" s="2" t="s">
        <v>12</v>
      </c>
      <c r="F1626" s="2" t="s">
        <v>17</v>
      </c>
      <c r="G1626">
        <v>29084</v>
      </c>
      <c r="H1626" s="1">
        <v>44687</v>
      </c>
      <c r="I1626">
        <v>4</v>
      </c>
      <c r="J1626">
        <v>5</v>
      </c>
      <c r="K1626">
        <v>2908</v>
      </c>
      <c r="L1626">
        <v>1454</v>
      </c>
      <c r="M1626">
        <v>30538</v>
      </c>
      <c r="N1626">
        <v>0</v>
      </c>
      <c r="O1626">
        <v>31992</v>
      </c>
    </row>
    <row r="1627" spans="1:15" x14ac:dyDescent="0.35">
      <c r="A1627">
        <v>1626</v>
      </c>
      <c r="B1627" s="2" t="s">
        <v>26</v>
      </c>
      <c r="C1627" s="2" t="s">
        <v>11</v>
      </c>
      <c r="D1627">
        <v>52</v>
      </c>
      <c r="E1627" s="2" t="s">
        <v>12</v>
      </c>
      <c r="F1627" s="2" t="s">
        <v>17</v>
      </c>
      <c r="G1627">
        <v>76758</v>
      </c>
      <c r="H1627" s="1">
        <v>44727</v>
      </c>
      <c r="I1627">
        <v>1</v>
      </c>
      <c r="J1627">
        <v>2</v>
      </c>
      <c r="K1627">
        <v>7676</v>
      </c>
      <c r="L1627">
        <v>3838</v>
      </c>
      <c r="M1627">
        <v>80596</v>
      </c>
      <c r="N1627">
        <v>0</v>
      </c>
      <c r="O1627">
        <v>84434</v>
      </c>
    </row>
    <row r="1628" spans="1:15" x14ac:dyDescent="0.35">
      <c r="A1628">
        <v>1627</v>
      </c>
      <c r="B1628" s="2" t="s">
        <v>18</v>
      </c>
      <c r="C1628" s="2" t="s">
        <v>11</v>
      </c>
      <c r="D1628">
        <v>38</v>
      </c>
      <c r="E1628" s="2" t="s">
        <v>29</v>
      </c>
      <c r="F1628" s="2" t="s">
        <v>19</v>
      </c>
      <c r="G1628">
        <v>38572</v>
      </c>
      <c r="H1628" s="1">
        <v>44840</v>
      </c>
      <c r="I1628">
        <v>1</v>
      </c>
      <c r="J1628">
        <v>1</v>
      </c>
      <c r="K1628">
        <v>3857</v>
      </c>
      <c r="L1628">
        <v>1929</v>
      </c>
      <c r="M1628">
        <v>40500</v>
      </c>
      <c r="N1628">
        <v>0</v>
      </c>
      <c r="O1628">
        <v>42429</v>
      </c>
    </row>
    <row r="1629" spans="1:15" x14ac:dyDescent="0.35">
      <c r="A1629">
        <v>1628</v>
      </c>
      <c r="B1629" s="2" t="s">
        <v>31</v>
      </c>
      <c r="C1629" s="2" t="s">
        <v>11</v>
      </c>
      <c r="D1629">
        <v>60</v>
      </c>
      <c r="E1629" s="2" t="s">
        <v>29</v>
      </c>
      <c r="F1629" s="2" t="s">
        <v>17</v>
      </c>
      <c r="G1629">
        <v>84889</v>
      </c>
      <c r="H1629" s="1">
        <v>44865</v>
      </c>
      <c r="I1629">
        <v>14</v>
      </c>
      <c r="J1629">
        <v>3</v>
      </c>
      <c r="K1629">
        <v>8489</v>
      </c>
      <c r="L1629">
        <v>4244</v>
      </c>
      <c r="M1629">
        <v>89134</v>
      </c>
      <c r="N1629">
        <v>4244</v>
      </c>
      <c r="O1629">
        <v>97622</v>
      </c>
    </row>
    <row r="1630" spans="1:15" x14ac:dyDescent="0.35">
      <c r="A1630">
        <v>1629</v>
      </c>
      <c r="B1630" s="2" t="s">
        <v>10</v>
      </c>
      <c r="C1630" s="2" t="s">
        <v>11</v>
      </c>
      <c r="D1630">
        <v>27</v>
      </c>
      <c r="E1630" s="2" t="s">
        <v>12</v>
      </c>
      <c r="F1630" s="2" t="s">
        <v>13</v>
      </c>
      <c r="G1630">
        <v>55671</v>
      </c>
      <c r="H1630" s="1">
        <v>44751</v>
      </c>
      <c r="I1630">
        <v>4</v>
      </c>
      <c r="J1630">
        <v>5</v>
      </c>
      <c r="K1630">
        <v>5567</v>
      </c>
      <c r="L1630">
        <v>2784</v>
      </c>
      <c r="M1630">
        <v>58454</v>
      </c>
      <c r="N1630">
        <v>0</v>
      </c>
      <c r="O1630">
        <v>61238</v>
      </c>
    </row>
    <row r="1631" spans="1:15" x14ac:dyDescent="0.35">
      <c r="A1631">
        <v>1630</v>
      </c>
      <c r="B1631" s="2" t="s">
        <v>26</v>
      </c>
      <c r="C1631" s="2" t="s">
        <v>15</v>
      </c>
      <c r="D1631">
        <v>50</v>
      </c>
      <c r="E1631" s="2" t="s">
        <v>12</v>
      </c>
      <c r="F1631" s="2" t="s">
        <v>25</v>
      </c>
      <c r="G1631">
        <v>60761</v>
      </c>
      <c r="H1631" s="1">
        <v>44935</v>
      </c>
      <c r="I1631">
        <v>3</v>
      </c>
      <c r="J1631">
        <v>3</v>
      </c>
      <c r="K1631">
        <v>6076</v>
      </c>
      <c r="L1631">
        <v>3038</v>
      </c>
      <c r="M1631">
        <v>63799</v>
      </c>
      <c r="N1631">
        <v>0</v>
      </c>
      <c r="O1631">
        <v>66837</v>
      </c>
    </row>
    <row r="1632" spans="1:15" x14ac:dyDescent="0.35">
      <c r="A1632">
        <v>1631</v>
      </c>
      <c r="B1632" s="2" t="s">
        <v>30</v>
      </c>
      <c r="C1632" s="2" t="s">
        <v>11</v>
      </c>
      <c r="D1632">
        <v>46</v>
      </c>
      <c r="E1632" s="2" t="s">
        <v>28</v>
      </c>
      <c r="F1632" s="2" t="s">
        <v>21</v>
      </c>
      <c r="G1632">
        <v>94239</v>
      </c>
      <c r="H1632" s="1">
        <v>44871</v>
      </c>
      <c r="I1632">
        <v>9</v>
      </c>
      <c r="J1632">
        <v>4</v>
      </c>
      <c r="K1632">
        <v>9424</v>
      </c>
      <c r="L1632">
        <v>4712</v>
      </c>
      <c r="M1632">
        <v>98951</v>
      </c>
      <c r="N1632">
        <v>4712</v>
      </c>
      <c r="O1632">
        <v>108375</v>
      </c>
    </row>
    <row r="1633" spans="1:15" x14ac:dyDescent="0.35">
      <c r="A1633">
        <v>1632</v>
      </c>
      <c r="B1633" s="2" t="s">
        <v>23</v>
      </c>
      <c r="C1633" s="2" t="s">
        <v>15</v>
      </c>
      <c r="D1633">
        <v>60</v>
      </c>
      <c r="E1633" s="2" t="s">
        <v>12</v>
      </c>
      <c r="F1633" s="2" t="s">
        <v>17</v>
      </c>
      <c r="G1633">
        <v>49517</v>
      </c>
      <c r="H1633" s="1">
        <v>44914</v>
      </c>
      <c r="I1633">
        <v>13</v>
      </c>
      <c r="J1633">
        <v>3</v>
      </c>
      <c r="K1633">
        <v>4952</v>
      </c>
      <c r="L1633">
        <v>2476</v>
      </c>
      <c r="M1633">
        <v>51993</v>
      </c>
      <c r="N1633">
        <v>2476</v>
      </c>
      <c r="O1633">
        <v>56945</v>
      </c>
    </row>
    <row r="1634" spans="1:15" x14ac:dyDescent="0.35">
      <c r="A1634">
        <v>1633</v>
      </c>
      <c r="B1634" s="2" t="s">
        <v>26</v>
      </c>
      <c r="C1634" s="2" t="s">
        <v>11</v>
      </c>
      <c r="D1634">
        <v>52</v>
      </c>
      <c r="E1634" s="2" t="s">
        <v>24</v>
      </c>
      <c r="F1634" s="2" t="s">
        <v>19</v>
      </c>
      <c r="G1634">
        <v>26359</v>
      </c>
      <c r="H1634" s="1">
        <v>45311</v>
      </c>
      <c r="I1634">
        <v>13</v>
      </c>
      <c r="J1634">
        <v>3</v>
      </c>
      <c r="K1634">
        <v>2636</v>
      </c>
      <c r="L1634">
        <v>1318</v>
      </c>
      <c r="M1634">
        <v>27677</v>
      </c>
      <c r="N1634">
        <v>1318</v>
      </c>
      <c r="O1634">
        <v>30313</v>
      </c>
    </row>
    <row r="1635" spans="1:15" x14ac:dyDescent="0.35">
      <c r="A1635">
        <v>1634</v>
      </c>
      <c r="B1635" s="2" t="s">
        <v>27</v>
      </c>
      <c r="C1635" s="2" t="s">
        <v>11</v>
      </c>
      <c r="D1635">
        <v>45</v>
      </c>
      <c r="E1635" s="2" t="s">
        <v>29</v>
      </c>
      <c r="F1635" s="2" t="s">
        <v>13</v>
      </c>
      <c r="G1635">
        <v>82088</v>
      </c>
      <c r="H1635" s="1">
        <v>44741</v>
      </c>
      <c r="I1635">
        <v>4</v>
      </c>
      <c r="J1635">
        <v>4</v>
      </c>
      <c r="K1635">
        <v>8209</v>
      </c>
      <c r="L1635">
        <v>4104</v>
      </c>
      <c r="M1635">
        <v>86193</v>
      </c>
      <c r="N1635">
        <v>0</v>
      </c>
      <c r="O1635">
        <v>90297</v>
      </c>
    </row>
    <row r="1636" spans="1:15" x14ac:dyDescent="0.35">
      <c r="A1636">
        <v>1635</v>
      </c>
      <c r="B1636" s="2" t="s">
        <v>14</v>
      </c>
      <c r="C1636" s="2" t="s">
        <v>11</v>
      </c>
      <c r="D1636">
        <v>46</v>
      </c>
      <c r="E1636" s="2" t="s">
        <v>24</v>
      </c>
      <c r="F1636" s="2" t="s">
        <v>21</v>
      </c>
      <c r="G1636">
        <v>68270</v>
      </c>
      <c r="H1636" s="1">
        <v>44736</v>
      </c>
      <c r="I1636">
        <v>9</v>
      </c>
      <c r="J1636">
        <v>2</v>
      </c>
      <c r="K1636">
        <v>6827</v>
      </c>
      <c r="L1636">
        <v>3414</v>
      </c>
      <c r="M1636">
        <v>71683</v>
      </c>
      <c r="N1636">
        <v>3414</v>
      </c>
      <c r="O1636">
        <v>78511</v>
      </c>
    </row>
    <row r="1637" spans="1:15" x14ac:dyDescent="0.35">
      <c r="A1637">
        <v>1636</v>
      </c>
      <c r="B1637" s="2" t="s">
        <v>30</v>
      </c>
      <c r="C1637" s="2" t="s">
        <v>11</v>
      </c>
      <c r="D1637">
        <v>55</v>
      </c>
      <c r="E1637" s="2" t="s">
        <v>16</v>
      </c>
      <c r="F1637" s="2" t="s">
        <v>19</v>
      </c>
      <c r="G1637">
        <v>65248</v>
      </c>
      <c r="H1637" s="1">
        <v>45479</v>
      </c>
      <c r="I1637">
        <v>1</v>
      </c>
      <c r="J1637">
        <v>4</v>
      </c>
      <c r="K1637">
        <v>6525</v>
      </c>
      <c r="L1637">
        <v>3262</v>
      </c>
      <c r="M1637">
        <v>68511</v>
      </c>
      <c r="N1637">
        <v>0</v>
      </c>
      <c r="O1637">
        <v>71773</v>
      </c>
    </row>
    <row r="1638" spans="1:15" x14ac:dyDescent="0.35">
      <c r="A1638">
        <v>1637</v>
      </c>
      <c r="B1638" s="2" t="s">
        <v>31</v>
      </c>
      <c r="C1638" s="2" t="s">
        <v>11</v>
      </c>
      <c r="D1638">
        <v>42</v>
      </c>
      <c r="E1638" s="2" t="s">
        <v>16</v>
      </c>
      <c r="F1638" s="2" t="s">
        <v>19</v>
      </c>
      <c r="G1638">
        <v>36416</v>
      </c>
      <c r="H1638" s="1">
        <v>45372</v>
      </c>
      <c r="I1638">
        <v>14</v>
      </c>
      <c r="J1638">
        <v>4</v>
      </c>
      <c r="K1638">
        <v>3642</v>
      </c>
      <c r="L1638">
        <v>1821</v>
      </c>
      <c r="M1638">
        <v>38237</v>
      </c>
      <c r="N1638">
        <v>1821</v>
      </c>
      <c r="O1638">
        <v>41879</v>
      </c>
    </row>
    <row r="1639" spans="1:15" x14ac:dyDescent="0.35">
      <c r="A1639">
        <v>1638</v>
      </c>
      <c r="B1639" s="2" t="s">
        <v>14</v>
      </c>
      <c r="C1639" s="2" t="s">
        <v>11</v>
      </c>
      <c r="D1639">
        <v>26</v>
      </c>
      <c r="E1639" s="2" t="s">
        <v>12</v>
      </c>
      <c r="F1639" s="2" t="s">
        <v>19</v>
      </c>
      <c r="G1639">
        <v>72551</v>
      </c>
      <c r="H1639" s="1">
        <v>44681</v>
      </c>
      <c r="I1639">
        <v>2</v>
      </c>
      <c r="J1639">
        <v>3</v>
      </c>
      <c r="K1639">
        <v>7255</v>
      </c>
      <c r="L1639">
        <v>3628</v>
      </c>
      <c r="M1639">
        <v>76178</v>
      </c>
      <c r="N1639">
        <v>0</v>
      </c>
      <c r="O1639">
        <v>79806</v>
      </c>
    </row>
    <row r="1640" spans="1:15" x14ac:dyDescent="0.35">
      <c r="A1640">
        <v>1639</v>
      </c>
      <c r="B1640" s="2" t="s">
        <v>31</v>
      </c>
      <c r="C1640" s="2" t="s">
        <v>11</v>
      </c>
      <c r="D1640">
        <v>47</v>
      </c>
      <c r="E1640" s="2" t="s">
        <v>28</v>
      </c>
      <c r="F1640" s="2" t="s">
        <v>17</v>
      </c>
      <c r="G1640">
        <v>37946</v>
      </c>
      <c r="H1640" s="1">
        <v>44742</v>
      </c>
      <c r="I1640">
        <v>4</v>
      </c>
      <c r="J1640">
        <v>1</v>
      </c>
      <c r="K1640">
        <v>3795</v>
      </c>
      <c r="L1640">
        <v>1897</v>
      </c>
      <c r="M1640">
        <v>39844</v>
      </c>
      <c r="N1640">
        <v>0</v>
      </c>
      <c r="O1640">
        <v>41741</v>
      </c>
    </row>
    <row r="1641" spans="1:15" x14ac:dyDescent="0.35">
      <c r="A1641">
        <v>1640</v>
      </c>
      <c r="B1641" s="2" t="s">
        <v>10</v>
      </c>
      <c r="C1641" s="2" t="s">
        <v>11</v>
      </c>
      <c r="D1641">
        <v>30</v>
      </c>
      <c r="E1641" s="2" t="s">
        <v>28</v>
      </c>
      <c r="F1641" s="2" t="s">
        <v>19</v>
      </c>
      <c r="G1641">
        <v>48969</v>
      </c>
      <c r="H1641" s="1">
        <v>44587</v>
      </c>
      <c r="I1641">
        <v>19</v>
      </c>
      <c r="J1641">
        <v>5</v>
      </c>
      <c r="K1641">
        <v>4897</v>
      </c>
      <c r="L1641">
        <v>2448</v>
      </c>
      <c r="M1641">
        <v>51418</v>
      </c>
      <c r="N1641">
        <v>2448</v>
      </c>
      <c r="O1641">
        <v>56314</v>
      </c>
    </row>
    <row r="1642" spans="1:15" x14ac:dyDescent="0.35">
      <c r="A1642">
        <v>1641</v>
      </c>
      <c r="B1642" s="2" t="s">
        <v>27</v>
      </c>
      <c r="C1642" s="2" t="s">
        <v>15</v>
      </c>
      <c r="D1642">
        <v>52</v>
      </c>
      <c r="E1642" s="2" t="s">
        <v>16</v>
      </c>
      <c r="F1642" s="2" t="s">
        <v>25</v>
      </c>
      <c r="G1642">
        <v>89564</v>
      </c>
      <c r="H1642" s="1">
        <v>44816</v>
      </c>
      <c r="I1642">
        <v>19</v>
      </c>
      <c r="J1642">
        <v>5</v>
      </c>
      <c r="K1642">
        <v>8956</v>
      </c>
      <c r="L1642">
        <v>4478</v>
      </c>
      <c r="M1642">
        <v>94042</v>
      </c>
      <c r="N1642">
        <v>4478</v>
      </c>
      <c r="O1642">
        <v>102998</v>
      </c>
    </row>
    <row r="1643" spans="1:15" x14ac:dyDescent="0.35">
      <c r="A1643">
        <v>1642</v>
      </c>
      <c r="B1643" s="2" t="s">
        <v>22</v>
      </c>
      <c r="C1643" s="2" t="s">
        <v>15</v>
      </c>
      <c r="D1643">
        <v>34</v>
      </c>
      <c r="E1643" s="2" t="s">
        <v>29</v>
      </c>
      <c r="F1643" s="2" t="s">
        <v>17</v>
      </c>
      <c r="G1643">
        <v>59780</v>
      </c>
      <c r="H1643" s="1">
        <v>45352</v>
      </c>
      <c r="I1643">
        <v>7</v>
      </c>
      <c r="J1643">
        <v>4</v>
      </c>
      <c r="K1643">
        <v>5978</v>
      </c>
      <c r="L1643">
        <v>2989</v>
      </c>
      <c r="M1643">
        <v>62769</v>
      </c>
      <c r="N1643">
        <v>2989</v>
      </c>
      <c r="O1643">
        <v>68747</v>
      </c>
    </row>
    <row r="1644" spans="1:15" x14ac:dyDescent="0.35">
      <c r="A1644">
        <v>1643</v>
      </c>
      <c r="B1644" s="2" t="s">
        <v>20</v>
      </c>
      <c r="C1644" s="2" t="s">
        <v>15</v>
      </c>
      <c r="D1644">
        <v>56</v>
      </c>
      <c r="E1644" s="2" t="s">
        <v>12</v>
      </c>
      <c r="F1644" s="2" t="s">
        <v>21</v>
      </c>
      <c r="G1644">
        <v>42022</v>
      </c>
      <c r="H1644" s="1">
        <v>44986</v>
      </c>
      <c r="I1644">
        <v>1</v>
      </c>
      <c r="J1644">
        <v>4</v>
      </c>
      <c r="K1644">
        <v>4202</v>
      </c>
      <c r="L1644">
        <v>2101</v>
      </c>
      <c r="M1644">
        <v>44123</v>
      </c>
      <c r="N1644">
        <v>0</v>
      </c>
      <c r="O1644">
        <v>46224</v>
      </c>
    </row>
    <row r="1645" spans="1:15" x14ac:dyDescent="0.35">
      <c r="A1645">
        <v>1644</v>
      </c>
      <c r="B1645" s="2" t="s">
        <v>27</v>
      </c>
      <c r="C1645" s="2" t="s">
        <v>15</v>
      </c>
      <c r="D1645">
        <v>31</v>
      </c>
      <c r="E1645" s="2" t="s">
        <v>29</v>
      </c>
      <c r="F1645" s="2" t="s">
        <v>17</v>
      </c>
      <c r="G1645">
        <v>84035</v>
      </c>
      <c r="H1645" s="1">
        <v>45472</v>
      </c>
      <c r="I1645">
        <v>10</v>
      </c>
      <c r="J1645">
        <v>4</v>
      </c>
      <c r="K1645">
        <v>8404</v>
      </c>
      <c r="L1645">
        <v>4202</v>
      </c>
      <c r="M1645">
        <v>88237</v>
      </c>
      <c r="N1645">
        <v>4202</v>
      </c>
      <c r="O1645">
        <v>96641</v>
      </c>
    </row>
    <row r="1646" spans="1:15" x14ac:dyDescent="0.35">
      <c r="A1646">
        <v>1645</v>
      </c>
      <c r="B1646" s="2" t="s">
        <v>18</v>
      </c>
      <c r="C1646" s="2" t="s">
        <v>15</v>
      </c>
      <c r="D1646">
        <v>60</v>
      </c>
      <c r="E1646" s="2" t="s">
        <v>29</v>
      </c>
      <c r="F1646" s="2" t="s">
        <v>25</v>
      </c>
      <c r="G1646">
        <v>92846</v>
      </c>
      <c r="H1646" s="1">
        <v>45300</v>
      </c>
      <c r="I1646">
        <v>13</v>
      </c>
      <c r="J1646">
        <v>2</v>
      </c>
      <c r="K1646">
        <v>9285</v>
      </c>
      <c r="L1646">
        <v>4642</v>
      </c>
      <c r="M1646">
        <v>97489</v>
      </c>
      <c r="N1646">
        <v>4642</v>
      </c>
      <c r="O1646">
        <v>106773</v>
      </c>
    </row>
    <row r="1647" spans="1:15" x14ac:dyDescent="0.35">
      <c r="A1647">
        <v>1646</v>
      </c>
      <c r="B1647" s="2" t="s">
        <v>14</v>
      </c>
      <c r="C1647" s="2" t="s">
        <v>11</v>
      </c>
      <c r="D1647">
        <v>57</v>
      </c>
      <c r="E1647" s="2" t="s">
        <v>16</v>
      </c>
      <c r="F1647" s="2" t="s">
        <v>19</v>
      </c>
      <c r="G1647">
        <v>65744</v>
      </c>
      <c r="H1647" s="1">
        <v>45325</v>
      </c>
      <c r="I1647">
        <v>16</v>
      </c>
      <c r="J1647">
        <v>2</v>
      </c>
      <c r="K1647">
        <v>6574</v>
      </c>
      <c r="L1647">
        <v>3287</v>
      </c>
      <c r="M1647">
        <v>69031</v>
      </c>
      <c r="N1647">
        <v>3287</v>
      </c>
      <c r="O1647">
        <v>75605</v>
      </c>
    </row>
    <row r="1648" spans="1:15" x14ac:dyDescent="0.35">
      <c r="A1648">
        <v>1647</v>
      </c>
      <c r="B1648" s="2" t="s">
        <v>26</v>
      </c>
      <c r="C1648" s="2" t="s">
        <v>15</v>
      </c>
      <c r="D1648">
        <v>44</v>
      </c>
      <c r="E1648" s="2" t="s">
        <v>24</v>
      </c>
      <c r="F1648" s="2" t="s">
        <v>19</v>
      </c>
      <c r="G1648">
        <v>94751</v>
      </c>
      <c r="H1648" s="1">
        <v>45145</v>
      </c>
      <c r="I1648">
        <v>3</v>
      </c>
      <c r="J1648">
        <v>4</v>
      </c>
      <c r="K1648">
        <v>9475</v>
      </c>
      <c r="L1648">
        <v>4738</v>
      </c>
      <c r="M1648">
        <v>99488</v>
      </c>
      <c r="N1648">
        <v>0</v>
      </c>
      <c r="O1648">
        <v>104226</v>
      </c>
    </row>
    <row r="1649" spans="1:15" x14ac:dyDescent="0.35">
      <c r="A1649">
        <v>1648</v>
      </c>
      <c r="B1649" s="2" t="s">
        <v>10</v>
      </c>
      <c r="C1649" s="2" t="s">
        <v>11</v>
      </c>
      <c r="D1649">
        <v>21</v>
      </c>
      <c r="E1649" s="2" t="s">
        <v>29</v>
      </c>
      <c r="F1649" s="2" t="s">
        <v>21</v>
      </c>
      <c r="G1649">
        <v>72187</v>
      </c>
      <c r="H1649" s="1">
        <v>44738</v>
      </c>
      <c r="I1649">
        <v>13</v>
      </c>
      <c r="J1649">
        <v>1</v>
      </c>
      <c r="K1649">
        <v>7219</v>
      </c>
      <c r="L1649">
        <v>3609</v>
      </c>
      <c r="M1649">
        <v>75797</v>
      </c>
      <c r="N1649">
        <v>3609</v>
      </c>
      <c r="O1649">
        <v>83015</v>
      </c>
    </row>
    <row r="1650" spans="1:15" x14ac:dyDescent="0.35">
      <c r="A1650">
        <v>1649</v>
      </c>
      <c r="B1650" s="2" t="s">
        <v>18</v>
      </c>
      <c r="C1650" s="2" t="s">
        <v>15</v>
      </c>
      <c r="D1650">
        <v>42</v>
      </c>
      <c r="E1650" s="2" t="s">
        <v>16</v>
      </c>
      <c r="F1650" s="2" t="s">
        <v>13</v>
      </c>
      <c r="G1650">
        <v>70383</v>
      </c>
      <c r="H1650" s="1">
        <v>44875</v>
      </c>
      <c r="I1650">
        <v>1</v>
      </c>
      <c r="J1650">
        <v>5</v>
      </c>
      <c r="K1650">
        <v>7038</v>
      </c>
      <c r="L1650">
        <v>3519</v>
      </c>
      <c r="M1650">
        <v>73902</v>
      </c>
      <c r="N1650">
        <v>0</v>
      </c>
      <c r="O1650">
        <v>77421</v>
      </c>
    </row>
    <row r="1651" spans="1:15" x14ac:dyDescent="0.35">
      <c r="A1651">
        <v>1650</v>
      </c>
      <c r="B1651" s="2" t="s">
        <v>22</v>
      </c>
      <c r="C1651" s="2" t="s">
        <v>11</v>
      </c>
      <c r="D1651">
        <v>25</v>
      </c>
      <c r="E1651" s="2" t="s">
        <v>24</v>
      </c>
      <c r="F1651" s="2" t="s">
        <v>25</v>
      </c>
      <c r="G1651">
        <v>39664</v>
      </c>
      <c r="H1651" s="1">
        <v>44899</v>
      </c>
      <c r="I1651">
        <v>6</v>
      </c>
      <c r="J1651">
        <v>1</v>
      </c>
      <c r="K1651">
        <v>3966</v>
      </c>
      <c r="L1651">
        <v>1983</v>
      </c>
      <c r="M1651">
        <v>41647</v>
      </c>
      <c r="N1651">
        <v>1983</v>
      </c>
      <c r="O1651">
        <v>45613</v>
      </c>
    </row>
    <row r="1652" spans="1:15" x14ac:dyDescent="0.35">
      <c r="A1652">
        <v>1651</v>
      </c>
      <c r="B1652" s="2" t="s">
        <v>18</v>
      </c>
      <c r="C1652" s="2" t="s">
        <v>15</v>
      </c>
      <c r="D1652">
        <v>51</v>
      </c>
      <c r="E1652" s="2" t="s">
        <v>24</v>
      </c>
      <c r="F1652" s="2" t="s">
        <v>21</v>
      </c>
      <c r="G1652">
        <v>53924</v>
      </c>
      <c r="H1652" s="1">
        <v>44938</v>
      </c>
      <c r="I1652">
        <v>16</v>
      </c>
      <c r="J1652">
        <v>5</v>
      </c>
      <c r="K1652">
        <v>5392</v>
      </c>
      <c r="L1652">
        <v>2696</v>
      </c>
      <c r="M1652">
        <v>56620</v>
      </c>
      <c r="N1652">
        <v>2696</v>
      </c>
      <c r="O1652">
        <v>62012</v>
      </c>
    </row>
    <row r="1653" spans="1:15" x14ac:dyDescent="0.35">
      <c r="A1653">
        <v>1652</v>
      </c>
      <c r="B1653" s="2" t="s">
        <v>10</v>
      </c>
      <c r="C1653" s="2" t="s">
        <v>11</v>
      </c>
      <c r="D1653">
        <v>31</v>
      </c>
      <c r="E1653" s="2" t="s">
        <v>29</v>
      </c>
      <c r="F1653" s="2" t="s">
        <v>19</v>
      </c>
      <c r="G1653">
        <v>30206</v>
      </c>
      <c r="H1653" s="1">
        <v>45384</v>
      </c>
      <c r="I1653">
        <v>15</v>
      </c>
      <c r="J1653">
        <v>3</v>
      </c>
      <c r="K1653">
        <v>3021</v>
      </c>
      <c r="L1653">
        <v>1510</v>
      </c>
      <c r="M1653">
        <v>31717</v>
      </c>
      <c r="N1653">
        <v>1510</v>
      </c>
      <c r="O1653">
        <v>34737</v>
      </c>
    </row>
    <row r="1654" spans="1:15" x14ac:dyDescent="0.35">
      <c r="A1654">
        <v>1653</v>
      </c>
      <c r="B1654" s="2" t="s">
        <v>27</v>
      </c>
      <c r="C1654" s="2" t="s">
        <v>11</v>
      </c>
      <c r="D1654">
        <v>39</v>
      </c>
      <c r="E1654" s="2" t="s">
        <v>28</v>
      </c>
      <c r="F1654" s="2" t="s">
        <v>25</v>
      </c>
      <c r="G1654">
        <v>93406</v>
      </c>
      <c r="H1654" s="1">
        <v>45026</v>
      </c>
      <c r="I1654">
        <v>17</v>
      </c>
      <c r="J1654">
        <v>5</v>
      </c>
      <c r="K1654">
        <v>9341</v>
      </c>
      <c r="L1654">
        <v>4670</v>
      </c>
      <c r="M1654">
        <v>98077</v>
      </c>
      <c r="N1654">
        <v>4670</v>
      </c>
      <c r="O1654">
        <v>107417</v>
      </c>
    </row>
    <row r="1655" spans="1:15" x14ac:dyDescent="0.35">
      <c r="A1655">
        <v>1654</v>
      </c>
      <c r="B1655" s="2" t="s">
        <v>31</v>
      </c>
      <c r="C1655" s="2" t="s">
        <v>15</v>
      </c>
      <c r="D1655">
        <v>59</v>
      </c>
      <c r="E1655" s="2" t="s">
        <v>16</v>
      </c>
      <c r="F1655" s="2" t="s">
        <v>21</v>
      </c>
      <c r="G1655">
        <v>21459</v>
      </c>
      <c r="H1655" s="1">
        <v>44984</v>
      </c>
      <c r="I1655">
        <v>3</v>
      </c>
      <c r="J1655">
        <v>1</v>
      </c>
      <c r="K1655">
        <v>2146</v>
      </c>
      <c r="L1655">
        <v>1073</v>
      </c>
      <c r="M1655">
        <v>22532</v>
      </c>
      <c r="N1655">
        <v>0</v>
      </c>
      <c r="O1655">
        <v>23605</v>
      </c>
    </row>
    <row r="1656" spans="1:15" x14ac:dyDescent="0.35">
      <c r="A1656">
        <v>1655</v>
      </c>
      <c r="B1656" s="2" t="s">
        <v>30</v>
      </c>
      <c r="C1656" s="2" t="s">
        <v>15</v>
      </c>
      <c r="D1656">
        <v>39</v>
      </c>
      <c r="E1656" s="2" t="s">
        <v>28</v>
      </c>
      <c r="F1656" s="2" t="s">
        <v>19</v>
      </c>
      <c r="G1656">
        <v>53394</v>
      </c>
      <c r="H1656" s="1">
        <v>45378</v>
      </c>
      <c r="I1656">
        <v>14</v>
      </c>
      <c r="J1656">
        <v>3</v>
      </c>
      <c r="K1656">
        <v>5339</v>
      </c>
      <c r="L1656">
        <v>2670</v>
      </c>
      <c r="M1656">
        <v>56063</v>
      </c>
      <c r="N1656">
        <v>2670</v>
      </c>
      <c r="O1656">
        <v>61403</v>
      </c>
    </row>
    <row r="1657" spans="1:15" x14ac:dyDescent="0.35">
      <c r="A1657">
        <v>1656</v>
      </c>
      <c r="B1657" s="2" t="s">
        <v>20</v>
      </c>
      <c r="C1657" s="2" t="s">
        <v>11</v>
      </c>
      <c r="D1657">
        <v>47</v>
      </c>
      <c r="E1657" s="2" t="s">
        <v>28</v>
      </c>
      <c r="F1657" s="2" t="s">
        <v>13</v>
      </c>
      <c r="G1657">
        <v>57560</v>
      </c>
      <c r="H1657" s="1">
        <v>45441</v>
      </c>
      <c r="I1657">
        <v>4</v>
      </c>
      <c r="J1657">
        <v>3</v>
      </c>
      <c r="K1657">
        <v>5756</v>
      </c>
      <c r="L1657">
        <v>2878</v>
      </c>
      <c r="M1657">
        <v>60438</v>
      </c>
      <c r="N1657">
        <v>0</v>
      </c>
      <c r="O1657">
        <v>63316</v>
      </c>
    </row>
    <row r="1658" spans="1:15" x14ac:dyDescent="0.35">
      <c r="A1658">
        <v>1657</v>
      </c>
      <c r="B1658" s="2" t="s">
        <v>23</v>
      </c>
      <c r="C1658" s="2" t="s">
        <v>15</v>
      </c>
      <c r="D1658">
        <v>32</v>
      </c>
      <c r="E1658" s="2" t="s">
        <v>28</v>
      </c>
      <c r="F1658" s="2" t="s">
        <v>21</v>
      </c>
      <c r="G1658">
        <v>54701</v>
      </c>
      <c r="H1658" s="1">
        <v>45055</v>
      </c>
      <c r="I1658">
        <v>11</v>
      </c>
      <c r="J1658">
        <v>1</v>
      </c>
      <c r="K1658">
        <v>5470</v>
      </c>
      <c r="L1658">
        <v>2735</v>
      </c>
      <c r="M1658">
        <v>57436</v>
      </c>
      <c r="N1658">
        <v>2735</v>
      </c>
      <c r="O1658">
        <v>62906</v>
      </c>
    </row>
    <row r="1659" spans="1:15" x14ac:dyDescent="0.35">
      <c r="A1659">
        <v>1658</v>
      </c>
      <c r="B1659" s="2" t="s">
        <v>10</v>
      </c>
      <c r="C1659" s="2" t="s">
        <v>11</v>
      </c>
      <c r="D1659">
        <v>40</v>
      </c>
      <c r="E1659" s="2" t="s">
        <v>16</v>
      </c>
      <c r="F1659" s="2" t="s">
        <v>25</v>
      </c>
      <c r="G1659">
        <v>66657</v>
      </c>
      <c r="H1659" s="1">
        <v>45459</v>
      </c>
      <c r="I1659">
        <v>6</v>
      </c>
      <c r="J1659">
        <v>3</v>
      </c>
      <c r="K1659">
        <v>6666</v>
      </c>
      <c r="L1659">
        <v>3333</v>
      </c>
      <c r="M1659">
        <v>69990</v>
      </c>
      <c r="N1659">
        <v>3333</v>
      </c>
      <c r="O1659">
        <v>76656</v>
      </c>
    </row>
    <row r="1660" spans="1:15" x14ac:dyDescent="0.35">
      <c r="A1660">
        <v>1659</v>
      </c>
      <c r="B1660" s="2" t="s">
        <v>23</v>
      </c>
      <c r="C1660" s="2" t="s">
        <v>15</v>
      </c>
      <c r="D1660">
        <v>46</v>
      </c>
      <c r="E1660" s="2" t="s">
        <v>16</v>
      </c>
      <c r="F1660" s="2" t="s">
        <v>17</v>
      </c>
      <c r="G1660">
        <v>20888</v>
      </c>
      <c r="H1660" s="1">
        <v>44908</v>
      </c>
      <c r="I1660">
        <v>2</v>
      </c>
      <c r="J1660">
        <v>4</v>
      </c>
      <c r="K1660">
        <v>2089</v>
      </c>
      <c r="L1660">
        <v>1044</v>
      </c>
      <c r="M1660">
        <v>21933</v>
      </c>
      <c r="N1660">
        <v>0</v>
      </c>
      <c r="O1660">
        <v>22977</v>
      </c>
    </row>
    <row r="1661" spans="1:15" x14ac:dyDescent="0.35">
      <c r="A1661">
        <v>1660</v>
      </c>
      <c r="B1661" s="2" t="s">
        <v>18</v>
      </c>
      <c r="C1661" s="2" t="s">
        <v>15</v>
      </c>
      <c r="D1661">
        <v>24</v>
      </c>
      <c r="E1661" s="2" t="s">
        <v>24</v>
      </c>
      <c r="F1661" s="2" t="s">
        <v>21</v>
      </c>
      <c r="G1661">
        <v>98905</v>
      </c>
      <c r="H1661" s="1">
        <v>44947</v>
      </c>
      <c r="I1661">
        <v>15</v>
      </c>
      <c r="J1661">
        <v>3</v>
      </c>
      <c r="K1661">
        <v>9890</v>
      </c>
      <c r="L1661">
        <v>4945</v>
      </c>
      <c r="M1661">
        <v>103850</v>
      </c>
      <c r="N1661">
        <v>4945</v>
      </c>
      <c r="O1661">
        <v>113740</v>
      </c>
    </row>
    <row r="1662" spans="1:15" x14ac:dyDescent="0.35">
      <c r="A1662">
        <v>1661</v>
      </c>
      <c r="B1662" s="2" t="s">
        <v>18</v>
      </c>
      <c r="C1662" s="2" t="s">
        <v>11</v>
      </c>
      <c r="D1662">
        <v>48</v>
      </c>
      <c r="E1662" s="2" t="s">
        <v>12</v>
      </c>
      <c r="F1662" s="2" t="s">
        <v>21</v>
      </c>
      <c r="G1662">
        <v>91019</v>
      </c>
      <c r="H1662" s="1">
        <v>45259</v>
      </c>
      <c r="I1662">
        <v>17</v>
      </c>
      <c r="J1662">
        <v>2</v>
      </c>
      <c r="K1662">
        <v>9102</v>
      </c>
      <c r="L1662">
        <v>4551</v>
      </c>
      <c r="M1662">
        <v>95570</v>
      </c>
      <c r="N1662">
        <v>4551</v>
      </c>
      <c r="O1662">
        <v>104672</v>
      </c>
    </row>
    <row r="1663" spans="1:15" x14ac:dyDescent="0.35">
      <c r="A1663">
        <v>1662</v>
      </c>
      <c r="B1663" s="2" t="s">
        <v>31</v>
      </c>
      <c r="C1663" s="2" t="s">
        <v>11</v>
      </c>
      <c r="D1663">
        <v>56</v>
      </c>
      <c r="E1663" s="2" t="s">
        <v>16</v>
      </c>
      <c r="F1663" s="2" t="s">
        <v>17</v>
      </c>
      <c r="G1663">
        <v>80648</v>
      </c>
      <c r="H1663" s="1">
        <v>45219</v>
      </c>
      <c r="I1663">
        <v>13</v>
      </c>
      <c r="J1663">
        <v>1</v>
      </c>
      <c r="K1663">
        <v>8065</v>
      </c>
      <c r="L1663">
        <v>4032</v>
      </c>
      <c r="M1663">
        <v>84681</v>
      </c>
      <c r="N1663">
        <v>4032</v>
      </c>
      <c r="O1663">
        <v>92745</v>
      </c>
    </row>
    <row r="1664" spans="1:15" x14ac:dyDescent="0.35">
      <c r="A1664">
        <v>1663</v>
      </c>
      <c r="B1664" s="2" t="s">
        <v>14</v>
      </c>
      <c r="C1664" s="2" t="s">
        <v>11</v>
      </c>
      <c r="D1664">
        <v>22</v>
      </c>
      <c r="E1664" s="2" t="s">
        <v>12</v>
      </c>
      <c r="F1664" s="2" t="s">
        <v>19</v>
      </c>
      <c r="G1664">
        <v>87077</v>
      </c>
      <c r="H1664" s="1">
        <v>45169</v>
      </c>
      <c r="I1664">
        <v>2</v>
      </c>
      <c r="J1664">
        <v>3</v>
      </c>
      <c r="K1664">
        <v>8708</v>
      </c>
      <c r="L1664">
        <v>4354</v>
      </c>
      <c r="M1664">
        <v>91431</v>
      </c>
      <c r="N1664">
        <v>0</v>
      </c>
      <c r="O1664">
        <v>95785</v>
      </c>
    </row>
    <row r="1665" spans="1:15" x14ac:dyDescent="0.35">
      <c r="A1665">
        <v>1664</v>
      </c>
      <c r="B1665" s="2" t="s">
        <v>10</v>
      </c>
      <c r="C1665" s="2" t="s">
        <v>15</v>
      </c>
      <c r="D1665">
        <v>23</v>
      </c>
      <c r="E1665" s="2" t="s">
        <v>16</v>
      </c>
      <c r="F1665" s="2" t="s">
        <v>21</v>
      </c>
      <c r="G1665">
        <v>57888</v>
      </c>
      <c r="H1665" s="1">
        <v>45172</v>
      </c>
      <c r="I1665">
        <v>15</v>
      </c>
      <c r="J1665">
        <v>1</v>
      </c>
      <c r="K1665">
        <v>5789</v>
      </c>
      <c r="L1665">
        <v>2894</v>
      </c>
      <c r="M1665">
        <v>60783</v>
      </c>
      <c r="N1665">
        <v>2894</v>
      </c>
      <c r="O1665">
        <v>66571</v>
      </c>
    </row>
    <row r="1666" spans="1:15" x14ac:dyDescent="0.35">
      <c r="A1666">
        <v>1665</v>
      </c>
      <c r="B1666" s="2" t="s">
        <v>30</v>
      </c>
      <c r="C1666" s="2" t="s">
        <v>15</v>
      </c>
      <c r="D1666">
        <v>41</v>
      </c>
      <c r="E1666" s="2" t="s">
        <v>28</v>
      </c>
      <c r="F1666" s="2" t="s">
        <v>13</v>
      </c>
      <c r="G1666">
        <v>36806</v>
      </c>
      <c r="H1666" s="1">
        <v>45368</v>
      </c>
      <c r="I1666">
        <v>2</v>
      </c>
      <c r="J1666">
        <v>5</v>
      </c>
      <c r="K1666">
        <v>3681</v>
      </c>
      <c r="L1666">
        <v>1840</v>
      </c>
      <c r="M1666">
        <v>38647</v>
      </c>
      <c r="N1666">
        <v>0</v>
      </c>
      <c r="O1666">
        <v>40487</v>
      </c>
    </row>
    <row r="1667" spans="1:15" x14ac:dyDescent="0.35">
      <c r="A1667">
        <v>1666</v>
      </c>
      <c r="B1667" s="2" t="s">
        <v>20</v>
      </c>
      <c r="C1667" s="2" t="s">
        <v>11</v>
      </c>
      <c r="D1667">
        <v>46</v>
      </c>
      <c r="E1667" s="2" t="s">
        <v>16</v>
      </c>
      <c r="F1667" s="2" t="s">
        <v>13</v>
      </c>
      <c r="G1667">
        <v>87757</v>
      </c>
      <c r="H1667" s="1">
        <v>44958</v>
      </c>
      <c r="I1667">
        <v>19</v>
      </c>
      <c r="J1667">
        <v>1</v>
      </c>
      <c r="K1667">
        <v>8776</v>
      </c>
      <c r="L1667">
        <v>4388</v>
      </c>
      <c r="M1667">
        <v>92145</v>
      </c>
      <c r="N1667">
        <v>4388</v>
      </c>
      <c r="O1667">
        <v>100921</v>
      </c>
    </row>
    <row r="1668" spans="1:15" x14ac:dyDescent="0.35">
      <c r="A1668">
        <v>1667</v>
      </c>
      <c r="B1668" s="2" t="s">
        <v>18</v>
      </c>
      <c r="C1668" s="2" t="s">
        <v>15</v>
      </c>
      <c r="D1668">
        <v>54</v>
      </c>
      <c r="E1668" s="2" t="s">
        <v>24</v>
      </c>
      <c r="F1668" s="2" t="s">
        <v>19</v>
      </c>
      <c r="G1668">
        <v>96345</v>
      </c>
      <c r="H1668" s="1">
        <v>45244</v>
      </c>
      <c r="I1668">
        <v>16</v>
      </c>
      <c r="J1668">
        <v>4</v>
      </c>
      <c r="K1668">
        <v>9634</v>
      </c>
      <c r="L1668">
        <v>4817</v>
      </c>
      <c r="M1668">
        <v>101162</v>
      </c>
      <c r="N1668">
        <v>4817</v>
      </c>
      <c r="O1668">
        <v>110796</v>
      </c>
    </row>
    <row r="1669" spans="1:15" x14ac:dyDescent="0.35">
      <c r="A1669">
        <v>1668</v>
      </c>
      <c r="B1669" s="2" t="s">
        <v>30</v>
      </c>
      <c r="C1669" s="2" t="s">
        <v>11</v>
      </c>
      <c r="D1669">
        <v>35</v>
      </c>
      <c r="E1669" s="2" t="s">
        <v>24</v>
      </c>
      <c r="F1669" s="2" t="s">
        <v>25</v>
      </c>
      <c r="G1669">
        <v>53502</v>
      </c>
      <c r="H1669" s="1">
        <v>45260</v>
      </c>
      <c r="I1669">
        <v>4</v>
      </c>
      <c r="J1669">
        <v>4</v>
      </c>
      <c r="K1669">
        <v>5350</v>
      </c>
      <c r="L1669">
        <v>2675</v>
      </c>
      <c r="M1669">
        <v>56177</v>
      </c>
      <c r="N1669">
        <v>0</v>
      </c>
      <c r="O1669">
        <v>58852</v>
      </c>
    </row>
    <row r="1670" spans="1:15" x14ac:dyDescent="0.35">
      <c r="A1670">
        <v>1669</v>
      </c>
      <c r="B1670" s="2" t="s">
        <v>14</v>
      </c>
      <c r="C1670" s="2" t="s">
        <v>15</v>
      </c>
      <c r="D1670">
        <v>29</v>
      </c>
      <c r="E1670" s="2" t="s">
        <v>16</v>
      </c>
      <c r="F1670" s="2" t="s">
        <v>25</v>
      </c>
      <c r="G1670">
        <v>28488</v>
      </c>
      <c r="H1670" s="1">
        <v>45209</v>
      </c>
      <c r="I1670">
        <v>16</v>
      </c>
      <c r="J1670">
        <v>3</v>
      </c>
      <c r="K1670">
        <v>2849</v>
      </c>
      <c r="L1670">
        <v>1424</v>
      </c>
      <c r="M1670">
        <v>29913</v>
      </c>
      <c r="N1670">
        <v>1424</v>
      </c>
      <c r="O1670">
        <v>32761</v>
      </c>
    </row>
    <row r="1671" spans="1:15" x14ac:dyDescent="0.35">
      <c r="A1671">
        <v>1670</v>
      </c>
      <c r="B1671" s="2" t="s">
        <v>20</v>
      </c>
      <c r="C1671" s="2" t="s">
        <v>15</v>
      </c>
      <c r="D1671">
        <v>47</v>
      </c>
      <c r="E1671" s="2" t="s">
        <v>24</v>
      </c>
      <c r="F1671" s="2" t="s">
        <v>17</v>
      </c>
      <c r="G1671">
        <v>70041</v>
      </c>
      <c r="H1671" s="1">
        <v>44836</v>
      </c>
      <c r="I1671">
        <v>8</v>
      </c>
      <c r="J1671">
        <v>3</v>
      </c>
      <c r="K1671">
        <v>7004</v>
      </c>
      <c r="L1671">
        <v>3502</v>
      </c>
      <c r="M1671">
        <v>73543</v>
      </c>
      <c r="N1671">
        <v>3502</v>
      </c>
      <c r="O1671">
        <v>80547</v>
      </c>
    </row>
    <row r="1672" spans="1:15" x14ac:dyDescent="0.35">
      <c r="A1672">
        <v>1671</v>
      </c>
      <c r="B1672" s="2" t="s">
        <v>10</v>
      </c>
      <c r="C1672" s="2" t="s">
        <v>15</v>
      </c>
      <c r="D1672">
        <v>43</v>
      </c>
      <c r="E1672" s="2" t="s">
        <v>28</v>
      </c>
      <c r="F1672" s="2" t="s">
        <v>19</v>
      </c>
      <c r="G1672">
        <v>49259</v>
      </c>
      <c r="H1672" s="1">
        <v>45225</v>
      </c>
      <c r="I1672">
        <v>15</v>
      </c>
      <c r="J1672">
        <v>4</v>
      </c>
      <c r="K1672">
        <v>4926</v>
      </c>
      <c r="L1672">
        <v>2463</v>
      </c>
      <c r="M1672">
        <v>51722</v>
      </c>
      <c r="N1672">
        <v>2463</v>
      </c>
      <c r="O1672">
        <v>56648</v>
      </c>
    </row>
    <row r="1673" spans="1:15" x14ac:dyDescent="0.35">
      <c r="A1673">
        <v>1672</v>
      </c>
      <c r="B1673" s="2" t="s">
        <v>22</v>
      </c>
      <c r="C1673" s="2" t="s">
        <v>11</v>
      </c>
      <c r="D1673">
        <v>46</v>
      </c>
      <c r="E1673" s="2" t="s">
        <v>16</v>
      </c>
      <c r="F1673" s="2" t="s">
        <v>25</v>
      </c>
      <c r="G1673">
        <v>89707</v>
      </c>
      <c r="H1673" s="1">
        <v>45549</v>
      </c>
      <c r="I1673">
        <v>2</v>
      </c>
      <c r="J1673">
        <v>2</v>
      </c>
      <c r="K1673">
        <v>8971</v>
      </c>
      <c r="L1673">
        <v>4485</v>
      </c>
      <c r="M1673">
        <v>94193</v>
      </c>
      <c r="N1673">
        <v>0</v>
      </c>
      <c r="O1673">
        <v>98678</v>
      </c>
    </row>
    <row r="1674" spans="1:15" x14ac:dyDescent="0.35">
      <c r="A1674">
        <v>1673</v>
      </c>
      <c r="B1674" s="2" t="s">
        <v>10</v>
      </c>
      <c r="C1674" s="2" t="s">
        <v>15</v>
      </c>
      <c r="D1674">
        <v>26</v>
      </c>
      <c r="E1674" s="2" t="s">
        <v>28</v>
      </c>
      <c r="F1674" s="2" t="s">
        <v>21</v>
      </c>
      <c r="G1674">
        <v>36677</v>
      </c>
      <c r="H1674" s="1">
        <v>44642</v>
      </c>
      <c r="I1674">
        <v>9</v>
      </c>
      <c r="J1674">
        <v>2</v>
      </c>
      <c r="K1674">
        <v>3668</v>
      </c>
      <c r="L1674">
        <v>1834</v>
      </c>
      <c r="M1674">
        <v>38511</v>
      </c>
      <c r="N1674">
        <v>1834</v>
      </c>
      <c r="O1674">
        <v>42179</v>
      </c>
    </row>
    <row r="1675" spans="1:15" x14ac:dyDescent="0.35">
      <c r="A1675">
        <v>1674</v>
      </c>
      <c r="B1675" s="2" t="s">
        <v>20</v>
      </c>
      <c r="C1675" s="2" t="s">
        <v>11</v>
      </c>
      <c r="D1675">
        <v>31</v>
      </c>
      <c r="E1675" s="2" t="s">
        <v>12</v>
      </c>
      <c r="F1675" s="2" t="s">
        <v>17</v>
      </c>
      <c r="G1675">
        <v>59587</v>
      </c>
      <c r="H1675" s="1">
        <v>44810</v>
      </c>
      <c r="I1675">
        <v>14</v>
      </c>
      <c r="J1675">
        <v>2</v>
      </c>
      <c r="K1675">
        <v>5959</v>
      </c>
      <c r="L1675">
        <v>2979</v>
      </c>
      <c r="M1675">
        <v>62567</v>
      </c>
      <c r="N1675">
        <v>2979</v>
      </c>
      <c r="O1675">
        <v>68525</v>
      </c>
    </row>
    <row r="1676" spans="1:15" x14ac:dyDescent="0.35">
      <c r="A1676">
        <v>1675</v>
      </c>
      <c r="B1676" s="2" t="s">
        <v>27</v>
      </c>
      <c r="C1676" s="2" t="s">
        <v>15</v>
      </c>
      <c r="D1676">
        <v>40</v>
      </c>
      <c r="E1676" s="2" t="s">
        <v>16</v>
      </c>
      <c r="F1676" s="2" t="s">
        <v>19</v>
      </c>
      <c r="G1676">
        <v>36163</v>
      </c>
      <c r="H1676" s="1">
        <v>45414</v>
      </c>
      <c r="I1676">
        <v>12</v>
      </c>
      <c r="J1676">
        <v>1</v>
      </c>
      <c r="K1676">
        <v>3616</v>
      </c>
      <c r="L1676">
        <v>1808</v>
      </c>
      <c r="M1676">
        <v>37971</v>
      </c>
      <c r="N1676">
        <v>1808</v>
      </c>
      <c r="O1676">
        <v>41587</v>
      </c>
    </row>
    <row r="1677" spans="1:15" x14ac:dyDescent="0.35">
      <c r="A1677">
        <v>1676</v>
      </c>
      <c r="B1677" s="2" t="s">
        <v>14</v>
      </c>
      <c r="C1677" s="2" t="s">
        <v>11</v>
      </c>
      <c r="D1677">
        <v>50</v>
      </c>
      <c r="E1677" s="2" t="s">
        <v>24</v>
      </c>
      <c r="F1677" s="2" t="s">
        <v>17</v>
      </c>
      <c r="G1677">
        <v>92371</v>
      </c>
      <c r="H1677" s="1">
        <v>44812</v>
      </c>
      <c r="I1677">
        <v>4</v>
      </c>
      <c r="J1677">
        <v>4</v>
      </c>
      <c r="K1677">
        <v>9237</v>
      </c>
      <c r="L1677">
        <v>4619</v>
      </c>
      <c r="M1677">
        <v>96989</v>
      </c>
      <c r="N1677">
        <v>0</v>
      </c>
      <c r="O1677">
        <v>101608</v>
      </c>
    </row>
    <row r="1678" spans="1:15" x14ac:dyDescent="0.35">
      <c r="A1678">
        <v>1677</v>
      </c>
      <c r="B1678" s="2" t="s">
        <v>20</v>
      </c>
      <c r="C1678" s="2" t="s">
        <v>11</v>
      </c>
      <c r="D1678">
        <v>58</v>
      </c>
      <c r="E1678" s="2" t="s">
        <v>28</v>
      </c>
      <c r="F1678" s="2" t="s">
        <v>21</v>
      </c>
      <c r="G1678">
        <v>59545</v>
      </c>
      <c r="H1678" s="1">
        <v>45242</v>
      </c>
      <c r="I1678">
        <v>19</v>
      </c>
      <c r="J1678">
        <v>2</v>
      </c>
      <c r="K1678">
        <v>5954</v>
      </c>
      <c r="L1678">
        <v>2977</v>
      </c>
      <c r="M1678">
        <v>62522</v>
      </c>
      <c r="N1678">
        <v>2977</v>
      </c>
      <c r="O1678">
        <v>68476</v>
      </c>
    </row>
    <row r="1679" spans="1:15" x14ac:dyDescent="0.35">
      <c r="A1679">
        <v>1678</v>
      </c>
      <c r="B1679" s="2" t="s">
        <v>18</v>
      </c>
      <c r="C1679" s="2" t="s">
        <v>15</v>
      </c>
      <c r="D1679">
        <v>23</v>
      </c>
      <c r="E1679" s="2" t="s">
        <v>28</v>
      </c>
      <c r="F1679" s="2" t="s">
        <v>19</v>
      </c>
      <c r="G1679">
        <v>21697</v>
      </c>
      <c r="H1679" s="1">
        <v>44807</v>
      </c>
      <c r="I1679">
        <v>16</v>
      </c>
      <c r="J1679">
        <v>2</v>
      </c>
      <c r="K1679">
        <v>2170</v>
      </c>
      <c r="L1679">
        <v>1085</v>
      </c>
      <c r="M1679">
        <v>22782</v>
      </c>
      <c r="N1679">
        <v>1085</v>
      </c>
      <c r="O1679">
        <v>24952</v>
      </c>
    </row>
    <row r="1680" spans="1:15" x14ac:dyDescent="0.35">
      <c r="A1680">
        <v>1679</v>
      </c>
      <c r="B1680" s="2" t="s">
        <v>26</v>
      </c>
      <c r="C1680" s="2" t="s">
        <v>15</v>
      </c>
      <c r="D1680">
        <v>48</v>
      </c>
      <c r="E1680" s="2" t="s">
        <v>16</v>
      </c>
      <c r="F1680" s="2" t="s">
        <v>21</v>
      </c>
      <c r="G1680">
        <v>26741</v>
      </c>
      <c r="H1680" s="1">
        <v>45262</v>
      </c>
      <c r="I1680">
        <v>4</v>
      </c>
      <c r="J1680">
        <v>3</v>
      </c>
      <c r="K1680">
        <v>2674</v>
      </c>
      <c r="L1680">
        <v>1337</v>
      </c>
      <c r="M1680">
        <v>28078</v>
      </c>
      <c r="N1680">
        <v>0</v>
      </c>
      <c r="O1680">
        <v>29415</v>
      </c>
    </row>
    <row r="1681" spans="1:15" x14ac:dyDescent="0.35">
      <c r="A1681">
        <v>1680</v>
      </c>
      <c r="B1681" s="2" t="s">
        <v>20</v>
      </c>
      <c r="C1681" s="2" t="s">
        <v>15</v>
      </c>
      <c r="D1681">
        <v>37</v>
      </c>
      <c r="E1681" s="2" t="s">
        <v>29</v>
      </c>
      <c r="F1681" s="2" t="s">
        <v>21</v>
      </c>
      <c r="G1681">
        <v>42730</v>
      </c>
      <c r="H1681" s="1">
        <v>45077</v>
      </c>
      <c r="I1681">
        <v>5</v>
      </c>
      <c r="J1681">
        <v>1</v>
      </c>
      <c r="K1681">
        <v>4273</v>
      </c>
      <c r="L1681">
        <v>2136</v>
      </c>
      <c r="M1681">
        <v>44867</v>
      </c>
      <c r="N1681">
        <v>0</v>
      </c>
      <c r="O1681">
        <v>47003</v>
      </c>
    </row>
    <row r="1682" spans="1:15" x14ac:dyDescent="0.35">
      <c r="A1682">
        <v>1681</v>
      </c>
      <c r="B1682" s="2" t="s">
        <v>10</v>
      </c>
      <c r="C1682" s="2" t="s">
        <v>11</v>
      </c>
      <c r="D1682">
        <v>53</v>
      </c>
      <c r="E1682" s="2" t="s">
        <v>12</v>
      </c>
      <c r="F1682" s="2" t="s">
        <v>19</v>
      </c>
      <c r="G1682">
        <v>78555</v>
      </c>
      <c r="H1682" s="1">
        <v>45397</v>
      </c>
      <c r="I1682">
        <v>6</v>
      </c>
      <c r="J1682">
        <v>1</v>
      </c>
      <c r="K1682">
        <v>7856</v>
      </c>
      <c r="L1682">
        <v>3928</v>
      </c>
      <c r="M1682">
        <v>82483</v>
      </c>
      <c r="N1682">
        <v>3928</v>
      </c>
      <c r="O1682">
        <v>90339</v>
      </c>
    </row>
    <row r="1683" spans="1:15" x14ac:dyDescent="0.35">
      <c r="A1683">
        <v>1682</v>
      </c>
      <c r="B1683" s="2" t="s">
        <v>10</v>
      </c>
      <c r="C1683" s="2" t="s">
        <v>15</v>
      </c>
      <c r="D1683">
        <v>43</v>
      </c>
      <c r="E1683" s="2" t="s">
        <v>29</v>
      </c>
      <c r="F1683" s="2" t="s">
        <v>17</v>
      </c>
      <c r="G1683">
        <v>82817</v>
      </c>
      <c r="H1683" s="1">
        <v>44944</v>
      </c>
      <c r="I1683">
        <v>17</v>
      </c>
      <c r="J1683">
        <v>4</v>
      </c>
      <c r="K1683">
        <v>8282</v>
      </c>
      <c r="L1683">
        <v>4141</v>
      </c>
      <c r="M1683">
        <v>86958</v>
      </c>
      <c r="N1683">
        <v>4141</v>
      </c>
      <c r="O1683">
        <v>95240</v>
      </c>
    </row>
    <row r="1684" spans="1:15" x14ac:dyDescent="0.35">
      <c r="A1684">
        <v>1683</v>
      </c>
      <c r="B1684" s="2" t="s">
        <v>30</v>
      </c>
      <c r="C1684" s="2" t="s">
        <v>15</v>
      </c>
      <c r="D1684">
        <v>47</v>
      </c>
      <c r="E1684" s="2" t="s">
        <v>16</v>
      </c>
      <c r="F1684" s="2" t="s">
        <v>19</v>
      </c>
      <c r="G1684">
        <v>87645</v>
      </c>
      <c r="H1684" s="1">
        <v>44789</v>
      </c>
      <c r="I1684">
        <v>19</v>
      </c>
      <c r="J1684">
        <v>4</v>
      </c>
      <c r="K1684">
        <v>8764</v>
      </c>
      <c r="L1684">
        <v>4382</v>
      </c>
      <c r="M1684">
        <v>92027</v>
      </c>
      <c r="N1684">
        <v>4382</v>
      </c>
      <c r="O1684">
        <v>100791</v>
      </c>
    </row>
    <row r="1685" spans="1:15" x14ac:dyDescent="0.35">
      <c r="A1685">
        <v>1684</v>
      </c>
      <c r="B1685" s="2" t="s">
        <v>22</v>
      </c>
      <c r="C1685" s="2" t="s">
        <v>11</v>
      </c>
      <c r="D1685">
        <v>28</v>
      </c>
      <c r="E1685" s="2" t="s">
        <v>24</v>
      </c>
      <c r="F1685" s="2" t="s">
        <v>19</v>
      </c>
      <c r="G1685">
        <v>97050</v>
      </c>
      <c r="H1685" s="1">
        <v>44615</v>
      </c>
      <c r="I1685">
        <v>12</v>
      </c>
      <c r="J1685">
        <v>1</v>
      </c>
      <c r="K1685">
        <v>9705</v>
      </c>
      <c r="L1685">
        <v>4852</v>
      </c>
      <c r="M1685">
        <v>101903</v>
      </c>
      <c r="N1685">
        <v>4852</v>
      </c>
      <c r="O1685">
        <v>111607</v>
      </c>
    </row>
    <row r="1686" spans="1:15" x14ac:dyDescent="0.35">
      <c r="A1686">
        <v>1685</v>
      </c>
      <c r="B1686" s="2" t="s">
        <v>18</v>
      </c>
      <c r="C1686" s="2" t="s">
        <v>15</v>
      </c>
      <c r="D1686">
        <v>27</v>
      </c>
      <c r="E1686" s="2" t="s">
        <v>16</v>
      </c>
      <c r="F1686" s="2" t="s">
        <v>17</v>
      </c>
      <c r="G1686">
        <v>71463</v>
      </c>
      <c r="H1686" s="1">
        <v>45152</v>
      </c>
      <c r="I1686">
        <v>1</v>
      </c>
      <c r="J1686">
        <v>3</v>
      </c>
      <c r="K1686">
        <v>7146</v>
      </c>
      <c r="L1686">
        <v>3573</v>
      </c>
      <c r="M1686">
        <v>75036</v>
      </c>
      <c r="N1686">
        <v>0</v>
      </c>
      <c r="O1686">
        <v>78609</v>
      </c>
    </row>
    <row r="1687" spans="1:15" x14ac:dyDescent="0.35">
      <c r="A1687">
        <v>1686</v>
      </c>
      <c r="B1687" s="2" t="s">
        <v>27</v>
      </c>
      <c r="C1687" s="2" t="s">
        <v>11</v>
      </c>
      <c r="D1687">
        <v>34</v>
      </c>
      <c r="E1687" s="2" t="s">
        <v>12</v>
      </c>
      <c r="F1687" s="2" t="s">
        <v>19</v>
      </c>
      <c r="G1687">
        <v>83506</v>
      </c>
      <c r="H1687" s="1">
        <v>44951</v>
      </c>
      <c r="I1687">
        <v>4</v>
      </c>
      <c r="J1687">
        <v>5</v>
      </c>
      <c r="K1687">
        <v>8351</v>
      </c>
      <c r="L1687">
        <v>4175</v>
      </c>
      <c r="M1687">
        <v>87682</v>
      </c>
      <c r="N1687">
        <v>0</v>
      </c>
      <c r="O1687">
        <v>91857</v>
      </c>
    </row>
    <row r="1688" spans="1:15" x14ac:dyDescent="0.35">
      <c r="A1688">
        <v>1687</v>
      </c>
      <c r="B1688" s="2" t="s">
        <v>31</v>
      </c>
      <c r="C1688" s="2" t="s">
        <v>15</v>
      </c>
      <c r="D1688">
        <v>59</v>
      </c>
      <c r="E1688" s="2" t="s">
        <v>28</v>
      </c>
      <c r="F1688" s="2" t="s">
        <v>13</v>
      </c>
      <c r="G1688">
        <v>33463</v>
      </c>
      <c r="H1688" s="1">
        <v>45298</v>
      </c>
      <c r="I1688">
        <v>4</v>
      </c>
      <c r="J1688">
        <v>1</v>
      </c>
      <c r="K1688">
        <v>3346</v>
      </c>
      <c r="L1688">
        <v>1673</v>
      </c>
      <c r="M1688">
        <v>35136</v>
      </c>
      <c r="N1688">
        <v>0</v>
      </c>
      <c r="O1688">
        <v>36809</v>
      </c>
    </row>
    <row r="1689" spans="1:15" x14ac:dyDescent="0.35">
      <c r="A1689">
        <v>1688</v>
      </c>
      <c r="B1689" s="2" t="s">
        <v>20</v>
      </c>
      <c r="C1689" s="2" t="s">
        <v>15</v>
      </c>
      <c r="D1689">
        <v>25</v>
      </c>
      <c r="E1689" s="2" t="s">
        <v>29</v>
      </c>
      <c r="F1689" s="2" t="s">
        <v>13</v>
      </c>
      <c r="G1689">
        <v>90391</v>
      </c>
      <c r="H1689" s="1">
        <v>44990</v>
      </c>
      <c r="I1689">
        <v>19</v>
      </c>
      <c r="J1689">
        <v>1</v>
      </c>
      <c r="K1689">
        <v>9039</v>
      </c>
      <c r="L1689">
        <v>4520</v>
      </c>
      <c r="M1689">
        <v>94910</v>
      </c>
      <c r="N1689">
        <v>4520</v>
      </c>
      <c r="O1689">
        <v>103950</v>
      </c>
    </row>
    <row r="1690" spans="1:15" x14ac:dyDescent="0.35">
      <c r="A1690">
        <v>1689</v>
      </c>
      <c r="B1690" s="2" t="s">
        <v>22</v>
      </c>
      <c r="C1690" s="2" t="s">
        <v>11</v>
      </c>
      <c r="D1690">
        <v>27</v>
      </c>
      <c r="E1690" s="2" t="s">
        <v>28</v>
      </c>
      <c r="F1690" s="2" t="s">
        <v>25</v>
      </c>
      <c r="G1690">
        <v>95208</v>
      </c>
      <c r="H1690" s="1">
        <v>44890</v>
      </c>
      <c r="I1690">
        <v>6</v>
      </c>
      <c r="J1690">
        <v>2</v>
      </c>
      <c r="K1690">
        <v>9521</v>
      </c>
      <c r="L1690">
        <v>4760</v>
      </c>
      <c r="M1690">
        <v>99969</v>
      </c>
      <c r="N1690">
        <v>4760</v>
      </c>
      <c r="O1690">
        <v>109489</v>
      </c>
    </row>
    <row r="1691" spans="1:15" x14ac:dyDescent="0.35">
      <c r="A1691">
        <v>1690</v>
      </c>
      <c r="B1691" s="2" t="s">
        <v>20</v>
      </c>
      <c r="C1691" s="2" t="s">
        <v>11</v>
      </c>
      <c r="D1691">
        <v>37</v>
      </c>
      <c r="E1691" s="2" t="s">
        <v>12</v>
      </c>
      <c r="F1691" s="2" t="s">
        <v>13</v>
      </c>
      <c r="G1691">
        <v>27915</v>
      </c>
      <c r="H1691" s="1">
        <v>45472</v>
      </c>
      <c r="I1691">
        <v>9</v>
      </c>
      <c r="J1691">
        <v>3</v>
      </c>
      <c r="K1691">
        <v>2792</v>
      </c>
      <c r="L1691">
        <v>1396</v>
      </c>
      <c r="M1691">
        <v>29311</v>
      </c>
      <c r="N1691">
        <v>1396</v>
      </c>
      <c r="O1691">
        <v>32103</v>
      </c>
    </row>
    <row r="1692" spans="1:15" x14ac:dyDescent="0.35">
      <c r="A1692">
        <v>1691</v>
      </c>
      <c r="B1692" s="2" t="s">
        <v>18</v>
      </c>
      <c r="C1692" s="2" t="s">
        <v>15</v>
      </c>
      <c r="D1692">
        <v>22</v>
      </c>
      <c r="E1692" s="2" t="s">
        <v>28</v>
      </c>
      <c r="F1692" s="2" t="s">
        <v>25</v>
      </c>
      <c r="G1692">
        <v>46144</v>
      </c>
      <c r="H1692" s="1">
        <v>45246</v>
      </c>
      <c r="I1692">
        <v>1</v>
      </c>
      <c r="J1692">
        <v>2</v>
      </c>
      <c r="K1692">
        <v>4614</v>
      </c>
      <c r="L1692">
        <v>2307</v>
      </c>
      <c r="M1692">
        <v>48451</v>
      </c>
      <c r="N1692">
        <v>0</v>
      </c>
      <c r="O1692">
        <v>50758</v>
      </c>
    </row>
    <row r="1693" spans="1:15" x14ac:dyDescent="0.35">
      <c r="A1693">
        <v>1692</v>
      </c>
      <c r="B1693" s="2" t="s">
        <v>10</v>
      </c>
      <c r="C1693" s="2" t="s">
        <v>11</v>
      </c>
      <c r="D1693">
        <v>29</v>
      </c>
      <c r="E1693" s="2" t="s">
        <v>24</v>
      </c>
      <c r="F1693" s="2" t="s">
        <v>13</v>
      </c>
      <c r="G1693">
        <v>22247</v>
      </c>
      <c r="H1693" s="1">
        <v>45149</v>
      </c>
      <c r="I1693">
        <v>6</v>
      </c>
      <c r="J1693">
        <v>5</v>
      </c>
      <c r="K1693">
        <v>2225</v>
      </c>
      <c r="L1693">
        <v>1112</v>
      </c>
      <c r="M1693">
        <v>23360</v>
      </c>
      <c r="N1693">
        <v>1112</v>
      </c>
      <c r="O1693">
        <v>25584</v>
      </c>
    </row>
    <row r="1694" spans="1:15" x14ac:dyDescent="0.35">
      <c r="A1694">
        <v>1693</v>
      </c>
      <c r="B1694" s="2" t="s">
        <v>22</v>
      </c>
      <c r="C1694" s="2" t="s">
        <v>11</v>
      </c>
      <c r="D1694">
        <v>26</v>
      </c>
      <c r="E1694" s="2" t="s">
        <v>12</v>
      </c>
      <c r="F1694" s="2" t="s">
        <v>25</v>
      </c>
      <c r="G1694">
        <v>72083</v>
      </c>
      <c r="H1694" s="1">
        <v>45395</v>
      </c>
      <c r="I1694">
        <v>5</v>
      </c>
      <c r="J1694">
        <v>5</v>
      </c>
      <c r="K1694">
        <v>7208</v>
      </c>
      <c r="L1694">
        <v>3604</v>
      </c>
      <c r="M1694">
        <v>75687</v>
      </c>
      <c r="N1694">
        <v>0</v>
      </c>
      <c r="O1694">
        <v>79291</v>
      </c>
    </row>
    <row r="1695" spans="1:15" x14ac:dyDescent="0.35">
      <c r="A1695">
        <v>1694</v>
      </c>
      <c r="B1695" s="2" t="s">
        <v>31</v>
      </c>
      <c r="C1695" s="2" t="s">
        <v>15</v>
      </c>
      <c r="D1695">
        <v>54</v>
      </c>
      <c r="E1695" s="2" t="s">
        <v>28</v>
      </c>
      <c r="F1695" s="2" t="s">
        <v>21</v>
      </c>
      <c r="G1695">
        <v>59595</v>
      </c>
      <c r="H1695" s="1">
        <v>45516</v>
      </c>
      <c r="I1695">
        <v>19</v>
      </c>
      <c r="J1695">
        <v>1</v>
      </c>
      <c r="K1695">
        <v>5960</v>
      </c>
      <c r="L1695">
        <v>2980</v>
      </c>
      <c r="M1695">
        <v>62575</v>
      </c>
      <c r="N1695">
        <v>2980</v>
      </c>
      <c r="O1695">
        <v>68535</v>
      </c>
    </row>
    <row r="1696" spans="1:15" x14ac:dyDescent="0.35">
      <c r="A1696">
        <v>1695</v>
      </c>
      <c r="B1696" s="2" t="s">
        <v>26</v>
      </c>
      <c r="C1696" s="2" t="s">
        <v>11</v>
      </c>
      <c r="D1696">
        <v>22</v>
      </c>
      <c r="E1696" s="2" t="s">
        <v>29</v>
      </c>
      <c r="F1696" s="2" t="s">
        <v>21</v>
      </c>
      <c r="G1696">
        <v>62936</v>
      </c>
      <c r="H1696" s="1">
        <v>45489</v>
      </c>
      <c r="I1696">
        <v>19</v>
      </c>
      <c r="J1696">
        <v>5</v>
      </c>
      <c r="K1696">
        <v>6294</v>
      </c>
      <c r="L1696">
        <v>3147</v>
      </c>
      <c r="M1696">
        <v>66083</v>
      </c>
      <c r="N1696">
        <v>3147</v>
      </c>
      <c r="O1696">
        <v>72377</v>
      </c>
    </row>
    <row r="1697" spans="1:15" x14ac:dyDescent="0.35">
      <c r="A1697">
        <v>1696</v>
      </c>
      <c r="B1697" s="2" t="s">
        <v>27</v>
      </c>
      <c r="C1697" s="2" t="s">
        <v>15</v>
      </c>
      <c r="D1697">
        <v>59</v>
      </c>
      <c r="E1697" s="2" t="s">
        <v>16</v>
      </c>
      <c r="F1697" s="2" t="s">
        <v>21</v>
      </c>
      <c r="G1697">
        <v>83932</v>
      </c>
      <c r="H1697" s="1">
        <v>45096</v>
      </c>
      <c r="I1697">
        <v>6</v>
      </c>
      <c r="J1697">
        <v>1</v>
      </c>
      <c r="K1697">
        <v>8393</v>
      </c>
      <c r="L1697">
        <v>4197</v>
      </c>
      <c r="M1697">
        <v>88128</v>
      </c>
      <c r="N1697">
        <v>4197</v>
      </c>
      <c r="O1697">
        <v>96522</v>
      </c>
    </row>
    <row r="1698" spans="1:15" x14ac:dyDescent="0.35">
      <c r="A1698">
        <v>1697</v>
      </c>
      <c r="B1698" s="2" t="s">
        <v>14</v>
      </c>
      <c r="C1698" s="2" t="s">
        <v>11</v>
      </c>
      <c r="D1698">
        <v>34</v>
      </c>
      <c r="E1698" s="2" t="s">
        <v>12</v>
      </c>
      <c r="F1698" s="2" t="s">
        <v>13</v>
      </c>
      <c r="G1698">
        <v>71876</v>
      </c>
      <c r="H1698" s="1">
        <v>44572</v>
      </c>
      <c r="I1698">
        <v>12</v>
      </c>
      <c r="J1698">
        <v>2</v>
      </c>
      <c r="K1698">
        <v>7188</v>
      </c>
      <c r="L1698">
        <v>3594</v>
      </c>
      <c r="M1698">
        <v>75470</v>
      </c>
      <c r="N1698">
        <v>3594</v>
      </c>
      <c r="O1698">
        <v>82658</v>
      </c>
    </row>
    <row r="1699" spans="1:15" x14ac:dyDescent="0.35">
      <c r="A1699">
        <v>1698</v>
      </c>
      <c r="B1699" s="2" t="s">
        <v>18</v>
      </c>
      <c r="C1699" s="2" t="s">
        <v>15</v>
      </c>
      <c r="D1699">
        <v>47</v>
      </c>
      <c r="E1699" s="2" t="s">
        <v>28</v>
      </c>
      <c r="F1699" s="2" t="s">
        <v>25</v>
      </c>
      <c r="G1699">
        <v>87210</v>
      </c>
      <c r="H1699" s="1">
        <v>44672</v>
      </c>
      <c r="I1699">
        <v>15</v>
      </c>
      <c r="J1699">
        <v>3</v>
      </c>
      <c r="K1699">
        <v>8721</v>
      </c>
      <c r="L1699">
        <v>4360</v>
      </c>
      <c r="M1699">
        <v>91571</v>
      </c>
      <c r="N1699">
        <v>4360</v>
      </c>
      <c r="O1699">
        <v>100291</v>
      </c>
    </row>
    <row r="1700" spans="1:15" x14ac:dyDescent="0.35">
      <c r="A1700">
        <v>1699</v>
      </c>
      <c r="B1700" s="2" t="s">
        <v>31</v>
      </c>
      <c r="C1700" s="2" t="s">
        <v>11</v>
      </c>
      <c r="D1700">
        <v>43</v>
      </c>
      <c r="E1700" s="2" t="s">
        <v>24</v>
      </c>
      <c r="F1700" s="2" t="s">
        <v>25</v>
      </c>
      <c r="G1700">
        <v>25007</v>
      </c>
      <c r="H1700" s="1">
        <v>45425</v>
      </c>
      <c r="I1700">
        <v>10</v>
      </c>
      <c r="J1700">
        <v>3</v>
      </c>
      <c r="K1700">
        <v>2501</v>
      </c>
      <c r="L1700">
        <v>1250</v>
      </c>
      <c r="M1700">
        <v>26258</v>
      </c>
      <c r="N1700">
        <v>1250</v>
      </c>
      <c r="O1700">
        <v>28758</v>
      </c>
    </row>
    <row r="1701" spans="1:15" x14ac:dyDescent="0.35">
      <c r="A1701">
        <v>1700</v>
      </c>
      <c r="B1701" s="2" t="s">
        <v>23</v>
      </c>
      <c r="C1701" s="2" t="s">
        <v>11</v>
      </c>
      <c r="D1701">
        <v>24</v>
      </c>
      <c r="E1701" s="2" t="s">
        <v>16</v>
      </c>
      <c r="F1701" s="2" t="s">
        <v>13</v>
      </c>
      <c r="G1701">
        <v>78820</v>
      </c>
      <c r="H1701" s="1">
        <v>44968</v>
      </c>
      <c r="I1701">
        <v>9</v>
      </c>
      <c r="J1701">
        <v>5</v>
      </c>
      <c r="K1701">
        <v>7882</v>
      </c>
      <c r="L1701">
        <v>3941</v>
      </c>
      <c r="M1701">
        <v>82761</v>
      </c>
      <c r="N1701">
        <v>3941</v>
      </c>
      <c r="O1701">
        <v>90643</v>
      </c>
    </row>
    <row r="1702" spans="1:15" x14ac:dyDescent="0.35">
      <c r="A1702">
        <v>1701</v>
      </c>
      <c r="B1702" s="2" t="s">
        <v>18</v>
      </c>
      <c r="C1702" s="2" t="s">
        <v>15</v>
      </c>
      <c r="D1702">
        <v>23</v>
      </c>
      <c r="E1702" s="2" t="s">
        <v>24</v>
      </c>
      <c r="F1702" s="2" t="s">
        <v>17</v>
      </c>
      <c r="G1702">
        <v>50111</v>
      </c>
      <c r="H1702" s="1">
        <v>44726</v>
      </c>
      <c r="I1702">
        <v>3</v>
      </c>
      <c r="J1702">
        <v>4</v>
      </c>
      <c r="K1702">
        <v>5011</v>
      </c>
      <c r="L1702">
        <v>2506</v>
      </c>
      <c r="M1702">
        <v>52616</v>
      </c>
      <c r="N1702">
        <v>0</v>
      </c>
      <c r="O1702">
        <v>55122</v>
      </c>
    </row>
    <row r="1703" spans="1:15" x14ac:dyDescent="0.35">
      <c r="A1703">
        <v>1702</v>
      </c>
      <c r="B1703" s="2" t="s">
        <v>22</v>
      </c>
      <c r="C1703" s="2" t="s">
        <v>15</v>
      </c>
      <c r="D1703">
        <v>29</v>
      </c>
      <c r="E1703" s="2" t="s">
        <v>28</v>
      </c>
      <c r="F1703" s="2" t="s">
        <v>19</v>
      </c>
      <c r="G1703">
        <v>52848</v>
      </c>
      <c r="H1703" s="1">
        <v>45199</v>
      </c>
      <c r="I1703">
        <v>12</v>
      </c>
      <c r="J1703">
        <v>2</v>
      </c>
      <c r="K1703">
        <v>5285</v>
      </c>
      <c r="L1703">
        <v>2642</v>
      </c>
      <c r="M1703">
        <v>55491</v>
      </c>
      <c r="N1703">
        <v>2642</v>
      </c>
      <c r="O1703">
        <v>60775</v>
      </c>
    </row>
    <row r="1704" spans="1:15" x14ac:dyDescent="0.35">
      <c r="A1704">
        <v>1703</v>
      </c>
      <c r="B1704" s="2" t="s">
        <v>26</v>
      </c>
      <c r="C1704" s="2" t="s">
        <v>15</v>
      </c>
      <c r="D1704">
        <v>28</v>
      </c>
      <c r="E1704" s="2" t="s">
        <v>28</v>
      </c>
      <c r="F1704" s="2" t="s">
        <v>19</v>
      </c>
      <c r="G1704">
        <v>64212</v>
      </c>
      <c r="H1704" s="1">
        <v>45336</v>
      </c>
      <c r="I1704">
        <v>7</v>
      </c>
      <c r="J1704">
        <v>4</v>
      </c>
      <c r="K1704">
        <v>6421</v>
      </c>
      <c r="L1704">
        <v>3211</v>
      </c>
      <c r="M1704">
        <v>67422</v>
      </c>
      <c r="N1704">
        <v>3211</v>
      </c>
      <c r="O1704">
        <v>73844</v>
      </c>
    </row>
    <row r="1705" spans="1:15" x14ac:dyDescent="0.35">
      <c r="A1705">
        <v>1704</v>
      </c>
      <c r="B1705" s="2" t="s">
        <v>20</v>
      </c>
      <c r="C1705" s="2" t="s">
        <v>15</v>
      </c>
      <c r="D1705">
        <v>46</v>
      </c>
      <c r="E1705" s="2" t="s">
        <v>16</v>
      </c>
      <c r="F1705" s="2" t="s">
        <v>19</v>
      </c>
      <c r="G1705">
        <v>31445</v>
      </c>
      <c r="H1705" s="1">
        <v>45105</v>
      </c>
      <c r="I1705">
        <v>10</v>
      </c>
      <c r="J1705">
        <v>5</v>
      </c>
      <c r="K1705">
        <v>3144</v>
      </c>
      <c r="L1705">
        <v>1572</v>
      </c>
      <c r="M1705">
        <v>33017</v>
      </c>
      <c r="N1705">
        <v>1572</v>
      </c>
      <c r="O1705">
        <v>36161</v>
      </c>
    </row>
    <row r="1706" spans="1:15" x14ac:dyDescent="0.35">
      <c r="A1706">
        <v>1705</v>
      </c>
      <c r="B1706" s="2" t="s">
        <v>14</v>
      </c>
      <c r="C1706" s="2" t="s">
        <v>11</v>
      </c>
      <c r="D1706">
        <v>34</v>
      </c>
      <c r="E1706" s="2" t="s">
        <v>16</v>
      </c>
      <c r="F1706" s="2" t="s">
        <v>13</v>
      </c>
      <c r="G1706">
        <v>42888</v>
      </c>
      <c r="H1706" s="1">
        <v>44821</v>
      </c>
      <c r="I1706">
        <v>6</v>
      </c>
      <c r="J1706">
        <v>1</v>
      </c>
      <c r="K1706">
        <v>4289</v>
      </c>
      <c r="L1706">
        <v>2144</v>
      </c>
      <c r="M1706">
        <v>45033</v>
      </c>
      <c r="N1706">
        <v>2144</v>
      </c>
      <c r="O1706">
        <v>49321</v>
      </c>
    </row>
    <row r="1707" spans="1:15" x14ac:dyDescent="0.35">
      <c r="A1707">
        <v>1706</v>
      </c>
      <c r="B1707" s="2" t="s">
        <v>22</v>
      </c>
      <c r="C1707" s="2" t="s">
        <v>11</v>
      </c>
      <c r="D1707">
        <v>36</v>
      </c>
      <c r="E1707" s="2" t="s">
        <v>29</v>
      </c>
      <c r="F1707" s="2" t="s">
        <v>19</v>
      </c>
      <c r="G1707">
        <v>42084</v>
      </c>
      <c r="H1707" s="1">
        <v>45519</v>
      </c>
      <c r="I1707">
        <v>9</v>
      </c>
      <c r="J1707">
        <v>2</v>
      </c>
      <c r="K1707">
        <v>4208</v>
      </c>
      <c r="L1707">
        <v>2104</v>
      </c>
      <c r="M1707">
        <v>44188</v>
      </c>
      <c r="N1707">
        <v>2104</v>
      </c>
      <c r="O1707">
        <v>48396</v>
      </c>
    </row>
    <row r="1708" spans="1:15" x14ac:dyDescent="0.35">
      <c r="A1708">
        <v>1707</v>
      </c>
      <c r="B1708" s="2" t="s">
        <v>26</v>
      </c>
      <c r="C1708" s="2" t="s">
        <v>11</v>
      </c>
      <c r="D1708">
        <v>40</v>
      </c>
      <c r="E1708" s="2" t="s">
        <v>29</v>
      </c>
      <c r="F1708" s="2" t="s">
        <v>21</v>
      </c>
      <c r="G1708">
        <v>23582</v>
      </c>
      <c r="H1708" s="1">
        <v>44570</v>
      </c>
      <c r="I1708">
        <v>3</v>
      </c>
      <c r="J1708">
        <v>5</v>
      </c>
      <c r="K1708">
        <v>2358</v>
      </c>
      <c r="L1708">
        <v>1179</v>
      </c>
      <c r="M1708">
        <v>24761</v>
      </c>
      <c r="N1708">
        <v>0</v>
      </c>
      <c r="O1708">
        <v>25940</v>
      </c>
    </row>
    <row r="1709" spans="1:15" x14ac:dyDescent="0.35">
      <c r="A1709">
        <v>1708</v>
      </c>
      <c r="B1709" s="2" t="s">
        <v>18</v>
      </c>
      <c r="C1709" s="2" t="s">
        <v>15</v>
      </c>
      <c r="D1709">
        <v>44</v>
      </c>
      <c r="E1709" s="2" t="s">
        <v>24</v>
      </c>
      <c r="F1709" s="2" t="s">
        <v>21</v>
      </c>
      <c r="G1709">
        <v>80530</v>
      </c>
      <c r="H1709" s="1">
        <v>44952</v>
      </c>
      <c r="I1709">
        <v>7</v>
      </c>
      <c r="J1709">
        <v>4</v>
      </c>
      <c r="K1709">
        <v>8053</v>
      </c>
      <c r="L1709">
        <v>4026</v>
      </c>
      <c r="M1709">
        <v>84557</v>
      </c>
      <c r="N1709">
        <v>4026</v>
      </c>
      <c r="O1709">
        <v>92609</v>
      </c>
    </row>
    <row r="1710" spans="1:15" x14ac:dyDescent="0.35">
      <c r="A1710">
        <v>1709</v>
      </c>
      <c r="B1710" s="2" t="s">
        <v>20</v>
      </c>
      <c r="C1710" s="2" t="s">
        <v>15</v>
      </c>
      <c r="D1710">
        <v>36</v>
      </c>
      <c r="E1710" s="2" t="s">
        <v>28</v>
      </c>
      <c r="F1710" s="2" t="s">
        <v>13</v>
      </c>
      <c r="G1710">
        <v>70329</v>
      </c>
      <c r="H1710" s="1">
        <v>45266</v>
      </c>
      <c r="I1710">
        <v>14</v>
      </c>
      <c r="J1710">
        <v>3</v>
      </c>
      <c r="K1710">
        <v>7033</v>
      </c>
      <c r="L1710">
        <v>3516</v>
      </c>
      <c r="M1710">
        <v>73846</v>
      </c>
      <c r="N1710">
        <v>3516</v>
      </c>
      <c r="O1710">
        <v>80878</v>
      </c>
    </row>
    <row r="1711" spans="1:15" x14ac:dyDescent="0.35">
      <c r="A1711">
        <v>1710</v>
      </c>
      <c r="B1711" s="2" t="s">
        <v>31</v>
      </c>
      <c r="C1711" s="2" t="s">
        <v>11</v>
      </c>
      <c r="D1711">
        <v>51</v>
      </c>
      <c r="E1711" s="2" t="s">
        <v>16</v>
      </c>
      <c r="F1711" s="2" t="s">
        <v>17</v>
      </c>
      <c r="G1711">
        <v>48912</v>
      </c>
      <c r="H1711" s="1">
        <v>45399</v>
      </c>
      <c r="I1711">
        <v>2</v>
      </c>
      <c r="J1711">
        <v>5</v>
      </c>
      <c r="K1711">
        <v>4891</v>
      </c>
      <c r="L1711">
        <v>2446</v>
      </c>
      <c r="M1711">
        <v>51357</v>
      </c>
      <c r="N1711">
        <v>0</v>
      </c>
      <c r="O1711">
        <v>53803</v>
      </c>
    </row>
    <row r="1712" spans="1:15" x14ac:dyDescent="0.35">
      <c r="A1712">
        <v>1711</v>
      </c>
      <c r="B1712" s="2" t="s">
        <v>30</v>
      </c>
      <c r="C1712" s="2" t="s">
        <v>15</v>
      </c>
      <c r="D1712">
        <v>24</v>
      </c>
      <c r="E1712" s="2" t="s">
        <v>12</v>
      </c>
      <c r="F1712" s="2" t="s">
        <v>19</v>
      </c>
      <c r="G1712">
        <v>63113</v>
      </c>
      <c r="H1712" s="1">
        <v>45264</v>
      </c>
      <c r="I1712">
        <v>2</v>
      </c>
      <c r="J1712">
        <v>3</v>
      </c>
      <c r="K1712">
        <v>6311</v>
      </c>
      <c r="L1712">
        <v>3156</v>
      </c>
      <c r="M1712">
        <v>66268</v>
      </c>
      <c r="N1712">
        <v>0</v>
      </c>
      <c r="O1712">
        <v>69424</v>
      </c>
    </row>
    <row r="1713" spans="1:15" x14ac:dyDescent="0.35">
      <c r="A1713">
        <v>1712</v>
      </c>
      <c r="B1713" s="2" t="s">
        <v>26</v>
      </c>
      <c r="C1713" s="2" t="s">
        <v>11</v>
      </c>
      <c r="D1713">
        <v>60</v>
      </c>
      <c r="E1713" s="2" t="s">
        <v>12</v>
      </c>
      <c r="F1713" s="2" t="s">
        <v>19</v>
      </c>
      <c r="G1713">
        <v>41360</v>
      </c>
      <c r="H1713" s="1">
        <v>45455</v>
      </c>
      <c r="I1713">
        <v>4</v>
      </c>
      <c r="J1713">
        <v>1</v>
      </c>
      <c r="K1713">
        <v>4136</v>
      </c>
      <c r="L1713">
        <v>2068</v>
      </c>
      <c r="M1713">
        <v>43428</v>
      </c>
      <c r="N1713">
        <v>0</v>
      </c>
      <c r="O1713">
        <v>45496</v>
      </c>
    </row>
    <row r="1714" spans="1:15" x14ac:dyDescent="0.35">
      <c r="A1714">
        <v>1713</v>
      </c>
      <c r="B1714" s="2" t="s">
        <v>26</v>
      </c>
      <c r="C1714" s="2" t="s">
        <v>11</v>
      </c>
      <c r="D1714">
        <v>42</v>
      </c>
      <c r="E1714" s="2" t="s">
        <v>28</v>
      </c>
      <c r="F1714" s="2" t="s">
        <v>13</v>
      </c>
      <c r="G1714">
        <v>98396</v>
      </c>
      <c r="H1714" s="1">
        <v>44686</v>
      </c>
      <c r="I1714">
        <v>3</v>
      </c>
      <c r="J1714">
        <v>5</v>
      </c>
      <c r="K1714">
        <v>9840</v>
      </c>
      <c r="L1714">
        <v>4920</v>
      </c>
      <c r="M1714">
        <v>103316</v>
      </c>
      <c r="N1714">
        <v>0</v>
      </c>
      <c r="O1714">
        <v>108236</v>
      </c>
    </row>
    <row r="1715" spans="1:15" x14ac:dyDescent="0.35">
      <c r="A1715">
        <v>1714</v>
      </c>
      <c r="B1715" s="2" t="s">
        <v>18</v>
      </c>
      <c r="C1715" s="2" t="s">
        <v>11</v>
      </c>
      <c r="D1715">
        <v>37</v>
      </c>
      <c r="E1715" s="2" t="s">
        <v>12</v>
      </c>
      <c r="F1715" s="2" t="s">
        <v>13</v>
      </c>
      <c r="G1715">
        <v>99996</v>
      </c>
      <c r="H1715" s="1">
        <v>44915</v>
      </c>
      <c r="I1715">
        <v>3</v>
      </c>
      <c r="J1715">
        <v>5</v>
      </c>
      <c r="K1715">
        <v>10000</v>
      </c>
      <c r="L1715">
        <v>5000</v>
      </c>
      <c r="M1715">
        <v>104996</v>
      </c>
      <c r="N1715">
        <v>0</v>
      </c>
      <c r="O1715">
        <v>109996</v>
      </c>
    </row>
    <row r="1716" spans="1:15" x14ac:dyDescent="0.35">
      <c r="A1716">
        <v>1715</v>
      </c>
      <c r="B1716" s="2" t="s">
        <v>27</v>
      </c>
      <c r="C1716" s="2" t="s">
        <v>11</v>
      </c>
      <c r="D1716">
        <v>47</v>
      </c>
      <c r="E1716" s="2" t="s">
        <v>24</v>
      </c>
      <c r="F1716" s="2" t="s">
        <v>19</v>
      </c>
      <c r="G1716">
        <v>85163</v>
      </c>
      <c r="H1716" s="1">
        <v>45227</v>
      </c>
      <c r="I1716">
        <v>16</v>
      </c>
      <c r="J1716">
        <v>5</v>
      </c>
      <c r="K1716">
        <v>8516</v>
      </c>
      <c r="L1716">
        <v>4258</v>
      </c>
      <c r="M1716">
        <v>89421</v>
      </c>
      <c r="N1716">
        <v>4258</v>
      </c>
      <c r="O1716">
        <v>97937</v>
      </c>
    </row>
    <row r="1717" spans="1:15" x14ac:dyDescent="0.35">
      <c r="A1717">
        <v>1716</v>
      </c>
      <c r="B1717" s="2" t="s">
        <v>26</v>
      </c>
      <c r="C1717" s="2" t="s">
        <v>11</v>
      </c>
      <c r="D1717">
        <v>44</v>
      </c>
      <c r="E1717" s="2" t="s">
        <v>16</v>
      </c>
      <c r="F1717" s="2" t="s">
        <v>17</v>
      </c>
      <c r="G1717">
        <v>62006</v>
      </c>
      <c r="H1717" s="1">
        <v>45547</v>
      </c>
      <c r="I1717">
        <v>14</v>
      </c>
      <c r="J1717">
        <v>4</v>
      </c>
      <c r="K1717">
        <v>6201</v>
      </c>
      <c r="L1717">
        <v>3100</v>
      </c>
      <c r="M1717">
        <v>65107</v>
      </c>
      <c r="N1717">
        <v>3100</v>
      </c>
      <c r="O1717">
        <v>71307</v>
      </c>
    </row>
    <row r="1718" spans="1:15" x14ac:dyDescent="0.35">
      <c r="A1718">
        <v>1717</v>
      </c>
      <c r="B1718" s="2" t="s">
        <v>31</v>
      </c>
      <c r="C1718" s="2" t="s">
        <v>15</v>
      </c>
      <c r="D1718">
        <v>27</v>
      </c>
      <c r="E1718" s="2" t="s">
        <v>12</v>
      </c>
      <c r="F1718" s="2" t="s">
        <v>13</v>
      </c>
      <c r="G1718">
        <v>65608</v>
      </c>
      <c r="H1718" s="1">
        <v>45246</v>
      </c>
      <c r="I1718">
        <v>6</v>
      </c>
      <c r="J1718">
        <v>2</v>
      </c>
      <c r="K1718">
        <v>6561</v>
      </c>
      <c r="L1718">
        <v>3280</v>
      </c>
      <c r="M1718">
        <v>68889</v>
      </c>
      <c r="N1718">
        <v>3280</v>
      </c>
      <c r="O1718">
        <v>75449</v>
      </c>
    </row>
    <row r="1719" spans="1:15" x14ac:dyDescent="0.35">
      <c r="A1719">
        <v>1718</v>
      </c>
      <c r="B1719" s="2" t="s">
        <v>10</v>
      </c>
      <c r="C1719" s="2" t="s">
        <v>11</v>
      </c>
      <c r="D1719">
        <v>24</v>
      </c>
      <c r="E1719" s="2" t="s">
        <v>12</v>
      </c>
      <c r="F1719" s="2" t="s">
        <v>25</v>
      </c>
      <c r="G1719">
        <v>70755</v>
      </c>
      <c r="H1719" s="1">
        <v>45127</v>
      </c>
      <c r="I1719">
        <v>20</v>
      </c>
      <c r="J1719">
        <v>3</v>
      </c>
      <c r="K1719">
        <v>7076</v>
      </c>
      <c r="L1719">
        <v>3538</v>
      </c>
      <c r="M1719">
        <v>74293</v>
      </c>
      <c r="N1719">
        <v>3538</v>
      </c>
      <c r="O1719">
        <v>81369</v>
      </c>
    </row>
    <row r="1720" spans="1:15" x14ac:dyDescent="0.35">
      <c r="A1720">
        <v>1719</v>
      </c>
      <c r="B1720" s="2" t="s">
        <v>31</v>
      </c>
      <c r="C1720" s="2" t="s">
        <v>11</v>
      </c>
      <c r="D1720">
        <v>25</v>
      </c>
      <c r="E1720" s="2" t="s">
        <v>16</v>
      </c>
      <c r="F1720" s="2" t="s">
        <v>21</v>
      </c>
      <c r="G1720">
        <v>60756</v>
      </c>
      <c r="H1720" s="1">
        <v>45137</v>
      </c>
      <c r="I1720">
        <v>10</v>
      </c>
      <c r="J1720">
        <v>5</v>
      </c>
      <c r="K1720">
        <v>6076</v>
      </c>
      <c r="L1720">
        <v>3038</v>
      </c>
      <c r="M1720">
        <v>63794</v>
      </c>
      <c r="N1720">
        <v>3038</v>
      </c>
      <c r="O1720">
        <v>69870</v>
      </c>
    </row>
    <row r="1721" spans="1:15" x14ac:dyDescent="0.35">
      <c r="A1721">
        <v>1720</v>
      </c>
      <c r="B1721" s="2" t="s">
        <v>20</v>
      </c>
      <c r="C1721" s="2" t="s">
        <v>15</v>
      </c>
      <c r="D1721">
        <v>51</v>
      </c>
      <c r="E1721" s="2" t="s">
        <v>16</v>
      </c>
      <c r="F1721" s="2" t="s">
        <v>19</v>
      </c>
      <c r="G1721">
        <v>67110</v>
      </c>
      <c r="H1721" s="1">
        <v>45061</v>
      </c>
      <c r="I1721">
        <v>10</v>
      </c>
      <c r="J1721">
        <v>1</v>
      </c>
      <c r="K1721">
        <v>6711</v>
      </c>
      <c r="L1721">
        <v>3356</v>
      </c>
      <c r="M1721">
        <v>70465</v>
      </c>
      <c r="N1721">
        <v>3356</v>
      </c>
      <c r="O1721">
        <v>77177</v>
      </c>
    </row>
    <row r="1722" spans="1:15" x14ac:dyDescent="0.35">
      <c r="A1722">
        <v>1721</v>
      </c>
      <c r="B1722" s="2" t="s">
        <v>26</v>
      </c>
      <c r="C1722" s="2" t="s">
        <v>15</v>
      </c>
      <c r="D1722">
        <v>48</v>
      </c>
      <c r="E1722" s="2" t="s">
        <v>29</v>
      </c>
      <c r="F1722" s="2" t="s">
        <v>25</v>
      </c>
      <c r="G1722">
        <v>77784</v>
      </c>
      <c r="H1722" s="1">
        <v>45139</v>
      </c>
      <c r="I1722">
        <v>16</v>
      </c>
      <c r="J1722">
        <v>3</v>
      </c>
      <c r="K1722">
        <v>7778</v>
      </c>
      <c r="L1722">
        <v>3889</v>
      </c>
      <c r="M1722">
        <v>81673</v>
      </c>
      <c r="N1722">
        <v>3889</v>
      </c>
      <c r="O1722">
        <v>89451</v>
      </c>
    </row>
    <row r="1723" spans="1:15" x14ac:dyDescent="0.35">
      <c r="A1723">
        <v>1722</v>
      </c>
      <c r="B1723" s="2" t="s">
        <v>23</v>
      </c>
      <c r="C1723" s="2" t="s">
        <v>15</v>
      </c>
      <c r="D1723">
        <v>22</v>
      </c>
      <c r="E1723" s="2" t="s">
        <v>28</v>
      </c>
      <c r="F1723" s="2" t="s">
        <v>21</v>
      </c>
      <c r="G1723">
        <v>76735</v>
      </c>
      <c r="H1723" s="1">
        <v>45452</v>
      </c>
      <c r="I1723">
        <v>19</v>
      </c>
      <c r="J1723">
        <v>4</v>
      </c>
      <c r="K1723">
        <v>7674</v>
      </c>
      <c r="L1723">
        <v>3837</v>
      </c>
      <c r="M1723">
        <v>80572</v>
      </c>
      <c r="N1723">
        <v>3837</v>
      </c>
      <c r="O1723">
        <v>88246</v>
      </c>
    </row>
    <row r="1724" spans="1:15" x14ac:dyDescent="0.35">
      <c r="A1724">
        <v>1723</v>
      </c>
      <c r="B1724" s="2" t="s">
        <v>31</v>
      </c>
      <c r="C1724" s="2" t="s">
        <v>15</v>
      </c>
      <c r="D1724">
        <v>51</v>
      </c>
      <c r="E1724" s="2" t="s">
        <v>12</v>
      </c>
      <c r="F1724" s="2" t="s">
        <v>13</v>
      </c>
      <c r="G1724">
        <v>75425</v>
      </c>
      <c r="H1724" s="1">
        <v>45340</v>
      </c>
      <c r="I1724">
        <v>10</v>
      </c>
      <c r="J1724">
        <v>2</v>
      </c>
      <c r="K1724">
        <v>7542</v>
      </c>
      <c r="L1724">
        <v>3771</v>
      </c>
      <c r="M1724">
        <v>79196</v>
      </c>
      <c r="N1724">
        <v>3771</v>
      </c>
      <c r="O1724">
        <v>86738</v>
      </c>
    </row>
    <row r="1725" spans="1:15" x14ac:dyDescent="0.35">
      <c r="A1725">
        <v>1724</v>
      </c>
      <c r="B1725" s="2" t="s">
        <v>14</v>
      </c>
      <c r="C1725" s="2" t="s">
        <v>11</v>
      </c>
      <c r="D1725">
        <v>36</v>
      </c>
      <c r="E1725" s="2" t="s">
        <v>28</v>
      </c>
      <c r="F1725" s="2" t="s">
        <v>13</v>
      </c>
      <c r="G1725">
        <v>30531</v>
      </c>
      <c r="H1725" s="1">
        <v>44582</v>
      </c>
      <c r="I1725">
        <v>18</v>
      </c>
      <c r="J1725">
        <v>5</v>
      </c>
      <c r="K1725">
        <v>3053</v>
      </c>
      <c r="L1725">
        <v>1527</v>
      </c>
      <c r="M1725">
        <v>32057</v>
      </c>
      <c r="N1725">
        <v>1527</v>
      </c>
      <c r="O1725">
        <v>35111</v>
      </c>
    </row>
    <row r="1726" spans="1:15" x14ac:dyDescent="0.35">
      <c r="A1726">
        <v>1725</v>
      </c>
      <c r="B1726" s="2" t="s">
        <v>30</v>
      </c>
      <c r="C1726" s="2" t="s">
        <v>15</v>
      </c>
      <c r="D1726">
        <v>37</v>
      </c>
      <c r="E1726" s="2" t="s">
        <v>12</v>
      </c>
      <c r="F1726" s="2" t="s">
        <v>25</v>
      </c>
      <c r="G1726">
        <v>98608</v>
      </c>
      <c r="H1726" s="1">
        <v>45002</v>
      </c>
      <c r="I1726">
        <v>12</v>
      </c>
      <c r="J1726">
        <v>4</v>
      </c>
      <c r="K1726">
        <v>9861</v>
      </c>
      <c r="L1726">
        <v>4930</v>
      </c>
      <c r="M1726">
        <v>103539</v>
      </c>
      <c r="N1726">
        <v>4930</v>
      </c>
      <c r="O1726">
        <v>113399</v>
      </c>
    </row>
    <row r="1727" spans="1:15" x14ac:dyDescent="0.35">
      <c r="A1727">
        <v>1726</v>
      </c>
      <c r="B1727" s="2" t="s">
        <v>26</v>
      </c>
      <c r="C1727" s="2" t="s">
        <v>11</v>
      </c>
      <c r="D1727">
        <v>38</v>
      </c>
      <c r="E1727" s="2" t="s">
        <v>29</v>
      </c>
      <c r="F1727" s="2" t="s">
        <v>13</v>
      </c>
      <c r="G1727">
        <v>39130</v>
      </c>
      <c r="H1727" s="1">
        <v>45118</v>
      </c>
      <c r="I1727">
        <v>2</v>
      </c>
      <c r="J1727">
        <v>4</v>
      </c>
      <c r="K1727">
        <v>3913</v>
      </c>
      <c r="L1727">
        <v>1956</v>
      </c>
      <c r="M1727">
        <v>41087</v>
      </c>
      <c r="N1727">
        <v>0</v>
      </c>
      <c r="O1727">
        <v>43043</v>
      </c>
    </row>
    <row r="1728" spans="1:15" x14ac:dyDescent="0.35">
      <c r="A1728">
        <v>1727</v>
      </c>
      <c r="B1728" s="2" t="s">
        <v>23</v>
      </c>
      <c r="C1728" s="2" t="s">
        <v>11</v>
      </c>
      <c r="D1728">
        <v>47</v>
      </c>
      <c r="E1728" s="2" t="s">
        <v>16</v>
      </c>
      <c r="F1728" s="2" t="s">
        <v>17</v>
      </c>
      <c r="G1728">
        <v>20107</v>
      </c>
      <c r="H1728" s="1">
        <v>44795</v>
      </c>
      <c r="I1728">
        <v>18</v>
      </c>
      <c r="J1728">
        <v>3</v>
      </c>
      <c r="K1728">
        <v>2011</v>
      </c>
      <c r="L1728">
        <v>1005</v>
      </c>
      <c r="M1728">
        <v>21113</v>
      </c>
      <c r="N1728">
        <v>1005</v>
      </c>
      <c r="O1728">
        <v>23123</v>
      </c>
    </row>
    <row r="1729" spans="1:15" x14ac:dyDescent="0.35">
      <c r="A1729">
        <v>1728</v>
      </c>
      <c r="B1729" s="2" t="s">
        <v>27</v>
      </c>
      <c r="C1729" s="2" t="s">
        <v>11</v>
      </c>
      <c r="D1729">
        <v>37</v>
      </c>
      <c r="E1729" s="2" t="s">
        <v>12</v>
      </c>
      <c r="F1729" s="2" t="s">
        <v>19</v>
      </c>
      <c r="G1729">
        <v>50341</v>
      </c>
      <c r="H1729" s="1">
        <v>45002</v>
      </c>
      <c r="I1729">
        <v>1</v>
      </c>
      <c r="J1729">
        <v>1</v>
      </c>
      <c r="K1729">
        <v>5034</v>
      </c>
      <c r="L1729">
        <v>2517</v>
      </c>
      <c r="M1729">
        <v>52858</v>
      </c>
      <c r="N1729">
        <v>0</v>
      </c>
      <c r="O1729">
        <v>55375</v>
      </c>
    </row>
    <row r="1730" spans="1:15" x14ac:dyDescent="0.35">
      <c r="A1730">
        <v>1729</v>
      </c>
      <c r="B1730" s="2" t="s">
        <v>31</v>
      </c>
      <c r="C1730" s="2" t="s">
        <v>11</v>
      </c>
      <c r="D1730">
        <v>56</v>
      </c>
      <c r="E1730" s="2" t="s">
        <v>24</v>
      </c>
      <c r="F1730" s="2" t="s">
        <v>13</v>
      </c>
      <c r="G1730">
        <v>68755</v>
      </c>
      <c r="H1730" s="1">
        <v>45506</v>
      </c>
      <c r="I1730">
        <v>5</v>
      </c>
      <c r="J1730">
        <v>1</v>
      </c>
      <c r="K1730">
        <v>6876</v>
      </c>
      <c r="L1730">
        <v>3438</v>
      </c>
      <c r="M1730">
        <v>72193</v>
      </c>
      <c r="N1730">
        <v>0</v>
      </c>
      <c r="O1730">
        <v>75631</v>
      </c>
    </row>
    <row r="1731" spans="1:15" x14ac:dyDescent="0.35">
      <c r="A1731">
        <v>1730</v>
      </c>
      <c r="B1731" s="2" t="s">
        <v>18</v>
      </c>
      <c r="C1731" s="2" t="s">
        <v>15</v>
      </c>
      <c r="D1731">
        <v>54</v>
      </c>
      <c r="E1731" s="2" t="s">
        <v>28</v>
      </c>
      <c r="F1731" s="2" t="s">
        <v>19</v>
      </c>
      <c r="G1731">
        <v>95516</v>
      </c>
      <c r="H1731" s="1">
        <v>45344</v>
      </c>
      <c r="I1731">
        <v>10</v>
      </c>
      <c r="J1731">
        <v>2</v>
      </c>
      <c r="K1731">
        <v>9552</v>
      </c>
      <c r="L1731">
        <v>4776</v>
      </c>
      <c r="M1731">
        <v>100292</v>
      </c>
      <c r="N1731">
        <v>4776</v>
      </c>
      <c r="O1731">
        <v>109844</v>
      </c>
    </row>
    <row r="1732" spans="1:15" x14ac:dyDescent="0.35">
      <c r="A1732">
        <v>1731</v>
      </c>
      <c r="B1732" s="2" t="s">
        <v>30</v>
      </c>
      <c r="C1732" s="2" t="s">
        <v>15</v>
      </c>
      <c r="D1732">
        <v>33</v>
      </c>
      <c r="E1732" s="2" t="s">
        <v>28</v>
      </c>
      <c r="F1732" s="2" t="s">
        <v>13</v>
      </c>
      <c r="G1732">
        <v>70194</v>
      </c>
      <c r="H1732" s="1">
        <v>44672</v>
      </c>
      <c r="I1732">
        <v>13</v>
      </c>
      <c r="J1732">
        <v>4</v>
      </c>
      <c r="K1732">
        <v>7019</v>
      </c>
      <c r="L1732">
        <v>3510</v>
      </c>
      <c r="M1732">
        <v>73703</v>
      </c>
      <c r="N1732">
        <v>3510</v>
      </c>
      <c r="O1732">
        <v>80723</v>
      </c>
    </row>
    <row r="1733" spans="1:15" x14ac:dyDescent="0.35">
      <c r="A1733">
        <v>1732</v>
      </c>
      <c r="B1733" s="2" t="s">
        <v>20</v>
      </c>
      <c r="C1733" s="2" t="s">
        <v>15</v>
      </c>
      <c r="D1733">
        <v>25</v>
      </c>
      <c r="E1733" s="2" t="s">
        <v>16</v>
      </c>
      <c r="F1733" s="2" t="s">
        <v>21</v>
      </c>
      <c r="G1733">
        <v>86649</v>
      </c>
      <c r="H1733" s="1">
        <v>44703</v>
      </c>
      <c r="I1733">
        <v>1</v>
      </c>
      <c r="J1733">
        <v>3</v>
      </c>
      <c r="K1733">
        <v>8665</v>
      </c>
      <c r="L1733">
        <v>4332</v>
      </c>
      <c r="M1733">
        <v>90982</v>
      </c>
      <c r="N1733">
        <v>0</v>
      </c>
      <c r="O1733">
        <v>95314</v>
      </c>
    </row>
    <row r="1734" spans="1:15" x14ac:dyDescent="0.35">
      <c r="A1734">
        <v>1733</v>
      </c>
      <c r="B1734" s="2" t="s">
        <v>27</v>
      </c>
      <c r="C1734" s="2" t="s">
        <v>15</v>
      </c>
      <c r="D1734">
        <v>50</v>
      </c>
      <c r="E1734" s="2" t="s">
        <v>29</v>
      </c>
      <c r="F1734" s="2" t="s">
        <v>17</v>
      </c>
      <c r="G1734">
        <v>23579</v>
      </c>
      <c r="H1734" s="1">
        <v>44740</v>
      </c>
      <c r="I1734">
        <v>4</v>
      </c>
      <c r="J1734">
        <v>5</v>
      </c>
      <c r="K1734">
        <v>2358</v>
      </c>
      <c r="L1734">
        <v>1179</v>
      </c>
      <c r="M1734">
        <v>24758</v>
      </c>
      <c r="N1734">
        <v>0</v>
      </c>
      <c r="O1734">
        <v>25937</v>
      </c>
    </row>
    <row r="1735" spans="1:15" x14ac:dyDescent="0.35">
      <c r="A1735">
        <v>1734</v>
      </c>
      <c r="B1735" s="2" t="s">
        <v>31</v>
      </c>
      <c r="C1735" s="2" t="s">
        <v>15</v>
      </c>
      <c r="D1735">
        <v>38</v>
      </c>
      <c r="E1735" s="2" t="s">
        <v>29</v>
      </c>
      <c r="F1735" s="2" t="s">
        <v>21</v>
      </c>
      <c r="G1735">
        <v>75347</v>
      </c>
      <c r="H1735" s="1">
        <v>44941</v>
      </c>
      <c r="I1735">
        <v>2</v>
      </c>
      <c r="J1735">
        <v>1</v>
      </c>
      <c r="K1735">
        <v>7535</v>
      </c>
      <c r="L1735">
        <v>3767</v>
      </c>
      <c r="M1735">
        <v>79115</v>
      </c>
      <c r="N1735">
        <v>0</v>
      </c>
      <c r="O1735">
        <v>82882</v>
      </c>
    </row>
    <row r="1736" spans="1:15" x14ac:dyDescent="0.35">
      <c r="A1736">
        <v>1735</v>
      </c>
      <c r="B1736" s="2" t="s">
        <v>26</v>
      </c>
      <c r="C1736" s="2" t="s">
        <v>15</v>
      </c>
      <c r="D1736">
        <v>52</v>
      </c>
      <c r="E1736" s="2" t="s">
        <v>24</v>
      </c>
      <c r="F1736" s="2" t="s">
        <v>21</v>
      </c>
      <c r="G1736">
        <v>79778</v>
      </c>
      <c r="H1736" s="1">
        <v>45149</v>
      </c>
      <c r="I1736">
        <v>14</v>
      </c>
      <c r="J1736">
        <v>3</v>
      </c>
      <c r="K1736">
        <v>7978</v>
      </c>
      <c r="L1736">
        <v>3989</v>
      </c>
      <c r="M1736">
        <v>83767</v>
      </c>
      <c r="N1736">
        <v>3989</v>
      </c>
      <c r="O1736">
        <v>91745</v>
      </c>
    </row>
    <row r="1737" spans="1:15" x14ac:dyDescent="0.35">
      <c r="A1737">
        <v>1736</v>
      </c>
      <c r="B1737" s="2" t="s">
        <v>22</v>
      </c>
      <c r="C1737" s="2" t="s">
        <v>15</v>
      </c>
      <c r="D1737">
        <v>37</v>
      </c>
      <c r="E1737" s="2" t="s">
        <v>28</v>
      </c>
      <c r="F1737" s="2" t="s">
        <v>19</v>
      </c>
      <c r="G1737">
        <v>84066</v>
      </c>
      <c r="H1737" s="1">
        <v>44785</v>
      </c>
      <c r="I1737">
        <v>8</v>
      </c>
      <c r="J1737">
        <v>1</v>
      </c>
      <c r="K1737">
        <v>8407</v>
      </c>
      <c r="L1737">
        <v>4203</v>
      </c>
      <c r="M1737">
        <v>88270</v>
      </c>
      <c r="N1737">
        <v>4203</v>
      </c>
      <c r="O1737">
        <v>96676</v>
      </c>
    </row>
    <row r="1738" spans="1:15" x14ac:dyDescent="0.35">
      <c r="A1738">
        <v>1737</v>
      </c>
      <c r="B1738" s="2" t="s">
        <v>14</v>
      </c>
      <c r="C1738" s="2" t="s">
        <v>11</v>
      </c>
      <c r="D1738">
        <v>60</v>
      </c>
      <c r="E1738" s="2" t="s">
        <v>16</v>
      </c>
      <c r="F1738" s="2" t="s">
        <v>17</v>
      </c>
      <c r="G1738">
        <v>86092</v>
      </c>
      <c r="H1738" s="1">
        <v>45324</v>
      </c>
      <c r="I1738">
        <v>7</v>
      </c>
      <c r="J1738">
        <v>1</v>
      </c>
      <c r="K1738">
        <v>8609</v>
      </c>
      <c r="L1738">
        <v>4305</v>
      </c>
      <c r="M1738">
        <v>90396</v>
      </c>
      <c r="N1738">
        <v>4305</v>
      </c>
      <c r="O1738">
        <v>99006</v>
      </c>
    </row>
    <row r="1739" spans="1:15" x14ac:dyDescent="0.35">
      <c r="A1739">
        <v>1738</v>
      </c>
      <c r="B1739" s="2" t="s">
        <v>20</v>
      </c>
      <c r="C1739" s="2" t="s">
        <v>15</v>
      </c>
      <c r="D1739">
        <v>56</v>
      </c>
      <c r="E1739" s="2" t="s">
        <v>28</v>
      </c>
      <c r="F1739" s="2" t="s">
        <v>25</v>
      </c>
      <c r="G1739">
        <v>34604</v>
      </c>
      <c r="H1739" s="1">
        <v>44652</v>
      </c>
      <c r="I1739">
        <v>2</v>
      </c>
      <c r="J1739">
        <v>5</v>
      </c>
      <c r="K1739">
        <v>3460</v>
      </c>
      <c r="L1739">
        <v>1730</v>
      </c>
      <c r="M1739">
        <v>36334</v>
      </c>
      <c r="N1739">
        <v>0</v>
      </c>
      <c r="O1739">
        <v>38064</v>
      </c>
    </row>
    <row r="1740" spans="1:15" x14ac:dyDescent="0.35">
      <c r="A1740">
        <v>1739</v>
      </c>
      <c r="B1740" s="2" t="s">
        <v>22</v>
      </c>
      <c r="C1740" s="2" t="s">
        <v>15</v>
      </c>
      <c r="D1740">
        <v>54</v>
      </c>
      <c r="E1740" s="2" t="s">
        <v>12</v>
      </c>
      <c r="F1740" s="2" t="s">
        <v>13</v>
      </c>
      <c r="G1740">
        <v>33988</v>
      </c>
      <c r="H1740" s="1">
        <v>45488</v>
      </c>
      <c r="I1740">
        <v>19</v>
      </c>
      <c r="J1740">
        <v>1</v>
      </c>
      <c r="K1740">
        <v>3399</v>
      </c>
      <c r="L1740">
        <v>1699</v>
      </c>
      <c r="M1740">
        <v>35688</v>
      </c>
      <c r="N1740">
        <v>1699</v>
      </c>
      <c r="O1740">
        <v>39086</v>
      </c>
    </row>
    <row r="1741" spans="1:15" x14ac:dyDescent="0.35">
      <c r="A1741">
        <v>1740</v>
      </c>
      <c r="B1741" s="2" t="s">
        <v>18</v>
      </c>
      <c r="C1741" s="2" t="s">
        <v>11</v>
      </c>
      <c r="D1741">
        <v>44</v>
      </c>
      <c r="E1741" s="2" t="s">
        <v>29</v>
      </c>
      <c r="F1741" s="2" t="s">
        <v>17</v>
      </c>
      <c r="G1741">
        <v>91614</v>
      </c>
      <c r="H1741" s="1">
        <v>45254</v>
      </c>
      <c r="I1741">
        <v>18</v>
      </c>
      <c r="J1741">
        <v>2</v>
      </c>
      <c r="K1741">
        <v>9161</v>
      </c>
      <c r="L1741">
        <v>4581</v>
      </c>
      <c r="M1741">
        <v>96194</v>
      </c>
      <c r="N1741">
        <v>4581</v>
      </c>
      <c r="O1741">
        <v>105356</v>
      </c>
    </row>
    <row r="1742" spans="1:15" x14ac:dyDescent="0.35">
      <c r="A1742">
        <v>1741</v>
      </c>
      <c r="B1742" s="2" t="s">
        <v>18</v>
      </c>
      <c r="C1742" s="2" t="s">
        <v>11</v>
      </c>
      <c r="D1742">
        <v>58</v>
      </c>
      <c r="E1742" s="2" t="s">
        <v>12</v>
      </c>
      <c r="F1742" s="2" t="s">
        <v>19</v>
      </c>
      <c r="G1742">
        <v>26193</v>
      </c>
      <c r="H1742" s="1">
        <v>45163</v>
      </c>
      <c r="I1742">
        <v>8</v>
      </c>
      <c r="J1742">
        <v>5</v>
      </c>
      <c r="K1742">
        <v>2619</v>
      </c>
      <c r="L1742">
        <v>1310</v>
      </c>
      <c r="M1742">
        <v>27502</v>
      </c>
      <c r="N1742">
        <v>1310</v>
      </c>
      <c r="O1742">
        <v>30122</v>
      </c>
    </row>
    <row r="1743" spans="1:15" x14ac:dyDescent="0.35">
      <c r="A1743">
        <v>1742</v>
      </c>
      <c r="B1743" s="2" t="s">
        <v>22</v>
      </c>
      <c r="C1743" s="2" t="s">
        <v>15</v>
      </c>
      <c r="D1743">
        <v>44</v>
      </c>
      <c r="E1743" s="2" t="s">
        <v>24</v>
      </c>
      <c r="F1743" s="2" t="s">
        <v>25</v>
      </c>
      <c r="G1743">
        <v>21283</v>
      </c>
      <c r="H1743" s="1">
        <v>45154</v>
      </c>
      <c r="I1743">
        <v>10</v>
      </c>
      <c r="J1743">
        <v>3</v>
      </c>
      <c r="K1743">
        <v>2128</v>
      </c>
      <c r="L1743">
        <v>1064</v>
      </c>
      <c r="M1743">
        <v>22347</v>
      </c>
      <c r="N1743">
        <v>1064</v>
      </c>
      <c r="O1743">
        <v>24475</v>
      </c>
    </row>
    <row r="1744" spans="1:15" x14ac:dyDescent="0.35">
      <c r="A1744">
        <v>1743</v>
      </c>
      <c r="B1744" s="2" t="s">
        <v>14</v>
      </c>
      <c r="C1744" s="2" t="s">
        <v>15</v>
      </c>
      <c r="D1744">
        <v>38</v>
      </c>
      <c r="E1744" s="2" t="s">
        <v>12</v>
      </c>
      <c r="F1744" s="2" t="s">
        <v>13</v>
      </c>
      <c r="G1744">
        <v>25371</v>
      </c>
      <c r="H1744" s="1">
        <v>44983</v>
      </c>
      <c r="I1744">
        <v>11</v>
      </c>
      <c r="J1744">
        <v>5</v>
      </c>
      <c r="K1744">
        <v>2537</v>
      </c>
      <c r="L1744">
        <v>1269</v>
      </c>
      <c r="M1744">
        <v>26639</v>
      </c>
      <c r="N1744">
        <v>1269</v>
      </c>
      <c r="O1744">
        <v>29177</v>
      </c>
    </row>
    <row r="1745" spans="1:15" x14ac:dyDescent="0.35">
      <c r="A1745">
        <v>1744</v>
      </c>
      <c r="B1745" s="2" t="s">
        <v>26</v>
      </c>
      <c r="C1745" s="2" t="s">
        <v>11</v>
      </c>
      <c r="D1745">
        <v>52</v>
      </c>
      <c r="E1745" s="2" t="s">
        <v>29</v>
      </c>
      <c r="F1745" s="2" t="s">
        <v>21</v>
      </c>
      <c r="G1745">
        <v>99011</v>
      </c>
      <c r="H1745" s="1">
        <v>45284</v>
      </c>
      <c r="I1745">
        <v>1</v>
      </c>
      <c r="J1745">
        <v>5</v>
      </c>
      <c r="K1745">
        <v>9901</v>
      </c>
      <c r="L1745">
        <v>4951</v>
      </c>
      <c r="M1745">
        <v>103961</v>
      </c>
      <c r="N1745">
        <v>0</v>
      </c>
      <c r="O1745">
        <v>108912</v>
      </c>
    </row>
    <row r="1746" spans="1:15" x14ac:dyDescent="0.35">
      <c r="A1746">
        <v>1745</v>
      </c>
      <c r="B1746" s="2" t="s">
        <v>20</v>
      </c>
      <c r="C1746" s="2" t="s">
        <v>15</v>
      </c>
      <c r="D1746">
        <v>39</v>
      </c>
      <c r="E1746" s="2" t="s">
        <v>12</v>
      </c>
      <c r="F1746" s="2" t="s">
        <v>19</v>
      </c>
      <c r="G1746">
        <v>36772</v>
      </c>
      <c r="H1746" s="1">
        <v>45082</v>
      </c>
      <c r="I1746">
        <v>13</v>
      </c>
      <c r="J1746">
        <v>3</v>
      </c>
      <c r="K1746">
        <v>3677</v>
      </c>
      <c r="L1746">
        <v>1839</v>
      </c>
      <c r="M1746">
        <v>38610</v>
      </c>
      <c r="N1746">
        <v>1839</v>
      </c>
      <c r="O1746">
        <v>42288</v>
      </c>
    </row>
    <row r="1747" spans="1:15" x14ac:dyDescent="0.35">
      <c r="A1747">
        <v>1746</v>
      </c>
      <c r="B1747" s="2" t="s">
        <v>31</v>
      </c>
      <c r="C1747" s="2" t="s">
        <v>11</v>
      </c>
      <c r="D1747">
        <v>56</v>
      </c>
      <c r="E1747" s="2" t="s">
        <v>12</v>
      </c>
      <c r="F1747" s="2" t="s">
        <v>17</v>
      </c>
      <c r="G1747">
        <v>30068</v>
      </c>
      <c r="H1747" s="1">
        <v>44855</v>
      </c>
      <c r="I1747">
        <v>4</v>
      </c>
      <c r="J1747">
        <v>1</v>
      </c>
      <c r="K1747">
        <v>3007</v>
      </c>
      <c r="L1747">
        <v>1503</v>
      </c>
      <c r="M1747">
        <v>31572</v>
      </c>
      <c r="N1747">
        <v>0</v>
      </c>
      <c r="O1747">
        <v>33075</v>
      </c>
    </row>
    <row r="1748" spans="1:15" x14ac:dyDescent="0.35">
      <c r="A1748">
        <v>1747</v>
      </c>
      <c r="B1748" s="2" t="s">
        <v>23</v>
      </c>
      <c r="C1748" s="2" t="s">
        <v>15</v>
      </c>
      <c r="D1748">
        <v>31</v>
      </c>
      <c r="E1748" s="2" t="s">
        <v>24</v>
      </c>
      <c r="F1748" s="2" t="s">
        <v>17</v>
      </c>
      <c r="G1748">
        <v>78513</v>
      </c>
      <c r="H1748" s="1">
        <v>44790</v>
      </c>
      <c r="I1748">
        <v>8</v>
      </c>
      <c r="J1748">
        <v>2</v>
      </c>
      <c r="K1748">
        <v>7851</v>
      </c>
      <c r="L1748">
        <v>3926</v>
      </c>
      <c r="M1748">
        <v>82438</v>
      </c>
      <c r="N1748">
        <v>3926</v>
      </c>
      <c r="O1748">
        <v>90290</v>
      </c>
    </row>
    <row r="1749" spans="1:15" x14ac:dyDescent="0.35">
      <c r="A1749">
        <v>1748</v>
      </c>
      <c r="B1749" s="2" t="s">
        <v>23</v>
      </c>
      <c r="C1749" s="2" t="s">
        <v>15</v>
      </c>
      <c r="D1749">
        <v>23</v>
      </c>
      <c r="E1749" s="2" t="s">
        <v>12</v>
      </c>
      <c r="F1749" s="2" t="s">
        <v>25</v>
      </c>
      <c r="G1749">
        <v>36594</v>
      </c>
      <c r="H1749" s="1">
        <v>44603</v>
      </c>
      <c r="I1749">
        <v>7</v>
      </c>
      <c r="J1749">
        <v>2</v>
      </c>
      <c r="K1749">
        <v>3659</v>
      </c>
      <c r="L1749">
        <v>1830</v>
      </c>
      <c r="M1749">
        <v>38423</v>
      </c>
      <c r="N1749">
        <v>1830</v>
      </c>
      <c r="O1749">
        <v>42083</v>
      </c>
    </row>
    <row r="1750" spans="1:15" x14ac:dyDescent="0.35">
      <c r="A1750">
        <v>1749</v>
      </c>
      <c r="B1750" s="2" t="s">
        <v>27</v>
      </c>
      <c r="C1750" s="2" t="s">
        <v>11</v>
      </c>
      <c r="D1750">
        <v>51</v>
      </c>
      <c r="E1750" s="2" t="s">
        <v>28</v>
      </c>
      <c r="F1750" s="2" t="s">
        <v>25</v>
      </c>
      <c r="G1750">
        <v>27642</v>
      </c>
      <c r="H1750" s="1">
        <v>44773</v>
      </c>
      <c r="I1750">
        <v>7</v>
      </c>
      <c r="J1750">
        <v>2</v>
      </c>
      <c r="K1750">
        <v>2764</v>
      </c>
      <c r="L1750">
        <v>1382</v>
      </c>
      <c r="M1750">
        <v>29024</v>
      </c>
      <c r="N1750">
        <v>1382</v>
      </c>
      <c r="O1750">
        <v>31788</v>
      </c>
    </row>
    <row r="1751" spans="1:15" x14ac:dyDescent="0.35">
      <c r="A1751">
        <v>1750</v>
      </c>
      <c r="B1751" s="2" t="s">
        <v>26</v>
      </c>
      <c r="C1751" s="2" t="s">
        <v>11</v>
      </c>
      <c r="D1751">
        <v>34</v>
      </c>
      <c r="E1751" s="2" t="s">
        <v>28</v>
      </c>
      <c r="F1751" s="2" t="s">
        <v>21</v>
      </c>
      <c r="G1751">
        <v>28785</v>
      </c>
      <c r="H1751" s="1">
        <v>44735</v>
      </c>
      <c r="I1751">
        <v>7</v>
      </c>
      <c r="J1751">
        <v>5</v>
      </c>
      <c r="K1751">
        <v>2878</v>
      </c>
      <c r="L1751">
        <v>1439</v>
      </c>
      <c r="M1751">
        <v>30224</v>
      </c>
      <c r="N1751">
        <v>1439</v>
      </c>
      <c r="O1751">
        <v>33102</v>
      </c>
    </row>
    <row r="1752" spans="1:15" x14ac:dyDescent="0.35">
      <c r="A1752">
        <v>1751</v>
      </c>
      <c r="B1752" s="2" t="s">
        <v>23</v>
      </c>
      <c r="C1752" s="2" t="s">
        <v>15</v>
      </c>
      <c r="D1752">
        <v>52</v>
      </c>
      <c r="E1752" s="2" t="s">
        <v>12</v>
      </c>
      <c r="F1752" s="2" t="s">
        <v>13</v>
      </c>
      <c r="G1752">
        <v>41532</v>
      </c>
      <c r="H1752" s="1">
        <v>44622</v>
      </c>
      <c r="I1752">
        <v>19</v>
      </c>
      <c r="J1752">
        <v>2</v>
      </c>
      <c r="K1752">
        <v>4153</v>
      </c>
      <c r="L1752">
        <v>2077</v>
      </c>
      <c r="M1752">
        <v>43608</v>
      </c>
      <c r="N1752">
        <v>2077</v>
      </c>
      <c r="O1752">
        <v>47762</v>
      </c>
    </row>
    <row r="1753" spans="1:15" x14ac:dyDescent="0.35">
      <c r="A1753">
        <v>1752</v>
      </c>
      <c r="B1753" s="2" t="s">
        <v>23</v>
      </c>
      <c r="C1753" s="2" t="s">
        <v>15</v>
      </c>
      <c r="D1753">
        <v>41</v>
      </c>
      <c r="E1753" s="2" t="s">
        <v>29</v>
      </c>
      <c r="F1753" s="2" t="s">
        <v>19</v>
      </c>
      <c r="G1753">
        <v>47225</v>
      </c>
      <c r="H1753" s="1">
        <v>45205</v>
      </c>
      <c r="I1753">
        <v>17</v>
      </c>
      <c r="J1753">
        <v>4</v>
      </c>
      <c r="K1753">
        <v>4722</v>
      </c>
      <c r="L1753">
        <v>2361</v>
      </c>
      <c r="M1753">
        <v>49586</v>
      </c>
      <c r="N1753">
        <v>2361</v>
      </c>
      <c r="O1753">
        <v>54308</v>
      </c>
    </row>
    <row r="1754" spans="1:15" x14ac:dyDescent="0.35">
      <c r="A1754">
        <v>1753</v>
      </c>
      <c r="B1754" s="2" t="s">
        <v>10</v>
      </c>
      <c r="C1754" s="2" t="s">
        <v>15</v>
      </c>
      <c r="D1754">
        <v>35</v>
      </c>
      <c r="E1754" s="2" t="s">
        <v>12</v>
      </c>
      <c r="F1754" s="2" t="s">
        <v>25</v>
      </c>
      <c r="G1754">
        <v>59483</v>
      </c>
      <c r="H1754" s="1">
        <v>44879</v>
      </c>
      <c r="I1754">
        <v>17</v>
      </c>
      <c r="J1754">
        <v>5</v>
      </c>
      <c r="K1754">
        <v>5948</v>
      </c>
      <c r="L1754">
        <v>2974</v>
      </c>
      <c r="M1754">
        <v>62457</v>
      </c>
      <c r="N1754">
        <v>2974</v>
      </c>
      <c r="O1754">
        <v>68405</v>
      </c>
    </row>
    <row r="1755" spans="1:15" x14ac:dyDescent="0.35">
      <c r="A1755">
        <v>1754</v>
      </c>
      <c r="B1755" s="2" t="s">
        <v>20</v>
      </c>
      <c r="C1755" s="2" t="s">
        <v>15</v>
      </c>
      <c r="D1755">
        <v>30</v>
      </c>
      <c r="E1755" s="2" t="s">
        <v>16</v>
      </c>
      <c r="F1755" s="2" t="s">
        <v>17</v>
      </c>
      <c r="G1755">
        <v>57178</v>
      </c>
      <c r="H1755" s="1">
        <v>45240</v>
      </c>
      <c r="I1755">
        <v>10</v>
      </c>
      <c r="J1755">
        <v>1</v>
      </c>
      <c r="K1755">
        <v>5718</v>
      </c>
      <c r="L1755">
        <v>2859</v>
      </c>
      <c r="M1755">
        <v>60037</v>
      </c>
      <c r="N1755">
        <v>2859</v>
      </c>
      <c r="O1755">
        <v>65755</v>
      </c>
    </row>
    <row r="1756" spans="1:15" x14ac:dyDescent="0.35">
      <c r="A1756">
        <v>1755</v>
      </c>
      <c r="B1756" s="2" t="s">
        <v>30</v>
      </c>
      <c r="C1756" s="2" t="s">
        <v>15</v>
      </c>
      <c r="D1756">
        <v>51</v>
      </c>
      <c r="E1756" s="2" t="s">
        <v>24</v>
      </c>
      <c r="F1756" s="2" t="s">
        <v>21</v>
      </c>
      <c r="G1756">
        <v>28315</v>
      </c>
      <c r="H1756" s="1">
        <v>45052</v>
      </c>
      <c r="I1756">
        <v>12</v>
      </c>
      <c r="J1756">
        <v>3</v>
      </c>
      <c r="K1756">
        <v>2832</v>
      </c>
      <c r="L1756">
        <v>1416</v>
      </c>
      <c r="M1756">
        <v>29731</v>
      </c>
      <c r="N1756">
        <v>1416</v>
      </c>
      <c r="O1756">
        <v>32563</v>
      </c>
    </row>
    <row r="1757" spans="1:15" x14ac:dyDescent="0.35">
      <c r="A1757">
        <v>1756</v>
      </c>
      <c r="B1757" s="2" t="s">
        <v>26</v>
      </c>
      <c r="C1757" s="2" t="s">
        <v>15</v>
      </c>
      <c r="D1757">
        <v>38</v>
      </c>
      <c r="E1757" s="2" t="s">
        <v>29</v>
      </c>
      <c r="F1757" s="2" t="s">
        <v>13</v>
      </c>
      <c r="G1757">
        <v>66821</v>
      </c>
      <c r="H1757" s="1">
        <v>45280</v>
      </c>
      <c r="I1757">
        <v>18</v>
      </c>
      <c r="J1757">
        <v>3</v>
      </c>
      <c r="K1757">
        <v>6682</v>
      </c>
      <c r="L1757">
        <v>3341</v>
      </c>
      <c r="M1757">
        <v>70162</v>
      </c>
      <c r="N1757">
        <v>3341</v>
      </c>
      <c r="O1757">
        <v>76844</v>
      </c>
    </row>
    <row r="1758" spans="1:15" x14ac:dyDescent="0.35">
      <c r="A1758">
        <v>1757</v>
      </c>
      <c r="B1758" s="2" t="s">
        <v>26</v>
      </c>
      <c r="C1758" s="2" t="s">
        <v>11</v>
      </c>
      <c r="D1758">
        <v>32</v>
      </c>
      <c r="E1758" s="2" t="s">
        <v>29</v>
      </c>
      <c r="F1758" s="2" t="s">
        <v>21</v>
      </c>
      <c r="G1758">
        <v>74398</v>
      </c>
      <c r="H1758" s="1">
        <v>45186</v>
      </c>
      <c r="I1758">
        <v>7</v>
      </c>
      <c r="J1758">
        <v>5</v>
      </c>
      <c r="K1758">
        <v>7440</v>
      </c>
      <c r="L1758">
        <v>3720</v>
      </c>
      <c r="M1758">
        <v>78118</v>
      </c>
      <c r="N1758">
        <v>3720</v>
      </c>
      <c r="O1758">
        <v>85558</v>
      </c>
    </row>
    <row r="1759" spans="1:15" x14ac:dyDescent="0.35">
      <c r="A1759">
        <v>1758</v>
      </c>
      <c r="B1759" s="2" t="s">
        <v>30</v>
      </c>
      <c r="C1759" s="2" t="s">
        <v>15</v>
      </c>
      <c r="D1759">
        <v>27</v>
      </c>
      <c r="E1759" s="2" t="s">
        <v>29</v>
      </c>
      <c r="F1759" s="2" t="s">
        <v>25</v>
      </c>
      <c r="G1759">
        <v>50227</v>
      </c>
      <c r="H1759" s="1">
        <v>45477</v>
      </c>
      <c r="I1759">
        <v>4</v>
      </c>
      <c r="J1759">
        <v>3</v>
      </c>
      <c r="K1759">
        <v>5023</v>
      </c>
      <c r="L1759">
        <v>2511</v>
      </c>
      <c r="M1759">
        <v>52739</v>
      </c>
      <c r="N1759">
        <v>0</v>
      </c>
      <c r="O1759">
        <v>55250</v>
      </c>
    </row>
    <row r="1760" spans="1:15" x14ac:dyDescent="0.35">
      <c r="A1760">
        <v>1759</v>
      </c>
      <c r="B1760" s="2" t="s">
        <v>26</v>
      </c>
      <c r="C1760" s="2" t="s">
        <v>11</v>
      </c>
      <c r="D1760">
        <v>31</v>
      </c>
      <c r="E1760" s="2" t="s">
        <v>29</v>
      </c>
      <c r="F1760" s="2" t="s">
        <v>19</v>
      </c>
      <c r="G1760">
        <v>20471</v>
      </c>
      <c r="H1760" s="1">
        <v>44786</v>
      </c>
      <c r="I1760">
        <v>17</v>
      </c>
      <c r="J1760">
        <v>4</v>
      </c>
      <c r="K1760">
        <v>2047</v>
      </c>
      <c r="L1760">
        <v>1024</v>
      </c>
      <c r="M1760">
        <v>21494</v>
      </c>
      <c r="N1760">
        <v>1024</v>
      </c>
      <c r="O1760">
        <v>23542</v>
      </c>
    </row>
    <row r="1761" spans="1:15" x14ac:dyDescent="0.35">
      <c r="A1761">
        <v>1760</v>
      </c>
      <c r="B1761" s="2" t="s">
        <v>31</v>
      </c>
      <c r="C1761" s="2" t="s">
        <v>11</v>
      </c>
      <c r="D1761">
        <v>55</v>
      </c>
      <c r="E1761" s="2" t="s">
        <v>29</v>
      </c>
      <c r="F1761" s="2" t="s">
        <v>17</v>
      </c>
      <c r="G1761">
        <v>76928</v>
      </c>
      <c r="H1761" s="1">
        <v>44905</v>
      </c>
      <c r="I1761">
        <v>12</v>
      </c>
      <c r="J1761">
        <v>1</v>
      </c>
      <c r="K1761">
        <v>7693</v>
      </c>
      <c r="L1761">
        <v>3846</v>
      </c>
      <c r="M1761">
        <v>80775</v>
      </c>
      <c r="N1761">
        <v>3846</v>
      </c>
      <c r="O1761">
        <v>88467</v>
      </c>
    </row>
    <row r="1762" spans="1:15" x14ac:dyDescent="0.35">
      <c r="A1762">
        <v>1761</v>
      </c>
      <c r="B1762" s="2" t="s">
        <v>20</v>
      </c>
      <c r="C1762" s="2" t="s">
        <v>11</v>
      </c>
      <c r="D1762">
        <v>47</v>
      </c>
      <c r="E1762" s="2" t="s">
        <v>28</v>
      </c>
      <c r="F1762" s="2" t="s">
        <v>13</v>
      </c>
      <c r="G1762">
        <v>36200</v>
      </c>
      <c r="H1762" s="1">
        <v>44873</v>
      </c>
      <c r="I1762">
        <v>6</v>
      </c>
      <c r="J1762">
        <v>3</v>
      </c>
      <c r="K1762">
        <v>3620</v>
      </c>
      <c r="L1762">
        <v>1810</v>
      </c>
      <c r="M1762">
        <v>38010</v>
      </c>
      <c r="N1762">
        <v>1810</v>
      </c>
      <c r="O1762">
        <v>41630</v>
      </c>
    </row>
    <row r="1763" spans="1:15" x14ac:dyDescent="0.35">
      <c r="A1763">
        <v>1762</v>
      </c>
      <c r="B1763" s="2" t="s">
        <v>18</v>
      </c>
      <c r="C1763" s="2" t="s">
        <v>15</v>
      </c>
      <c r="D1763">
        <v>52</v>
      </c>
      <c r="E1763" s="2" t="s">
        <v>29</v>
      </c>
      <c r="F1763" s="2" t="s">
        <v>25</v>
      </c>
      <c r="G1763">
        <v>37208</v>
      </c>
      <c r="H1763" s="1">
        <v>45182</v>
      </c>
      <c r="I1763">
        <v>13</v>
      </c>
      <c r="J1763">
        <v>1</v>
      </c>
      <c r="K1763">
        <v>3721</v>
      </c>
      <c r="L1763">
        <v>1860</v>
      </c>
      <c r="M1763">
        <v>39069</v>
      </c>
      <c r="N1763">
        <v>1860</v>
      </c>
      <c r="O1763">
        <v>42789</v>
      </c>
    </row>
    <row r="1764" spans="1:15" x14ac:dyDescent="0.35">
      <c r="A1764">
        <v>1763</v>
      </c>
      <c r="B1764" s="2" t="s">
        <v>23</v>
      </c>
      <c r="C1764" s="2" t="s">
        <v>11</v>
      </c>
      <c r="D1764">
        <v>55</v>
      </c>
      <c r="E1764" s="2" t="s">
        <v>28</v>
      </c>
      <c r="F1764" s="2" t="s">
        <v>13</v>
      </c>
      <c r="G1764">
        <v>25806</v>
      </c>
      <c r="H1764" s="1">
        <v>45073</v>
      </c>
      <c r="I1764">
        <v>6</v>
      </c>
      <c r="J1764">
        <v>3</v>
      </c>
      <c r="K1764">
        <v>2581</v>
      </c>
      <c r="L1764">
        <v>1290</v>
      </c>
      <c r="M1764">
        <v>27097</v>
      </c>
      <c r="N1764">
        <v>1290</v>
      </c>
      <c r="O1764">
        <v>29677</v>
      </c>
    </row>
    <row r="1765" spans="1:15" x14ac:dyDescent="0.35">
      <c r="A1765">
        <v>1764</v>
      </c>
      <c r="B1765" s="2" t="s">
        <v>26</v>
      </c>
      <c r="C1765" s="2" t="s">
        <v>11</v>
      </c>
      <c r="D1765">
        <v>28</v>
      </c>
      <c r="E1765" s="2" t="s">
        <v>12</v>
      </c>
      <c r="F1765" s="2" t="s">
        <v>19</v>
      </c>
      <c r="G1765">
        <v>49231</v>
      </c>
      <c r="H1765" s="1">
        <v>45481</v>
      </c>
      <c r="I1765">
        <v>7</v>
      </c>
      <c r="J1765">
        <v>3</v>
      </c>
      <c r="K1765">
        <v>4923</v>
      </c>
      <c r="L1765">
        <v>2462</v>
      </c>
      <c r="M1765">
        <v>51692</v>
      </c>
      <c r="N1765">
        <v>2462</v>
      </c>
      <c r="O1765">
        <v>56616</v>
      </c>
    </row>
    <row r="1766" spans="1:15" x14ac:dyDescent="0.35">
      <c r="A1766">
        <v>1765</v>
      </c>
      <c r="B1766" s="2" t="s">
        <v>23</v>
      </c>
      <c r="C1766" s="2" t="s">
        <v>11</v>
      </c>
      <c r="D1766">
        <v>32</v>
      </c>
      <c r="E1766" s="2" t="s">
        <v>12</v>
      </c>
      <c r="F1766" s="2" t="s">
        <v>25</v>
      </c>
      <c r="G1766">
        <v>57600</v>
      </c>
      <c r="H1766" s="1">
        <v>45087</v>
      </c>
      <c r="I1766">
        <v>9</v>
      </c>
      <c r="J1766">
        <v>3</v>
      </c>
      <c r="K1766">
        <v>5760</v>
      </c>
      <c r="L1766">
        <v>2880</v>
      </c>
      <c r="M1766">
        <v>60480</v>
      </c>
      <c r="N1766">
        <v>2880</v>
      </c>
      <c r="O1766">
        <v>66240</v>
      </c>
    </row>
    <row r="1767" spans="1:15" x14ac:dyDescent="0.35">
      <c r="A1767">
        <v>1766</v>
      </c>
      <c r="B1767" s="2" t="s">
        <v>31</v>
      </c>
      <c r="C1767" s="2" t="s">
        <v>15</v>
      </c>
      <c r="D1767">
        <v>43</v>
      </c>
      <c r="E1767" s="2" t="s">
        <v>29</v>
      </c>
      <c r="F1767" s="2" t="s">
        <v>19</v>
      </c>
      <c r="G1767">
        <v>80898</v>
      </c>
      <c r="H1767" s="1">
        <v>45288</v>
      </c>
      <c r="I1767">
        <v>14</v>
      </c>
      <c r="J1767">
        <v>2</v>
      </c>
      <c r="K1767">
        <v>8090</v>
      </c>
      <c r="L1767">
        <v>4045</v>
      </c>
      <c r="M1767">
        <v>84943</v>
      </c>
      <c r="N1767">
        <v>4045</v>
      </c>
      <c r="O1767">
        <v>93033</v>
      </c>
    </row>
    <row r="1768" spans="1:15" x14ac:dyDescent="0.35">
      <c r="A1768">
        <v>1767</v>
      </c>
      <c r="B1768" s="2" t="s">
        <v>31</v>
      </c>
      <c r="C1768" s="2" t="s">
        <v>11</v>
      </c>
      <c r="D1768">
        <v>28</v>
      </c>
      <c r="E1768" s="2" t="s">
        <v>24</v>
      </c>
      <c r="F1768" s="2" t="s">
        <v>25</v>
      </c>
      <c r="G1768">
        <v>40045</v>
      </c>
      <c r="H1768" s="1">
        <v>45552</v>
      </c>
      <c r="I1768">
        <v>8</v>
      </c>
      <c r="J1768">
        <v>3</v>
      </c>
      <c r="K1768">
        <v>4004</v>
      </c>
      <c r="L1768">
        <v>2002</v>
      </c>
      <c r="M1768">
        <v>42047</v>
      </c>
      <c r="N1768">
        <v>2002</v>
      </c>
      <c r="O1768">
        <v>46051</v>
      </c>
    </row>
    <row r="1769" spans="1:15" x14ac:dyDescent="0.35">
      <c r="A1769">
        <v>1768</v>
      </c>
      <c r="B1769" s="2" t="s">
        <v>20</v>
      </c>
      <c r="C1769" s="2" t="s">
        <v>11</v>
      </c>
      <c r="D1769">
        <v>25</v>
      </c>
      <c r="E1769" s="2" t="s">
        <v>29</v>
      </c>
      <c r="F1769" s="2" t="s">
        <v>25</v>
      </c>
      <c r="G1769">
        <v>93018</v>
      </c>
      <c r="H1769" s="1">
        <v>45092</v>
      </c>
      <c r="I1769">
        <v>19</v>
      </c>
      <c r="J1769">
        <v>5</v>
      </c>
      <c r="K1769">
        <v>9302</v>
      </c>
      <c r="L1769">
        <v>4651</v>
      </c>
      <c r="M1769">
        <v>97669</v>
      </c>
      <c r="N1769">
        <v>4651</v>
      </c>
      <c r="O1769">
        <v>106971</v>
      </c>
    </row>
    <row r="1770" spans="1:15" x14ac:dyDescent="0.35">
      <c r="A1770">
        <v>1769</v>
      </c>
      <c r="B1770" s="2" t="s">
        <v>14</v>
      </c>
      <c r="C1770" s="2" t="s">
        <v>11</v>
      </c>
      <c r="D1770">
        <v>53</v>
      </c>
      <c r="E1770" s="2" t="s">
        <v>29</v>
      </c>
      <c r="F1770" s="2" t="s">
        <v>17</v>
      </c>
      <c r="G1770">
        <v>63869</v>
      </c>
      <c r="H1770" s="1">
        <v>45360</v>
      </c>
      <c r="I1770">
        <v>8</v>
      </c>
      <c r="J1770">
        <v>1</v>
      </c>
      <c r="K1770">
        <v>6387</v>
      </c>
      <c r="L1770">
        <v>3193</v>
      </c>
      <c r="M1770">
        <v>67063</v>
      </c>
      <c r="N1770">
        <v>3193</v>
      </c>
      <c r="O1770">
        <v>73449</v>
      </c>
    </row>
    <row r="1771" spans="1:15" x14ac:dyDescent="0.35">
      <c r="A1771">
        <v>1770</v>
      </c>
      <c r="B1771" s="2" t="s">
        <v>20</v>
      </c>
      <c r="C1771" s="2" t="s">
        <v>15</v>
      </c>
      <c r="D1771">
        <v>47</v>
      </c>
      <c r="E1771" s="2" t="s">
        <v>24</v>
      </c>
      <c r="F1771" s="2" t="s">
        <v>19</v>
      </c>
      <c r="G1771">
        <v>78746</v>
      </c>
      <c r="H1771" s="1">
        <v>44724</v>
      </c>
      <c r="I1771">
        <v>4</v>
      </c>
      <c r="J1771">
        <v>4</v>
      </c>
      <c r="K1771">
        <v>7875</v>
      </c>
      <c r="L1771">
        <v>3937</v>
      </c>
      <c r="M1771">
        <v>82684</v>
      </c>
      <c r="N1771">
        <v>0</v>
      </c>
      <c r="O1771">
        <v>86621</v>
      </c>
    </row>
    <row r="1772" spans="1:15" x14ac:dyDescent="0.35">
      <c r="A1772">
        <v>1771</v>
      </c>
      <c r="B1772" s="2" t="s">
        <v>27</v>
      </c>
      <c r="C1772" s="2" t="s">
        <v>15</v>
      </c>
      <c r="D1772">
        <v>46</v>
      </c>
      <c r="E1772" s="2" t="s">
        <v>16</v>
      </c>
      <c r="F1772" s="2" t="s">
        <v>13</v>
      </c>
      <c r="G1772">
        <v>54872</v>
      </c>
      <c r="H1772" s="1">
        <v>45543</v>
      </c>
      <c r="I1772">
        <v>6</v>
      </c>
      <c r="J1772">
        <v>3</v>
      </c>
      <c r="K1772">
        <v>5487</v>
      </c>
      <c r="L1772">
        <v>2744</v>
      </c>
      <c r="M1772">
        <v>57615</v>
      </c>
      <c r="N1772">
        <v>2744</v>
      </c>
      <c r="O1772">
        <v>63103</v>
      </c>
    </row>
    <row r="1773" spans="1:15" x14ac:dyDescent="0.35">
      <c r="A1773">
        <v>1772</v>
      </c>
      <c r="B1773" s="2" t="s">
        <v>27</v>
      </c>
      <c r="C1773" s="2" t="s">
        <v>11</v>
      </c>
      <c r="D1773">
        <v>43</v>
      </c>
      <c r="E1773" s="2" t="s">
        <v>28</v>
      </c>
      <c r="F1773" s="2" t="s">
        <v>19</v>
      </c>
      <c r="G1773">
        <v>27740</v>
      </c>
      <c r="H1773" s="1">
        <v>45343</v>
      </c>
      <c r="I1773">
        <v>18</v>
      </c>
      <c r="J1773">
        <v>4</v>
      </c>
      <c r="K1773">
        <v>2774</v>
      </c>
      <c r="L1773">
        <v>1387</v>
      </c>
      <c r="M1773">
        <v>29127</v>
      </c>
      <c r="N1773">
        <v>1387</v>
      </c>
      <c r="O1773">
        <v>31901</v>
      </c>
    </row>
    <row r="1774" spans="1:15" x14ac:dyDescent="0.35">
      <c r="A1774">
        <v>1773</v>
      </c>
      <c r="B1774" s="2" t="s">
        <v>30</v>
      </c>
      <c r="C1774" s="2" t="s">
        <v>11</v>
      </c>
      <c r="D1774">
        <v>39</v>
      </c>
      <c r="E1774" s="2" t="s">
        <v>12</v>
      </c>
      <c r="F1774" s="2" t="s">
        <v>17</v>
      </c>
      <c r="G1774">
        <v>52646</v>
      </c>
      <c r="H1774" s="1">
        <v>44595</v>
      </c>
      <c r="I1774">
        <v>4</v>
      </c>
      <c r="J1774">
        <v>3</v>
      </c>
      <c r="K1774">
        <v>5265</v>
      </c>
      <c r="L1774">
        <v>2632</v>
      </c>
      <c r="M1774">
        <v>55279</v>
      </c>
      <c r="N1774">
        <v>0</v>
      </c>
      <c r="O1774">
        <v>57911</v>
      </c>
    </row>
    <row r="1775" spans="1:15" x14ac:dyDescent="0.35">
      <c r="A1775">
        <v>1774</v>
      </c>
      <c r="B1775" s="2" t="s">
        <v>27</v>
      </c>
      <c r="C1775" s="2" t="s">
        <v>11</v>
      </c>
      <c r="D1775">
        <v>21</v>
      </c>
      <c r="E1775" s="2" t="s">
        <v>12</v>
      </c>
      <c r="F1775" s="2" t="s">
        <v>17</v>
      </c>
      <c r="G1775">
        <v>88699</v>
      </c>
      <c r="H1775" s="1">
        <v>44608</v>
      </c>
      <c r="I1775">
        <v>15</v>
      </c>
      <c r="J1775">
        <v>5</v>
      </c>
      <c r="K1775">
        <v>8870</v>
      </c>
      <c r="L1775">
        <v>4435</v>
      </c>
      <c r="M1775">
        <v>93134</v>
      </c>
      <c r="N1775">
        <v>4435</v>
      </c>
      <c r="O1775">
        <v>102004</v>
      </c>
    </row>
    <row r="1776" spans="1:15" x14ac:dyDescent="0.35">
      <c r="A1776">
        <v>1775</v>
      </c>
      <c r="B1776" s="2" t="s">
        <v>26</v>
      </c>
      <c r="C1776" s="2" t="s">
        <v>15</v>
      </c>
      <c r="D1776">
        <v>51</v>
      </c>
      <c r="E1776" s="2" t="s">
        <v>12</v>
      </c>
      <c r="F1776" s="2" t="s">
        <v>21</v>
      </c>
      <c r="G1776">
        <v>52918</v>
      </c>
      <c r="H1776" s="1">
        <v>44866</v>
      </c>
      <c r="I1776">
        <v>6</v>
      </c>
      <c r="J1776">
        <v>1</v>
      </c>
      <c r="K1776">
        <v>5292</v>
      </c>
      <c r="L1776">
        <v>2646</v>
      </c>
      <c r="M1776">
        <v>55564</v>
      </c>
      <c r="N1776">
        <v>2646</v>
      </c>
      <c r="O1776">
        <v>60856</v>
      </c>
    </row>
    <row r="1777" spans="1:15" x14ac:dyDescent="0.35">
      <c r="A1777">
        <v>1776</v>
      </c>
      <c r="B1777" s="2" t="s">
        <v>18</v>
      </c>
      <c r="C1777" s="2" t="s">
        <v>15</v>
      </c>
      <c r="D1777">
        <v>50</v>
      </c>
      <c r="E1777" s="2" t="s">
        <v>16</v>
      </c>
      <c r="F1777" s="2" t="s">
        <v>13</v>
      </c>
      <c r="G1777">
        <v>75353</v>
      </c>
      <c r="H1777" s="1">
        <v>44570</v>
      </c>
      <c r="I1777">
        <v>6</v>
      </c>
      <c r="J1777">
        <v>2</v>
      </c>
      <c r="K1777">
        <v>7535</v>
      </c>
      <c r="L1777">
        <v>3768</v>
      </c>
      <c r="M1777">
        <v>79120</v>
      </c>
      <c r="N1777">
        <v>3768</v>
      </c>
      <c r="O1777">
        <v>86656</v>
      </c>
    </row>
    <row r="1778" spans="1:15" x14ac:dyDescent="0.35">
      <c r="A1778">
        <v>1777</v>
      </c>
      <c r="B1778" s="2" t="s">
        <v>27</v>
      </c>
      <c r="C1778" s="2" t="s">
        <v>11</v>
      </c>
      <c r="D1778">
        <v>26</v>
      </c>
      <c r="E1778" s="2" t="s">
        <v>24</v>
      </c>
      <c r="F1778" s="2" t="s">
        <v>13</v>
      </c>
      <c r="G1778">
        <v>78093</v>
      </c>
      <c r="H1778" s="1">
        <v>45558</v>
      </c>
      <c r="I1778">
        <v>5</v>
      </c>
      <c r="J1778">
        <v>5</v>
      </c>
      <c r="K1778">
        <v>7809</v>
      </c>
      <c r="L1778">
        <v>3905</v>
      </c>
      <c r="M1778">
        <v>81997</v>
      </c>
      <c r="N1778">
        <v>0</v>
      </c>
      <c r="O1778">
        <v>85902</v>
      </c>
    </row>
    <row r="1779" spans="1:15" x14ac:dyDescent="0.35">
      <c r="A1779">
        <v>1778</v>
      </c>
      <c r="B1779" s="2" t="s">
        <v>27</v>
      </c>
      <c r="C1779" s="2" t="s">
        <v>11</v>
      </c>
      <c r="D1779">
        <v>33</v>
      </c>
      <c r="E1779" s="2" t="s">
        <v>24</v>
      </c>
      <c r="F1779" s="2" t="s">
        <v>19</v>
      </c>
      <c r="G1779">
        <v>29894</v>
      </c>
      <c r="H1779" s="1">
        <v>45333</v>
      </c>
      <c r="I1779">
        <v>3</v>
      </c>
      <c r="J1779">
        <v>4</v>
      </c>
      <c r="K1779">
        <v>2989</v>
      </c>
      <c r="L1779">
        <v>1495</v>
      </c>
      <c r="M1779">
        <v>31388</v>
      </c>
      <c r="N1779">
        <v>0</v>
      </c>
      <c r="O1779">
        <v>32883</v>
      </c>
    </row>
    <row r="1780" spans="1:15" x14ac:dyDescent="0.35">
      <c r="A1780">
        <v>1779</v>
      </c>
      <c r="B1780" s="2" t="s">
        <v>31</v>
      </c>
      <c r="C1780" s="2" t="s">
        <v>11</v>
      </c>
      <c r="D1780">
        <v>55</v>
      </c>
      <c r="E1780" s="2" t="s">
        <v>16</v>
      </c>
      <c r="F1780" s="2" t="s">
        <v>19</v>
      </c>
      <c r="G1780">
        <v>88144</v>
      </c>
      <c r="H1780" s="1">
        <v>44831</v>
      </c>
      <c r="I1780">
        <v>17</v>
      </c>
      <c r="J1780">
        <v>4</v>
      </c>
      <c r="K1780">
        <v>8814</v>
      </c>
      <c r="L1780">
        <v>4407</v>
      </c>
      <c r="M1780">
        <v>92551</v>
      </c>
      <c r="N1780">
        <v>4407</v>
      </c>
      <c r="O1780">
        <v>101365</v>
      </c>
    </row>
    <row r="1781" spans="1:15" x14ac:dyDescent="0.35">
      <c r="A1781">
        <v>1780</v>
      </c>
      <c r="B1781" s="2" t="s">
        <v>20</v>
      </c>
      <c r="C1781" s="2" t="s">
        <v>15</v>
      </c>
      <c r="D1781">
        <v>40</v>
      </c>
      <c r="E1781" s="2" t="s">
        <v>29</v>
      </c>
      <c r="F1781" s="2" t="s">
        <v>25</v>
      </c>
      <c r="G1781">
        <v>56449</v>
      </c>
      <c r="H1781" s="1">
        <v>44734</v>
      </c>
      <c r="I1781">
        <v>7</v>
      </c>
      <c r="J1781">
        <v>2</v>
      </c>
      <c r="K1781">
        <v>5645</v>
      </c>
      <c r="L1781">
        <v>2822</v>
      </c>
      <c r="M1781">
        <v>59272</v>
      </c>
      <c r="N1781">
        <v>2822</v>
      </c>
      <c r="O1781">
        <v>64916</v>
      </c>
    </row>
    <row r="1782" spans="1:15" x14ac:dyDescent="0.35">
      <c r="A1782">
        <v>1781</v>
      </c>
      <c r="B1782" s="2" t="s">
        <v>14</v>
      </c>
      <c r="C1782" s="2" t="s">
        <v>15</v>
      </c>
      <c r="D1782">
        <v>36</v>
      </c>
      <c r="E1782" s="2" t="s">
        <v>12</v>
      </c>
      <c r="F1782" s="2" t="s">
        <v>13</v>
      </c>
      <c r="G1782">
        <v>78605</v>
      </c>
      <c r="H1782" s="1">
        <v>44784</v>
      </c>
      <c r="I1782">
        <v>4</v>
      </c>
      <c r="J1782">
        <v>4</v>
      </c>
      <c r="K1782">
        <v>7860</v>
      </c>
      <c r="L1782">
        <v>3930</v>
      </c>
      <c r="M1782">
        <v>82535</v>
      </c>
      <c r="N1782">
        <v>0</v>
      </c>
      <c r="O1782">
        <v>86465</v>
      </c>
    </row>
    <row r="1783" spans="1:15" x14ac:dyDescent="0.35">
      <c r="A1783">
        <v>1782</v>
      </c>
      <c r="B1783" s="2" t="s">
        <v>31</v>
      </c>
      <c r="C1783" s="2" t="s">
        <v>11</v>
      </c>
      <c r="D1783">
        <v>53</v>
      </c>
      <c r="E1783" s="2" t="s">
        <v>24</v>
      </c>
      <c r="F1783" s="2" t="s">
        <v>25</v>
      </c>
      <c r="G1783">
        <v>77043</v>
      </c>
      <c r="H1783" s="1">
        <v>44620</v>
      </c>
      <c r="I1783">
        <v>13</v>
      </c>
      <c r="J1783">
        <v>1</v>
      </c>
      <c r="K1783">
        <v>7704</v>
      </c>
      <c r="L1783">
        <v>3852</v>
      </c>
      <c r="M1783">
        <v>80895</v>
      </c>
      <c r="N1783">
        <v>3852</v>
      </c>
      <c r="O1783">
        <v>88599</v>
      </c>
    </row>
    <row r="1784" spans="1:15" x14ac:dyDescent="0.35">
      <c r="A1784">
        <v>1783</v>
      </c>
      <c r="B1784" s="2" t="s">
        <v>20</v>
      </c>
      <c r="C1784" s="2" t="s">
        <v>11</v>
      </c>
      <c r="D1784">
        <v>21</v>
      </c>
      <c r="E1784" s="2" t="s">
        <v>29</v>
      </c>
      <c r="F1784" s="2" t="s">
        <v>17</v>
      </c>
      <c r="G1784">
        <v>64598</v>
      </c>
      <c r="H1784" s="1">
        <v>44599</v>
      </c>
      <c r="I1784">
        <v>2</v>
      </c>
      <c r="J1784">
        <v>5</v>
      </c>
      <c r="K1784">
        <v>6460</v>
      </c>
      <c r="L1784">
        <v>3230</v>
      </c>
      <c r="M1784">
        <v>67828</v>
      </c>
      <c r="N1784">
        <v>0</v>
      </c>
      <c r="O1784">
        <v>71058</v>
      </c>
    </row>
    <row r="1785" spans="1:15" x14ac:dyDescent="0.35">
      <c r="A1785">
        <v>1784</v>
      </c>
      <c r="B1785" s="2" t="s">
        <v>26</v>
      </c>
      <c r="C1785" s="2" t="s">
        <v>15</v>
      </c>
      <c r="D1785">
        <v>39</v>
      </c>
      <c r="E1785" s="2" t="s">
        <v>29</v>
      </c>
      <c r="F1785" s="2" t="s">
        <v>13</v>
      </c>
      <c r="G1785">
        <v>66554</v>
      </c>
      <c r="H1785" s="1">
        <v>45148</v>
      </c>
      <c r="I1785">
        <v>11</v>
      </c>
      <c r="J1785">
        <v>3</v>
      </c>
      <c r="K1785">
        <v>6655</v>
      </c>
      <c r="L1785">
        <v>3328</v>
      </c>
      <c r="M1785">
        <v>69881</v>
      </c>
      <c r="N1785">
        <v>3328</v>
      </c>
      <c r="O1785">
        <v>76537</v>
      </c>
    </row>
    <row r="1786" spans="1:15" x14ac:dyDescent="0.35">
      <c r="A1786">
        <v>1785</v>
      </c>
      <c r="B1786" s="2" t="s">
        <v>18</v>
      </c>
      <c r="C1786" s="2" t="s">
        <v>15</v>
      </c>
      <c r="D1786">
        <v>53</v>
      </c>
      <c r="E1786" s="2" t="s">
        <v>24</v>
      </c>
      <c r="F1786" s="2" t="s">
        <v>25</v>
      </c>
      <c r="G1786">
        <v>80895</v>
      </c>
      <c r="H1786" s="1">
        <v>45507</v>
      </c>
      <c r="I1786">
        <v>19</v>
      </c>
      <c r="J1786">
        <v>1</v>
      </c>
      <c r="K1786">
        <v>8090</v>
      </c>
      <c r="L1786">
        <v>4045</v>
      </c>
      <c r="M1786">
        <v>84940</v>
      </c>
      <c r="N1786">
        <v>4045</v>
      </c>
      <c r="O1786">
        <v>93030</v>
      </c>
    </row>
    <row r="1787" spans="1:15" x14ac:dyDescent="0.35">
      <c r="A1787">
        <v>1786</v>
      </c>
      <c r="B1787" s="2" t="s">
        <v>27</v>
      </c>
      <c r="C1787" s="2" t="s">
        <v>11</v>
      </c>
      <c r="D1787">
        <v>48</v>
      </c>
      <c r="E1787" s="2" t="s">
        <v>12</v>
      </c>
      <c r="F1787" s="2" t="s">
        <v>21</v>
      </c>
      <c r="G1787">
        <v>79069</v>
      </c>
      <c r="H1787" s="1">
        <v>45223</v>
      </c>
      <c r="I1787">
        <v>12</v>
      </c>
      <c r="J1787">
        <v>3</v>
      </c>
      <c r="K1787">
        <v>7907</v>
      </c>
      <c r="L1787">
        <v>3953</v>
      </c>
      <c r="M1787">
        <v>83023</v>
      </c>
      <c r="N1787">
        <v>3953</v>
      </c>
      <c r="O1787">
        <v>90929</v>
      </c>
    </row>
    <row r="1788" spans="1:15" x14ac:dyDescent="0.35">
      <c r="A1788">
        <v>1787</v>
      </c>
      <c r="B1788" s="2" t="s">
        <v>10</v>
      </c>
      <c r="C1788" s="2" t="s">
        <v>11</v>
      </c>
      <c r="D1788">
        <v>36</v>
      </c>
      <c r="E1788" s="2" t="s">
        <v>28</v>
      </c>
      <c r="F1788" s="2" t="s">
        <v>17</v>
      </c>
      <c r="G1788">
        <v>79793</v>
      </c>
      <c r="H1788" s="1">
        <v>44752</v>
      </c>
      <c r="I1788">
        <v>1</v>
      </c>
      <c r="J1788">
        <v>5</v>
      </c>
      <c r="K1788">
        <v>7979</v>
      </c>
      <c r="L1788">
        <v>3990</v>
      </c>
      <c r="M1788">
        <v>83782</v>
      </c>
      <c r="N1788">
        <v>0</v>
      </c>
      <c r="O1788">
        <v>87772</v>
      </c>
    </row>
    <row r="1789" spans="1:15" x14ac:dyDescent="0.35">
      <c r="A1789">
        <v>1788</v>
      </c>
      <c r="B1789" s="2" t="s">
        <v>27</v>
      </c>
      <c r="C1789" s="2" t="s">
        <v>11</v>
      </c>
      <c r="D1789">
        <v>30</v>
      </c>
      <c r="E1789" s="2" t="s">
        <v>29</v>
      </c>
      <c r="F1789" s="2" t="s">
        <v>13</v>
      </c>
      <c r="G1789">
        <v>93033</v>
      </c>
      <c r="H1789" s="1">
        <v>44905</v>
      </c>
      <c r="I1789">
        <v>3</v>
      </c>
      <c r="J1789">
        <v>5</v>
      </c>
      <c r="K1789">
        <v>9303</v>
      </c>
      <c r="L1789">
        <v>4652</v>
      </c>
      <c r="M1789">
        <v>97684</v>
      </c>
      <c r="N1789">
        <v>0</v>
      </c>
      <c r="O1789">
        <v>102336</v>
      </c>
    </row>
    <row r="1790" spans="1:15" x14ac:dyDescent="0.35">
      <c r="A1790">
        <v>1789</v>
      </c>
      <c r="B1790" s="2" t="s">
        <v>23</v>
      </c>
      <c r="C1790" s="2" t="s">
        <v>15</v>
      </c>
      <c r="D1790">
        <v>38</v>
      </c>
      <c r="E1790" s="2" t="s">
        <v>12</v>
      </c>
      <c r="F1790" s="2" t="s">
        <v>21</v>
      </c>
      <c r="G1790">
        <v>65084</v>
      </c>
      <c r="H1790" s="1">
        <v>45317</v>
      </c>
      <c r="I1790">
        <v>4</v>
      </c>
      <c r="J1790">
        <v>4</v>
      </c>
      <c r="K1790">
        <v>6508</v>
      </c>
      <c r="L1790">
        <v>3254</v>
      </c>
      <c r="M1790">
        <v>68338</v>
      </c>
      <c r="N1790">
        <v>0</v>
      </c>
      <c r="O1790">
        <v>71592</v>
      </c>
    </row>
    <row r="1791" spans="1:15" x14ac:dyDescent="0.35">
      <c r="A1791">
        <v>1790</v>
      </c>
      <c r="B1791" s="2" t="s">
        <v>18</v>
      </c>
      <c r="C1791" s="2" t="s">
        <v>11</v>
      </c>
      <c r="D1791">
        <v>36</v>
      </c>
      <c r="E1791" s="2" t="s">
        <v>24</v>
      </c>
      <c r="F1791" s="2" t="s">
        <v>25</v>
      </c>
      <c r="G1791">
        <v>50756</v>
      </c>
      <c r="H1791" s="1">
        <v>45181</v>
      </c>
      <c r="I1791">
        <v>7</v>
      </c>
      <c r="J1791">
        <v>4</v>
      </c>
      <c r="K1791">
        <v>5076</v>
      </c>
      <c r="L1791">
        <v>2538</v>
      </c>
      <c r="M1791">
        <v>53294</v>
      </c>
      <c r="N1791">
        <v>2538</v>
      </c>
      <c r="O1791">
        <v>58370</v>
      </c>
    </row>
    <row r="1792" spans="1:15" x14ac:dyDescent="0.35">
      <c r="A1792">
        <v>1791</v>
      </c>
      <c r="B1792" s="2" t="s">
        <v>20</v>
      </c>
      <c r="C1792" s="2" t="s">
        <v>15</v>
      </c>
      <c r="D1792">
        <v>57</v>
      </c>
      <c r="E1792" s="2" t="s">
        <v>24</v>
      </c>
      <c r="F1792" s="2" t="s">
        <v>19</v>
      </c>
      <c r="G1792">
        <v>74955</v>
      </c>
      <c r="H1792" s="1">
        <v>44752</v>
      </c>
      <c r="I1792">
        <v>17</v>
      </c>
      <c r="J1792">
        <v>3</v>
      </c>
      <c r="K1792">
        <v>7496</v>
      </c>
      <c r="L1792">
        <v>3748</v>
      </c>
      <c r="M1792">
        <v>78703</v>
      </c>
      <c r="N1792">
        <v>3748</v>
      </c>
      <c r="O1792">
        <v>86199</v>
      </c>
    </row>
    <row r="1793" spans="1:15" x14ac:dyDescent="0.35">
      <c r="A1793">
        <v>1792</v>
      </c>
      <c r="B1793" s="2" t="s">
        <v>20</v>
      </c>
      <c r="C1793" s="2" t="s">
        <v>15</v>
      </c>
      <c r="D1793">
        <v>49</v>
      </c>
      <c r="E1793" s="2" t="s">
        <v>24</v>
      </c>
      <c r="F1793" s="2" t="s">
        <v>13</v>
      </c>
      <c r="G1793">
        <v>29755</v>
      </c>
      <c r="H1793" s="1">
        <v>45429</v>
      </c>
      <c r="I1793">
        <v>18</v>
      </c>
      <c r="J1793">
        <v>4</v>
      </c>
      <c r="K1793">
        <v>2976</v>
      </c>
      <c r="L1793">
        <v>1488</v>
      </c>
      <c r="M1793">
        <v>31243</v>
      </c>
      <c r="N1793">
        <v>1488</v>
      </c>
      <c r="O1793">
        <v>34219</v>
      </c>
    </row>
    <row r="1794" spans="1:15" x14ac:dyDescent="0.35">
      <c r="A1794">
        <v>1793</v>
      </c>
      <c r="B1794" s="2" t="s">
        <v>18</v>
      </c>
      <c r="C1794" s="2" t="s">
        <v>15</v>
      </c>
      <c r="D1794">
        <v>56</v>
      </c>
      <c r="E1794" s="2" t="s">
        <v>24</v>
      </c>
      <c r="F1794" s="2" t="s">
        <v>17</v>
      </c>
      <c r="G1794">
        <v>60618</v>
      </c>
      <c r="H1794" s="1">
        <v>44852</v>
      </c>
      <c r="I1794">
        <v>3</v>
      </c>
      <c r="J1794">
        <v>3</v>
      </c>
      <c r="K1794">
        <v>6062</v>
      </c>
      <c r="L1794">
        <v>3031</v>
      </c>
      <c r="M1794">
        <v>63649</v>
      </c>
      <c r="N1794">
        <v>0</v>
      </c>
      <c r="O1794">
        <v>66680</v>
      </c>
    </row>
    <row r="1795" spans="1:15" x14ac:dyDescent="0.35">
      <c r="A1795">
        <v>1794</v>
      </c>
      <c r="B1795" s="2" t="s">
        <v>20</v>
      </c>
      <c r="C1795" s="2" t="s">
        <v>15</v>
      </c>
      <c r="D1795">
        <v>44</v>
      </c>
      <c r="E1795" s="2" t="s">
        <v>28</v>
      </c>
      <c r="F1795" s="2" t="s">
        <v>21</v>
      </c>
      <c r="G1795">
        <v>62283</v>
      </c>
      <c r="H1795" s="1">
        <v>45327</v>
      </c>
      <c r="I1795">
        <v>5</v>
      </c>
      <c r="J1795">
        <v>5</v>
      </c>
      <c r="K1795">
        <v>6228</v>
      </c>
      <c r="L1795">
        <v>3114</v>
      </c>
      <c r="M1795">
        <v>65397</v>
      </c>
      <c r="N1795">
        <v>0</v>
      </c>
      <c r="O1795">
        <v>68511</v>
      </c>
    </row>
    <row r="1796" spans="1:15" x14ac:dyDescent="0.35">
      <c r="A1796">
        <v>1795</v>
      </c>
      <c r="B1796" s="2" t="s">
        <v>23</v>
      </c>
      <c r="C1796" s="2" t="s">
        <v>11</v>
      </c>
      <c r="D1796">
        <v>54</v>
      </c>
      <c r="E1796" s="2" t="s">
        <v>12</v>
      </c>
      <c r="F1796" s="2" t="s">
        <v>19</v>
      </c>
      <c r="G1796">
        <v>50752</v>
      </c>
      <c r="H1796" s="1">
        <v>45223</v>
      </c>
      <c r="I1796">
        <v>14</v>
      </c>
      <c r="J1796">
        <v>3</v>
      </c>
      <c r="K1796">
        <v>5075</v>
      </c>
      <c r="L1796">
        <v>2538</v>
      </c>
      <c r="M1796">
        <v>53289</v>
      </c>
      <c r="N1796">
        <v>2538</v>
      </c>
      <c r="O1796">
        <v>58365</v>
      </c>
    </row>
    <row r="1797" spans="1:15" x14ac:dyDescent="0.35">
      <c r="A1797">
        <v>1796</v>
      </c>
      <c r="B1797" s="2" t="s">
        <v>14</v>
      </c>
      <c r="C1797" s="2" t="s">
        <v>15</v>
      </c>
      <c r="D1797">
        <v>23</v>
      </c>
      <c r="E1797" s="2" t="s">
        <v>29</v>
      </c>
      <c r="F1797" s="2" t="s">
        <v>17</v>
      </c>
      <c r="G1797">
        <v>95356</v>
      </c>
      <c r="H1797" s="1">
        <v>44832</v>
      </c>
      <c r="I1797">
        <v>14</v>
      </c>
      <c r="J1797">
        <v>3</v>
      </c>
      <c r="K1797">
        <v>9536</v>
      </c>
      <c r="L1797">
        <v>4768</v>
      </c>
      <c r="M1797">
        <v>100124</v>
      </c>
      <c r="N1797">
        <v>4768</v>
      </c>
      <c r="O1797">
        <v>109660</v>
      </c>
    </row>
    <row r="1798" spans="1:15" x14ac:dyDescent="0.35">
      <c r="A1798">
        <v>1797</v>
      </c>
      <c r="B1798" s="2" t="s">
        <v>31</v>
      </c>
      <c r="C1798" s="2" t="s">
        <v>15</v>
      </c>
      <c r="D1798">
        <v>33</v>
      </c>
      <c r="E1798" s="2" t="s">
        <v>24</v>
      </c>
      <c r="F1798" s="2" t="s">
        <v>21</v>
      </c>
      <c r="G1798">
        <v>90958</v>
      </c>
      <c r="H1798" s="1">
        <v>44583</v>
      </c>
      <c r="I1798">
        <v>18</v>
      </c>
      <c r="J1798">
        <v>3</v>
      </c>
      <c r="K1798">
        <v>9096</v>
      </c>
      <c r="L1798">
        <v>4548</v>
      </c>
      <c r="M1798">
        <v>95506</v>
      </c>
      <c r="N1798">
        <v>4548</v>
      </c>
      <c r="O1798">
        <v>104602</v>
      </c>
    </row>
    <row r="1799" spans="1:15" x14ac:dyDescent="0.35">
      <c r="A1799">
        <v>1798</v>
      </c>
      <c r="B1799" s="2" t="s">
        <v>30</v>
      </c>
      <c r="C1799" s="2" t="s">
        <v>11</v>
      </c>
      <c r="D1799">
        <v>41</v>
      </c>
      <c r="E1799" s="2" t="s">
        <v>24</v>
      </c>
      <c r="F1799" s="2" t="s">
        <v>13</v>
      </c>
      <c r="G1799">
        <v>92108</v>
      </c>
      <c r="H1799" s="1">
        <v>45386</v>
      </c>
      <c r="I1799">
        <v>2</v>
      </c>
      <c r="J1799">
        <v>5</v>
      </c>
      <c r="K1799">
        <v>9211</v>
      </c>
      <c r="L1799">
        <v>4605</v>
      </c>
      <c r="M1799">
        <v>96714</v>
      </c>
      <c r="N1799">
        <v>0</v>
      </c>
      <c r="O1799">
        <v>101319</v>
      </c>
    </row>
    <row r="1800" spans="1:15" x14ac:dyDescent="0.35">
      <c r="A1800">
        <v>1799</v>
      </c>
      <c r="B1800" s="2" t="s">
        <v>30</v>
      </c>
      <c r="C1800" s="2" t="s">
        <v>11</v>
      </c>
      <c r="D1800">
        <v>47</v>
      </c>
      <c r="E1800" s="2" t="s">
        <v>28</v>
      </c>
      <c r="F1800" s="2" t="s">
        <v>13</v>
      </c>
      <c r="G1800">
        <v>97481</v>
      </c>
      <c r="H1800" s="1">
        <v>45479</v>
      </c>
      <c r="I1800">
        <v>17</v>
      </c>
      <c r="J1800">
        <v>3</v>
      </c>
      <c r="K1800">
        <v>9748</v>
      </c>
      <c r="L1800">
        <v>4874</v>
      </c>
      <c r="M1800">
        <v>102355</v>
      </c>
      <c r="N1800">
        <v>4874</v>
      </c>
      <c r="O1800">
        <v>112103</v>
      </c>
    </row>
    <row r="1801" spans="1:15" x14ac:dyDescent="0.35">
      <c r="A1801">
        <v>1800</v>
      </c>
      <c r="B1801" s="2" t="s">
        <v>23</v>
      </c>
      <c r="C1801" s="2" t="s">
        <v>15</v>
      </c>
      <c r="D1801">
        <v>38</v>
      </c>
      <c r="E1801" s="2" t="s">
        <v>16</v>
      </c>
      <c r="F1801" s="2" t="s">
        <v>25</v>
      </c>
      <c r="G1801">
        <v>83549</v>
      </c>
      <c r="H1801" s="1">
        <v>44868</v>
      </c>
      <c r="I1801">
        <v>18</v>
      </c>
      <c r="J1801">
        <v>5</v>
      </c>
      <c r="K1801">
        <v>8355</v>
      </c>
      <c r="L1801">
        <v>4177</v>
      </c>
      <c r="M1801">
        <v>87727</v>
      </c>
      <c r="N1801">
        <v>4177</v>
      </c>
      <c r="O1801">
        <v>96081</v>
      </c>
    </row>
    <row r="1802" spans="1:15" x14ac:dyDescent="0.35">
      <c r="A1802">
        <v>1801</v>
      </c>
      <c r="B1802" s="2" t="s">
        <v>10</v>
      </c>
      <c r="C1802" s="2" t="s">
        <v>11</v>
      </c>
      <c r="D1802">
        <v>43</v>
      </c>
      <c r="E1802" s="2" t="s">
        <v>16</v>
      </c>
      <c r="F1802" s="2" t="s">
        <v>17</v>
      </c>
      <c r="G1802">
        <v>93018</v>
      </c>
      <c r="H1802" s="1">
        <v>44599</v>
      </c>
      <c r="I1802">
        <v>9</v>
      </c>
      <c r="J1802">
        <v>1</v>
      </c>
      <c r="K1802">
        <v>9302</v>
      </c>
      <c r="L1802">
        <v>4651</v>
      </c>
      <c r="M1802">
        <v>97669</v>
      </c>
      <c r="N1802">
        <v>4651</v>
      </c>
      <c r="O1802">
        <v>106971</v>
      </c>
    </row>
    <row r="1803" spans="1:15" x14ac:dyDescent="0.35">
      <c r="A1803">
        <v>1802</v>
      </c>
      <c r="B1803" s="2" t="s">
        <v>14</v>
      </c>
      <c r="C1803" s="2" t="s">
        <v>15</v>
      </c>
      <c r="D1803">
        <v>44</v>
      </c>
      <c r="E1803" s="2" t="s">
        <v>12</v>
      </c>
      <c r="F1803" s="2" t="s">
        <v>13</v>
      </c>
      <c r="G1803">
        <v>27717</v>
      </c>
      <c r="H1803" s="1">
        <v>45363</v>
      </c>
      <c r="I1803">
        <v>20</v>
      </c>
      <c r="J1803">
        <v>1</v>
      </c>
      <c r="K1803">
        <v>2772</v>
      </c>
      <c r="L1803">
        <v>1386</v>
      </c>
      <c r="M1803">
        <v>29103</v>
      </c>
      <c r="N1803">
        <v>1386</v>
      </c>
      <c r="O1803">
        <v>31875</v>
      </c>
    </row>
    <row r="1804" spans="1:15" x14ac:dyDescent="0.35">
      <c r="A1804">
        <v>1803</v>
      </c>
      <c r="B1804" s="2" t="s">
        <v>23</v>
      </c>
      <c r="C1804" s="2" t="s">
        <v>11</v>
      </c>
      <c r="D1804">
        <v>22</v>
      </c>
      <c r="E1804" s="2" t="s">
        <v>24</v>
      </c>
      <c r="F1804" s="2" t="s">
        <v>21</v>
      </c>
      <c r="G1804">
        <v>62821</v>
      </c>
      <c r="H1804" s="1">
        <v>44576</v>
      </c>
      <c r="I1804">
        <v>7</v>
      </c>
      <c r="J1804">
        <v>1</v>
      </c>
      <c r="K1804">
        <v>6282</v>
      </c>
      <c r="L1804">
        <v>3141</v>
      </c>
      <c r="M1804">
        <v>65962</v>
      </c>
      <c r="N1804">
        <v>3141</v>
      </c>
      <c r="O1804">
        <v>72244</v>
      </c>
    </row>
    <row r="1805" spans="1:15" x14ac:dyDescent="0.35">
      <c r="A1805">
        <v>1804</v>
      </c>
      <c r="B1805" s="2" t="s">
        <v>10</v>
      </c>
      <c r="C1805" s="2" t="s">
        <v>15</v>
      </c>
      <c r="D1805">
        <v>55</v>
      </c>
      <c r="E1805" s="2" t="s">
        <v>24</v>
      </c>
      <c r="F1805" s="2" t="s">
        <v>25</v>
      </c>
      <c r="G1805">
        <v>77427</v>
      </c>
      <c r="H1805" s="1">
        <v>44787</v>
      </c>
      <c r="I1805">
        <v>6</v>
      </c>
      <c r="J1805">
        <v>4</v>
      </c>
      <c r="K1805">
        <v>7743</v>
      </c>
      <c r="L1805">
        <v>3871</v>
      </c>
      <c r="M1805">
        <v>81299</v>
      </c>
      <c r="N1805">
        <v>3871</v>
      </c>
      <c r="O1805">
        <v>89041</v>
      </c>
    </row>
    <row r="1806" spans="1:15" x14ac:dyDescent="0.35">
      <c r="A1806">
        <v>1805</v>
      </c>
      <c r="B1806" s="2" t="s">
        <v>26</v>
      </c>
      <c r="C1806" s="2" t="s">
        <v>11</v>
      </c>
      <c r="D1806">
        <v>24</v>
      </c>
      <c r="E1806" s="2" t="s">
        <v>12</v>
      </c>
      <c r="F1806" s="2" t="s">
        <v>19</v>
      </c>
      <c r="G1806">
        <v>77046</v>
      </c>
      <c r="H1806" s="1">
        <v>45548</v>
      </c>
      <c r="I1806">
        <v>2</v>
      </c>
      <c r="J1806">
        <v>3</v>
      </c>
      <c r="K1806">
        <v>7705</v>
      </c>
      <c r="L1806">
        <v>3852</v>
      </c>
      <c r="M1806">
        <v>80899</v>
      </c>
      <c r="N1806">
        <v>0</v>
      </c>
      <c r="O1806">
        <v>84751</v>
      </c>
    </row>
    <row r="1807" spans="1:15" x14ac:dyDescent="0.35">
      <c r="A1807">
        <v>1806</v>
      </c>
      <c r="B1807" s="2" t="s">
        <v>23</v>
      </c>
      <c r="C1807" s="2" t="s">
        <v>15</v>
      </c>
      <c r="D1807">
        <v>22</v>
      </c>
      <c r="E1807" s="2" t="s">
        <v>29</v>
      </c>
      <c r="F1807" s="2" t="s">
        <v>17</v>
      </c>
      <c r="G1807">
        <v>25332</v>
      </c>
      <c r="H1807" s="1">
        <v>44700</v>
      </c>
      <c r="I1807">
        <v>12</v>
      </c>
      <c r="J1807">
        <v>1</v>
      </c>
      <c r="K1807">
        <v>2533</v>
      </c>
      <c r="L1807">
        <v>1267</v>
      </c>
      <c r="M1807">
        <v>26598</v>
      </c>
      <c r="N1807">
        <v>1267</v>
      </c>
      <c r="O1807">
        <v>29132</v>
      </c>
    </row>
    <row r="1808" spans="1:15" x14ac:dyDescent="0.35">
      <c r="A1808">
        <v>1807</v>
      </c>
      <c r="B1808" s="2" t="s">
        <v>26</v>
      </c>
      <c r="C1808" s="2" t="s">
        <v>15</v>
      </c>
      <c r="D1808">
        <v>49</v>
      </c>
      <c r="E1808" s="2" t="s">
        <v>29</v>
      </c>
      <c r="F1808" s="2" t="s">
        <v>21</v>
      </c>
      <c r="G1808">
        <v>51533</v>
      </c>
      <c r="H1808" s="1">
        <v>45143</v>
      </c>
      <c r="I1808">
        <v>10</v>
      </c>
      <c r="J1808">
        <v>5</v>
      </c>
      <c r="K1808">
        <v>5153</v>
      </c>
      <c r="L1808">
        <v>2577</v>
      </c>
      <c r="M1808">
        <v>54109</v>
      </c>
      <c r="N1808">
        <v>2577</v>
      </c>
      <c r="O1808">
        <v>59263</v>
      </c>
    </row>
    <row r="1809" spans="1:15" x14ac:dyDescent="0.35">
      <c r="A1809">
        <v>1808</v>
      </c>
      <c r="B1809" s="2" t="s">
        <v>22</v>
      </c>
      <c r="C1809" s="2" t="s">
        <v>15</v>
      </c>
      <c r="D1809">
        <v>29</v>
      </c>
      <c r="E1809" s="2" t="s">
        <v>28</v>
      </c>
      <c r="F1809" s="2" t="s">
        <v>19</v>
      </c>
      <c r="G1809">
        <v>70059</v>
      </c>
      <c r="H1809" s="1">
        <v>45303</v>
      </c>
      <c r="I1809">
        <v>12</v>
      </c>
      <c r="J1809">
        <v>1</v>
      </c>
      <c r="K1809">
        <v>7006</v>
      </c>
      <c r="L1809">
        <v>3503</v>
      </c>
      <c r="M1809">
        <v>73562</v>
      </c>
      <c r="N1809">
        <v>3503</v>
      </c>
      <c r="O1809">
        <v>80568</v>
      </c>
    </row>
    <row r="1810" spans="1:15" x14ac:dyDescent="0.35">
      <c r="A1810">
        <v>1809</v>
      </c>
      <c r="B1810" s="2" t="s">
        <v>18</v>
      </c>
      <c r="C1810" s="2" t="s">
        <v>15</v>
      </c>
      <c r="D1810">
        <v>37</v>
      </c>
      <c r="E1810" s="2" t="s">
        <v>24</v>
      </c>
      <c r="F1810" s="2" t="s">
        <v>19</v>
      </c>
      <c r="G1810">
        <v>94660</v>
      </c>
      <c r="H1810" s="1">
        <v>45459</v>
      </c>
      <c r="I1810">
        <v>15</v>
      </c>
      <c r="J1810">
        <v>4</v>
      </c>
      <c r="K1810">
        <v>9466</v>
      </c>
      <c r="L1810">
        <v>4733</v>
      </c>
      <c r="M1810">
        <v>99393</v>
      </c>
      <c r="N1810">
        <v>4733</v>
      </c>
      <c r="O1810">
        <v>108859</v>
      </c>
    </row>
    <row r="1811" spans="1:15" x14ac:dyDescent="0.35">
      <c r="A1811">
        <v>1810</v>
      </c>
      <c r="B1811" s="2" t="s">
        <v>22</v>
      </c>
      <c r="C1811" s="2" t="s">
        <v>15</v>
      </c>
      <c r="D1811">
        <v>58</v>
      </c>
      <c r="E1811" s="2" t="s">
        <v>24</v>
      </c>
      <c r="F1811" s="2" t="s">
        <v>25</v>
      </c>
      <c r="G1811">
        <v>50969</v>
      </c>
      <c r="H1811" s="1">
        <v>45216</v>
      </c>
      <c r="I1811">
        <v>8</v>
      </c>
      <c r="J1811">
        <v>3</v>
      </c>
      <c r="K1811">
        <v>5097</v>
      </c>
      <c r="L1811">
        <v>2548</v>
      </c>
      <c r="M1811">
        <v>53518</v>
      </c>
      <c r="N1811">
        <v>2548</v>
      </c>
      <c r="O1811">
        <v>58614</v>
      </c>
    </row>
    <row r="1812" spans="1:15" x14ac:dyDescent="0.35">
      <c r="A1812">
        <v>1811</v>
      </c>
      <c r="B1812" s="2" t="s">
        <v>30</v>
      </c>
      <c r="C1812" s="2" t="s">
        <v>15</v>
      </c>
      <c r="D1812">
        <v>47</v>
      </c>
      <c r="E1812" s="2" t="s">
        <v>28</v>
      </c>
      <c r="F1812" s="2" t="s">
        <v>25</v>
      </c>
      <c r="G1812">
        <v>79047</v>
      </c>
      <c r="H1812" s="1">
        <v>45478</v>
      </c>
      <c r="I1812">
        <v>5</v>
      </c>
      <c r="J1812">
        <v>2</v>
      </c>
      <c r="K1812">
        <v>7905</v>
      </c>
      <c r="L1812">
        <v>3952</v>
      </c>
      <c r="M1812">
        <v>83000</v>
      </c>
      <c r="N1812">
        <v>0</v>
      </c>
      <c r="O1812">
        <v>86952</v>
      </c>
    </row>
    <row r="1813" spans="1:15" x14ac:dyDescent="0.35">
      <c r="A1813">
        <v>1812</v>
      </c>
      <c r="B1813" s="2" t="s">
        <v>31</v>
      </c>
      <c r="C1813" s="2" t="s">
        <v>11</v>
      </c>
      <c r="D1813">
        <v>56</v>
      </c>
      <c r="E1813" s="2" t="s">
        <v>16</v>
      </c>
      <c r="F1813" s="2" t="s">
        <v>25</v>
      </c>
      <c r="G1813">
        <v>75787</v>
      </c>
      <c r="H1813" s="1">
        <v>45043</v>
      </c>
      <c r="I1813">
        <v>9</v>
      </c>
      <c r="J1813">
        <v>2</v>
      </c>
      <c r="K1813">
        <v>7579</v>
      </c>
      <c r="L1813">
        <v>3789</v>
      </c>
      <c r="M1813">
        <v>79577</v>
      </c>
      <c r="N1813">
        <v>3789</v>
      </c>
      <c r="O1813">
        <v>87155</v>
      </c>
    </row>
    <row r="1814" spans="1:15" x14ac:dyDescent="0.35">
      <c r="A1814">
        <v>1813</v>
      </c>
      <c r="B1814" s="2" t="s">
        <v>20</v>
      </c>
      <c r="C1814" s="2" t="s">
        <v>15</v>
      </c>
      <c r="D1814">
        <v>21</v>
      </c>
      <c r="E1814" s="2" t="s">
        <v>28</v>
      </c>
      <c r="F1814" s="2" t="s">
        <v>17</v>
      </c>
      <c r="G1814">
        <v>35967</v>
      </c>
      <c r="H1814" s="1">
        <v>45524</v>
      </c>
      <c r="I1814">
        <v>12</v>
      </c>
      <c r="J1814">
        <v>3</v>
      </c>
      <c r="K1814">
        <v>3597</v>
      </c>
      <c r="L1814">
        <v>1798</v>
      </c>
      <c r="M1814">
        <v>37766</v>
      </c>
      <c r="N1814">
        <v>1798</v>
      </c>
      <c r="O1814">
        <v>41362</v>
      </c>
    </row>
    <row r="1815" spans="1:15" x14ac:dyDescent="0.35">
      <c r="A1815">
        <v>1814</v>
      </c>
      <c r="B1815" s="2" t="s">
        <v>26</v>
      </c>
      <c r="C1815" s="2" t="s">
        <v>15</v>
      </c>
      <c r="D1815">
        <v>57</v>
      </c>
      <c r="E1815" s="2" t="s">
        <v>28</v>
      </c>
      <c r="F1815" s="2" t="s">
        <v>21</v>
      </c>
      <c r="G1815">
        <v>27161</v>
      </c>
      <c r="H1815" s="1">
        <v>44932</v>
      </c>
      <c r="I1815">
        <v>10</v>
      </c>
      <c r="J1815">
        <v>1</v>
      </c>
      <c r="K1815">
        <v>2716</v>
      </c>
      <c r="L1815">
        <v>1358</v>
      </c>
      <c r="M1815">
        <v>28519</v>
      </c>
      <c r="N1815">
        <v>1358</v>
      </c>
      <c r="O1815">
        <v>31235</v>
      </c>
    </row>
    <row r="1816" spans="1:15" x14ac:dyDescent="0.35">
      <c r="A1816">
        <v>1815</v>
      </c>
      <c r="B1816" s="2" t="s">
        <v>10</v>
      </c>
      <c r="C1816" s="2" t="s">
        <v>15</v>
      </c>
      <c r="D1816">
        <v>28</v>
      </c>
      <c r="E1816" s="2" t="s">
        <v>16</v>
      </c>
      <c r="F1816" s="2" t="s">
        <v>25</v>
      </c>
      <c r="G1816">
        <v>78124</v>
      </c>
      <c r="H1816" s="1">
        <v>44693</v>
      </c>
      <c r="I1816">
        <v>3</v>
      </c>
      <c r="J1816">
        <v>2</v>
      </c>
      <c r="K1816">
        <v>7812</v>
      </c>
      <c r="L1816">
        <v>3906</v>
      </c>
      <c r="M1816">
        <v>82030</v>
      </c>
      <c r="N1816">
        <v>0</v>
      </c>
      <c r="O1816">
        <v>85936</v>
      </c>
    </row>
    <row r="1817" spans="1:15" x14ac:dyDescent="0.35">
      <c r="A1817">
        <v>1816</v>
      </c>
      <c r="B1817" s="2" t="s">
        <v>26</v>
      </c>
      <c r="C1817" s="2" t="s">
        <v>15</v>
      </c>
      <c r="D1817">
        <v>52</v>
      </c>
      <c r="E1817" s="2" t="s">
        <v>28</v>
      </c>
      <c r="F1817" s="2" t="s">
        <v>17</v>
      </c>
      <c r="G1817">
        <v>56633</v>
      </c>
      <c r="H1817" s="1">
        <v>44913</v>
      </c>
      <c r="I1817">
        <v>9</v>
      </c>
      <c r="J1817">
        <v>1</v>
      </c>
      <c r="K1817">
        <v>5663</v>
      </c>
      <c r="L1817">
        <v>2832</v>
      </c>
      <c r="M1817">
        <v>59464</v>
      </c>
      <c r="N1817">
        <v>2832</v>
      </c>
      <c r="O1817">
        <v>65128</v>
      </c>
    </row>
    <row r="1818" spans="1:15" x14ac:dyDescent="0.35">
      <c r="A1818">
        <v>1817</v>
      </c>
      <c r="B1818" s="2" t="s">
        <v>20</v>
      </c>
      <c r="C1818" s="2" t="s">
        <v>15</v>
      </c>
      <c r="D1818">
        <v>51</v>
      </c>
      <c r="E1818" s="2" t="s">
        <v>29</v>
      </c>
      <c r="F1818" s="2" t="s">
        <v>25</v>
      </c>
      <c r="G1818">
        <v>82995</v>
      </c>
      <c r="H1818" s="1">
        <v>45433</v>
      </c>
      <c r="I1818">
        <v>1</v>
      </c>
      <c r="J1818">
        <v>1</v>
      </c>
      <c r="K1818">
        <v>8300</v>
      </c>
      <c r="L1818">
        <v>4150</v>
      </c>
      <c r="M1818">
        <v>87145</v>
      </c>
      <c r="N1818">
        <v>0</v>
      </c>
      <c r="O1818">
        <v>91295</v>
      </c>
    </row>
    <row r="1819" spans="1:15" x14ac:dyDescent="0.35">
      <c r="A1819">
        <v>1818</v>
      </c>
      <c r="B1819" s="2" t="s">
        <v>18</v>
      </c>
      <c r="C1819" s="2" t="s">
        <v>11</v>
      </c>
      <c r="D1819">
        <v>21</v>
      </c>
      <c r="E1819" s="2" t="s">
        <v>29</v>
      </c>
      <c r="F1819" s="2" t="s">
        <v>21</v>
      </c>
      <c r="G1819">
        <v>76423</v>
      </c>
      <c r="H1819" s="1">
        <v>45320</v>
      </c>
      <c r="I1819">
        <v>18</v>
      </c>
      <c r="J1819">
        <v>2</v>
      </c>
      <c r="K1819">
        <v>7642</v>
      </c>
      <c r="L1819">
        <v>3821</v>
      </c>
      <c r="M1819">
        <v>80244</v>
      </c>
      <c r="N1819">
        <v>3821</v>
      </c>
      <c r="O1819">
        <v>87886</v>
      </c>
    </row>
    <row r="1820" spans="1:15" x14ac:dyDescent="0.35">
      <c r="A1820">
        <v>1819</v>
      </c>
      <c r="B1820" s="2" t="s">
        <v>14</v>
      </c>
      <c r="C1820" s="2" t="s">
        <v>11</v>
      </c>
      <c r="D1820">
        <v>42</v>
      </c>
      <c r="E1820" s="2" t="s">
        <v>29</v>
      </c>
      <c r="F1820" s="2" t="s">
        <v>25</v>
      </c>
      <c r="G1820">
        <v>99583</v>
      </c>
      <c r="H1820" s="1">
        <v>44579</v>
      </c>
      <c r="I1820">
        <v>4</v>
      </c>
      <c r="J1820">
        <v>4</v>
      </c>
      <c r="K1820">
        <v>9958</v>
      </c>
      <c r="L1820">
        <v>4979</v>
      </c>
      <c r="M1820">
        <v>104562</v>
      </c>
      <c r="N1820">
        <v>0</v>
      </c>
      <c r="O1820">
        <v>109541</v>
      </c>
    </row>
    <row r="1821" spans="1:15" x14ac:dyDescent="0.35">
      <c r="A1821">
        <v>1820</v>
      </c>
      <c r="B1821" s="2" t="s">
        <v>10</v>
      </c>
      <c r="C1821" s="2" t="s">
        <v>11</v>
      </c>
      <c r="D1821">
        <v>25</v>
      </c>
      <c r="E1821" s="2" t="s">
        <v>12</v>
      </c>
      <c r="F1821" s="2" t="s">
        <v>21</v>
      </c>
      <c r="G1821">
        <v>26824</v>
      </c>
      <c r="H1821" s="1">
        <v>45083</v>
      </c>
      <c r="I1821">
        <v>4</v>
      </c>
      <c r="J1821">
        <v>3</v>
      </c>
      <c r="K1821">
        <v>2682</v>
      </c>
      <c r="L1821">
        <v>1341</v>
      </c>
      <c r="M1821">
        <v>28165</v>
      </c>
      <c r="N1821">
        <v>0</v>
      </c>
      <c r="O1821">
        <v>29506</v>
      </c>
    </row>
    <row r="1822" spans="1:15" x14ac:dyDescent="0.35">
      <c r="A1822">
        <v>1821</v>
      </c>
      <c r="B1822" s="2" t="s">
        <v>10</v>
      </c>
      <c r="C1822" s="2" t="s">
        <v>15</v>
      </c>
      <c r="D1822">
        <v>48</v>
      </c>
      <c r="E1822" s="2" t="s">
        <v>28</v>
      </c>
      <c r="F1822" s="2" t="s">
        <v>19</v>
      </c>
      <c r="G1822">
        <v>49147</v>
      </c>
      <c r="H1822" s="1">
        <v>45442</v>
      </c>
      <c r="I1822">
        <v>19</v>
      </c>
      <c r="J1822">
        <v>5</v>
      </c>
      <c r="K1822">
        <v>4915</v>
      </c>
      <c r="L1822">
        <v>2457</v>
      </c>
      <c r="M1822">
        <v>51605</v>
      </c>
      <c r="N1822">
        <v>2457</v>
      </c>
      <c r="O1822">
        <v>56519</v>
      </c>
    </row>
    <row r="1823" spans="1:15" x14ac:dyDescent="0.35">
      <c r="A1823">
        <v>1822</v>
      </c>
      <c r="B1823" s="2" t="s">
        <v>18</v>
      </c>
      <c r="C1823" s="2" t="s">
        <v>11</v>
      </c>
      <c r="D1823">
        <v>31</v>
      </c>
      <c r="E1823" s="2" t="s">
        <v>16</v>
      </c>
      <c r="F1823" s="2" t="s">
        <v>13</v>
      </c>
      <c r="G1823">
        <v>65971</v>
      </c>
      <c r="H1823" s="1">
        <v>45503</v>
      </c>
      <c r="I1823">
        <v>18</v>
      </c>
      <c r="J1823">
        <v>1</v>
      </c>
      <c r="K1823">
        <v>6597</v>
      </c>
      <c r="L1823">
        <v>3299</v>
      </c>
      <c r="M1823">
        <v>69269</v>
      </c>
      <c r="N1823">
        <v>3299</v>
      </c>
      <c r="O1823">
        <v>75867</v>
      </c>
    </row>
    <row r="1824" spans="1:15" x14ac:dyDescent="0.35">
      <c r="A1824">
        <v>1823</v>
      </c>
      <c r="B1824" s="2" t="s">
        <v>31</v>
      </c>
      <c r="C1824" s="2" t="s">
        <v>11</v>
      </c>
      <c r="D1824">
        <v>38</v>
      </c>
      <c r="E1824" s="2" t="s">
        <v>12</v>
      </c>
      <c r="F1824" s="2" t="s">
        <v>21</v>
      </c>
      <c r="G1824">
        <v>23626</v>
      </c>
      <c r="H1824" s="1">
        <v>44899</v>
      </c>
      <c r="I1824">
        <v>12</v>
      </c>
      <c r="J1824">
        <v>3</v>
      </c>
      <c r="K1824">
        <v>2363</v>
      </c>
      <c r="L1824">
        <v>1181</v>
      </c>
      <c r="M1824">
        <v>24808</v>
      </c>
      <c r="N1824">
        <v>1181</v>
      </c>
      <c r="O1824">
        <v>27170</v>
      </c>
    </row>
    <row r="1825" spans="1:15" x14ac:dyDescent="0.35">
      <c r="A1825">
        <v>1824</v>
      </c>
      <c r="B1825" s="2" t="s">
        <v>31</v>
      </c>
      <c r="C1825" s="2" t="s">
        <v>15</v>
      </c>
      <c r="D1825">
        <v>27</v>
      </c>
      <c r="E1825" s="2" t="s">
        <v>16</v>
      </c>
      <c r="F1825" s="2" t="s">
        <v>25</v>
      </c>
      <c r="G1825">
        <v>85037</v>
      </c>
      <c r="H1825" s="1">
        <v>45120</v>
      </c>
      <c r="I1825">
        <v>8</v>
      </c>
      <c r="J1825">
        <v>4</v>
      </c>
      <c r="K1825">
        <v>8504</v>
      </c>
      <c r="L1825">
        <v>4252</v>
      </c>
      <c r="M1825">
        <v>89289</v>
      </c>
      <c r="N1825">
        <v>4252</v>
      </c>
      <c r="O1825">
        <v>97793</v>
      </c>
    </row>
    <row r="1826" spans="1:15" x14ac:dyDescent="0.35">
      <c r="A1826">
        <v>1825</v>
      </c>
      <c r="B1826" s="2" t="s">
        <v>23</v>
      </c>
      <c r="C1826" s="2" t="s">
        <v>11</v>
      </c>
      <c r="D1826">
        <v>57</v>
      </c>
      <c r="E1826" s="2" t="s">
        <v>16</v>
      </c>
      <c r="F1826" s="2" t="s">
        <v>13</v>
      </c>
      <c r="G1826">
        <v>55637</v>
      </c>
      <c r="H1826" s="1">
        <v>44808</v>
      </c>
      <c r="I1826">
        <v>5</v>
      </c>
      <c r="J1826">
        <v>3</v>
      </c>
      <c r="K1826">
        <v>5564</v>
      </c>
      <c r="L1826">
        <v>2782</v>
      </c>
      <c r="M1826">
        <v>58419</v>
      </c>
      <c r="N1826">
        <v>0</v>
      </c>
      <c r="O1826">
        <v>61201</v>
      </c>
    </row>
    <row r="1827" spans="1:15" x14ac:dyDescent="0.35">
      <c r="A1827">
        <v>1826</v>
      </c>
      <c r="B1827" s="2" t="s">
        <v>18</v>
      </c>
      <c r="C1827" s="2" t="s">
        <v>11</v>
      </c>
      <c r="D1827">
        <v>48</v>
      </c>
      <c r="E1827" s="2" t="s">
        <v>12</v>
      </c>
      <c r="F1827" s="2" t="s">
        <v>17</v>
      </c>
      <c r="G1827">
        <v>43813</v>
      </c>
      <c r="H1827" s="1">
        <v>45266</v>
      </c>
      <c r="I1827">
        <v>16</v>
      </c>
      <c r="J1827">
        <v>4</v>
      </c>
      <c r="K1827">
        <v>4381</v>
      </c>
      <c r="L1827">
        <v>2191</v>
      </c>
      <c r="M1827">
        <v>46003</v>
      </c>
      <c r="N1827">
        <v>2191</v>
      </c>
      <c r="O1827">
        <v>50385</v>
      </c>
    </row>
    <row r="1828" spans="1:15" x14ac:dyDescent="0.35">
      <c r="A1828">
        <v>1827</v>
      </c>
      <c r="B1828" s="2" t="s">
        <v>20</v>
      </c>
      <c r="C1828" s="2" t="s">
        <v>15</v>
      </c>
      <c r="D1828">
        <v>32</v>
      </c>
      <c r="E1828" s="2" t="s">
        <v>28</v>
      </c>
      <c r="F1828" s="2" t="s">
        <v>13</v>
      </c>
      <c r="G1828">
        <v>20272</v>
      </c>
      <c r="H1828" s="1">
        <v>45437</v>
      </c>
      <c r="I1828">
        <v>14</v>
      </c>
      <c r="J1828">
        <v>1</v>
      </c>
      <c r="K1828">
        <v>2027</v>
      </c>
      <c r="L1828">
        <v>1014</v>
      </c>
      <c r="M1828">
        <v>21285</v>
      </c>
      <c r="N1828">
        <v>1014</v>
      </c>
      <c r="O1828">
        <v>23313</v>
      </c>
    </row>
    <row r="1829" spans="1:15" x14ac:dyDescent="0.35">
      <c r="A1829">
        <v>1828</v>
      </c>
      <c r="B1829" s="2" t="s">
        <v>20</v>
      </c>
      <c r="C1829" s="2" t="s">
        <v>11</v>
      </c>
      <c r="D1829">
        <v>44</v>
      </c>
      <c r="E1829" s="2" t="s">
        <v>24</v>
      </c>
      <c r="F1829" s="2" t="s">
        <v>17</v>
      </c>
      <c r="G1829">
        <v>80346</v>
      </c>
      <c r="H1829" s="1">
        <v>45349</v>
      </c>
      <c r="I1829">
        <v>1</v>
      </c>
      <c r="J1829">
        <v>3</v>
      </c>
      <c r="K1829">
        <v>8035</v>
      </c>
      <c r="L1829">
        <v>4017</v>
      </c>
      <c r="M1829">
        <v>84364</v>
      </c>
      <c r="N1829">
        <v>0</v>
      </c>
      <c r="O1829">
        <v>88381</v>
      </c>
    </row>
    <row r="1830" spans="1:15" x14ac:dyDescent="0.35">
      <c r="A1830">
        <v>1829</v>
      </c>
      <c r="B1830" s="2" t="s">
        <v>20</v>
      </c>
      <c r="C1830" s="2" t="s">
        <v>15</v>
      </c>
      <c r="D1830">
        <v>41</v>
      </c>
      <c r="E1830" s="2" t="s">
        <v>28</v>
      </c>
      <c r="F1830" s="2" t="s">
        <v>19</v>
      </c>
      <c r="G1830">
        <v>55500</v>
      </c>
      <c r="H1830" s="1">
        <v>44685</v>
      </c>
      <c r="I1830">
        <v>17</v>
      </c>
      <c r="J1830">
        <v>3</v>
      </c>
      <c r="K1830">
        <v>5550</v>
      </c>
      <c r="L1830">
        <v>2775</v>
      </c>
      <c r="M1830">
        <v>58275</v>
      </c>
      <c r="N1830">
        <v>2775</v>
      </c>
      <c r="O1830">
        <v>63825</v>
      </c>
    </row>
    <row r="1831" spans="1:15" x14ac:dyDescent="0.35">
      <c r="A1831">
        <v>1830</v>
      </c>
      <c r="B1831" s="2" t="s">
        <v>27</v>
      </c>
      <c r="C1831" s="2" t="s">
        <v>11</v>
      </c>
      <c r="D1831">
        <v>42</v>
      </c>
      <c r="E1831" s="2" t="s">
        <v>29</v>
      </c>
      <c r="F1831" s="2" t="s">
        <v>17</v>
      </c>
      <c r="G1831">
        <v>22608</v>
      </c>
      <c r="H1831" s="1">
        <v>44760</v>
      </c>
      <c r="I1831">
        <v>8</v>
      </c>
      <c r="J1831">
        <v>2</v>
      </c>
      <c r="K1831">
        <v>2261</v>
      </c>
      <c r="L1831">
        <v>1130</v>
      </c>
      <c r="M1831">
        <v>23739</v>
      </c>
      <c r="N1831">
        <v>1130</v>
      </c>
      <c r="O1831">
        <v>25999</v>
      </c>
    </row>
    <row r="1832" spans="1:15" x14ac:dyDescent="0.35">
      <c r="A1832">
        <v>1831</v>
      </c>
      <c r="B1832" s="2" t="s">
        <v>30</v>
      </c>
      <c r="C1832" s="2" t="s">
        <v>15</v>
      </c>
      <c r="D1832">
        <v>57</v>
      </c>
      <c r="E1832" s="2" t="s">
        <v>16</v>
      </c>
      <c r="F1832" s="2" t="s">
        <v>21</v>
      </c>
      <c r="G1832">
        <v>47862</v>
      </c>
      <c r="H1832" s="1">
        <v>45185</v>
      </c>
      <c r="I1832">
        <v>6</v>
      </c>
      <c r="J1832">
        <v>1</v>
      </c>
      <c r="K1832">
        <v>4786</v>
      </c>
      <c r="L1832">
        <v>2393</v>
      </c>
      <c r="M1832">
        <v>50255</v>
      </c>
      <c r="N1832">
        <v>2393</v>
      </c>
      <c r="O1832">
        <v>55041</v>
      </c>
    </row>
    <row r="1833" spans="1:15" x14ac:dyDescent="0.35">
      <c r="A1833">
        <v>1832</v>
      </c>
      <c r="B1833" s="2" t="s">
        <v>20</v>
      </c>
      <c r="C1833" s="2" t="s">
        <v>15</v>
      </c>
      <c r="D1833">
        <v>45</v>
      </c>
      <c r="E1833" s="2" t="s">
        <v>16</v>
      </c>
      <c r="F1833" s="2" t="s">
        <v>19</v>
      </c>
      <c r="G1833">
        <v>65303</v>
      </c>
      <c r="H1833" s="1">
        <v>45470</v>
      </c>
      <c r="I1833">
        <v>2</v>
      </c>
      <c r="J1833">
        <v>4</v>
      </c>
      <c r="K1833">
        <v>6530</v>
      </c>
      <c r="L1833">
        <v>3265</v>
      </c>
      <c r="M1833">
        <v>68568</v>
      </c>
      <c r="N1833">
        <v>0</v>
      </c>
      <c r="O1833">
        <v>71833</v>
      </c>
    </row>
    <row r="1834" spans="1:15" x14ac:dyDescent="0.35">
      <c r="A1834">
        <v>1833</v>
      </c>
      <c r="B1834" s="2" t="s">
        <v>14</v>
      </c>
      <c r="C1834" s="2" t="s">
        <v>15</v>
      </c>
      <c r="D1834">
        <v>35</v>
      </c>
      <c r="E1834" s="2" t="s">
        <v>16</v>
      </c>
      <c r="F1834" s="2" t="s">
        <v>13</v>
      </c>
      <c r="G1834">
        <v>35861</v>
      </c>
      <c r="H1834" s="1">
        <v>44876</v>
      </c>
      <c r="I1834">
        <v>9</v>
      </c>
      <c r="J1834">
        <v>3</v>
      </c>
      <c r="K1834">
        <v>3586</v>
      </c>
      <c r="L1834">
        <v>1793</v>
      </c>
      <c r="M1834">
        <v>37654</v>
      </c>
      <c r="N1834">
        <v>1793</v>
      </c>
      <c r="O1834">
        <v>41240</v>
      </c>
    </row>
    <row r="1835" spans="1:15" x14ac:dyDescent="0.35">
      <c r="A1835">
        <v>1834</v>
      </c>
      <c r="B1835" s="2" t="s">
        <v>20</v>
      </c>
      <c r="C1835" s="2" t="s">
        <v>15</v>
      </c>
      <c r="D1835">
        <v>37</v>
      </c>
      <c r="E1835" s="2" t="s">
        <v>29</v>
      </c>
      <c r="F1835" s="2" t="s">
        <v>19</v>
      </c>
      <c r="G1835">
        <v>34228</v>
      </c>
      <c r="H1835" s="1">
        <v>44922</v>
      </c>
      <c r="I1835">
        <v>11</v>
      </c>
      <c r="J1835">
        <v>3</v>
      </c>
      <c r="K1835">
        <v>3423</v>
      </c>
      <c r="L1835">
        <v>1711</v>
      </c>
      <c r="M1835">
        <v>35940</v>
      </c>
      <c r="N1835">
        <v>1711</v>
      </c>
      <c r="O1835">
        <v>39362</v>
      </c>
    </row>
    <row r="1836" spans="1:15" x14ac:dyDescent="0.35">
      <c r="A1836">
        <v>1835</v>
      </c>
      <c r="B1836" s="2" t="s">
        <v>26</v>
      </c>
      <c r="C1836" s="2" t="s">
        <v>11</v>
      </c>
      <c r="D1836">
        <v>59</v>
      </c>
      <c r="E1836" s="2" t="s">
        <v>28</v>
      </c>
      <c r="F1836" s="2" t="s">
        <v>19</v>
      </c>
      <c r="G1836">
        <v>92431</v>
      </c>
      <c r="H1836" s="1">
        <v>45268</v>
      </c>
      <c r="I1836">
        <v>1</v>
      </c>
      <c r="J1836">
        <v>2</v>
      </c>
      <c r="K1836">
        <v>9243</v>
      </c>
      <c r="L1836">
        <v>4622</v>
      </c>
      <c r="M1836">
        <v>97052</v>
      </c>
      <c r="N1836">
        <v>0</v>
      </c>
      <c r="O1836">
        <v>101674</v>
      </c>
    </row>
    <row r="1837" spans="1:15" x14ac:dyDescent="0.35">
      <c r="A1837">
        <v>1836</v>
      </c>
      <c r="B1837" s="2" t="s">
        <v>31</v>
      </c>
      <c r="C1837" s="2" t="s">
        <v>15</v>
      </c>
      <c r="D1837">
        <v>55</v>
      </c>
      <c r="E1837" s="2" t="s">
        <v>24</v>
      </c>
      <c r="F1837" s="2" t="s">
        <v>21</v>
      </c>
      <c r="G1837">
        <v>59106</v>
      </c>
      <c r="H1837" s="1">
        <v>44604</v>
      </c>
      <c r="I1837">
        <v>5</v>
      </c>
      <c r="J1837">
        <v>2</v>
      </c>
      <c r="K1837">
        <v>5911</v>
      </c>
      <c r="L1837">
        <v>2955</v>
      </c>
      <c r="M1837">
        <v>62062</v>
      </c>
      <c r="N1837">
        <v>0</v>
      </c>
      <c r="O1837">
        <v>65017</v>
      </c>
    </row>
    <row r="1838" spans="1:15" x14ac:dyDescent="0.35">
      <c r="A1838">
        <v>1837</v>
      </c>
      <c r="B1838" s="2" t="s">
        <v>23</v>
      </c>
      <c r="C1838" s="2" t="s">
        <v>15</v>
      </c>
      <c r="D1838">
        <v>36</v>
      </c>
      <c r="E1838" s="2" t="s">
        <v>24</v>
      </c>
      <c r="F1838" s="2" t="s">
        <v>19</v>
      </c>
      <c r="G1838">
        <v>43342</v>
      </c>
      <c r="H1838" s="1">
        <v>45343</v>
      </c>
      <c r="I1838">
        <v>18</v>
      </c>
      <c r="J1838">
        <v>1</v>
      </c>
      <c r="K1838">
        <v>4334</v>
      </c>
      <c r="L1838">
        <v>2167</v>
      </c>
      <c r="M1838">
        <v>45509</v>
      </c>
      <c r="N1838">
        <v>2167</v>
      </c>
      <c r="O1838">
        <v>49843</v>
      </c>
    </row>
    <row r="1839" spans="1:15" x14ac:dyDescent="0.35">
      <c r="A1839">
        <v>1838</v>
      </c>
      <c r="B1839" s="2" t="s">
        <v>20</v>
      </c>
      <c r="C1839" s="2" t="s">
        <v>15</v>
      </c>
      <c r="D1839">
        <v>30</v>
      </c>
      <c r="E1839" s="2" t="s">
        <v>12</v>
      </c>
      <c r="F1839" s="2" t="s">
        <v>19</v>
      </c>
      <c r="G1839">
        <v>93184</v>
      </c>
      <c r="H1839" s="1">
        <v>45418</v>
      </c>
      <c r="I1839">
        <v>19</v>
      </c>
      <c r="J1839">
        <v>4</v>
      </c>
      <c r="K1839">
        <v>9318</v>
      </c>
      <c r="L1839">
        <v>4659</v>
      </c>
      <c r="M1839">
        <v>97843</v>
      </c>
      <c r="N1839">
        <v>4659</v>
      </c>
      <c r="O1839">
        <v>107161</v>
      </c>
    </row>
    <row r="1840" spans="1:15" x14ac:dyDescent="0.35">
      <c r="A1840">
        <v>1839</v>
      </c>
      <c r="B1840" s="2" t="s">
        <v>31</v>
      </c>
      <c r="C1840" s="2" t="s">
        <v>15</v>
      </c>
      <c r="D1840">
        <v>35</v>
      </c>
      <c r="E1840" s="2" t="s">
        <v>28</v>
      </c>
      <c r="F1840" s="2" t="s">
        <v>21</v>
      </c>
      <c r="G1840">
        <v>46033</v>
      </c>
      <c r="H1840" s="1">
        <v>45334</v>
      </c>
      <c r="I1840">
        <v>11</v>
      </c>
      <c r="J1840">
        <v>1</v>
      </c>
      <c r="K1840">
        <v>4603</v>
      </c>
      <c r="L1840">
        <v>2302</v>
      </c>
      <c r="M1840">
        <v>48334</v>
      </c>
      <c r="N1840">
        <v>2302</v>
      </c>
      <c r="O1840">
        <v>52938</v>
      </c>
    </row>
    <row r="1841" spans="1:15" x14ac:dyDescent="0.35">
      <c r="A1841">
        <v>1840</v>
      </c>
      <c r="B1841" s="2" t="s">
        <v>30</v>
      </c>
      <c r="C1841" s="2" t="s">
        <v>11</v>
      </c>
      <c r="D1841">
        <v>44</v>
      </c>
      <c r="E1841" s="2" t="s">
        <v>12</v>
      </c>
      <c r="F1841" s="2" t="s">
        <v>17</v>
      </c>
      <c r="G1841">
        <v>90729</v>
      </c>
      <c r="H1841" s="1">
        <v>45490</v>
      </c>
      <c r="I1841">
        <v>5</v>
      </c>
      <c r="J1841">
        <v>1</v>
      </c>
      <c r="K1841">
        <v>9073</v>
      </c>
      <c r="L1841">
        <v>4536</v>
      </c>
      <c r="M1841">
        <v>95266</v>
      </c>
      <c r="N1841">
        <v>0</v>
      </c>
      <c r="O1841">
        <v>99802</v>
      </c>
    </row>
    <row r="1842" spans="1:15" x14ac:dyDescent="0.35">
      <c r="A1842">
        <v>1841</v>
      </c>
      <c r="B1842" s="2" t="s">
        <v>10</v>
      </c>
      <c r="C1842" s="2" t="s">
        <v>11</v>
      </c>
      <c r="D1842">
        <v>26</v>
      </c>
      <c r="E1842" s="2" t="s">
        <v>29</v>
      </c>
      <c r="F1842" s="2" t="s">
        <v>19</v>
      </c>
      <c r="G1842">
        <v>91411</v>
      </c>
      <c r="H1842" s="1">
        <v>45267</v>
      </c>
      <c r="I1842">
        <v>16</v>
      </c>
      <c r="J1842">
        <v>5</v>
      </c>
      <c r="K1842">
        <v>9141</v>
      </c>
      <c r="L1842">
        <v>4571</v>
      </c>
      <c r="M1842">
        <v>95981</v>
      </c>
      <c r="N1842">
        <v>4571</v>
      </c>
      <c r="O1842">
        <v>105123</v>
      </c>
    </row>
    <row r="1843" spans="1:15" x14ac:dyDescent="0.35">
      <c r="A1843">
        <v>1842</v>
      </c>
      <c r="B1843" s="2" t="s">
        <v>26</v>
      </c>
      <c r="C1843" s="2" t="s">
        <v>15</v>
      </c>
      <c r="D1843">
        <v>25</v>
      </c>
      <c r="E1843" s="2" t="s">
        <v>24</v>
      </c>
      <c r="F1843" s="2" t="s">
        <v>19</v>
      </c>
      <c r="G1843">
        <v>81350</v>
      </c>
      <c r="H1843" s="1">
        <v>44661</v>
      </c>
      <c r="I1843">
        <v>7</v>
      </c>
      <c r="J1843">
        <v>1</v>
      </c>
      <c r="K1843">
        <v>8135</v>
      </c>
      <c r="L1843">
        <v>4068</v>
      </c>
      <c r="M1843">
        <v>85417</v>
      </c>
      <c r="N1843">
        <v>4068</v>
      </c>
      <c r="O1843">
        <v>93553</v>
      </c>
    </row>
    <row r="1844" spans="1:15" x14ac:dyDescent="0.35">
      <c r="A1844">
        <v>1843</v>
      </c>
      <c r="B1844" s="2" t="s">
        <v>20</v>
      </c>
      <c r="C1844" s="2" t="s">
        <v>15</v>
      </c>
      <c r="D1844">
        <v>50</v>
      </c>
      <c r="E1844" s="2" t="s">
        <v>12</v>
      </c>
      <c r="F1844" s="2" t="s">
        <v>19</v>
      </c>
      <c r="G1844">
        <v>84946</v>
      </c>
      <c r="H1844" s="1">
        <v>45209</v>
      </c>
      <c r="I1844">
        <v>9</v>
      </c>
      <c r="J1844">
        <v>3</v>
      </c>
      <c r="K1844">
        <v>8495</v>
      </c>
      <c r="L1844">
        <v>4247</v>
      </c>
      <c r="M1844">
        <v>89194</v>
      </c>
      <c r="N1844">
        <v>4247</v>
      </c>
      <c r="O1844">
        <v>97688</v>
      </c>
    </row>
    <row r="1845" spans="1:15" x14ac:dyDescent="0.35">
      <c r="A1845">
        <v>1844</v>
      </c>
      <c r="B1845" s="2" t="s">
        <v>30</v>
      </c>
      <c r="C1845" s="2" t="s">
        <v>11</v>
      </c>
      <c r="D1845">
        <v>24</v>
      </c>
      <c r="E1845" s="2" t="s">
        <v>16</v>
      </c>
      <c r="F1845" s="2" t="s">
        <v>17</v>
      </c>
      <c r="G1845">
        <v>50596</v>
      </c>
      <c r="H1845" s="1">
        <v>45140</v>
      </c>
      <c r="I1845">
        <v>10</v>
      </c>
      <c r="J1845">
        <v>3</v>
      </c>
      <c r="K1845">
        <v>5060</v>
      </c>
      <c r="L1845">
        <v>2530</v>
      </c>
      <c r="M1845">
        <v>53126</v>
      </c>
      <c r="N1845">
        <v>2530</v>
      </c>
      <c r="O1845">
        <v>58186</v>
      </c>
    </row>
    <row r="1846" spans="1:15" x14ac:dyDescent="0.35">
      <c r="A1846">
        <v>1845</v>
      </c>
      <c r="B1846" s="2" t="s">
        <v>18</v>
      </c>
      <c r="C1846" s="2" t="s">
        <v>15</v>
      </c>
      <c r="D1846">
        <v>41</v>
      </c>
      <c r="E1846" s="2" t="s">
        <v>16</v>
      </c>
      <c r="F1846" s="2" t="s">
        <v>21</v>
      </c>
      <c r="G1846">
        <v>23235</v>
      </c>
      <c r="H1846" s="1">
        <v>45212</v>
      </c>
      <c r="I1846">
        <v>8</v>
      </c>
      <c r="J1846">
        <v>3</v>
      </c>
      <c r="K1846">
        <v>2324</v>
      </c>
      <c r="L1846">
        <v>1162</v>
      </c>
      <c r="M1846">
        <v>24397</v>
      </c>
      <c r="N1846">
        <v>1162</v>
      </c>
      <c r="O1846">
        <v>26721</v>
      </c>
    </row>
    <row r="1847" spans="1:15" x14ac:dyDescent="0.35">
      <c r="A1847">
        <v>1846</v>
      </c>
      <c r="B1847" s="2" t="s">
        <v>22</v>
      </c>
      <c r="C1847" s="2" t="s">
        <v>11</v>
      </c>
      <c r="D1847">
        <v>55</v>
      </c>
      <c r="E1847" s="2" t="s">
        <v>24</v>
      </c>
      <c r="F1847" s="2" t="s">
        <v>13</v>
      </c>
      <c r="G1847">
        <v>24153</v>
      </c>
      <c r="H1847" s="1">
        <v>44632</v>
      </c>
      <c r="I1847">
        <v>12</v>
      </c>
      <c r="J1847">
        <v>2</v>
      </c>
      <c r="K1847">
        <v>2415</v>
      </c>
      <c r="L1847">
        <v>1208</v>
      </c>
      <c r="M1847">
        <v>25360</v>
      </c>
      <c r="N1847">
        <v>1208</v>
      </c>
      <c r="O1847">
        <v>27776</v>
      </c>
    </row>
    <row r="1848" spans="1:15" x14ac:dyDescent="0.35">
      <c r="A1848">
        <v>1847</v>
      </c>
      <c r="B1848" s="2" t="s">
        <v>20</v>
      </c>
      <c r="C1848" s="2" t="s">
        <v>15</v>
      </c>
      <c r="D1848">
        <v>32</v>
      </c>
      <c r="E1848" s="2" t="s">
        <v>29</v>
      </c>
      <c r="F1848" s="2" t="s">
        <v>21</v>
      </c>
      <c r="G1848">
        <v>80589</v>
      </c>
      <c r="H1848" s="1">
        <v>44644</v>
      </c>
      <c r="I1848">
        <v>2</v>
      </c>
      <c r="J1848">
        <v>1</v>
      </c>
      <c r="K1848">
        <v>8059</v>
      </c>
      <c r="L1848">
        <v>4029</v>
      </c>
      <c r="M1848">
        <v>84619</v>
      </c>
      <c r="N1848">
        <v>0</v>
      </c>
      <c r="O1848">
        <v>88648</v>
      </c>
    </row>
    <row r="1849" spans="1:15" x14ac:dyDescent="0.35">
      <c r="A1849">
        <v>1848</v>
      </c>
      <c r="B1849" s="2" t="s">
        <v>26</v>
      </c>
      <c r="C1849" s="2" t="s">
        <v>11</v>
      </c>
      <c r="D1849">
        <v>56</v>
      </c>
      <c r="E1849" s="2" t="s">
        <v>12</v>
      </c>
      <c r="F1849" s="2" t="s">
        <v>17</v>
      </c>
      <c r="G1849">
        <v>71707</v>
      </c>
      <c r="H1849" s="1">
        <v>44846</v>
      </c>
      <c r="I1849">
        <v>5</v>
      </c>
      <c r="J1849">
        <v>5</v>
      </c>
      <c r="K1849">
        <v>7171</v>
      </c>
      <c r="L1849">
        <v>3585</v>
      </c>
      <c r="M1849">
        <v>75293</v>
      </c>
      <c r="N1849">
        <v>0</v>
      </c>
      <c r="O1849">
        <v>78878</v>
      </c>
    </row>
    <row r="1850" spans="1:15" x14ac:dyDescent="0.35">
      <c r="A1850">
        <v>1849</v>
      </c>
      <c r="B1850" s="2" t="s">
        <v>20</v>
      </c>
      <c r="C1850" s="2" t="s">
        <v>15</v>
      </c>
      <c r="D1850">
        <v>24</v>
      </c>
      <c r="E1850" s="2" t="s">
        <v>16</v>
      </c>
      <c r="F1850" s="2" t="s">
        <v>13</v>
      </c>
      <c r="G1850">
        <v>53121</v>
      </c>
      <c r="H1850" s="1">
        <v>45157</v>
      </c>
      <c r="I1850">
        <v>13</v>
      </c>
      <c r="J1850">
        <v>1</v>
      </c>
      <c r="K1850">
        <v>5312</v>
      </c>
      <c r="L1850">
        <v>2656</v>
      </c>
      <c r="M1850">
        <v>55777</v>
      </c>
      <c r="N1850">
        <v>2656</v>
      </c>
      <c r="O1850">
        <v>61089</v>
      </c>
    </row>
    <row r="1851" spans="1:15" x14ac:dyDescent="0.35">
      <c r="A1851">
        <v>1850</v>
      </c>
      <c r="B1851" s="2" t="s">
        <v>10</v>
      </c>
      <c r="C1851" s="2" t="s">
        <v>11</v>
      </c>
      <c r="D1851">
        <v>23</v>
      </c>
      <c r="E1851" s="2" t="s">
        <v>12</v>
      </c>
      <c r="F1851" s="2" t="s">
        <v>17</v>
      </c>
      <c r="G1851">
        <v>67522</v>
      </c>
      <c r="H1851" s="1">
        <v>45180</v>
      </c>
      <c r="I1851">
        <v>3</v>
      </c>
      <c r="J1851">
        <v>4</v>
      </c>
      <c r="K1851">
        <v>6752</v>
      </c>
      <c r="L1851">
        <v>3376</v>
      </c>
      <c r="M1851">
        <v>70898</v>
      </c>
      <c r="N1851">
        <v>0</v>
      </c>
      <c r="O1851">
        <v>74274</v>
      </c>
    </row>
    <row r="1852" spans="1:15" x14ac:dyDescent="0.35">
      <c r="A1852">
        <v>1851</v>
      </c>
      <c r="B1852" s="2" t="s">
        <v>18</v>
      </c>
      <c r="C1852" s="2" t="s">
        <v>11</v>
      </c>
      <c r="D1852">
        <v>46</v>
      </c>
      <c r="E1852" s="2" t="s">
        <v>12</v>
      </c>
      <c r="F1852" s="2" t="s">
        <v>19</v>
      </c>
      <c r="G1852">
        <v>73530</v>
      </c>
      <c r="H1852" s="1">
        <v>44733</v>
      </c>
      <c r="I1852">
        <v>14</v>
      </c>
      <c r="J1852">
        <v>4</v>
      </c>
      <c r="K1852">
        <v>7353</v>
      </c>
      <c r="L1852">
        <v>3676</v>
      </c>
      <c r="M1852">
        <v>77207</v>
      </c>
      <c r="N1852">
        <v>3676</v>
      </c>
      <c r="O1852">
        <v>84559</v>
      </c>
    </row>
    <row r="1853" spans="1:15" x14ac:dyDescent="0.35">
      <c r="A1853">
        <v>1852</v>
      </c>
      <c r="B1853" s="2" t="s">
        <v>10</v>
      </c>
      <c r="C1853" s="2" t="s">
        <v>11</v>
      </c>
      <c r="D1853">
        <v>35</v>
      </c>
      <c r="E1853" s="2" t="s">
        <v>29</v>
      </c>
      <c r="F1853" s="2" t="s">
        <v>17</v>
      </c>
      <c r="G1853">
        <v>68711</v>
      </c>
      <c r="H1853" s="1">
        <v>45157</v>
      </c>
      <c r="I1853">
        <v>3</v>
      </c>
      <c r="J1853">
        <v>1</v>
      </c>
      <c r="K1853">
        <v>6871</v>
      </c>
      <c r="L1853">
        <v>3436</v>
      </c>
      <c r="M1853">
        <v>72146</v>
      </c>
      <c r="N1853">
        <v>0</v>
      </c>
      <c r="O1853">
        <v>75582</v>
      </c>
    </row>
    <row r="1854" spans="1:15" x14ac:dyDescent="0.35">
      <c r="A1854">
        <v>1853</v>
      </c>
      <c r="B1854" s="2" t="s">
        <v>27</v>
      </c>
      <c r="C1854" s="2" t="s">
        <v>11</v>
      </c>
      <c r="D1854">
        <v>46</v>
      </c>
      <c r="E1854" s="2" t="s">
        <v>24</v>
      </c>
      <c r="F1854" s="2" t="s">
        <v>13</v>
      </c>
      <c r="G1854">
        <v>40314</v>
      </c>
      <c r="H1854" s="1">
        <v>44822</v>
      </c>
      <c r="I1854">
        <v>7</v>
      </c>
      <c r="J1854">
        <v>5</v>
      </c>
      <c r="K1854">
        <v>4031</v>
      </c>
      <c r="L1854">
        <v>2016</v>
      </c>
      <c r="M1854">
        <v>42329</v>
      </c>
      <c r="N1854">
        <v>2016</v>
      </c>
      <c r="O1854">
        <v>46361</v>
      </c>
    </row>
    <row r="1855" spans="1:15" x14ac:dyDescent="0.35">
      <c r="A1855">
        <v>1854</v>
      </c>
      <c r="B1855" s="2" t="s">
        <v>31</v>
      </c>
      <c r="C1855" s="2" t="s">
        <v>11</v>
      </c>
      <c r="D1855">
        <v>38</v>
      </c>
      <c r="E1855" s="2" t="s">
        <v>28</v>
      </c>
      <c r="F1855" s="2" t="s">
        <v>25</v>
      </c>
      <c r="G1855">
        <v>42784</v>
      </c>
      <c r="H1855" s="1">
        <v>44809</v>
      </c>
      <c r="I1855">
        <v>5</v>
      </c>
      <c r="J1855">
        <v>2</v>
      </c>
      <c r="K1855">
        <v>4278</v>
      </c>
      <c r="L1855">
        <v>2139</v>
      </c>
      <c r="M1855">
        <v>44923</v>
      </c>
      <c r="N1855">
        <v>0</v>
      </c>
      <c r="O1855">
        <v>47062</v>
      </c>
    </row>
    <row r="1856" spans="1:15" x14ac:dyDescent="0.35">
      <c r="A1856">
        <v>1855</v>
      </c>
      <c r="B1856" s="2" t="s">
        <v>18</v>
      </c>
      <c r="C1856" s="2" t="s">
        <v>11</v>
      </c>
      <c r="D1856">
        <v>51</v>
      </c>
      <c r="E1856" s="2" t="s">
        <v>24</v>
      </c>
      <c r="F1856" s="2" t="s">
        <v>19</v>
      </c>
      <c r="G1856">
        <v>73799</v>
      </c>
      <c r="H1856" s="1">
        <v>45151</v>
      </c>
      <c r="I1856">
        <v>14</v>
      </c>
      <c r="J1856">
        <v>5</v>
      </c>
      <c r="K1856">
        <v>7380</v>
      </c>
      <c r="L1856">
        <v>3690</v>
      </c>
      <c r="M1856">
        <v>77489</v>
      </c>
      <c r="N1856">
        <v>3690</v>
      </c>
      <c r="O1856">
        <v>84869</v>
      </c>
    </row>
    <row r="1857" spans="1:15" x14ac:dyDescent="0.35">
      <c r="A1857">
        <v>1856</v>
      </c>
      <c r="B1857" s="2" t="s">
        <v>31</v>
      </c>
      <c r="C1857" s="2" t="s">
        <v>15</v>
      </c>
      <c r="D1857">
        <v>43</v>
      </c>
      <c r="E1857" s="2" t="s">
        <v>12</v>
      </c>
      <c r="F1857" s="2" t="s">
        <v>13</v>
      </c>
      <c r="G1857">
        <v>65875</v>
      </c>
      <c r="H1857" s="1">
        <v>44804</v>
      </c>
      <c r="I1857">
        <v>13</v>
      </c>
      <c r="J1857">
        <v>1</v>
      </c>
      <c r="K1857">
        <v>6588</v>
      </c>
      <c r="L1857">
        <v>3294</v>
      </c>
      <c r="M1857">
        <v>69169</v>
      </c>
      <c r="N1857">
        <v>3294</v>
      </c>
      <c r="O1857">
        <v>75757</v>
      </c>
    </row>
    <row r="1858" spans="1:15" x14ac:dyDescent="0.35">
      <c r="A1858">
        <v>1857</v>
      </c>
      <c r="B1858" s="2" t="s">
        <v>30</v>
      </c>
      <c r="C1858" s="2" t="s">
        <v>11</v>
      </c>
      <c r="D1858">
        <v>45</v>
      </c>
      <c r="E1858" s="2" t="s">
        <v>29</v>
      </c>
      <c r="F1858" s="2" t="s">
        <v>21</v>
      </c>
      <c r="G1858">
        <v>83327</v>
      </c>
      <c r="H1858" s="1">
        <v>45187</v>
      </c>
      <c r="I1858">
        <v>15</v>
      </c>
      <c r="J1858">
        <v>5</v>
      </c>
      <c r="K1858">
        <v>8333</v>
      </c>
      <c r="L1858">
        <v>4166</v>
      </c>
      <c r="M1858">
        <v>87494</v>
      </c>
      <c r="N1858">
        <v>4166</v>
      </c>
      <c r="O1858">
        <v>95826</v>
      </c>
    </row>
    <row r="1859" spans="1:15" x14ac:dyDescent="0.35">
      <c r="A1859">
        <v>1858</v>
      </c>
      <c r="B1859" s="2" t="s">
        <v>14</v>
      </c>
      <c r="C1859" s="2" t="s">
        <v>15</v>
      </c>
      <c r="D1859">
        <v>44</v>
      </c>
      <c r="E1859" s="2" t="s">
        <v>29</v>
      </c>
      <c r="F1859" s="2" t="s">
        <v>19</v>
      </c>
      <c r="G1859">
        <v>83157</v>
      </c>
      <c r="H1859" s="1">
        <v>44985</v>
      </c>
      <c r="I1859">
        <v>4</v>
      </c>
      <c r="J1859">
        <v>1</v>
      </c>
      <c r="K1859">
        <v>8316</v>
      </c>
      <c r="L1859">
        <v>4158</v>
      </c>
      <c r="M1859">
        <v>87315</v>
      </c>
      <c r="N1859">
        <v>0</v>
      </c>
      <c r="O1859">
        <v>91473</v>
      </c>
    </row>
    <row r="1860" spans="1:15" x14ac:dyDescent="0.35">
      <c r="A1860">
        <v>1859</v>
      </c>
      <c r="B1860" s="2" t="s">
        <v>22</v>
      </c>
      <c r="C1860" s="2" t="s">
        <v>11</v>
      </c>
      <c r="D1860">
        <v>25</v>
      </c>
      <c r="E1860" s="2" t="s">
        <v>12</v>
      </c>
      <c r="F1860" s="2" t="s">
        <v>21</v>
      </c>
      <c r="G1860">
        <v>77957</v>
      </c>
      <c r="H1860" s="1">
        <v>45459</v>
      </c>
      <c r="I1860">
        <v>18</v>
      </c>
      <c r="J1860">
        <v>4</v>
      </c>
      <c r="K1860">
        <v>7796</v>
      </c>
      <c r="L1860">
        <v>3898</v>
      </c>
      <c r="M1860">
        <v>81855</v>
      </c>
      <c r="N1860">
        <v>3898</v>
      </c>
      <c r="O1860">
        <v>89651</v>
      </c>
    </row>
    <row r="1861" spans="1:15" x14ac:dyDescent="0.35">
      <c r="A1861">
        <v>1860</v>
      </c>
      <c r="B1861" s="2" t="s">
        <v>20</v>
      </c>
      <c r="C1861" s="2" t="s">
        <v>15</v>
      </c>
      <c r="D1861">
        <v>42</v>
      </c>
      <c r="E1861" s="2" t="s">
        <v>12</v>
      </c>
      <c r="F1861" s="2" t="s">
        <v>25</v>
      </c>
      <c r="G1861">
        <v>74332</v>
      </c>
      <c r="H1861" s="1">
        <v>45463</v>
      </c>
      <c r="I1861">
        <v>5</v>
      </c>
      <c r="J1861">
        <v>3</v>
      </c>
      <c r="K1861">
        <v>7433</v>
      </c>
      <c r="L1861">
        <v>3717</v>
      </c>
      <c r="M1861">
        <v>78048</v>
      </c>
      <c r="N1861">
        <v>0</v>
      </c>
      <c r="O1861">
        <v>81765</v>
      </c>
    </row>
    <row r="1862" spans="1:15" x14ac:dyDescent="0.35">
      <c r="A1862">
        <v>1861</v>
      </c>
      <c r="B1862" s="2" t="s">
        <v>10</v>
      </c>
      <c r="C1862" s="2" t="s">
        <v>15</v>
      </c>
      <c r="D1862">
        <v>49</v>
      </c>
      <c r="E1862" s="2" t="s">
        <v>29</v>
      </c>
      <c r="F1862" s="2" t="s">
        <v>25</v>
      </c>
      <c r="G1862">
        <v>65091</v>
      </c>
      <c r="H1862" s="1">
        <v>45266</v>
      </c>
      <c r="I1862">
        <v>12</v>
      </c>
      <c r="J1862">
        <v>3</v>
      </c>
      <c r="K1862">
        <v>6509</v>
      </c>
      <c r="L1862">
        <v>3255</v>
      </c>
      <c r="M1862">
        <v>68345</v>
      </c>
      <c r="N1862">
        <v>3255</v>
      </c>
      <c r="O1862">
        <v>74855</v>
      </c>
    </row>
    <row r="1863" spans="1:15" x14ac:dyDescent="0.35">
      <c r="A1863">
        <v>1862</v>
      </c>
      <c r="B1863" s="2" t="s">
        <v>26</v>
      </c>
      <c r="C1863" s="2" t="s">
        <v>15</v>
      </c>
      <c r="D1863">
        <v>29</v>
      </c>
      <c r="E1863" s="2" t="s">
        <v>16</v>
      </c>
      <c r="F1863" s="2" t="s">
        <v>21</v>
      </c>
      <c r="G1863">
        <v>88130</v>
      </c>
      <c r="H1863" s="1">
        <v>45196</v>
      </c>
      <c r="I1863">
        <v>9</v>
      </c>
      <c r="J1863">
        <v>3</v>
      </c>
      <c r="K1863">
        <v>8813</v>
      </c>
      <c r="L1863">
        <v>4406</v>
      </c>
      <c r="M1863">
        <v>92537</v>
      </c>
      <c r="N1863">
        <v>4406</v>
      </c>
      <c r="O1863">
        <v>101349</v>
      </c>
    </row>
    <row r="1864" spans="1:15" x14ac:dyDescent="0.35">
      <c r="A1864">
        <v>1863</v>
      </c>
      <c r="B1864" s="2" t="s">
        <v>22</v>
      </c>
      <c r="C1864" s="2" t="s">
        <v>11</v>
      </c>
      <c r="D1864">
        <v>51</v>
      </c>
      <c r="E1864" s="2" t="s">
        <v>16</v>
      </c>
      <c r="F1864" s="2" t="s">
        <v>13</v>
      </c>
      <c r="G1864">
        <v>30069</v>
      </c>
      <c r="H1864" s="1">
        <v>45216</v>
      </c>
      <c r="I1864">
        <v>7</v>
      </c>
      <c r="J1864">
        <v>1</v>
      </c>
      <c r="K1864">
        <v>3007</v>
      </c>
      <c r="L1864">
        <v>1503</v>
      </c>
      <c r="M1864">
        <v>31573</v>
      </c>
      <c r="N1864">
        <v>1503</v>
      </c>
      <c r="O1864">
        <v>34579</v>
      </c>
    </row>
    <row r="1865" spans="1:15" x14ac:dyDescent="0.35">
      <c r="A1865">
        <v>1864</v>
      </c>
      <c r="B1865" s="2" t="s">
        <v>30</v>
      </c>
      <c r="C1865" s="2" t="s">
        <v>15</v>
      </c>
      <c r="D1865">
        <v>35</v>
      </c>
      <c r="E1865" s="2" t="s">
        <v>12</v>
      </c>
      <c r="F1865" s="2" t="s">
        <v>25</v>
      </c>
      <c r="G1865">
        <v>67522</v>
      </c>
      <c r="H1865" s="1">
        <v>44828</v>
      </c>
      <c r="I1865">
        <v>1</v>
      </c>
      <c r="J1865">
        <v>2</v>
      </c>
      <c r="K1865">
        <v>6752</v>
      </c>
      <c r="L1865">
        <v>3376</v>
      </c>
      <c r="M1865">
        <v>70898</v>
      </c>
      <c r="N1865">
        <v>0</v>
      </c>
      <c r="O1865">
        <v>74274</v>
      </c>
    </row>
    <row r="1866" spans="1:15" x14ac:dyDescent="0.35">
      <c r="A1866">
        <v>1865</v>
      </c>
      <c r="B1866" s="2" t="s">
        <v>20</v>
      </c>
      <c r="C1866" s="2" t="s">
        <v>15</v>
      </c>
      <c r="D1866">
        <v>25</v>
      </c>
      <c r="E1866" s="2" t="s">
        <v>16</v>
      </c>
      <c r="F1866" s="2" t="s">
        <v>17</v>
      </c>
      <c r="G1866">
        <v>44103</v>
      </c>
      <c r="H1866" s="1">
        <v>45205</v>
      </c>
      <c r="I1866">
        <v>9</v>
      </c>
      <c r="J1866">
        <v>3</v>
      </c>
      <c r="K1866">
        <v>4410</v>
      </c>
      <c r="L1866">
        <v>2205</v>
      </c>
      <c r="M1866">
        <v>46308</v>
      </c>
      <c r="N1866">
        <v>2205</v>
      </c>
      <c r="O1866">
        <v>50718</v>
      </c>
    </row>
    <row r="1867" spans="1:15" x14ac:dyDescent="0.35">
      <c r="A1867">
        <v>1866</v>
      </c>
      <c r="B1867" s="2" t="s">
        <v>18</v>
      </c>
      <c r="C1867" s="2" t="s">
        <v>15</v>
      </c>
      <c r="D1867">
        <v>25</v>
      </c>
      <c r="E1867" s="2" t="s">
        <v>29</v>
      </c>
      <c r="F1867" s="2" t="s">
        <v>21</v>
      </c>
      <c r="G1867">
        <v>72877</v>
      </c>
      <c r="H1867" s="1">
        <v>44658</v>
      </c>
      <c r="I1867">
        <v>15</v>
      </c>
      <c r="J1867">
        <v>2</v>
      </c>
      <c r="K1867">
        <v>7288</v>
      </c>
      <c r="L1867">
        <v>3644</v>
      </c>
      <c r="M1867">
        <v>76521</v>
      </c>
      <c r="N1867">
        <v>3644</v>
      </c>
      <c r="O1867">
        <v>83809</v>
      </c>
    </row>
    <row r="1868" spans="1:15" x14ac:dyDescent="0.35">
      <c r="A1868">
        <v>1867</v>
      </c>
      <c r="B1868" s="2" t="s">
        <v>23</v>
      </c>
      <c r="C1868" s="2" t="s">
        <v>11</v>
      </c>
      <c r="D1868">
        <v>36</v>
      </c>
      <c r="E1868" s="2" t="s">
        <v>24</v>
      </c>
      <c r="F1868" s="2" t="s">
        <v>13</v>
      </c>
      <c r="G1868">
        <v>81175</v>
      </c>
      <c r="H1868" s="1">
        <v>45083</v>
      </c>
      <c r="I1868">
        <v>8</v>
      </c>
      <c r="J1868">
        <v>5</v>
      </c>
      <c r="K1868">
        <v>8118</v>
      </c>
      <c r="L1868">
        <v>4059</v>
      </c>
      <c r="M1868">
        <v>85234</v>
      </c>
      <c r="N1868">
        <v>4059</v>
      </c>
      <c r="O1868">
        <v>93352</v>
      </c>
    </row>
    <row r="1869" spans="1:15" x14ac:dyDescent="0.35">
      <c r="A1869">
        <v>1868</v>
      </c>
      <c r="B1869" s="2" t="s">
        <v>31</v>
      </c>
      <c r="C1869" s="2" t="s">
        <v>11</v>
      </c>
      <c r="D1869">
        <v>40</v>
      </c>
      <c r="E1869" s="2" t="s">
        <v>16</v>
      </c>
      <c r="F1869" s="2" t="s">
        <v>25</v>
      </c>
      <c r="G1869">
        <v>61051</v>
      </c>
      <c r="H1869" s="1">
        <v>44588</v>
      </c>
      <c r="I1869">
        <v>15</v>
      </c>
      <c r="J1869">
        <v>4</v>
      </c>
      <c r="K1869">
        <v>6105</v>
      </c>
      <c r="L1869">
        <v>3053</v>
      </c>
      <c r="M1869">
        <v>64103</v>
      </c>
      <c r="N1869">
        <v>3053</v>
      </c>
      <c r="O1869">
        <v>70209</v>
      </c>
    </row>
    <row r="1870" spans="1:15" x14ac:dyDescent="0.35">
      <c r="A1870">
        <v>1869</v>
      </c>
      <c r="B1870" s="2" t="s">
        <v>26</v>
      </c>
      <c r="C1870" s="2" t="s">
        <v>11</v>
      </c>
      <c r="D1870">
        <v>44</v>
      </c>
      <c r="E1870" s="2" t="s">
        <v>28</v>
      </c>
      <c r="F1870" s="2" t="s">
        <v>17</v>
      </c>
      <c r="G1870">
        <v>20098</v>
      </c>
      <c r="H1870" s="1">
        <v>45366</v>
      </c>
      <c r="I1870">
        <v>12</v>
      </c>
      <c r="J1870">
        <v>4</v>
      </c>
      <c r="K1870">
        <v>2010</v>
      </c>
      <c r="L1870">
        <v>1005</v>
      </c>
      <c r="M1870">
        <v>21103</v>
      </c>
      <c r="N1870">
        <v>1005</v>
      </c>
      <c r="O1870">
        <v>23113</v>
      </c>
    </row>
    <row r="1871" spans="1:15" x14ac:dyDescent="0.35">
      <c r="A1871">
        <v>1870</v>
      </c>
      <c r="B1871" s="2" t="s">
        <v>30</v>
      </c>
      <c r="C1871" s="2" t="s">
        <v>11</v>
      </c>
      <c r="D1871">
        <v>52</v>
      </c>
      <c r="E1871" s="2" t="s">
        <v>24</v>
      </c>
      <c r="F1871" s="2" t="s">
        <v>21</v>
      </c>
      <c r="G1871">
        <v>99677</v>
      </c>
      <c r="H1871" s="1">
        <v>45015</v>
      </c>
      <c r="I1871">
        <v>8</v>
      </c>
      <c r="J1871">
        <v>5</v>
      </c>
      <c r="K1871">
        <v>9968</v>
      </c>
      <c r="L1871">
        <v>4984</v>
      </c>
      <c r="M1871">
        <v>104661</v>
      </c>
      <c r="N1871">
        <v>4984</v>
      </c>
      <c r="O1871">
        <v>114629</v>
      </c>
    </row>
    <row r="1872" spans="1:15" x14ac:dyDescent="0.35">
      <c r="A1872">
        <v>1871</v>
      </c>
      <c r="B1872" s="2" t="s">
        <v>23</v>
      </c>
      <c r="C1872" s="2" t="s">
        <v>11</v>
      </c>
      <c r="D1872">
        <v>31</v>
      </c>
      <c r="E1872" s="2" t="s">
        <v>16</v>
      </c>
      <c r="F1872" s="2" t="s">
        <v>19</v>
      </c>
      <c r="G1872">
        <v>34878</v>
      </c>
      <c r="H1872" s="1">
        <v>45109</v>
      </c>
      <c r="I1872">
        <v>15</v>
      </c>
      <c r="J1872">
        <v>5</v>
      </c>
      <c r="K1872">
        <v>3488</v>
      </c>
      <c r="L1872">
        <v>1744</v>
      </c>
      <c r="M1872">
        <v>36622</v>
      </c>
      <c r="N1872">
        <v>1744</v>
      </c>
      <c r="O1872">
        <v>40110</v>
      </c>
    </row>
    <row r="1873" spans="1:15" x14ac:dyDescent="0.35">
      <c r="A1873">
        <v>1872</v>
      </c>
      <c r="B1873" s="2" t="s">
        <v>22</v>
      </c>
      <c r="C1873" s="2" t="s">
        <v>15</v>
      </c>
      <c r="D1873">
        <v>57</v>
      </c>
      <c r="E1873" s="2" t="s">
        <v>28</v>
      </c>
      <c r="F1873" s="2" t="s">
        <v>19</v>
      </c>
      <c r="G1873">
        <v>98192</v>
      </c>
      <c r="H1873" s="1">
        <v>45061</v>
      </c>
      <c r="I1873">
        <v>16</v>
      </c>
      <c r="J1873">
        <v>3</v>
      </c>
      <c r="K1873">
        <v>9819</v>
      </c>
      <c r="L1873">
        <v>4910</v>
      </c>
      <c r="M1873">
        <v>103101</v>
      </c>
      <c r="N1873">
        <v>4910</v>
      </c>
      <c r="O1873">
        <v>112921</v>
      </c>
    </row>
    <row r="1874" spans="1:15" x14ac:dyDescent="0.35">
      <c r="A1874">
        <v>1873</v>
      </c>
      <c r="B1874" s="2" t="s">
        <v>31</v>
      </c>
      <c r="C1874" s="2" t="s">
        <v>15</v>
      </c>
      <c r="D1874">
        <v>52</v>
      </c>
      <c r="E1874" s="2" t="s">
        <v>29</v>
      </c>
      <c r="F1874" s="2" t="s">
        <v>17</v>
      </c>
      <c r="G1874">
        <v>70919</v>
      </c>
      <c r="H1874" s="1">
        <v>44829</v>
      </c>
      <c r="I1874">
        <v>17</v>
      </c>
      <c r="J1874">
        <v>1</v>
      </c>
      <c r="K1874">
        <v>7092</v>
      </c>
      <c r="L1874">
        <v>3546</v>
      </c>
      <c r="M1874">
        <v>74465</v>
      </c>
      <c r="N1874">
        <v>3546</v>
      </c>
      <c r="O1874">
        <v>81557</v>
      </c>
    </row>
    <row r="1875" spans="1:15" x14ac:dyDescent="0.35">
      <c r="A1875">
        <v>1874</v>
      </c>
      <c r="B1875" s="2" t="s">
        <v>30</v>
      </c>
      <c r="C1875" s="2" t="s">
        <v>15</v>
      </c>
      <c r="D1875">
        <v>39</v>
      </c>
      <c r="E1875" s="2" t="s">
        <v>24</v>
      </c>
      <c r="F1875" s="2" t="s">
        <v>25</v>
      </c>
      <c r="G1875">
        <v>84668</v>
      </c>
      <c r="H1875" s="1">
        <v>44765</v>
      </c>
      <c r="I1875">
        <v>3</v>
      </c>
      <c r="J1875">
        <v>1</v>
      </c>
      <c r="K1875">
        <v>8467</v>
      </c>
      <c r="L1875">
        <v>4233</v>
      </c>
      <c r="M1875">
        <v>88902</v>
      </c>
      <c r="N1875">
        <v>0</v>
      </c>
      <c r="O1875">
        <v>93135</v>
      </c>
    </row>
    <row r="1876" spans="1:15" x14ac:dyDescent="0.35">
      <c r="A1876">
        <v>1875</v>
      </c>
      <c r="B1876" s="2" t="s">
        <v>14</v>
      </c>
      <c r="C1876" s="2" t="s">
        <v>11</v>
      </c>
      <c r="D1876">
        <v>27</v>
      </c>
      <c r="E1876" s="2" t="s">
        <v>28</v>
      </c>
      <c r="F1876" s="2" t="s">
        <v>13</v>
      </c>
      <c r="G1876">
        <v>70290</v>
      </c>
      <c r="H1876" s="1">
        <v>45017</v>
      </c>
      <c r="I1876">
        <v>8</v>
      </c>
      <c r="J1876">
        <v>2</v>
      </c>
      <c r="K1876">
        <v>7029</v>
      </c>
      <c r="L1876">
        <v>3514</v>
      </c>
      <c r="M1876">
        <v>73805</v>
      </c>
      <c r="N1876">
        <v>3514</v>
      </c>
      <c r="O1876">
        <v>80833</v>
      </c>
    </row>
    <row r="1877" spans="1:15" x14ac:dyDescent="0.35">
      <c r="A1877">
        <v>1876</v>
      </c>
      <c r="B1877" s="2" t="s">
        <v>23</v>
      </c>
      <c r="C1877" s="2" t="s">
        <v>11</v>
      </c>
      <c r="D1877">
        <v>40</v>
      </c>
      <c r="E1877" s="2" t="s">
        <v>24</v>
      </c>
      <c r="F1877" s="2" t="s">
        <v>19</v>
      </c>
      <c r="G1877">
        <v>46453</v>
      </c>
      <c r="H1877" s="1">
        <v>45235</v>
      </c>
      <c r="I1877">
        <v>14</v>
      </c>
      <c r="J1877">
        <v>5</v>
      </c>
      <c r="K1877">
        <v>4645</v>
      </c>
      <c r="L1877">
        <v>2323</v>
      </c>
      <c r="M1877">
        <v>48775</v>
      </c>
      <c r="N1877">
        <v>2323</v>
      </c>
      <c r="O1877">
        <v>53421</v>
      </c>
    </row>
    <row r="1878" spans="1:15" x14ac:dyDescent="0.35">
      <c r="A1878">
        <v>1877</v>
      </c>
      <c r="B1878" s="2" t="s">
        <v>20</v>
      </c>
      <c r="C1878" s="2" t="s">
        <v>11</v>
      </c>
      <c r="D1878">
        <v>23</v>
      </c>
      <c r="E1878" s="2" t="s">
        <v>12</v>
      </c>
      <c r="F1878" s="2" t="s">
        <v>17</v>
      </c>
      <c r="G1878">
        <v>29093</v>
      </c>
      <c r="H1878" s="1">
        <v>45034</v>
      </c>
      <c r="I1878">
        <v>14</v>
      </c>
      <c r="J1878">
        <v>1</v>
      </c>
      <c r="K1878">
        <v>2909</v>
      </c>
      <c r="L1878">
        <v>1455</v>
      </c>
      <c r="M1878">
        <v>30547</v>
      </c>
      <c r="N1878">
        <v>1455</v>
      </c>
      <c r="O1878">
        <v>33457</v>
      </c>
    </row>
    <row r="1879" spans="1:15" x14ac:dyDescent="0.35">
      <c r="A1879">
        <v>1878</v>
      </c>
      <c r="B1879" s="2" t="s">
        <v>31</v>
      </c>
      <c r="C1879" s="2" t="s">
        <v>11</v>
      </c>
      <c r="D1879">
        <v>34</v>
      </c>
      <c r="E1879" s="2" t="s">
        <v>12</v>
      </c>
      <c r="F1879" s="2" t="s">
        <v>19</v>
      </c>
      <c r="G1879">
        <v>53682</v>
      </c>
      <c r="H1879" s="1">
        <v>45496</v>
      </c>
      <c r="I1879">
        <v>6</v>
      </c>
      <c r="J1879">
        <v>4</v>
      </c>
      <c r="K1879">
        <v>5368</v>
      </c>
      <c r="L1879">
        <v>2684</v>
      </c>
      <c r="M1879">
        <v>56366</v>
      </c>
      <c r="N1879">
        <v>2684</v>
      </c>
      <c r="O1879">
        <v>61734</v>
      </c>
    </row>
    <row r="1880" spans="1:15" x14ac:dyDescent="0.35">
      <c r="A1880">
        <v>1879</v>
      </c>
      <c r="B1880" s="2" t="s">
        <v>18</v>
      </c>
      <c r="C1880" s="2" t="s">
        <v>15</v>
      </c>
      <c r="D1880">
        <v>32</v>
      </c>
      <c r="E1880" s="2" t="s">
        <v>24</v>
      </c>
      <c r="F1880" s="2" t="s">
        <v>17</v>
      </c>
      <c r="G1880">
        <v>90410</v>
      </c>
      <c r="H1880" s="1">
        <v>45091</v>
      </c>
      <c r="I1880">
        <v>12</v>
      </c>
      <c r="J1880">
        <v>3</v>
      </c>
      <c r="K1880">
        <v>9041</v>
      </c>
      <c r="L1880">
        <v>4520</v>
      </c>
      <c r="M1880">
        <v>94931</v>
      </c>
      <c r="N1880">
        <v>4520</v>
      </c>
      <c r="O1880">
        <v>103971</v>
      </c>
    </row>
    <row r="1881" spans="1:15" x14ac:dyDescent="0.35">
      <c r="A1881">
        <v>1880</v>
      </c>
      <c r="B1881" s="2" t="s">
        <v>18</v>
      </c>
      <c r="C1881" s="2" t="s">
        <v>15</v>
      </c>
      <c r="D1881">
        <v>57</v>
      </c>
      <c r="E1881" s="2" t="s">
        <v>16</v>
      </c>
      <c r="F1881" s="2" t="s">
        <v>25</v>
      </c>
      <c r="G1881">
        <v>48136</v>
      </c>
      <c r="H1881" s="1">
        <v>45327</v>
      </c>
      <c r="I1881">
        <v>15</v>
      </c>
      <c r="J1881">
        <v>2</v>
      </c>
      <c r="K1881">
        <v>4814</v>
      </c>
      <c r="L1881">
        <v>2407</v>
      </c>
      <c r="M1881">
        <v>50543</v>
      </c>
      <c r="N1881">
        <v>2407</v>
      </c>
      <c r="O1881">
        <v>55357</v>
      </c>
    </row>
    <row r="1882" spans="1:15" x14ac:dyDescent="0.35">
      <c r="A1882">
        <v>1881</v>
      </c>
      <c r="B1882" s="2" t="s">
        <v>18</v>
      </c>
      <c r="C1882" s="2" t="s">
        <v>15</v>
      </c>
      <c r="D1882">
        <v>22</v>
      </c>
      <c r="E1882" s="2" t="s">
        <v>28</v>
      </c>
      <c r="F1882" s="2" t="s">
        <v>21</v>
      </c>
      <c r="G1882">
        <v>67004</v>
      </c>
      <c r="H1882" s="1">
        <v>44716</v>
      </c>
      <c r="I1882">
        <v>19</v>
      </c>
      <c r="J1882">
        <v>2</v>
      </c>
      <c r="K1882">
        <v>6700</v>
      </c>
      <c r="L1882">
        <v>3350</v>
      </c>
      <c r="M1882">
        <v>70354</v>
      </c>
      <c r="N1882">
        <v>3350</v>
      </c>
      <c r="O1882">
        <v>77054</v>
      </c>
    </row>
    <row r="1883" spans="1:15" x14ac:dyDescent="0.35">
      <c r="A1883">
        <v>1882</v>
      </c>
      <c r="B1883" s="2" t="s">
        <v>26</v>
      </c>
      <c r="C1883" s="2" t="s">
        <v>15</v>
      </c>
      <c r="D1883">
        <v>31</v>
      </c>
      <c r="E1883" s="2" t="s">
        <v>29</v>
      </c>
      <c r="F1883" s="2" t="s">
        <v>25</v>
      </c>
      <c r="G1883">
        <v>90947</v>
      </c>
      <c r="H1883" s="1">
        <v>44845</v>
      </c>
      <c r="I1883">
        <v>19</v>
      </c>
      <c r="J1883">
        <v>2</v>
      </c>
      <c r="K1883">
        <v>9095</v>
      </c>
      <c r="L1883">
        <v>4547</v>
      </c>
      <c r="M1883">
        <v>95495</v>
      </c>
      <c r="N1883">
        <v>4547</v>
      </c>
      <c r="O1883">
        <v>104589</v>
      </c>
    </row>
    <row r="1884" spans="1:15" x14ac:dyDescent="0.35">
      <c r="A1884">
        <v>1883</v>
      </c>
      <c r="B1884" s="2" t="s">
        <v>31</v>
      </c>
      <c r="C1884" s="2" t="s">
        <v>11</v>
      </c>
      <c r="D1884">
        <v>28</v>
      </c>
      <c r="E1884" s="2" t="s">
        <v>12</v>
      </c>
      <c r="F1884" s="2" t="s">
        <v>19</v>
      </c>
      <c r="G1884">
        <v>40562</v>
      </c>
      <c r="H1884" s="1">
        <v>45461</v>
      </c>
      <c r="I1884">
        <v>11</v>
      </c>
      <c r="J1884">
        <v>5</v>
      </c>
      <c r="K1884">
        <v>4056</v>
      </c>
      <c r="L1884">
        <v>2028</v>
      </c>
      <c r="M1884">
        <v>42590</v>
      </c>
      <c r="N1884">
        <v>2028</v>
      </c>
      <c r="O1884">
        <v>46646</v>
      </c>
    </row>
    <row r="1885" spans="1:15" x14ac:dyDescent="0.35">
      <c r="A1885">
        <v>1884</v>
      </c>
      <c r="B1885" s="2" t="s">
        <v>30</v>
      </c>
      <c r="C1885" s="2" t="s">
        <v>11</v>
      </c>
      <c r="D1885">
        <v>36</v>
      </c>
      <c r="E1885" s="2" t="s">
        <v>24</v>
      </c>
      <c r="F1885" s="2" t="s">
        <v>19</v>
      </c>
      <c r="G1885">
        <v>72232</v>
      </c>
      <c r="H1885" s="1">
        <v>45395</v>
      </c>
      <c r="I1885">
        <v>8</v>
      </c>
      <c r="J1885">
        <v>5</v>
      </c>
      <c r="K1885">
        <v>7223</v>
      </c>
      <c r="L1885">
        <v>3612</v>
      </c>
      <c r="M1885">
        <v>75843</v>
      </c>
      <c r="N1885">
        <v>3612</v>
      </c>
      <c r="O1885">
        <v>83067</v>
      </c>
    </row>
    <row r="1886" spans="1:15" x14ac:dyDescent="0.35">
      <c r="A1886">
        <v>1885</v>
      </c>
      <c r="B1886" s="2" t="s">
        <v>26</v>
      </c>
      <c r="C1886" s="2" t="s">
        <v>11</v>
      </c>
      <c r="D1886">
        <v>49</v>
      </c>
      <c r="E1886" s="2" t="s">
        <v>12</v>
      </c>
      <c r="F1886" s="2" t="s">
        <v>19</v>
      </c>
      <c r="G1886">
        <v>77889</v>
      </c>
      <c r="H1886" s="1">
        <v>44821</v>
      </c>
      <c r="I1886">
        <v>14</v>
      </c>
      <c r="J1886">
        <v>2</v>
      </c>
      <c r="K1886">
        <v>7789</v>
      </c>
      <c r="L1886">
        <v>3894</v>
      </c>
      <c r="M1886">
        <v>81784</v>
      </c>
      <c r="N1886">
        <v>3894</v>
      </c>
      <c r="O1886">
        <v>89572</v>
      </c>
    </row>
    <row r="1887" spans="1:15" x14ac:dyDescent="0.35">
      <c r="A1887">
        <v>1886</v>
      </c>
      <c r="B1887" s="2" t="s">
        <v>14</v>
      </c>
      <c r="C1887" s="2" t="s">
        <v>11</v>
      </c>
      <c r="D1887">
        <v>35</v>
      </c>
      <c r="E1887" s="2" t="s">
        <v>24</v>
      </c>
      <c r="F1887" s="2" t="s">
        <v>17</v>
      </c>
      <c r="G1887">
        <v>78387</v>
      </c>
      <c r="H1887" s="1">
        <v>45132</v>
      </c>
      <c r="I1887">
        <v>16</v>
      </c>
      <c r="J1887">
        <v>4</v>
      </c>
      <c r="K1887">
        <v>7839</v>
      </c>
      <c r="L1887">
        <v>3919</v>
      </c>
      <c r="M1887">
        <v>82307</v>
      </c>
      <c r="N1887">
        <v>3919</v>
      </c>
      <c r="O1887">
        <v>90145</v>
      </c>
    </row>
    <row r="1888" spans="1:15" x14ac:dyDescent="0.35">
      <c r="A1888">
        <v>1887</v>
      </c>
      <c r="B1888" s="2" t="s">
        <v>22</v>
      </c>
      <c r="C1888" s="2" t="s">
        <v>15</v>
      </c>
      <c r="D1888">
        <v>50</v>
      </c>
      <c r="E1888" s="2" t="s">
        <v>24</v>
      </c>
      <c r="F1888" s="2" t="s">
        <v>17</v>
      </c>
      <c r="G1888">
        <v>50138</v>
      </c>
      <c r="H1888" s="1">
        <v>45420</v>
      </c>
      <c r="I1888">
        <v>16</v>
      </c>
      <c r="J1888">
        <v>5</v>
      </c>
      <c r="K1888">
        <v>5014</v>
      </c>
      <c r="L1888">
        <v>2507</v>
      </c>
      <c r="M1888">
        <v>52645</v>
      </c>
      <c r="N1888">
        <v>2507</v>
      </c>
      <c r="O1888">
        <v>57659</v>
      </c>
    </row>
    <row r="1889" spans="1:15" x14ac:dyDescent="0.35">
      <c r="A1889">
        <v>1888</v>
      </c>
      <c r="B1889" s="2" t="s">
        <v>23</v>
      </c>
      <c r="C1889" s="2" t="s">
        <v>11</v>
      </c>
      <c r="D1889">
        <v>60</v>
      </c>
      <c r="E1889" s="2" t="s">
        <v>12</v>
      </c>
      <c r="F1889" s="2" t="s">
        <v>21</v>
      </c>
      <c r="G1889">
        <v>20298</v>
      </c>
      <c r="H1889" s="1">
        <v>45042</v>
      </c>
      <c r="I1889">
        <v>18</v>
      </c>
      <c r="J1889">
        <v>1</v>
      </c>
      <c r="K1889">
        <v>2030</v>
      </c>
      <c r="L1889">
        <v>1015</v>
      </c>
      <c r="M1889">
        <v>21313</v>
      </c>
      <c r="N1889">
        <v>1015</v>
      </c>
      <c r="O1889">
        <v>23343</v>
      </c>
    </row>
    <row r="1890" spans="1:15" x14ac:dyDescent="0.35">
      <c r="A1890">
        <v>1889</v>
      </c>
      <c r="B1890" s="2" t="s">
        <v>27</v>
      </c>
      <c r="C1890" s="2" t="s">
        <v>15</v>
      </c>
      <c r="D1890">
        <v>35</v>
      </c>
      <c r="E1890" s="2" t="s">
        <v>16</v>
      </c>
      <c r="F1890" s="2" t="s">
        <v>25</v>
      </c>
      <c r="G1890">
        <v>38424</v>
      </c>
      <c r="H1890" s="1">
        <v>45101</v>
      </c>
      <c r="I1890">
        <v>6</v>
      </c>
      <c r="J1890">
        <v>3</v>
      </c>
      <c r="K1890">
        <v>3842</v>
      </c>
      <c r="L1890">
        <v>1921</v>
      </c>
      <c r="M1890">
        <v>40345</v>
      </c>
      <c r="N1890">
        <v>1921</v>
      </c>
      <c r="O1890">
        <v>44187</v>
      </c>
    </row>
    <row r="1891" spans="1:15" x14ac:dyDescent="0.35">
      <c r="A1891">
        <v>1890</v>
      </c>
      <c r="B1891" s="2" t="s">
        <v>20</v>
      </c>
      <c r="C1891" s="2" t="s">
        <v>15</v>
      </c>
      <c r="D1891">
        <v>22</v>
      </c>
      <c r="E1891" s="2" t="s">
        <v>28</v>
      </c>
      <c r="F1891" s="2" t="s">
        <v>25</v>
      </c>
      <c r="G1891">
        <v>23434</v>
      </c>
      <c r="H1891" s="1">
        <v>44854</v>
      </c>
      <c r="I1891">
        <v>11</v>
      </c>
      <c r="J1891">
        <v>4</v>
      </c>
      <c r="K1891">
        <v>2343</v>
      </c>
      <c r="L1891">
        <v>1172</v>
      </c>
      <c r="M1891">
        <v>24605</v>
      </c>
      <c r="N1891">
        <v>1172</v>
      </c>
      <c r="O1891">
        <v>26949</v>
      </c>
    </row>
    <row r="1892" spans="1:15" x14ac:dyDescent="0.35">
      <c r="A1892">
        <v>1891</v>
      </c>
      <c r="B1892" s="2" t="s">
        <v>22</v>
      </c>
      <c r="C1892" s="2" t="s">
        <v>15</v>
      </c>
      <c r="D1892">
        <v>31</v>
      </c>
      <c r="E1892" s="2" t="s">
        <v>24</v>
      </c>
      <c r="F1892" s="2" t="s">
        <v>19</v>
      </c>
      <c r="G1892">
        <v>57757</v>
      </c>
      <c r="H1892" s="1">
        <v>44783</v>
      </c>
      <c r="I1892">
        <v>4</v>
      </c>
      <c r="J1892">
        <v>2</v>
      </c>
      <c r="K1892">
        <v>5776</v>
      </c>
      <c r="L1892">
        <v>2888</v>
      </c>
      <c r="M1892">
        <v>60645</v>
      </c>
      <c r="N1892">
        <v>0</v>
      </c>
      <c r="O1892">
        <v>63533</v>
      </c>
    </row>
    <row r="1893" spans="1:15" x14ac:dyDescent="0.35">
      <c r="A1893">
        <v>1892</v>
      </c>
      <c r="B1893" s="2" t="s">
        <v>31</v>
      </c>
      <c r="C1893" s="2" t="s">
        <v>11</v>
      </c>
      <c r="D1893">
        <v>22</v>
      </c>
      <c r="E1893" s="2" t="s">
        <v>29</v>
      </c>
      <c r="F1893" s="2" t="s">
        <v>25</v>
      </c>
      <c r="G1893">
        <v>84970</v>
      </c>
      <c r="H1893" s="1">
        <v>45446</v>
      </c>
      <c r="I1893">
        <v>19</v>
      </c>
      <c r="J1893">
        <v>5</v>
      </c>
      <c r="K1893">
        <v>8497</v>
      </c>
      <c r="L1893">
        <v>4248</v>
      </c>
      <c r="M1893">
        <v>89219</v>
      </c>
      <c r="N1893">
        <v>4248</v>
      </c>
      <c r="O1893">
        <v>97715</v>
      </c>
    </row>
    <row r="1894" spans="1:15" x14ac:dyDescent="0.35">
      <c r="A1894">
        <v>1893</v>
      </c>
      <c r="B1894" s="2" t="s">
        <v>14</v>
      </c>
      <c r="C1894" s="2" t="s">
        <v>15</v>
      </c>
      <c r="D1894">
        <v>60</v>
      </c>
      <c r="E1894" s="2" t="s">
        <v>28</v>
      </c>
      <c r="F1894" s="2" t="s">
        <v>19</v>
      </c>
      <c r="G1894">
        <v>23149</v>
      </c>
      <c r="H1894" s="1">
        <v>44934</v>
      </c>
      <c r="I1894">
        <v>3</v>
      </c>
      <c r="J1894">
        <v>1</v>
      </c>
      <c r="K1894">
        <v>2315</v>
      </c>
      <c r="L1894">
        <v>1157</v>
      </c>
      <c r="M1894">
        <v>24307</v>
      </c>
      <c r="N1894">
        <v>0</v>
      </c>
      <c r="O1894">
        <v>25464</v>
      </c>
    </row>
    <row r="1895" spans="1:15" x14ac:dyDescent="0.35">
      <c r="A1895">
        <v>1894</v>
      </c>
      <c r="B1895" s="2" t="s">
        <v>26</v>
      </c>
      <c r="C1895" s="2" t="s">
        <v>11</v>
      </c>
      <c r="D1895">
        <v>53</v>
      </c>
      <c r="E1895" s="2" t="s">
        <v>24</v>
      </c>
      <c r="F1895" s="2" t="s">
        <v>13</v>
      </c>
      <c r="G1895">
        <v>31318</v>
      </c>
      <c r="H1895" s="1">
        <v>45300</v>
      </c>
      <c r="I1895">
        <v>14</v>
      </c>
      <c r="J1895">
        <v>3</v>
      </c>
      <c r="K1895">
        <v>3132</v>
      </c>
      <c r="L1895">
        <v>1566</v>
      </c>
      <c r="M1895">
        <v>32884</v>
      </c>
      <c r="N1895">
        <v>1566</v>
      </c>
      <c r="O1895">
        <v>36016</v>
      </c>
    </row>
    <row r="1896" spans="1:15" x14ac:dyDescent="0.35">
      <c r="A1896">
        <v>1895</v>
      </c>
      <c r="B1896" s="2" t="s">
        <v>14</v>
      </c>
      <c r="C1896" s="2" t="s">
        <v>11</v>
      </c>
      <c r="D1896">
        <v>48</v>
      </c>
      <c r="E1896" s="2" t="s">
        <v>28</v>
      </c>
      <c r="F1896" s="2" t="s">
        <v>19</v>
      </c>
      <c r="G1896">
        <v>70341</v>
      </c>
      <c r="H1896" s="1">
        <v>44998</v>
      </c>
      <c r="I1896">
        <v>10</v>
      </c>
      <c r="J1896">
        <v>3</v>
      </c>
      <c r="K1896">
        <v>7034</v>
      </c>
      <c r="L1896">
        <v>3517</v>
      </c>
      <c r="M1896">
        <v>73858</v>
      </c>
      <c r="N1896">
        <v>3517</v>
      </c>
      <c r="O1896">
        <v>80892</v>
      </c>
    </row>
    <row r="1897" spans="1:15" x14ac:dyDescent="0.35">
      <c r="A1897">
        <v>1896</v>
      </c>
      <c r="B1897" s="2" t="s">
        <v>31</v>
      </c>
      <c r="C1897" s="2" t="s">
        <v>11</v>
      </c>
      <c r="D1897">
        <v>60</v>
      </c>
      <c r="E1897" s="2" t="s">
        <v>24</v>
      </c>
      <c r="F1897" s="2" t="s">
        <v>17</v>
      </c>
      <c r="G1897">
        <v>21208</v>
      </c>
      <c r="H1897" s="1">
        <v>45512</v>
      </c>
      <c r="I1897">
        <v>18</v>
      </c>
      <c r="J1897">
        <v>5</v>
      </c>
      <c r="K1897">
        <v>2121</v>
      </c>
      <c r="L1897">
        <v>1060</v>
      </c>
      <c r="M1897">
        <v>22269</v>
      </c>
      <c r="N1897">
        <v>1060</v>
      </c>
      <c r="O1897">
        <v>24389</v>
      </c>
    </row>
    <row r="1898" spans="1:15" x14ac:dyDescent="0.35">
      <c r="A1898">
        <v>1897</v>
      </c>
      <c r="B1898" s="2" t="s">
        <v>23</v>
      </c>
      <c r="C1898" s="2" t="s">
        <v>15</v>
      </c>
      <c r="D1898">
        <v>21</v>
      </c>
      <c r="E1898" s="2" t="s">
        <v>24</v>
      </c>
      <c r="F1898" s="2" t="s">
        <v>25</v>
      </c>
      <c r="G1898">
        <v>71909</v>
      </c>
      <c r="H1898" s="1">
        <v>45191</v>
      </c>
      <c r="I1898">
        <v>17</v>
      </c>
      <c r="J1898">
        <v>5</v>
      </c>
      <c r="K1898">
        <v>7191</v>
      </c>
      <c r="L1898">
        <v>3595</v>
      </c>
      <c r="M1898">
        <v>75505</v>
      </c>
      <c r="N1898">
        <v>3595</v>
      </c>
      <c r="O1898">
        <v>82695</v>
      </c>
    </row>
    <row r="1899" spans="1:15" x14ac:dyDescent="0.35">
      <c r="A1899">
        <v>1898</v>
      </c>
      <c r="B1899" s="2" t="s">
        <v>20</v>
      </c>
      <c r="C1899" s="2" t="s">
        <v>15</v>
      </c>
      <c r="D1899">
        <v>25</v>
      </c>
      <c r="E1899" s="2" t="s">
        <v>29</v>
      </c>
      <c r="F1899" s="2" t="s">
        <v>25</v>
      </c>
      <c r="G1899">
        <v>95812</v>
      </c>
      <c r="H1899" s="1">
        <v>44587</v>
      </c>
      <c r="I1899">
        <v>2</v>
      </c>
      <c r="J1899">
        <v>2</v>
      </c>
      <c r="K1899">
        <v>9581</v>
      </c>
      <c r="L1899">
        <v>4791</v>
      </c>
      <c r="M1899">
        <v>100602</v>
      </c>
      <c r="N1899">
        <v>0</v>
      </c>
      <c r="O1899">
        <v>105393</v>
      </c>
    </row>
    <row r="1900" spans="1:15" x14ac:dyDescent="0.35">
      <c r="A1900">
        <v>1899</v>
      </c>
      <c r="B1900" s="2" t="s">
        <v>22</v>
      </c>
      <c r="C1900" s="2" t="s">
        <v>11</v>
      </c>
      <c r="D1900">
        <v>56</v>
      </c>
      <c r="E1900" s="2" t="s">
        <v>29</v>
      </c>
      <c r="F1900" s="2" t="s">
        <v>17</v>
      </c>
      <c r="G1900">
        <v>37201</v>
      </c>
      <c r="H1900" s="1">
        <v>44771</v>
      </c>
      <c r="I1900">
        <v>2</v>
      </c>
      <c r="J1900">
        <v>5</v>
      </c>
      <c r="K1900">
        <v>3720</v>
      </c>
      <c r="L1900">
        <v>1860</v>
      </c>
      <c r="M1900">
        <v>39061</v>
      </c>
      <c r="N1900">
        <v>0</v>
      </c>
      <c r="O1900">
        <v>40921</v>
      </c>
    </row>
    <row r="1901" spans="1:15" x14ac:dyDescent="0.35">
      <c r="A1901">
        <v>1900</v>
      </c>
      <c r="B1901" s="2" t="s">
        <v>30</v>
      </c>
      <c r="C1901" s="2" t="s">
        <v>15</v>
      </c>
      <c r="D1901">
        <v>60</v>
      </c>
      <c r="E1901" s="2" t="s">
        <v>24</v>
      </c>
      <c r="F1901" s="2" t="s">
        <v>17</v>
      </c>
      <c r="G1901">
        <v>28269</v>
      </c>
      <c r="H1901" s="1">
        <v>45351</v>
      </c>
      <c r="I1901">
        <v>4</v>
      </c>
      <c r="J1901">
        <v>1</v>
      </c>
      <c r="K1901">
        <v>2827</v>
      </c>
      <c r="L1901">
        <v>1413</v>
      </c>
      <c r="M1901">
        <v>29683</v>
      </c>
      <c r="N1901">
        <v>0</v>
      </c>
      <c r="O1901">
        <v>31096</v>
      </c>
    </row>
    <row r="1902" spans="1:15" x14ac:dyDescent="0.35">
      <c r="A1902">
        <v>1901</v>
      </c>
      <c r="B1902" s="2" t="s">
        <v>10</v>
      </c>
      <c r="C1902" s="2" t="s">
        <v>11</v>
      </c>
      <c r="D1902">
        <v>26</v>
      </c>
      <c r="E1902" s="2" t="s">
        <v>24</v>
      </c>
      <c r="F1902" s="2" t="s">
        <v>21</v>
      </c>
      <c r="G1902">
        <v>26335</v>
      </c>
      <c r="H1902" s="1">
        <v>44607</v>
      </c>
      <c r="I1902">
        <v>1</v>
      </c>
      <c r="J1902">
        <v>1</v>
      </c>
      <c r="K1902">
        <v>2634</v>
      </c>
      <c r="L1902">
        <v>1317</v>
      </c>
      <c r="M1902">
        <v>27652</v>
      </c>
      <c r="N1902">
        <v>0</v>
      </c>
      <c r="O1902">
        <v>28969</v>
      </c>
    </row>
    <row r="1903" spans="1:15" x14ac:dyDescent="0.35">
      <c r="A1903">
        <v>1902</v>
      </c>
      <c r="B1903" s="2" t="s">
        <v>14</v>
      </c>
      <c r="C1903" s="2" t="s">
        <v>11</v>
      </c>
      <c r="D1903">
        <v>29</v>
      </c>
      <c r="E1903" s="2" t="s">
        <v>16</v>
      </c>
      <c r="F1903" s="2" t="s">
        <v>13</v>
      </c>
      <c r="G1903">
        <v>77974</v>
      </c>
      <c r="H1903" s="1">
        <v>45056</v>
      </c>
      <c r="I1903">
        <v>19</v>
      </c>
      <c r="J1903">
        <v>4</v>
      </c>
      <c r="K1903">
        <v>7797</v>
      </c>
      <c r="L1903">
        <v>3899</v>
      </c>
      <c r="M1903">
        <v>81872</v>
      </c>
      <c r="N1903">
        <v>3899</v>
      </c>
      <c r="O1903">
        <v>89670</v>
      </c>
    </row>
    <row r="1904" spans="1:15" x14ac:dyDescent="0.35">
      <c r="A1904">
        <v>1903</v>
      </c>
      <c r="B1904" s="2" t="s">
        <v>27</v>
      </c>
      <c r="C1904" s="2" t="s">
        <v>15</v>
      </c>
      <c r="D1904">
        <v>35</v>
      </c>
      <c r="E1904" s="2" t="s">
        <v>16</v>
      </c>
      <c r="F1904" s="2" t="s">
        <v>21</v>
      </c>
      <c r="G1904">
        <v>33933</v>
      </c>
      <c r="H1904" s="1">
        <v>45402</v>
      </c>
      <c r="I1904">
        <v>1</v>
      </c>
      <c r="J1904">
        <v>2</v>
      </c>
      <c r="K1904">
        <v>3393</v>
      </c>
      <c r="L1904">
        <v>1697</v>
      </c>
      <c r="M1904">
        <v>35629</v>
      </c>
      <c r="N1904">
        <v>0</v>
      </c>
      <c r="O1904">
        <v>37326</v>
      </c>
    </row>
    <row r="1905" spans="1:15" x14ac:dyDescent="0.35">
      <c r="A1905">
        <v>1904</v>
      </c>
      <c r="B1905" s="2" t="s">
        <v>10</v>
      </c>
      <c r="C1905" s="2" t="s">
        <v>15</v>
      </c>
      <c r="D1905">
        <v>30</v>
      </c>
      <c r="E1905" s="2" t="s">
        <v>29</v>
      </c>
      <c r="F1905" s="2" t="s">
        <v>19</v>
      </c>
      <c r="G1905">
        <v>28959</v>
      </c>
      <c r="H1905" s="1">
        <v>44849</v>
      </c>
      <c r="I1905">
        <v>17</v>
      </c>
      <c r="J1905">
        <v>5</v>
      </c>
      <c r="K1905">
        <v>2896</v>
      </c>
      <c r="L1905">
        <v>1448</v>
      </c>
      <c r="M1905">
        <v>30407</v>
      </c>
      <c r="N1905">
        <v>1448</v>
      </c>
      <c r="O1905">
        <v>33303</v>
      </c>
    </row>
    <row r="1906" spans="1:15" x14ac:dyDescent="0.35">
      <c r="A1906">
        <v>1905</v>
      </c>
      <c r="B1906" s="2" t="s">
        <v>22</v>
      </c>
      <c r="C1906" s="2" t="s">
        <v>15</v>
      </c>
      <c r="D1906">
        <v>57</v>
      </c>
      <c r="E1906" s="2" t="s">
        <v>12</v>
      </c>
      <c r="F1906" s="2" t="s">
        <v>17</v>
      </c>
      <c r="G1906">
        <v>60976</v>
      </c>
      <c r="H1906" s="1">
        <v>45232</v>
      </c>
      <c r="I1906">
        <v>13</v>
      </c>
      <c r="J1906">
        <v>3</v>
      </c>
      <c r="K1906">
        <v>6098</v>
      </c>
      <c r="L1906">
        <v>3049</v>
      </c>
      <c r="M1906">
        <v>64025</v>
      </c>
      <c r="N1906">
        <v>3049</v>
      </c>
      <c r="O1906">
        <v>70123</v>
      </c>
    </row>
    <row r="1907" spans="1:15" x14ac:dyDescent="0.35">
      <c r="A1907">
        <v>1906</v>
      </c>
      <c r="B1907" s="2" t="s">
        <v>31</v>
      </c>
      <c r="C1907" s="2" t="s">
        <v>15</v>
      </c>
      <c r="D1907">
        <v>49</v>
      </c>
      <c r="E1907" s="2" t="s">
        <v>16</v>
      </c>
      <c r="F1907" s="2" t="s">
        <v>19</v>
      </c>
      <c r="G1907">
        <v>84191</v>
      </c>
      <c r="H1907" s="1">
        <v>45301</v>
      </c>
      <c r="I1907">
        <v>8</v>
      </c>
      <c r="J1907">
        <v>4</v>
      </c>
      <c r="K1907">
        <v>8419</v>
      </c>
      <c r="L1907">
        <v>4210</v>
      </c>
      <c r="M1907">
        <v>88400</v>
      </c>
      <c r="N1907">
        <v>4210</v>
      </c>
      <c r="O1907">
        <v>96820</v>
      </c>
    </row>
    <row r="1908" spans="1:15" x14ac:dyDescent="0.35">
      <c r="A1908">
        <v>1907</v>
      </c>
      <c r="B1908" s="2" t="s">
        <v>26</v>
      </c>
      <c r="C1908" s="2" t="s">
        <v>11</v>
      </c>
      <c r="D1908">
        <v>40</v>
      </c>
      <c r="E1908" s="2" t="s">
        <v>16</v>
      </c>
      <c r="F1908" s="2" t="s">
        <v>13</v>
      </c>
      <c r="G1908">
        <v>27499</v>
      </c>
      <c r="H1908" s="1">
        <v>45199</v>
      </c>
      <c r="I1908">
        <v>10</v>
      </c>
      <c r="J1908">
        <v>4</v>
      </c>
      <c r="K1908">
        <v>2750</v>
      </c>
      <c r="L1908">
        <v>1375</v>
      </c>
      <c r="M1908">
        <v>28874</v>
      </c>
      <c r="N1908">
        <v>1375</v>
      </c>
      <c r="O1908">
        <v>31624</v>
      </c>
    </row>
    <row r="1909" spans="1:15" x14ac:dyDescent="0.35">
      <c r="A1909">
        <v>1908</v>
      </c>
      <c r="B1909" s="2" t="s">
        <v>30</v>
      </c>
      <c r="C1909" s="2" t="s">
        <v>15</v>
      </c>
      <c r="D1909">
        <v>21</v>
      </c>
      <c r="E1909" s="2" t="s">
        <v>28</v>
      </c>
      <c r="F1909" s="2" t="s">
        <v>13</v>
      </c>
      <c r="G1909">
        <v>88952</v>
      </c>
      <c r="H1909" s="1">
        <v>44947</v>
      </c>
      <c r="I1909">
        <v>17</v>
      </c>
      <c r="J1909">
        <v>1</v>
      </c>
      <c r="K1909">
        <v>8895</v>
      </c>
      <c r="L1909">
        <v>4448</v>
      </c>
      <c r="M1909">
        <v>93399</v>
      </c>
      <c r="N1909">
        <v>4448</v>
      </c>
      <c r="O1909">
        <v>102295</v>
      </c>
    </row>
    <row r="1910" spans="1:15" x14ac:dyDescent="0.35">
      <c r="A1910">
        <v>1909</v>
      </c>
      <c r="B1910" s="2" t="s">
        <v>23</v>
      </c>
      <c r="C1910" s="2" t="s">
        <v>15</v>
      </c>
      <c r="D1910">
        <v>27</v>
      </c>
      <c r="E1910" s="2" t="s">
        <v>24</v>
      </c>
      <c r="F1910" s="2" t="s">
        <v>19</v>
      </c>
      <c r="G1910">
        <v>20666</v>
      </c>
      <c r="H1910" s="1">
        <v>45555</v>
      </c>
      <c r="I1910">
        <v>13</v>
      </c>
      <c r="J1910">
        <v>1</v>
      </c>
      <c r="K1910">
        <v>2067</v>
      </c>
      <c r="L1910">
        <v>1033</v>
      </c>
      <c r="M1910">
        <v>21700</v>
      </c>
      <c r="N1910">
        <v>1033</v>
      </c>
      <c r="O1910">
        <v>23766</v>
      </c>
    </row>
    <row r="1911" spans="1:15" x14ac:dyDescent="0.35">
      <c r="A1911">
        <v>1910</v>
      </c>
      <c r="B1911" s="2" t="s">
        <v>31</v>
      </c>
      <c r="C1911" s="2" t="s">
        <v>15</v>
      </c>
      <c r="D1911">
        <v>49</v>
      </c>
      <c r="E1911" s="2" t="s">
        <v>28</v>
      </c>
      <c r="F1911" s="2" t="s">
        <v>19</v>
      </c>
      <c r="G1911">
        <v>78976</v>
      </c>
      <c r="H1911" s="1">
        <v>44756</v>
      </c>
      <c r="I1911">
        <v>17</v>
      </c>
      <c r="J1911">
        <v>1</v>
      </c>
      <c r="K1911">
        <v>7898</v>
      </c>
      <c r="L1911">
        <v>3949</v>
      </c>
      <c r="M1911">
        <v>82925</v>
      </c>
      <c r="N1911">
        <v>3949</v>
      </c>
      <c r="O1911">
        <v>90823</v>
      </c>
    </row>
    <row r="1912" spans="1:15" x14ac:dyDescent="0.35">
      <c r="A1912">
        <v>1911</v>
      </c>
      <c r="B1912" s="2" t="s">
        <v>31</v>
      </c>
      <c r="C1912" s="2" t="s">
        <v>11</v>
      </c>
      <c r="D1912">
        <v>40</v>
      </c>
      <c r="E1912" s="2" t="s">
        <v>28</v>
      </c>
      <c r="F1912" s="2" t="s">
        <v>17</v>
      </c>
      <c r="G1912">
        <v>91760</v>
      </c>
      <c r="H1912" s="1">
        <v>45369</v>
      </c>
      <c r="I1912">
        <v>4</v>
      </c>
      <c r="J1912">
        <v>1</v>
      </c>
      <c r="K1912">
        <v>9176</v>
      </c>
      <c r="L1912">
        <v>4588</v>
      </c>
      <c r="M1912">
        <v>96348</v>
      </c>
      <c r="N1912">
        <v>0</v>
      </c>
      <c r="O1912">
        <v>100936</v>
      </c>
    </row>
    <row r="1913" spans="1:15" x14ac:dyDescent="0.35">
      <c r="A1913">
        <v>1912</v>
      </c>
      <c r="B1913" s="2" t="s">
        <v>27</v>
      </c>
      <c r="C1913" s="2" t="s">
        <v>11</v>
      </c>
      <c r="D1913">
        <v>55</v>
      </c>
      <c r="E1913" s="2" t="s">
        <v>12</v>
      </c>
      <c r="F1913" s="2" t="s">
        <v>25</v>
      </c>
      <c r="G1913">
        <v>71298</v>
      </c>
      <c r="H1913" s="1">
        <v>44772</v>
      </c>
      <c r="I1913">
        <v>3</v>
      </c>
      <c r="J1913">
        <v>5</v>
      </c>
      <c r="K1913">
        <v>7130</v>
      </c>
      <c r="L1913">
        <v>3565</v>
      </c>
      <c r="M1913">
        <v>74863</v>
      </c>
      <c r="N1913">
        <v>0</v>
      </c>
      <c r="O1913">
        <v>78428</v>
      </c>
    </row>
    <row r="1914" spans="1:15" x14ac:dyDescent="0.35">
      <c r="A1914">
        <v>1913</v>
      </c>
      <c r="B1914" s="2" t="s">
        <v>30</v>
      </c>
      <c r="C1914" s="2" t="s">
        <v>15</v>
      </c>
      <c r="D1914">
        <v>34</v>
      </c>
      <c r="E1914" s="2" t="s">
        <v>29</v>
      </c>
      <c r="F1914" s="2" t="s">
        <v>19</v>
      </c>
      <c r="G1914">
        <v>96761</v>
      </c>
      <c r="H1914" s="1">
        <v>45181</v>
      </c>
      <c r="I1914">
        <v>19</v>
      </c>
      <c r="J1914">
        <v>5</v>
      </c>
      <c r="K1914">
        <v>9676</v>
      </c>
      <c r="L1914">
        <v>4838</v>
      </c>
      <c r="M1914">
        <v>101599</v>
      </c>
      <c r="N1914">
        <v>4838</v>
      </c>
      <c r="O1914">
        <v>111275</v>
      </c>
    </row>
    <row r="1915" spans="1:15" x14ac:dyDescent="0.35">
      <c r="A1915">
        <v>1914</v>
      </c>
      <c r="B1915" s="2" t="s">
        <v>20</v>
      </c>
      <c r="C1915" s="2" t="s">
        <v>15</v>
      </c>
      <c r="D1915">
        <v>43</v>
      </c>
      <c r="E1915" s="2" t="s">
        <v>16</v>
      </c>
      <c r="F1915" s="2" t="s">
        <v>25</v>
      </c>
      <c r="G1915">
        <v>87786</v>
      </c>
      <c r="H1915" s="1">
        <v>45505</v>
      </c>
      <c r="I1915">
        <v>20</v>
      </c>
      <c r="J1915">
        <v>5</v>
      </c>
      <c r="K1915">
        <v>8779</v>
      </c>
      <c r="L1915">
        <v>4389</v>
      </c>
      <c r="M1915">
        <v>92176</v>
      </c>
      <c r="N1915">
        <v>4389</v>
      </c>
      <c r="O1915">
        <v>100954</v>
      </c>
    </row>
    <row r="1916" spans="1:15" x14ac:dyDescent="0.35">
      <c r="A1916">
        <v>1915</v>
      </c>
      <c r="B1916" s="2" t="s">
        <v>20</v>
      </c>
      <c r="C1916" s="2" t="s">
        <v>15</v>
      </c>
      <c r="D1916">
        <v>54</v>
      </c>
      <c r="E1916" s="2" t="s">
        <v>28</v>
      </c>
      <c r="F1916" s="2" t="s">
        <v>13</v>
      </c>
      <c r="G1916">
        <v>94668</v>
      </c>
      <c r="H1916" s="1">
        <v>44645</v>
      </c>
      <c r="I1916">
        <v>17</v>
      </c>
      <c r="J1916">
        <v>3</v>
      </c>
      <c r="K1916">
        <v>9467</v>
      </c>
      <c r="L1916">
        <v>4733</v>
      </c>
      <c r="M1916">
        <v>99402</v>
      </c>
      <c r="N1916">
        <v>4733</v>
      </c>
      <c r="O1916">
        <v>108868</v>
      </c>
    </row>
    <row r="1917" spans="1:15" x14ac:dyDescent="0.35">
      <c r="A1917">
        <v>1916</v>
      </c>
      <c r="B1917" s="2" t="s">
        <v>14</v>
      </c>
      <c r="C1917" s="2" t="s">
        <v>15</v>
      </c>
      <c r="D1917">
        <v>58</v>
      </c>
      <c r="E1917" s="2" t="s">
        <v>16</v>
      </c>
      <c r="F1917" s="2" t="s">
        <v>25</v>
      </c>
      <c r="G1917">
        <v>38627</v>
      </c>
      <c r="H1917" s="1">
        <v>44782</v>
      </c>
      <c r="I1917">
        <v>2</v>
      </c>
      <c r="J1917">
        <v>3</v>
      </c>
      <c r="K1917">
        <v>3863</v>
      </c>
      <c r="L1917">
        <v>1931</v>
      </c>
      <c r="M1917">
        <v>40559</v>
      </c>
      <c r="N1917">
        <v>0</v>
      </c>
      <c r="O1917">
        <v>42490</v>
      </c>
    </row>
    <row r="1918" spans="1:15" x14ac:dyDescent="0.35">
      <c r="A1918">
        <v>1917</v>
      </c>
      <c r="B1918" s="2" t="s">
        <v>20</v>
      </c>
      <c r="C1918" s="2" t="s">
        <v>11</v>
      </c>
      <c r="D1918">
        <v>36</v>
      </c>
      <c r="E1918" s="2" t="s">
        <v>29</v>
      </c>
      <c r="F1918" s="2" t="s">
        <v>25</v>
      </c>
      <c r="G1918">
        <v>52064</v>
      </c>
      <c r="H1918" s="1">
        <v>44793</v>
      </c>
      <c r="I1918">
        <v>10</v>
      </c>
      <c r="J1918">
        <v>2</v>
      </c>
      <c r="K1918">
        <v>5206</v>
      </c>
      <c r="L1918">
        <v>2603</v>
      </c>
      <c r="M1918">
        <v>54667</v>
      </c>
      <c r="N1918">
        <v>2603</v>
      </c>
      <c r="O1918">
        <v>59873</v>
      </c>
    </row>
    <row r="1919" spans="1:15" x14ac:dyDescent="0.35">
      <c r="A1919">
        <v>1918</v>
      </c>
      <c r="B1919" s="2" t="s">
        <v>14</v>
      </c>
      <c r="C1919" s="2" t="s">
        <v>15</v>
      </c>
      <c r="D1919">
        <v>60</v>
      </c>
      <c r="E1919" s="2" t="s">
        <v>28</v>
      </c>
      <c r="F1919" s="2" t="s">
        <v>25</v>
      </c>
      <c r="G1919">
        <v>26623</v>
      </c>
      <c r="H1919" s="1">
        <v>45327</v>
      </c>
      <c r="I1919">
        <v>20</v>
      </c>
      <c r="J1919">
        <v>4</v>
      </c>
      <c r="K1919">
        <v>2662</v>
      </c>
      <c r="L1919">
        <v>1331</v>
      </c>
      <c r="M1919">
        <v>27954</v>
      </c>
      <c r="N1919">
        <v>1331</v>
      </c>
      <c r="O1919">
        <v>30616</v>
      </c>
    </row>
    <row r="1920" spans="1:15" x14ac:dyDescent="0.35">
      <c r="A1920">
        <v>1919</v>
      </c>
      <c r="B1920" s="2" t="s">
        <v>18</v>
      </c>
      <c r="C1920" s="2" t="s">
        <v>11</v>
      </c>
      <c r="D1920">
        <v>40</v>
      </c>
      <c r="E1920" s="2" t="s">
        <v>16</v>
      </c>
      <c r="F1920" s="2" t="s">
        <v>19</v>
      </c>
      <c r="G1920">
        <v>21969</v>
      </c>
      <c r="H1920" s="1">
        <v>45143</v>
      </c>
      <c r="I1920">
        <v>19</v>
      </c>
      <c r="J1920">
        <v>1</v>
      </c>
      <c r="K1920">
        <v>2197</v>
      </c>
      <c r="L1920">
        <v>1098</v>
      </c>
      <c r="M1920">
        <v>23068</v>
      </c>
      <c r="N1920">
        <v>1098</v>
      </c>
      <c r="O1920">
        <v>25264</v>
      </c>
    </row>
    <row r="1921" spans="1:15" x14ac:dyDescent="0.35">
      <c r="A1921">
        <v>1920</v>
      </c>
      <c r="B1921" s="2" t="s">
        <v>23</v>
      </c>
      <c r="C1921" s="2" t="s">
        <v>11</v>
      </c>
      <c r="D1921">
        <v>50</v>
      </c>
      <c r="E1921" s="2" t="s">
        <v>28</v>
      </c>
      <c r="F1921" s="2" t="s">
        <v>13</v>
      </c>
      <c r="G1921">
        <v>91695</v>
      </c>
      <c r="H1921" s="1">
        <v>45129</v>
      </c>
      <c r="I1921">
        <v>6</v>
      </c>
      <c r="J1921">
        <v>4</v>
      </c>
      <c r="K1921">
        <v>9170</v>
      </c>
      <c r="L1921">
        <v>4585</v>
      </c>
      <c r="M1921">
        <v>96280</v>
      </c>
      <c r="N1921">
        <v>4585</v>
      </c>
      <c r="O1921">
        <v>105450</v>
      </c>
    </row>
    <row r="1922" spans="1:15" x14ac:dyDescent="0.35">
      <c r="A1922">
        <v>1921</v>
      </c>
      <c r="B1922" s="2" t="s">
        <v>22</v>
      </c>
      <c r="C1922" s="2" t="s">
        <v>11</v>
      </c>
      <c r="D1922">
        <v>25</v>
      </c>
      <c r="E1922" s="2" t="s">
        <v>28</v>
      </c>
      <c r="F1922" s="2" t="s">
        <v>17</v>
      </c>
      <c r="G1922">
        <v>45045</v>
      </c>
      <c r="H1922" s="1">
        <v>45366</v>
      </c>
      <c r="I1922">
        <v>3</v>
      </c>
      <c r="J1922">
        <v>5</v>
      </c>
      <c r="K1922">
        <v>4504</v>
      </c>
      <c r="L1922">
        <v>2252</v>
      </c>
      <c r="M1922">
        <v>47297</v>
      </c>
      <c r="N1922">
        <v>0</v>
      </c>
      <c r="O1922">
        <v>49549</v>
      </c>
    </row>
    <row r="1923" spans="1:15" x14ac:dyDescent="0.35">
      <c r="A1923">
        <v>1922</v>
      </c>
      <c r="B1923" s="2" t="s">
        <v>20</v>
      </c>
      <c r="C1923" s="2" t="s">
        <v>15</v>
      </c>
      <c r="D1923">
        <v>36</v>
      </c>
      <c r="E1923" s="2" t="s">
        <v>28</v>
      </c>
      <c r="F1923" s="2" t="s">
        <v>19</v>
      </c>
      <c r="G1923">
        <v>84672</v>
      </c>
      <c r="H1923" s="1">
        <v>45204</v>
      </c>
      <c r="I1923">
        <v>18</v>
      </c>
      <c r="J1923">
        <v>4</v>
      </c>
      <c r="K1923">
        <v>8467</v>
      </c>
      <c r="L1923">
        <v>4234</v>
      </c>
      <c r="M1923">
        <v>88905</v>
      </c>
      <c r="N1923">
        <v>4234</v>
      </c>
      <c r="O1923">
        <v>97373</v>
      </c>
    </row>
    <row r="1924" spans="1:15" x14ac:dyDescent="0.35">
      <c r="A1924">
        <v>1923</v>
      </c>
      <c r="B1924" s="2" t="s">
        <v>22</v>
      </c>
      <c r="C1924" s="2" t="s">
        <v>11</v>
      </c>
      <c r="D1924">
        <v>31</v>
      </c>
      <c r="E1924" s="2" t="s">
        <v>28</v>
      </c>
      <c r="F1924" s="2" t="s">
        <v>19</v>
      </c>
      <c r="G1924">
        <v>78752</v>
      </c>
      <c r="H1924" s="1">
        <v>45218</v>
      </c>
      <c r="I1924">
        <v>4</v>
      </c>
      <c r="J1924">
        <v>4</v>
      </c>
      <c r="K1924">
        <v>7875</v>
      </c>
      <c r="L1924">
        <v>3938</v>
      </c>
      <c r="M1924">
        <v>82689</v>
      </c>
      <c r="N1924">
        <v>0</v>
      </c>
      <c r="O1924">
        <v>86627</v>
      </c>
    </row>
    <row r="1925" spans="1:15" x14ac:dyDescent="0.35">
      <c r="A1925">
        <v>1924</v>
      </c>
      <c r="B1925" s="2" t="s">
        <v>18</v>
      </c>
      <c r="C1925" s="2" t="s">
        <v>15</v>
      </c>
      <c r="D1925">
        <v>56</v>
      </c>
      <c r="E1925" s="2" t="s">
        <v>24</v>
      </c>
      <c r="F1925" s="2" t="s">
        <v>19</v>
      </c>
      <c r="G1925">
        <v>73578</v>
      </c>
      <c r="H1925" s="1">
        <v>45125</v>
      </c>
      <c r="I1925">
        <v>14</v>
      </c>
      <c r="J1925">
        <v>5</v>
      </c>
      <c r="K1925">
        <v>7358</v>
      </c>
      <c r="L1925">
        <v>3679</v>
      </c>
      <c r="M1925">
        <v>77257</v>
      </c>
      <c r="N1925">
        <v>3679</v>
      </c>
      <c r="O1925">
        <v>84615</v>
      </c>
    </row>
    <row r="1926" spans="1:15" x14ac:dyDescent="0.35">
      <c r="A1926">
        <v>1925</v>
      </c>
      <c r="B1926" s="2" t="s">
        <v>26</v>
      </c>
      <c r="C1926" s="2" t="s">
        <v>15</v>
      </c>
      <c r="D1926">
        <v>34</v>
      </c>
      <c r="E1926" s="2" t="s">
        <v>29</v>
      </c>
      <c r="F1926" s="2" t="s">
        <v>19</v>
      </c>
      <c r="G1926">
        <v>46196</v>
      </c>
      <c r="H1926" s="1">
        <v>45055</v>
      </c>
      <c r="I1926">
        <v>5</v>
      </c>
      <c r="J1926">
        <v>2</v>
      </c>
      <c r="K1926">
        <v>4620</v>
      </c>
      <c r="L1926">
        <v>2310</v>
      </c>
      <c r="M1926">
        <v>48506</v>
      </c>
      <c r="N1926">
        <v>0</v>
      </c>
      <c r="O1926">
        <v>50816</v>
      </c>
    </row>
    <row r="1927" spans="1:15" x14ac:dyDescent="0.35">
      <c r="A1927">
        <v>1926</v>
      </c>
      <c r="B1927" s="2" t="s">
        <v>30</v>
      </c>
      <c r="C1927" s="2" t="s">
        <v>11</v>
      </c>
      <c r="D1927">
        <v>60</v>
      </c>
      <c r="E1927" s="2" t="s">
        <v>29</v>
      </c>
      <c r="F1927" s="2" t="s">
        <v>21</v>
      </c>
      <c r="G1927">
        <v>53642</v>
      </c>
      <c r="H1927" s="1">
        <v>45186</v>
      </c>
      <c r="I1927">
        <v>3</v>
      </c>
      <c r="J1927">
        <v>5</v>
      </c>
      <c r="K1927">
        <v>5364</v>
      </c>
      <c r="L1927">
        <v>2682</v>
      </c>
      <c r="M1927">
        <v>56324</v>
      </c>
      <c r="N1927">
        <v>0</v>
      </c>
      <c r="O1927">
        <v>59006</v>
      </c>
    </row>
    <row r="1928" spans="1:15" x14ac:dyDescent="0.35">
      <c r="A1928">
        <v>1927</v>
      </c>
      <c r="B1928" s="2" t="s">
        <v>10</v>
      </c>
      <c r="C1928" s="2" t="s">
        <v>15</v>
      </c>
      <c r="D1928">
        <v>29</v>
      </c>
      <c r="E1928" s="2" t="s">
        <v>16</v>
      </c>
      <c r="F1928" s="2" t="s">
        <v>19</v>
      </c>
      <c r="G1928">
        <v>72590</v>
      </c>
      <c r="H1928" s="1">
        <v>45429</v>
      </c>
      <c r="I1928">
        <v>19</v>
      </c>
      <c r="J1928">
        <v>5</v>
      </c>
      <c r="K1928">
        <v>7259</v>
      </c>
      <c r="L1928">
        <v>3630</v>
      </c>
      <c r="M1928">
        <v>76219</v>
      </c>
      <c r="N1928">
        <v>3630</v>
      </c>
      <c r="O1928">
        <v>83479</v>
      </c>
    </row>
    <row r="1929" spans="1:15" x14ac:dyDescent="0.35">
      <c r="A1929">
        <v>1928</v>
      </c>
      <c r="B1929" s="2" t="s">
        <v>26</v>
      </c>
      <c r="C1929" s="2" t="s">
        <v>11</v>
      </c>
      <c r="D1929">
        <v>25</v>
      </c>
      <c r="E1929" s="2" t="s">
        <v>12</v>
      </c>
      <c r="F1929" s="2" t="s">
        <v>13</v>
      </c>
      <c r="G1929">
        <v>98144</v>
      </c>
      <c r="H1929" s="1">
        <v>45499</v>
      </c>
      <c r="I1929">
        <v>2</v>
      </c>
      <c r="J1929">
        <v>2</v>
      </c>
      <c r="K1929">
        <v>9814</v>
      </c>
      <c r="L1929">
        <v>4907</v>
      </c>
      <c r="M1929">
        <v>103051</v>
      </c>
      <c r="N1929">
        <v>0</v>
      </c>
      <c r="O1929">
        <v>107958</v>
      </c>
    </row>
    <row r="1930" spans="1:15" x14ac:dyDescent="0.35">
      <c r="A1930">
        <v>1929</v>
      </c>
      <c r="B1930" s="2" t="s">
        <v>26</v>
      </c>
      <c r="C1930" s="2" t="s">
        <v>11</v>
      </c>
      <c r="D1930">
        <v>25</v>
      </c>
      <c r="E1930" s="2" t="s">
        <v>12</v>
      </c>
      <c r="F1930" s="2" t="s">
        <v>25</v>
      </c>
      <c r="G1930">
        <v>26400</v>
      </c>
      <c r="H1930" s="1">
        <v>45069</v>
      </c>
      <c r="I1930">
        <v>12</v>
      </c>
      <c r="J1930">
        <v>3</v>
      </c>
      <c r="K1930">
        <v>2640</v>
      </c>
      <c r="L1930">
        <v>1320</v>
      </c>
      <c r="M1930">
        <v>27720</v>
      </c>
      <c r="N1930">
        <v>1320</v>
      </c>
      <c r="O1930">
        <v>30360</v>
      </c>
    </row>
    <row r="1931" spans="1:15" x14ac:dyDescent="0.35">
      <c r="A1931">
        <v>1930</v>
      </c>
      <c r="B1931" s="2" t="s">
        <v>14</v>
      </c>
      <c r="C1931" s="2" t="s">
        <v>15</v>
      </c>
      <c r="D1931">
        <v>29</v>
      </c>
      <c r="E1931" s="2" t="s">
        <v>16</v>
      </c>
      <c r="F1931" s="2" t="s">
        <v>21</v>
      </c>
      <c r="G1931">
        <v>39757</v>
      </c>
      <c r="H1931" s="1">
        <v>44921</v>
      </c>
      <c r="I1931">
        <v>10</v>
      </c>
      <c r="J1931">
        <v>5</v>
      </c>
      <c r="K1931">
        <v>3976</v>
      </c>
      <c r="L1931">
        <v>1988</v>
      </c>
      <c r="M1931">
        <v>41745</v>
      </c>
      <c r="N1931">
        <v>1988</v>
      </c>
      <c r="O1931">
        <v>45721</v>
      </c>
    </row>
    <row r="1932" spans="1:15" x14ac:dyDescent="0.35">
      <c r="A1932">
        <v>1931</v>
      </c>
      <c r="B1932" s="2" t="s">
        <v>14</v>
      </c>
      <c r="C1932" s="2" t="s">
        <v>15</v>
      </c>
      <c r="D1932">
        <v>34</v>
      </c>
      <c r="E1932" s="2" t="s">
        <v>28</v>
      </c>
      <c r="F1932" s="2" t="s">
        <v>13</v>
      </c>
      <c r="G1932">
        <v>61116</v>
      </c>
      <c r="H1932" s="1">
        <v>44827</v>
      </c>
      <c r="I1932">
        <v>15</v>
      </c>
      <c r="J1932">
        <v>2</v>
      </c>
      <c r="K1932">
        <v>6112</v>
      </c>
      <c r="L1932">
        <v>3056</v>
      </c>
      <c r="M1932">
        <v>64172</v>
      </c>
      <c r="N1932">
        <v>3056</v>
      </c>
      <c r="O1932">
        <v>70284</v>
      </c>
    </row>
    <row r="1933" spans="1:15" x14ac:dyDescent="0.35">
      <c r="A1933">
        <v>1932</v>
      </c>
      <c r="B1933" s="2" t="s">
        <v>23</v>
      </c>
      <c r="C1933" s="2" t="s">
        <v>15</v>
      </c>
      <c r="D1933">
        <v>37</v>
      </c>
      <c r="E1933" s="2" t="s">
        <v>12</v>
      </c>
      <c r="F1933" s="2" t="s">
        <v>13</v>
      </c>
      <c r="G1933">
        <v>21898</v>
      </c>
      <c r="H1933" s="1">
        <v>45057</v>
      </c>
      <c r="I1933">
        <v>11</v>
      </c>
      <c r="J1933">
        <v>5</v>
      </c>
      <c r="K1933">
        <v>2190</v>
      </c>
      <c r="L1933">
        <v>1095</v>
      </c>
      <c r="M1933">
        <v>22993</v>
      </c>
      <c r="N1933">
        <v>1095</v>
      </c>
      <c r="O1933">
        <v>25183</v>
      </c>
    </row>
    <row r="1934" spans="1:15" x14ac:dyDescent="0.35">
      <c r="A1934">
        <v>1933</v>
      </c>
      <c r="B1934" s="2" t="s">
        <v>30</v>
      </c>
      <c r="C1934" s="2" t="s">
        <v>15</v>
      </c>
      <c r="D1934">
        <v>25</v>
      </c>
      <c r="E1934" s="2" t="s">
        <v>24</v>
      </c>
      <c r="F1934" s="2" t="s">
        <v>21</v>
      </c>
      <c r="G1934">
        <v>89101</v>
      </c>
      <c r="H1934" s="1">
        <v>45512</v>
      </c>
      <c r="I1934">
        <v>18</v>
      </c>
      <c r="J1934">
        <v>3</v>
      </c>
      <c r="K1934">
        <v>8910</v>
      </c>
      <c r="L1934">
        <v>4455</v>
      </c>
      <c r="M1934">
        <v>93556</v>
      </c>
      <c r="N1934">
        <v>4455</v>
      </c>
      <c r="O1934">
        <v>102466</v>
      </c>
    </row>
    <row r="1935" spans="1:15" x14ac:dyDescent="0.35">
      <c r="A1935">
        <v>1934</v>
      </c>
      <c r="B1935" s="2" t="s">
        <v>26</v>
      </c>
      <c r="C1935" s="2" t="s">
        <v>11</v>
      </c>
      <c r="D1935">
        <v>27</v>
      </c>
      <c r="E1935" s="2" t="s">
        <v>28</v>
      </c>
      <c r="F1935" s="2" t="s">
        <v>25</v>
      </c>
      <c r="G1935">
        <v>78720</v>
      </c>
      <c r="H1935" s="1">
        <v>45541</v>
      </c>
      <c r="I1935">
        <v>9</v>
      </c>
      <c r="J1935">
        <v>5</v>
      </c>
      <c r="K1935">
        <v>7872</v>
      </c>
      <c r="L1935">
        <v>3936</v>
      </c>
      <c r="M1935">
        <v>82656</v>
      </c>
      <c r="N1935">
        <v>3936</v>
      </c>
      <c r="O1935">
        <v>90528</v>
      </c>
    </row>
    <row r="1936" spans="1:15" x14ac:dyDescent="0.35">
      <c r="A1936">
        <v>1935</v>
      </c>
      <c r="B1936" s="2" t="s">
        <v>23</v>
      </c>
      <c r="C1936" s="2" t="s">
        <v>15</v>
      </c>
      <c r="D1936">
        <v>31</v>
      </c>
      <c r="E1936" s="2" t="s">
        <v>16</v>
      </c>
      <c r="F1936" s="2" t="s">
        <v>25</v>
      </c>
      <c r="G1936">
        <v>49381</v>
      </c>
      <c r="H1936" s="1">
        <v>45427</v>
      </c>
      <c r="I1936">
        <v>9</v>
      </c>
      <c r="J1936">
        <v>1</v>
      </c>
      <c r="K1936">
        <v>4938</v>
      </c>
      <c r="L1936">
        <v>2469</v>
      </c>
      <c r="M1936">
        <v>51850</v>
      </c>
      <c r="N1936">
        <v>2469</v>
      </c>
      <c r="O1936">
        <v>56788</v>
      </c>
    </row>
    <row r="1937" spans="1:15" x14ac:dyDescent="0.35">
      <c r="A1937">
        <v>1936</v>
      </c>
      <c r="B1937" s="2" t="s">
        <v>22</v>
      </c>
      <c r="C1937" s="2" t="s">
        <v>11</v>
      </c>
      <c r="D1937">
        <v>27</v>
      </c>
      <c r="E1937" s="2" t="s">
        <v>29</v>
      </c>
      <c r="F1937" s="2" t="s">
        <v>21</v>
      </c>
      <c r="G1937">
        <v>50089</v>
      </c>
      <c r="H1937" s="1">
        <v>44568</v>
      </c>
      <c r="I1937">
        <v>16</v>
      </c>
      <c r="J1937">
        <v>2</v>
      </c>
      <c r="K1937">
        <v>5009</v>
      </c>
      <c r="L1937">
        <v>2504</v>
      </c>
      <c r="M1937">
        <v>52594</v>
      </c>
      <c r="N1937">
        <v>2504</v>
      </c>
      <c r="O1937">
        <v>57602</v>
      </c>
    </row>
    <row r="1938" spans="1:15" x14ac:dyDescent="0.35">
      <c r="A1938">
        <v>1937</v>
      </c>
      <c r="B1938" s="2" t="s">
        <v>31</v>
      </c>
      <c r="C1938" s="2" t="s">
        <v>11</v>
      </c>
      <c r="D1938">
        <v>49</v>
      </c>
      <c r="E1938" s="2" t="s">
        <v>28</v>
      </c>
      <c r="F1938" s="2" t="s">
        <v>17</v>
      </c>
      <c r="G1938">
        <v>46212</v>
      </c>
      <c r="H1938" s="1">
        <v>44800</v>
      </c>
      <c r="I1938">
        <v>18</v>
      </c>
      <c r="J1938">
        <v>1</v>
      </c>
      <c r="K1938">
        <v>4621</v>
      </c>
      <c r="L1938">
        <v>2311</v>
      </c>
      <c r="M1938">
        <v>48522</v>
      </c>
      <c r="N1938">
        <v>2311</v>
      </c>
      <c r="O1938">
        <v>53144</v>
      </c>
    </row>
    <row r="1939" spans="1:15" x14ac:dyDescent="0.35">
      <c r="A1939">
        <v>1938</v>
      </c>
      <c r="B1939" s="2" t="s">
        <v>20</v>
      </c>
      <c r="C1939" s="2" t="s">
        <v>15</v>
      </c>
      <c r="D1939">
        <v>44</v>
      </c>
      <c r="E1939" s="2" t="s">
        <v>24</v>
      </c>
      <c r="F1939" s="2" t="s">
        <v>13</v>
      </c>
      <c r="G1939">
        <v>53891</v>
      </c>
      <c r="H1939" s="1">
        <v>45346</v>
      </c>
      <c r="I1939">
        <v>16</v>
      </c>
      <c r="J1939">
        <v>3</v>
      </c>
      <c r="K1939">
        <v>5389</v>
      </c>
      <c r="L1939">
        <v>2695</v>
      </c>
      <c r="M1939">
        <v>56585</v>
      </c>
      <c r="N1939">
        <v>2695</v>
      </c>
      <c r="O1939">
        <v>61975</v>
      </c>
    </row>
    <row r="1940" spans="1:15" x14ac:dyDescent="0.35">
      <c r="A1940">
        <v>1939</v>
      </c>
      <c r="B1940" s="2" t="s">
        <v>22</v>
      </c>
      <c r="C1940" s="2" t="s">
        <v>15</v>
      </c>
      <c r="D1940">
        <v>53</v>
      </c>
      <c r="E1940" s="2" t="s">
        <v>28</v>
      </c>
      <c r="F1940" s="2" t="s">
        <v>21</v>
      </c>
      <c r="G1940">
        <v>98845</v>
      </c>
      <c r="H1940" s="1">
        <v>45182</v>
      </c>
      <c r="I1940">
        <v>14</v>
      </c>
      <c r="J1940">
        <v>1</v>
      </c>
      <c r="K1940">
        <v>9884</v>
      </c>
      <c r="L1940">
        <v>4942</v>
      </c>
      <c r="M1940">
        <v>103787</v>
      </c>
      <c r="N1940">
        <v>4942</v>
      </c>
      <c r="O1940">
        <v>113671</v>
      </c>
    </row>
    <row r="1941" spans="1:15" x14ac:dyDescent="0.35">
      <c r="A1941">
        <v>1940</v>
      </c>
      <c r="B1941" s="2" t="s">
        <v>20</v>
      </c>
      <c r="C1941" s="2" t="s">
        <v>11</v>
      </c>
      <c r="D1941">
        <v>30</v>
      </c>
      <c r="E1941" s="2" t="s">
        <v>12</v>
      </c>
      <c r="F1941" s="2" t="s">
        <v>21</v>
      </c>
      <c r="G1941">
        <v>91767</v>
      </c>
      <c r="H1941" s="1">
        <v>44656</v>
      </c>
      <c r="I1941">
        <v>5</v>
      </c>
      <c r="J1941">
        <v>1</v>
      </c>
      <c r="K1941">
        <v>9177</v>
      </c>
      <c r="L1941">
        <v>4588</v>
      </c>
      <c r="M1941">
        <v>96356</v>
      </c>
      <c r="N1941">
        <v>0</v>
      </c>
      <c r="O1941">
        <v>100944</v>
      </c>
    </row>
    <row r="1942" spans="1:15" x14ac:dyDescent="0.35">
      <c r="A1942">
        <v>1941</v>
      </c>
      <c r="B1942" s="2" t="s">
        <v>10</v>
      </c>
      <c r="C1942" s="2" t="s">
        <v>11</v>
      </c>
      <c r="D1942">
        <v>33</v>
      </c>
      <c r="E1942" s="2" t="s">
        <v>12</v>
      </c>
      <c r="F1942" s="2" t="s">
        <v>21</v>
      </c>
      <c r="G1942">
        <v>69471</v>
      </c>
      <c r="H1942" s="1">
        <v>45498</v>
      </c>
      <c r="I1942">
        <v>14</v>
      </c>
      <c r="J1942">
        <v>2</v>
      </c>
      <c r="K1942">
        <v>6947</v>
      </c>
      <c r="L1942">
        <v>3474</v>
      </c>
      <c r="M1942">
        <v>72944</v>
      </c>
      <c r="N1942">
        <v>3474</v>
      </c>
      <c r="O1942">
        <v>79892</v>
      </c>
    </row>
    <row r="1943" spans="1:15" x14ac:dyDescent="0.35">
      <c r="A1943">
        <v>1942</v>
      </c>
      <c r="B1943" s="2" t="s">
        <v>20</v>
      </c>
      <c r="C1943" s="2" t="s">
        <v>11</v>
      </c>
      <c r="D1943">
        <v>52</v>
      </c>
      <c r="E1943" s="2" t="s">
        <v>16</v>
      </c>
      <c r="F1943" s="2" t="s">
        <v>13</v>
      </c>
      <c r="G1943">
        <v>79100</v>
      </c>
      <c r="H1943" s="1">
        <v>44677</v>
      </c>
      <c r="I1943">
        <v>6</v>
      </c>
      <c r="J1943">
        <v>3</v>
      </c>
      <c r="K1943">
        <v>7910</v>
      </c>
      <c r="L1943">
        <v>3955</v>
      </c>
      <c r="M1943">
        <v>83055</v>
      </c>
      <c r="N1943">
        <v>3955</v>
      </c>
      <c r="O1943">
        <v>90965</v>
      </c>
    </row>
    <row r="1944" spans="1:15" x14ac:dyDescent="0.35">
      <c r="A1944">
        <v>1943</v>
      </c>
      <c r="B1944" s="2" t="s">
        <v>27</v>
      </c>
      <c r="C1944" s="2" t="s">
        <v>11</v>
      </c>
      <c r="D1944">
        <v>57</v>
      </c>
      <c r="E1944" s="2" t="s">
        <v>12</v>
      </c>
      <c r="F1944" s="2" t="s">
        <v>19</v>
      </c>
      <c r="G1944">
        <v>25473</v>
      </c>
      <c r="H1944" s="1">
        <v>44972</v>
      </c>
      <c r="I1944">
        <v>16</v>
      </c>
      <c r="J1944">
        <v>4</v>
      </c>
      <c r="K1944">
        <v>2547</v>
      </c>
      <c r="L1944">
        <v>1274</v>
      </c>
      <c r="M1944">
        <v>26746</v>
      </c>
      <c r="N1944">
        <v>1274</v>
      </c>
      <c r="O1944">
        <v>29294</v>
      </c>
    </row>
    <row r="1945" spans="1:15" x14ac:dyDescent="0.35">
      <c r="A1945">
        <v>1944</v>
      </c>
      <c r="B1945" s="2" t="s">
        <v>14</v>
      </c>
      <c r="C1945" s="2" t="s">
        <v>15</v>
      </c>
      <c r="D1945">
        <v>36</v>
      </c>
      <c r="E1945" s="2" t="s">
        <v>12</v>
      </c>
      <c r="F1945" s="2" t="s">
        <v>17</v>
      </c>
      <c r="G1945">
        <v>71500</v>
      </c>
      <c r="H1945" s="1">
        <v>44997</v>
      </c>
      <c r="I1945">
        <v>2</v>
      </c>
      <c r="J1945">
        <v>4</v>
      </c>
      <c r="K1945">
        <v>7150</v>
      </c>
      <c r="L1945">
        <v>3575</v>
      </c>
      <c r="M1945">
        <v>75075</v>
      </c>
      <c r="N1945">
        <v>0</v>
      </c>
      <c r="O1945">
        <v>78650</v>
      </c>
    </row>
    <row r="1946" spans="1:15" x14ac:dyDescent="0.35">
      <c r="A1946">
        <v>1945</v>
      </c>
      <c r="B1946" s="2" t="s">
        <v>18</v>
      </c>
      <c r="C1946" s="2" t="s">
        <v>15</v>
      </c>
      <c r="D1946">
        <v>44</v>
      </c>
      <c r="E1946" s="2" t="s">
        <v>29</v>
      </c>
      <c r="F1946" s="2" t="s">
        <v>17</v>
      </c>
      <c r="G1946">
        <v>52129</v>
      </c>
      <c r="H1946" s="1">
        <v>44671</v>
      </c>
      <c r="I1946">
        <v>4</v>
      </c>
      <c r="J1946">
        <v>2</v>
      </c>
      <c r="K1946">
        <v>5213</v>
      </c>
      <c r="L1946">
        <v>2606</v>
      </c>
      <c r="M1946">
        <v>54736</v>
      </c>
      <c r="N1946">
        <v>0</v>
      </c>
      <c r="O1946">
        <v>57342</v>
      </c>
    </row>
    <row r="1947" spans="1:15" x14ac:dyDescent="0.35">
      <c r="A1947">
        <v>1946</v>
      </c>
      <c r="B1947" s="2" t="s">
        <v>23</v>
      </c>
      <c r="C1947" s="2" t="s">
        <v>15</v>
      </c>
      <c r="D1947">
        <v>37</v>
      </c>
      <c r="E1947" s="2" t="s">
        <v>12</v>
      </c>
      <c r="F1947" s="2" t="s">
        <v>17</v>
      </c>
      <c r="G1947">
        <v>22600</v>
      </c>
      <c r="H1947" s="1">
        <v>44661</v>
      </c>
      <c r="I1947">
        <v>5</v>
      </c>
      <c r="J1947">
        <v>5</v>
      </c>
      <c r="K1947">
        <v>2260</v>
      </c>
      <c r="L1947">
        <v>1130</v>
      </c>
      <c r="M1947">
        <v>23730</v>
      </c>
      <c r="N1947">
        <v>0</v>
      </c>
      <c r="O1947">
        <v>24860</v>
      </c>
    </row>
    <row r="1948" spans="1:15" x14ac:dyDescent="0.35">
      <c r="A1948">
        <v>1947</v>
      </c>
      <c r="B1948" s="2" t="s">
        <v>30</v>
      </c>
      <c r="C1948" s="2" t="s">
        <v>11</v>
      </c>
      <c r="D1948">
        <v>27</v>
      </c>
      <c r="E1948" s="2" t="s">
        <v>29</v>
      </c>
      <c r="F1948" s="2" t="s">
        <v>13</v>
      </c>
      <c r="G1948">
        <v>24881</v>
      </c>
      <c r="H1948" s="1">
        <v>45159</v>
      </c>
      <c r="I1948">
        <v>19</v>
      </c>
      <c r="J1948">
        <v>5</v>
      </c>
      <c r="K1948">
        <v>2488</v>
      </c>
      <c r="L1948">
        <v>1244</v>
      </c>
      <c r="M1948">
        <v>26125</v>
      </c>
      <c r="N1948">
        <v>1244</v>
      </c>
      <c r="O1948">
        <v>28613</v>
      </c>
    </row>
    <row r="1949" spans="1:15" x14ac:dyDescent="0.35">
      <c r="A1949">
        <v>1948</v>
      </c>
      <c r="B1949" s="2" t="s">
        <v>26</v>
      </c>
      <c r="C1949" s="2" t="s">
        <v>11</v>
      </c>
      <c r="D1949">
        <v>44</v>
      </c>
      <c r="E1949" s="2" t="s">
        <v>28</v>
      </c>
      <c r="F1949" s="2" t="s">
        <v>21</v>
      </c>
      <c r="G1949">
        <v>75440</v>
      </c>
      <c r="H1949" s="1">
        <v>45389</v>
      </c>
      <c r="I1949">
        <v>10</v>
      </c>
      <c r="J1949">
        <v>2</v>
      </c>
      <c r="K1949">
        <v>7544</v>
      </c>
      <c r="L1949">
        <v>3772</v>
      </c>
      <c r="M1949">
        <v>79212</v>
      </c>
      <c r="N1949">
        <v>3772</v>
      </c>
      <c r="O1949">
        <v>86756</v>
      </c>
    </row>
    <row r="1950" spans="1:15" x14ac:dyDescent="0.35">
      <c r="A1950">
        <v>1949</v>
      </c>
      <c r="B1950" s="2" t="s">
        <v>31</v>
      </c>
      <c r="C1950" s="2" t="s">
        <v>11</v>
      </c>
      <c r="D1950">
        <v>60</v>
      </c>
      <c r="E1950" s="2" t="s">
        <v>12</v>
      </c>
      <c r="F1950" s="2" t="s">
        <v>17</v>
      </c>
      <c r="G1950">
        <v>48374</v>
      </c>
      <c r="H1950" s="1">
        <v>45330</v>
      </c>
      <c r="I1950">
        <v>18</v>
      </c>
      <c r="J1950">
        <v>2</v>
      </c>
      <c r="K1950">
        <v>4837</v>
      </c>
      <c r="L1950">
        <v>2419</v>
      </c>
      <c r="M1950">
        <v>50792</v>
      </c>
      <c r="N1950">
        <v>2419</v>
      </c>
      <c r="O1950">
        <v>55630</v>
      </c>
    </row>
    <row r="1951" spans="1:15" x14ac:dyDescent="0.35">
      <c r="A1951">
        <v>1950</v>
      </c>
      <c r="B1951" s="2" t="s">
        <v>30</v>
      </c>
      <c r="C1951" s="2" t="s">
        <v>15</v>
      </c>
      <c r="D1951">
        <v>55</v>
      </c>
      <c r="E1951" s="2" t="s">
        <v>28</v>
      </c>
      <c r="F1951" s="2" t="s">
        <v>21</v>
      </c>
      <c r="G1951">
        <v>63958</v>
      </c>
      <c r="H1951" s="1">
        <v>45342</v>
      </c>
      <c r="I1951">
        <v>1</v>
      </c>
      <c r="J1951">
        <v>4</v>
      </c>
      <c r="K1951">
        <v>6396</v>
      </c>
      <c r="L1951">
        <v>3198</v>
      </c>
      <c r="M1951">
        <v>67156</v>
      </c>
      <c r="N1951">
        <v>0</v>
      </c>
      <c r="O1951">
        <v>70354</v>
      </c>
    </row>
    <row r="1952" spans="1:15" x14ac:dyDescent="0.35">
      <c r="A1952">
        <v>1951</v>
      </c>
      <c r="B1952" s="2" t="s">
        <v>26</v>
      </c>
      <c r="C1952" s="2" t="s">
        <v>11</v>
      </c>
      <c r="D1952">
        <v>32</v>
      </c>
      <c r="E1952" s="2" t="s">
        <v>29</v>
      </c>
      <c r="F1952" s="2" t="s">
        <v>17</v>
      </c>
      <c r="G1952">
        <v>53298</v>
      </c>
      <c r="H1952" s="1">
        <v>45282</v>
      </c>
      <c r="I1952">
        <v>18</v>
      </c>
      <c r="J1952">
        <v>4</v>
      </c>
      <c r="K1952">
        <v>5330</v>
      </c>
      <c r="L1952">
        <v>2665</v>
      </c>
      <c r="M1952">
        <v>55963</v>
      </c>
      <c r="N1952">
        <v>2665</v>
      </c>
      <c r="O1952">
        <v>61293</v>
      </c>
    </row>
    <row r="1953" spans="1:15" x14ac:dyDescent="0.35">
      <c r="A1953">
        <v>1952</v>
      </c>
      <c r="B1953" s="2" t="s">
        <v>20</v>
      </c>
      <c r="C1953" s="2" t="s">
        <v>11</v>
      </c>
      <c r="D1953">
        <v>35</v>
      </c>
      <c r="E1953" s="2" t="s">
        <v>28</v>
      </c>
      <c r="F1953" s="2" t="s">
        <v>13</v>
      </c>
      <c r="G1953">
        <v>36930</v>
      </c>
      <c r="H1953" s="1">
        <v>44915</v>
      </c>
      <c r="I1953">
        <v>14</v>
      </c>
      <c r="J1953">
        <v>5</v>
      </c>
      <c r="K1953">
        <v>3693</v>
      </c>
      <c r="L1953">
        <v>1846</v>
      </c>
      <c r="M1953">
        <v>38777</v>
      </c>
      <c r="N1953">
        <v>1846</v>
      </c>
      <c r="O1953">
        <v>42469</v>
      </c>
    </row>
    <row r="1954" spans="1:15" x14ac:dyDescent="0.35">
      <c r="A1954">
        <v>1953</v>
      </c>
      <c r="B1954" s="2" t="s">
        <v>31</v>
      </c>
      <c r="C1954" s="2" t="s">
        <v>11</v>
      </c>
      <c r="D1954">
        <v>29</v>
      </c>
      <c r="E1954" s="2" t="s">
        <v>12</v>
      </c>
      <c r="F1954" s="2" t="s">
        <v>25</v>
      </c>
      <c r="G1954">
        <v>59550</v>
      </c>
      <c r="H1954" s="1">
        <v>44954</v>
      </c>
      <c r="I1954">
        <v>1</v>
      </c>
      <c r="J1954">
        <v>3</v>
      </c>
      <c r="K1954">
        <v>5955</v>
      </c>
      <c r="L1954">
        <v>2978</v>
      </c>
      <c r="M1954">
        <v>62527</v>
      </c>
      <c r="N1954">
        <v>0</v>
      </c>
      <c r="O1954">
        <v>65505</v>
      </c>
    </row>
    <row r="1955" spans="1:15" x14ac:dyDescent="0.35">
      <c r="A1955">
        <v>1954</v>
      </c>
      <c r="B1955" s="2" t="s">
        <v>31</v>
      </c>
      <c r="C1955" s="2" t="s">
        <v>11</v>
      </c>
      <c r="D1955">
        <v>44</v>
      </c>
      <c r="E1955" s="2" t="s">
        <v>24</v>
      </c>
      <c r="F1955" s="2" t="s">
        <v>17</v>
      </c>
      <c r="G1955">
        <v>25022</v>
      </c>
      <c r="H1955" s="1">
        <v>44870</v>
      </c>
      <c r="I1955">
        <v>16</v>
      </c>
      <c r="J1955">
        <v>4</v>
      </c>
      <c r="K1955">
        <v>2502</v>
      </c>
      <c r="L1955">
        <v>1251</v>
      </c>
      <c r="M1955">
        <v>26273</v>
      </c>
      <c r="N1955">
        <v>1251</v>
      </c>
      <c r="O1955">
        <v>28775</v>
      </c>
    </row>
    <row r="1956" spans="1:15" x14ac:dyDescent="0.35">
      <c r="A1956">
        <v>1955</v>
      </c>
      <c r="B1956" s="2" t="s">
        <v>26</v>
      </c>
      <c r="C1956" s="2" t="s">
        <v>11</v>
      </c>
      <c r="D1956">
        <v>39</v>
      </c>
      <c r="E1956" s="2" t="s">
        <v>29</v>
      </c>
      <c r="F1956" s="2" t="s">
        <v>17</v>
      </c>
      <c r="G1956">
        <v>27212</v>
      </c>
      <c r="H1956" s="1">
        <v>45490</v>
      </c>
      <c r="I1956">
        <v>15</v>
      </c>
      <c r="J1956">
        <v>2</v>
      </c>
      <c r="K1956">
        <v>2721</v>
      </c>
      <c r="L1956">
        <v>1361</v>
      </c>
      <c r="M1956">
        <v>28572</v>
      </c>
      <c r="N1956">
        <v>1361</v>
      </c>
      <c r="O1956">
        <v>31294</v>
      </c>
    </row>
    <row r="1957" spans="1:15" x14ac:dyDescent="0.35">
      <c r="A1957">
        <v>1956</v>
      </c>
      <c r="B1957" s="2" t="s">
        <v>23</v>
      </c>
      <c r="C1957" s="2" t="s">
        <v>15</v>
      </c>
      <c r="D1957">
        <v>34</v>
      </c>
      <c r="E1957" s="2" t="s">
        <v>29</v>
      </c>
      <c r="F1957" s="2" t="s">
        <v>17</v>
      </c>
      <c r="G1957">
        <v>57468</v>
      </c>
      <c r="H1957" s="1">
        <v>45315</v>
      </c>
      <c r="I1957">
        <v>8</v>
      </c>
      <c r="J1957">
        <v>4</v>
      </c>
      <c r="K1957">
        <v>5747</v>
      </c>
      <c r="L1957">
        <v>2873</v>
      </c>
      <c r="M1957">
        <v>60342</v>
      </c>
      <c r="N1957">
        <v>2873</v>
      </c>
      <c r="O1957">
        <v>66088</v>
      </c>
    </row>
    <row r="1958" spans="1:15" x14ac:dyDescent="0.35">
      <c r="A1958">
        <v>1957</v>
      </c>
      <c r="B1958" s="2" t="s">
        <v>27</v>
      </c>
      <c r="C1958" s="2" t="s">
        <v>15</v>
      </c>
      <c r="D1958">
        <v>57</v>
      </c>
      <c r="E1958" s="2" t="s">
        <v>29</v>
      </c>
      <c r="F1958" s="2" t="s">
        <v>19</v>
      </c>
      <c r="G1958">
        <v>47267</v>
      </c>
      <c r="H1958" s="1">
        <v>44822</v>
      </c>
      <c r="I1958">
        <v>19</v>
      </c>
      <c r="J1958">
        <v>1</v>
      </c>
      <c r="K1958">
        <v>4727</v>
      </c>
      <c r="L1958">
        <v>2363</v>
      </c>
      <c r="M1958">
        <v>49631</v>
      </c>
      <c r="N1958">
        <v>2363</v>
      </c>
      <c r="O1958">
        <v>54357</v>
      </c>
    </row>
    <row r="1959" spans="1:15" x14ac:dyDescent="0.35">
      <c r="A1959">
        <v>1958</v>
      </c>
      <c r="B1959" s="2" t="s">
        <v>20</v>
      </c>
      <c r="C1959" s="2" t="s">
        <v>11</v>
      </c>
      <c r="D1959">
        <v>42</v>
      </c>
      <c r="E1959" s="2" t="s">
        <v>24</v>
      </c>
      <c r="F1959" s="2" t="s">
        <v>25</v>
      </c>
      <c r="G1959">
        <v>42088</v>
      </c>
      <c r="H1959" s="1">
        <v>44978</v>
      </c>
      <c r="I1959">
        <v>8</v>
      </c>
      <c r="J1959">
        <v>3</v>
      </c>
      <c r="K1959">
        <v>4209</v>
      </c>
      <c r="L1959">
        <v>2104</v>
      </c>
      <c r="M1959">
        <v>44193</v>
      </c>
      <c r="N1959">
        <v>2104</v>
      </c>
      <c r="O1959">
        <v>48401</v>
      </c>
    </row>
    <row r="1960" spans="1:15" x14ac:dyDescent="0.35">
      <c r="A1960">
        <v>1959</v>
      </c>
      <c r="B1960" s="2" t="s">
        <v>31</v>
      </c>
      <c r="C1960" s="2" t="s">
        <v>11</v>
      </c>
      <c r="D1960">
        <v>59</v>
      </c>
      <c r="E1960" s="2" t="s">
        <v>24</v>
      </c>
      <c r="F1960" s="2" t="s">
        <v>13</v>
      </c>
      <c r="G1960">
        <v>59336</v>
      </c>
      <c r="H1960" s="1">
        <v>44595</v>
      </c>
      <c r="I1960">
        <v>8</v>
      </c>
      <c r="J1960">
        <v>2</v>
      </c>
      <c r="K1960">
        <v>5934</v>
      </c>
      <c r="L1960">
        <v>2967</v>
      </c>
      <c r="M1960">
        <v>62303</v>
      </c>
      <c r="N1960">
        <v>2967</v>
      </c>
      <c r="O1960">
        <v>68237</v>
      </c>
    </row>
    <row r="1961" spans="1:15" x14ac:dyDescent="0.35">
      <c r="A1961">
        <v>1960</v>
      </c>
      <c r="B1961" s="2" t="s">
        <v>27</v>
      </c>
      <c r="C1961" s="2" t="s">
        <v>11</v>
      </c>
      <c r="D1961">
        <v>33</v>
      </c>
      <c r="E1961" s="2" t="s">
        <v>16</v>
      </c>
      <c r="F1961" s="2" t="s">
        <v>25</v>
      </c>
      <c r="G1961">
        <v>82994</v>
      </c>
      <c r="H1961" s="1">
        <v>45106</v>
      </c>
      <c r="I1961">
        <v>15</v>
      </c>
      <c r="J1961">
        <v>2</v>
      </c>
      <c r="K1961">
        <v>8299</v>
      </c>
      <c r="L1961">
        <v>4150</v>
      </c>
      <c r="M1961">
        <v>87143</v>
      </c>
      <c r="N1961">
        <v>4150</v>
      </c>
      <c r="O1961">
        <v>95443</v>
      </c>
    </row>
    <row r="1962" spans="1:15" x14ac:dyDescent="0.35">
      <c r="A1962">
        <v>1961</v>
      </c>
      <c r="B1962" s="2" t="s">
        <v>30</v>
      </c>
      <c r="C1962" s="2" t="s">
        <v>15</v>
      </c>
      <c r="D1962">
        <v>25</v>
      </c>
      <c r="E1962" s="2" t="s">
        <v>28</v>
      </c>
      <c r="F1962" s="2" t="s">
        <v>19</v>
      </c>
      <c r="G1962">
        <v>73780</v>
      </c>
      <c r="H1962" s="1">
        <v>45350</v>
      </c>
      <c r="I1962">
        <v>14</v>
      </c>
      <c r="J1962">
        <v>5</v>
      </c>
      <c r="K1962">
        <v>7378</v>
      </c>
      <c r="L1962">
        <v>3689</v>
      </c>
      <c r="M1962">
        <v>77469</v>
      </c>
      <c r="N1962">
        <v>3689</v>
      </c>
      <c r="O1962">
        <v>84847</v>
      </c>
    </row>
    <row r="1963" spans="1:15" x14ac:dyDescent="0.35">
      <c r="A1963">
        <v>1962</v>
      </c>
      <c r="B1963" s="2" t="s">
        <v>20</v>
      </c>
      <c r="C1963" s="2" t="s">
        <v>15</v>
      </c>
      <c r="D1963">
        <v>35</v>
      </c>
      <c r="E1963" s="2" t="s">
        <v>16</v>
      </c>
      <c r="F1963" s="2" t="s">
        <v>19</v>
      </c>
      <c r="G1963">
        <v>62316</v>
      </c>
      <c r="H1963" s="1">
        <v>45102</v>
      </c>
      <c r="I1963">
        <v>16</v>
      </c>
      <c r="J1963">
        <v>2</v>
      </c>
      <c r="K1963">
        <v>6232</v>
      </c>
      <c r="L1963">
        <v>3116</v>
      </c>
      <c r="M1963">
        <v>65432</v>
      </c>
      <c r="N1963">
        <v>3116</v>
      </c>
      <c r="O1963">
        <v>71664</v>
      </c>
    </row>
    <row r="1964" spans="1:15" x14ac:dyDescent="0.35">
      <c r="A1964">
        <v>1963</v>
      </c>
      <c r="B1964" s="2" t="s">
        <v>26</v>
      </c>
      <c r="C1964" s="2" t="s">
        <v>15</v>
      </c>
      <c r="D1964">
        <v>60</v>
      </c>
      <c r="E1964" s="2" t="s">
        <v>28</v>
      </c>
      <c r="F1964" s="2" t="s">
        <v>13</v>
      </c>
      <c r="G1964">
        <v>68306</v>
      </c>
      <c r="H1964" s="1">
        <v>44875</v>
      </c>
      <c r="I1964">
        <v>17</v>
      </c>
      <c r="J1964">
        <v>5</v>
      </c>
      <c r="K1964">
        <v>6831</v>
      </c>
      <c r="L1964">
        <v>3415</v>
      </c>
      <c r="M1964">
        <v>71722</v>
      </c>
      <c r="N1964">
        <v>3415</v>
      </c>
      <c r="O1964">
        <v>78552</v>
      </c>
    </row>
    <row r="1965" spans="1:15" x14ac:dyDescent="0.35">
      <c r="A1965">
        <v>1964</v>
      </c>
      <c r="B1965" s="2" t="s">
        <v>27</v>
      </c>
      <c r="C1965" s="2" t="s">
        <v>11</v>
      </c>
      <c r="D1965">
        <v>22</v>
      </c>
      <c r="E1965" s="2" t="s">
        <v>16</v>
      </c>
      <c r="F1965" s="2" t="s">
        <v>21</v>
      </c>
      <c r="G1965">
        <v>41842</v>
      </c>
      <c r="H1965" s="1">
        <v>44806</v>
      </c>
      <c r="I1965">
        <v>17</v>
      </c>
      <c r="J1965">
        <v>4</v>
      </c>
      <c r="K1965">
        <v>4184</v>
      </c>
      <c r="L1965">
        <v>2092</v>
      </c>
      <c r="M1965">
        <v>43934</v>
      </c>
      <c r="N1965">
        <v>2092</v>
      </c>
      <c r="O1965">
        <v>48118</v>
      </c>
    </row>
    <row r="1966" spans="1:15" x14ac:dyDescent="0.35">
      <c r="A1966">
        <v>1965</v>
      </c>
      <c r="B1966" s="2" t="s">
        <v>10</v>
      </c>
      <c r="C1966" s="2" t="s">
        <v>11</v>
      </c>
      <c r="D1966">
        <v>58</v>
      </c>
      <c r="E1966" s="2" t="s">
        <v>29</v>
      </c>
      <c r="F1966" s="2" t="s">
        <v>25</v>
      </c>
      <c r="G1966">
        <v>56545</v>
      </c>
      <c r="H1966" s="1">
        <v>44594</v>
      </c>
      <c r="I1966">
        <v>11</v>
      </c>
      <c r="J1966">
        <v>5</v>
      </c>
      <c r="K1966">
        <v>5654</v>
      </c>
      <c r="L1966">
        <v>2827</v>
      </c>
      <c r="M1966">
        <v>59372</v>
      </c>
      <c r="N1966">
        <v>2827</v>
      </c>
      <c r="O1966">
        <v>65026</v>
      </c>
    </row>
    <row r="1967" spans="1:15" x14ac:dyDescent="0.35">
      <c r="A1967">
        <v>1966</v>
      </c>
      <c r="B1967" s="2" t="s">
        <v>18</v>
      </c>
      <c r="C1967" s="2" t="s">
        <v>11</v>
      </c>
      <c r="D1967">
        <v>24</v>
      </c>
      <c r="E1967" s="2" t="s">
        <v>28</v>
      </c>
      <c r="F1967" s="2" t="s">
        <v>19</v>
      </c>
      <c r="G1967">
        <v>75902</v>
      </c>
      <c r="H1967" s="1">
        <v>45257</v>
      </c>
      <c r="I1967">
        <v>16</v>
      </c>
      <c r="J1967">
        <v>2</v>
      </c>
      <c r="K1967">
        <v>7590</v>
      </c>
      <c r="L1967">
        <v>3795</v>
      </c>
      <c r="M1967">
        <v>79697</v>
      </c>
      <c r="N1967">
        <v>3795</v>
      </c>
      <c r="O1967">
        <v>87287</v>
      </c>
    </row>
    <row r="1968" spans="1:15" x14ac:dyDescent="0.35">
      <c r="A1968">
        <v>1967</v>
      </c>
      <c r="B1968" s="2" t="s">
        <v>20</v>
      </c>
      <c r="C1968" s="2" t="s">
        <v>15</v>
      </c>
      <c r="D1968">
        <v>35</v>
      </c>
      <c r="E1968" s="2" t="s">
        <v>29</v>
      </c>
      <c r="F1968" s="2" t="s">
        <v>25</v>
      </c>
      <c r="G1968">
        <v>86857</v>
      </c>
      <c r="H1968" s="1">
        <v>45233</v>
      </c>
      <c r="I1968">
        <v>17</v>
      </c>
      <c r="J1968">
        <v>4</v>
      </c>
      <c r="K1968">
        <v>8686</v>
      </c>
      <c r="L1968">
        <v>4343</v>
      </c>
      <c r="M1968">
        <v>91200</v>
      </c>
      <c r="N1968">
        <v>4343</v>
      </c>
      <c r="O1968">
        <v>99886</v>
      </c>
    </row>
    <row r="1969" spans="1:15" x14ac:dyDescent="0.35">
      <c r="A1969">
        <v>1968</v>
      </c>
      <c r="B1969" s="2" t="s">
        <v>26</v>
      </c>
      <c r="C1969" s="2" t="s">
        <v>11</v>
      </c>
      <c r="D1969">
        <v>58</v>
      </c>
      <c r="E1969" s="2" t="s">
        <v>16</v>
      </c>
      <c r="F1969" s="2" t="s">
        <v>21</v>
      </c>
      <c r="G1969">
        <v>72078</v>
      </c>
      <c r="H1969" s="1">
        <v>45198</v>
      </c>
      <c r="I1969">
        <v>11</v>
      </c>
      <c r="J1969">
        <v>5</v>
      </c>
      <c r="K1969">
        <v>7208</v>
      </c>
      <c r="L1969">
        <v>3604</v>
      </c>
      <c r="M1969">
        <v>75682</v>
      </c>
      <c r="N1969">
        <v>3604</v>
      </c>
      <c r="O1969">
        <v>82890</v>
      </c>
    </row>
    <row r="1970" spans="1:15" x14ac:dyDescent="0.35">
      <c r="A1970">
        <v>1969</v>
      </c>
      <c r="B1970" s="2" t="s">
        <v>26</v>
      </c>
      <c r="C1970" s="2" t="s">
        <v>15</v>
      </c>
      <c r="D1970">
        <v>45</v>
      </c>
      <c r="E1970" s="2" t="s">
        <v>29</v>
      </c>
      <c r="F1970" s="2" t="s">
        <v>19</v>
      </c>
      <c r="G1970">
        <v>64634</v>
      </c>
      <c r="H1970" s="1">
        <v>44566</v>
      </c>
      <c r="I1970">
        <v>15</v>
      </c>
      <c r="J1970">
        <v>3</v>
      </c>
      <c r="K1970">
        <v>6463</v>
      </c>
      <c r="L1970">
        <v>3232</v>
      </c>
      <c r="M1970">
        <v>67865</v>
      </c>
      <c r="N1970">
        <v>3232</v>
      </c>
      <c r="O1970">
        <v>74329</v>
      </c>
    </row>
    <row r="1971" spans="1:15" x14ac:dyDescent="0.35">
      <c r="A1971">
        <v>1970</v>
      </c>
      <c r="B1971" s="2" t="s">
        <v>18</v>
      </c>
      <c r="C1971" s="2" t="s">
        <v>15</v>
      </c>
      <c r="D1971">
        <v>59</v>
      </c>
      <c r="E1971" s="2" t="s">
        <v>12</v>
      </c>
      <c r="F1971" s="2" t="s">
        <v>21</v>
      </c>
      <c r="G1971">
        <v>78914</v>
      </c>
      <c r="H1971" s="1">
        <v>45357</v>
      </c>
      <c r="I1971">
        <v>2</v>
      </c>
      <c r="J1971">
        <v>3</v>
      </c>
      <c r="K1971">
        <v>7891</v>
      </c>
      <c r="L1971">
        <v>3946</v>
      </c>
      <c r="M1971">
        <v>82859</v>
      </c>
      <c r="N1971">
        <v>0</v>
      </c>
      <c r="O1971">
        <v>86805</v>
      </c>
    </row>
    <row r="1972" spans="1:15" x14ac:dyDescent="0.35">
      <c r="A1972">
        <v>1971</v>
      </c>
      <c r="B1972" s="2" t="s">
        <v>18</v>
      </c>
      <c r="C1972" s="2" t="s">
        <v>11</v>
      </c>
      <c r="D1972">
        <v>53</v>
      </c>
      <c r="E1972" s="2" t="s">
        <v>12</v>
      </c>
      <c r="F1972" s="2" t="s">
        <v>17</v>
      </c>
      <c r="G1972">
        <v>45717</v>
      </c>
      <c r="H1972" s="1">
        <v>44686</v>
      </c>
      <c r="I1972">
        <v>15</v>
      </c>
      <c r="J1972">
        <v>3</v>
      </c>
      <c r="K1972">
        <v>4572</v>
      </c>
      <c r="L1972">
        <v>2286</v>
      </c>
      <c r="M1972">
        <v>48003</v>
      </c>
      <c r="N1972">
        <v>2286</v>
      </c>
      <c r="O1972">
        <v>52575</v>
      </c>
    </row>
    <row r="1973" spans="1:15" x14ac:dyDescent="0.35">
      <c r="A1973">
        <v>1972</v>
      </c>
      <c r="B1973" s="2" t="s">
        <v>27</v>
      </c>
      <c r="C1973" s="2" t="s">
        <v>11</v>
      </c>
      <c r="D1973">
        <v>40</v>
      </c>
      <c r="E1973" s="2" t="s">
        <v>12</v>
      </c>
      <c r="F1973" s="2" t="s">
        <v>25</v>
      </c>
      <c r="G1973">
        <v>45635</v>
      </c>
      <c r="H1973" s="1">
        <v>45282</v>
      </c>
      <c r="I1973">
        <v>12</v>
      </c>
      <c r="J1973">
        <v>4</v>
      </c>
      <c r="K1973">
        <v>4564</v>
      </c>
      <c r="L1973">
        <v>2282</v>
      </c>
      <c r="M1973">
        <v>47917</v>
      </c>
      <c r="N1973">
        <v>2282</v>
      </c>
      <c r="O1973">
        <v>52481</v>
      </c>
    </row>
    <row r="1974" spans="1:15" x14ac:dyDescent="0.35">
      <c r="A1974">
        <v>1973</v>
      </c>
      <c r="B1974" s="2" t="s">
        <v>22</v>
      </c>
      <c r="C1974" s="2" t="s">
        <v>15</v>
      </c>
      <c r="D1974">
        <v>28</v>
      </c>
      <c r="E1974" s="2" t="s">
        <v>16</v>
      </c>
      <c r="F1974" s="2" t="s">
        <v>21</v>
      </c>
      <c r="G1974">
        <v>34203</v>
      </c>
      <c r="H1974" s="1">
        <v>45308</v>
      </c>
      <c r="I1974">
        <v>12</v>
      </c>
      <c r="J1974">
        <v>3</v>
      </c>
      <c r="K1974">
        <v>3420</v>
      </c>
      <c r="L1974">
        <v>1710</v>
      </c>
      <c r="M1974">
        <v>35913</v>
      </c>
      <c r="N1974">
        <v>1710</v>
      </c>
      <c r="O1974">
        <v>39333</v>
      </c>
    </row>
    <row r="1975" spans="1:15" x14ac:dyDescent="0.35">
      <c r="A1975">
        <v>1974</v>
      </c>
      <c r="B1975" s="2" t="s">
        <v>26</v>
      </c>
      <c r="C1975" s="2" t="s">
        <v>15</v>
      </c>
      <c r="D1975">
        <v>22</v>
      </c>
      <c r="E1975" s="2" t="s">
        <v>28</v>
      </c>
      <c r="F1975" s="2" t="s">
        <v>13</v>
      </c>
      <c r="G1975">
        <v>46738</v>
      </c>
      <c r="H1975" s="1">
        <v>45504</v>
      </c>
      <c r="I1975">
        <v>12</v>
      </c>
      <c r="J1975">
        <v>4</v>
      </c>
      <c r="K1975">
        <v>4674</v>
      </c>
      <c r="L1975">
        <v>2337</v>
      </c>
      <c r="M1975">
        <v>49075</v>
      </c>
      <c r="N1975">
        <v>2337</v>
      </c>
      <c r="O1975">
        <v>53749</v>
      </c>
    </row>
    <row r="1976" spans="1:15" x14ac:dyDescent="0.35">
      <c r="A1976">
        <v>1975</v>
      </c>
      <c r="B1976" s="2" t="s">
        <v>18</v>
      </c>
      <c r="C1976" s="2" t="s">
        <v>11</v>
      </c>
      <c r="D1976">
        <v>60</v>
      </c>
      <c r="E1976" s="2" t="s">
        <v>28</v>
      </c>
      <c r="F1976" s="2" t="s">
        <v>17</v>
      </c>
      <c r="G1976">
        <v>55070</v>
      </c>
      <c r="H1976" s="1">
        <v>45497</v>
      </c>
      <c r="I1976">
        <v>18</v>
      </c>
      <c r="J1976">
        <v>4</v>
      </c>
      <c r="K1976">
        <v>5507</v>
      </c>
      <c r="L1976">
        <v>2754</v>
      </c>
      <c r="M1976">
        <v>57823</v>
      </c>
      <c r="N1976">
        <v>2754</v>
      </c>
      <c r="O1976">
        <v>63331</v>
      </c>
    </row>
    <row r="1977" spans="1:15" x14ac:dyDescent="0.35">
      <c r="A1977">
        <v>1976</v>
      </c>
      <c r="B1977" s="2" t="s">
        <v>10</v>
      </c>
      <c r="C1977" s="2" t="s">
        <v>15</v>
      </c>
      <c r="D1977">
        <v>23</v>
      </c>
      <c r="E1977" s="2" t="s">
        <v>29</v>
      </c>
      <c r="F1977" s="2" t="s">
        <v>17</v>
      </c>
      <c r="G1977">
        <v>41064</v>
      </c>
      <c r="H1977" s="1">
        <v>45293</v>
      </c>
      <c r="I1977">
        <v>14</v>
      </c>
      <c r="J1977">
        <v>3</v>
      </c>
      <c r="K1977">
        <v>4106</v>
      </c>
      <c r="L1977">
        <v>2053</v>
      </c>
      <c r="M1977">
        <v>43117</v>
      </c>
      <c r="N1977">
        <v>2053</v>
      </c>
      <c r="O1977">
        <v>47223</v>
      </c>
    </row>
    <row r="1978" spans="1:15" x14ac:dyDescent="0.35">
      <c r="A1978">
        <v>1977</v>
      </c>
      <c r="B1978" s="2" t="s">
        <v>20</v>
      </c>
      <c r="C1978" s="2" t="s">
        <v>11</v>
      </c>
      <c r="D1978">
        <v>60</v>
      </c>
      <c r="E1978" s="2" t="s">
        <v>28</v>
      </c>
      <c r="F1978" s="2" t="s">
        <v>19</v>
      </c>
      <c r="G1978">
        <v>69975</v>
      </c>
      <c r="H1978" s="1">
        <v>45109</v>
      </c>
      <c r="I1978">
        <v>1</v>
      </c>
      <c r="J1978">
        <v>5</v>
      </c>
      <c r="K1978">
        <v>6998</v>
      </c>
      <c r="L1978">
        <v>3499</v>
      </c>
      <c r="M1978">
        <v>73474</v>
      </c>
      <c r="N1978">
        <v>0</v>
      </c>
      <c r="O1978">
        <v>76973</v>
      </c>
    </row>
    <row r="1979" spans="1:15" x14ac:dyDescent="0.35">
      <c r="A1979">
        <v>1978</v>
      </c>
      <c r="B1979" s="2" t="s">
        <v>26</v>
      </c>
      <c r="C1979" s="2" t="s">
        <v>11</v>
      </c>
      <c r="D1979">
        <v>48</v>
      </c>
      <c r="E1979" s="2" t="s">
        <v>12</v>
      </c>
      <c r="F1979" s="2" t="s">
        <v>25</v>
      </c>
      <c r="G1979">
        <v>39739</v>
      </c>
      <c r="H1979" s="1">
        <v>44976</v>
      </c>
      <c r="I1979">
        <v>4</v>
      </c>
      <c r="J1979">
        <v>3</v>
      </c>
      <c r="K1979">
        <v>3974</v>
      </c>
      <c r="L1979">
        <v>1987</v>
      </c>
      <c r="M1979">
        <v>41726</v>
      </c>
      <c r="N1979">
        <v>0</v>
      </c>
      <c r="O1979">
        <v>43713</v>
      </c>
    </row>
    <row r="1980" spans="1:15" x14ac:dyDescent="0.35">
      <c r="A1980">
        <v>1979</v>
      </c>
      <c r="B1980" s="2" t="s">
        <v>20</v>
      </c>
      <c r="C1980" s="2" t="s">
        <v>15</v>
      </c>
      <c r="D1980">
        <v>27</v>
      </c>
      <c r="E1980" s="2" t="s">
        <v>28</v>
      </c>
      <c r="F1980" s="2" t="s">
        <v>17</v>
      </c>
      <c r="G1980">
        <v>40879</v>
      </c>
      <c r="H1980" s="1">
        <v>45450</v>
      </c>
      <c r="I1980">
        <v>6</v>
      </c>
      <c r="J1980">
        <v>2</v>
      </c>
      <c r="K1980">
        <v>4088</v>
      </c>
      <c r="L1980">
        <v>2044</v>
      </c>
      <c r="M1980">
        <v>42923</v>
      </c>
      <c r="N1980">
        <v>2044</v>
      </c>
      <c r="O1980">
        <v>47011</v>
      </c>
    </row>
    <row r="1981" spans="1:15" x14ac:dyDescent="0.35">
      <c r="A1981">
        <v>1980</v>
      </c>
      <c r="B1981" s="2" t="s">
        <v>22</v>
      </c>
      <c r="C1981" s="2" t="s">
        <v>11</v>
      </c>
      <c r="D1981">
        <v>30</v>
      </c>
      <c r="E1981" s="2" t="s">
        <v>24</v>
      </c>
      <c r="F1981" s="2" t="s">
        <v>17</v>
      </c>
      <c r="G1981">
        <v>39695</v>
      </c>
      <c r="H1981" s="1">
        <v>44885</v>
      </c>
      <c r="I1981">
        <v>18</v>
      </c>
      <c r="J1981">
        <v>3</v>
      </c>
      <c r="K1981">
        <v>3970</v>
      </c>
      <c r="L1981">
        <v>1985</v>
      </c>
      <c r="M1981">
        <v>41680</v>
      </c>
      <c r="N1981">
        <v>1985</v>
      </c>
      <c r="O1981">
        <v>45650</v>
      </c>
    </row>
    <row r="1982" spans="1:15" x14ac:dyDescent="0.35">
      <c r="A1982">
        <v>1981</v>
      </c>
      <c r="B1982" s="2" t="s">
        <v>18</v>
      </c>
      <c r="C1982" s="2" t="s">
        <v>15</v>
      </c>
      <c r="D1982">
        <v>21</v>
      </c>
      <c r="E1982" s="2" t="s">
        <v>24</v>
      </c>
      <c r="F1982" s="2" t="s">
        <v>19</v>
      </c>
      <c r="G1982">
        <v>88787</v>
      </c>
      <c r="H1982" s="1">
        <v>45028</v>
      </c>
      <c r="I1982">
        <v>10</v>
      </c>
      <c r="J1982">
        <v>2</v>
      </c>
      <c r="K1982">
        <v>8879</v>
      </c>
      <c r="L1982">
        <v>4439</v>
      </c>
      <c r="M1982">
        <v>93227</v>
      </c>
      <c r="N1982">
        <v>4439</v>
      </c>
      <c r="O1982">
        <v>102105</v>
      </c>
    </row>
    <row r="1983" spans="1:15" x14ac:dyDescent="0.35">
      <c r="A1983">
        <v>1982</v>
      </c>
      <c r="B1983" s="2" t="s">
        <v>10</v>
      </c>
      <c r="C1983" s="2" t="s">
        <v>11</v>
      </c>
      <c r="D1983">
        <v>46</v>
      </c>
      <c r="E1983" s="2" t="s">
        <v>29</v>
      </c>
      <c r="F1983" s="2" t="s">
        <v>17</v>
      </c>
      <c r="G1983">
        <v>23718</v>
      </c>
      <c r="H1983" s="1">
        <v>44982</v>
      </c>
      <c r="I1983">
        <v>6</v>
      </c>
      <c r="J1983">
        <v>4</v>
      </c>
      <c r="K1983">
        <v>2372</v>
      </c>
      <c r="L1983">
        <v>1186</v>
      </c>
      <c r="M1983">
        <v>24904</v>
      </c>
      <c r="N1983">
        <v>1186</v>
      </c>
      <c r="O1983">
        <v>27276</v>
      </c>
    </row>
    <row r="1984" spans="1:15" x14ac:dyDescent="0.35">
      <c r="A1984">
        <v>1983</v>
      </c>
      <c r="B1984" s="2" t="s">
        <v>14</v>
      </c>
      <c r="C1984" s="2" t="s">
        <v>15</v>
      </c>
      <c r="D1984">
        <v>54</v>
      </c>
      <c r="E1984" s="2" t="s">
        <v>29</v>
      </c>
      <c r="F1984" s="2" t="s">
        <v>13</v>
      </c>
      <c r="G1984">
        <v>99362</v>
      </c>
      <c r="H1984" s="1">
        <v>45550</v>
      </c>
      <c r="I1984">
        <v>1</v>
      </c>
      <c r="J1984">
        <v>1</v>
      </c>
      <c r="K1984">
        <v>9936</v>
      </c>
      <c r="L1984">
        <v>4968</v>
      </c>
      <c r="M1984">
        <v>104330</v>
      </c>
      <c r="N1984">
        <v>0</v>
      </c>
      <c r="O1984">
        <v>109298</v>
      </c>
    </row>
    <row r="1985" spans="1:15" x14ac:dyDescent="0.35">
      <c r="A1985">
        <v>1984</v>
      </c>
      <c r="B1985" s="2" t="s">
        <v>23</v>
      </c>
      <c r="C1985" s="2" t="s">
        <v>15</v>
      </c>
      <c r="D1985">
        <v>56</v>
      </c>
      <c r="E1985" s="2" t="s">
        <v>12</v>
      </c>
      <c r="F1985" s="2" t="s">
        <v>21</v>
      </c>
      <c r="G1985">
        <v>45309</v>
      </c>
      <c r="H1985" s="1">
        <v>45093</v>
      </c>
      <c r="I1985">
        <v>7</v>
      </c>
      <c r="J1985">
        <v>3</v>
      </c>
      <c r="K1985">
        <v>4531</v>
      </c>
      <c r="L1985">
        <v>2265</v>
      </c>
      <c r="M1985">
        <v>47575</v>
      </c>
      <c r="N1985">
        <v>2265</v>
      </c>
      <c r="O1985">
        <v>52105</v>
      </c>
    </row>
    <row r="1986" spans="1:15" x14ac:dyDescent="0.35">
      <c r="A1986">
        <v>1985</v>
      </c>
      <c r="B1986" s="2" t="s">
        <v>14</v>
      </c>
      <c r="C1986" s="2" t="s">
        <v>11</v>
      </c>
      <c r="D1986">
        <v>31</v>
      </c>
      <c r="E1986" s="2" t="s">
        <v>28</v>
      </c>
      <c r="F1986" s="2" t="s">
        <v>25</v>
      </c>
      <c r="G1986">
        <v>70573</v>
      </c>
      <c r="H1986" s="1">
        <v>44757</v>
      </c>
      <c r="I1986">
        <v>18</v>
      </c>
      <c r="J1986">
        <v>3</v>
      </c>
      <c r="K1986">
        <v>7057</v>
      </c>
      <c r="L1986">
        <v>3529</v>
      </c>
      <c r="M1986">
        <v>74101</v>
      </c>
      <c r="N1986">
        <v>3529</v>
      </c>
      <c r="O1986">
        <v>81159</v>
      </c>
    </row>
    <row r="1987" spans="1:15" x14ac:dyDescent="0.35">
      <c r="A1987">
        <v>1986</v>
      </c>
      <c r="B1987" s="2" t="s">
        <v>14</v>
      </c>
      <c r="C1987" s="2" t="s">
        <v>11</v>
      </c>
      <c r="D1987">
        <v>55</v>
      </c>
      <c r="E1987" s="2" t="s">
        <v>28</v>
      </c>
      <c r="F1987" s="2" t="s">
        <v>19</v>
      </c>
      <c r="G1987">
        <v>80852</v>
      </c>
      <c r="H1987" s="1">
        <v>45094</v>
      </c>
      <c r="I1987">
        <v>16</v>
      </c>
      <c r="J1987">
        <v>5</v>
      </c>
      <c r="K1987">
        <v>8085</v>
      </c>
      <c r="L1987">
        <v>4043</v>
      </c>
      <c r="M1987">
        <v>84894</v>
      </c>
      <c r="N1987">
        <v>4043</v>
      </c>
      <c r="O1987">
        <v>92980</v>
      </c>
    </row>
    <row r="1988" spans="1:15" x14ac:dyDescent="0.35">
      <c r="A1988">
        <v>1987</v>
      </c>
      <c r="B1988" s="2" t="s">
        <v>26</v>
      </c>
      <c r="C1988" s="2" t="s">
        <v>15</v>
      </c>
      <c r="D1988">
        <v>36</v>
      </c>
      <c r="E1988" s="2" t="s">
        <v>12</v>
      </c>
      <c r="F1988" s="2" t="s">
        <v>25</v>
      </c>
      <c r="G1988">
        <v>52605</v>
      </c>
      <c r="H1988" s="1">
        <v>45442</v>
      </c>
      <c r="I1988">
        <v>15</v>
      </c>
      <c r="J1988">
        <v>3</v>
      </c>
      <c r="K1988">
        <v>5260</v>
      </c>
      <c r="L1988">
        <v>2630</v>
      </c>
      <c r="M1988">
        <v>55235</v>
      </c>
      <c r="N1988">
        <v>2630</v>
      </c>
      <c r="O1988">
        <v>60495</v>
      </c>
    </row>
    <row r="1989" spans="1:15" x14ac:dyDescent="0.35">
      <c r="A1989">
        <v>1988</v>
      </c>
      <c r="B1989" s="2" t="s">
        <v>10</v>
      </c>
      <c r="C1989" s="2" t="s">
        <v>15</v>
      </c>
      <c r="D1989">
        <v>33</v>
      </c>
      <c r="E1989" s="2" t="s">
        <v>12</v>
      </c>
      <c r="F1989" s="2" t="s">
        <v>13</v>
      </c>
      <c r="G1989">
        <v>34985</v>
      </c>
      <c r="H1989" s="1">
        <v>45204</v>
      </c>
      <c r="I1989">
        <v>6</v>
      </c>
      <c r="J1989">
        <v>4</v>
      </c>
      <c r="K1989">
        <v>3498</v>
      </c>
      <c r="L1989">
        <v>1749</v>
      </c>
      <c r="M1989">
        <v>36734</v>
      </c>
      <c r="N1989">
        <v>1749</v>
      </c>
      <c r="O1989">
        <v>40232</v>
      </c>
    </row>
    <row r="1990" spans="1:15" x14ac:dyDescent="0.35">
      <c r="A1990">
        <v>1989</v>
      </c>
      <c r="B1990" s="2" t="s">
        <v>27</v>
      </c>
      <c r="C1990" s="2" t="s">
        <v>15</v>
      </c>
      <c r="D1990">
        <v>51</v>
      </c>
      <c r="E1990" s="2" t="s">
        <v>16</v>
      </c>
      <c r="F1990" s="2" t="s">
        <v>17</v>
      </c>
      <c r="G1990">
        <v>72280</v>
      </c>
      <c r="H1990" s="1">
        <v>45517</v>
      </c>
      <c r="I1990">
        <v>14</v>
      </c>
      <c r="J1990">
        <v>2</v>
      </c>
      <c r="K1990">
        <v>7228</v>
      </c>
      <c r="L1990">
        <v>3614</v>
      </c>
      <c r="M1990">
        <v>75894</v>
      </c>
      <c r="N1990">
        <v>3614</v>
      </c>
      <c r="O1990">
        <v>83122</v>
      </c>
    </row>
    <row r="1991" spans="1:15" x14ac:dyDescent="0.35">
      <c r="A1991">
        <v>1990</v>
      </c>
      <c r="B1991" s="2" t="s">
        <v>26</v>
      </c>
      <c r="C1991" s="2" t="s">
        <v>11</v>
      </c>
      <c r="D1991">
        <v>60</v>
      </c>
      <c r="E1991" s="2" t="s">
        <v>28</v>
      </c>
      <c r="F1991" s="2" t="s">
        <v>21</v>
      </c>
      <c r="G1991">
        <v>26248</v>
      </c>
      <c r="H1991" s="1">
        <v>44992</v>
      </c>
      <c r="I1991">
        <v>17</v>
      </c>
      <c r="J1991">
        <v>5</v>
      </c>
      <c r="K1991">
        <v>2625</v>
      </c>
      <c r="L1991">
        <v>1312</v>
      </c>
      <c r="M1991">
        <v>27561</v>
      </c>
      <c r="N1991">
        <v>1312</v>
      </c>
      <c r="O1991">
        <v>30185</v>
      </c>
    </row>
    <row r="1992" spans="1:15" x14ac:dyDescent="0.35">
      <c r="A1992">
        <v>1991</v>
      </c>
      <c r="B1992" s="2" t="s">
        <v>23</v>
      </c>
      <c r="C1992" s="2" t="s">
        <v>11</v>
      </c>
      <c r="D1992">
        <v>38</v>
      </c>
      <c r="E1992" s="2" t="s">
        <v>16</v>
      </c>
      <c r="F1992" s="2" t="s">
        <v>19</v>
      </c>
      <c r="G1992">
        <v>44473</v>
      </c>
      <c r="H1992" s="1">
        <v>45243</v>
      </c>
      <c r="I1992">
        <v>12</v>
      </c>
      <c r="J1992">
        <v>5</v>
      </c>
      <c r="K1992">
        <v>4447</v>
      </c>
      <c r="L1992">
        <v>2224</v>
      </c>
      <c r="M1992">
        <v>46696</v>
      </c>
      <c r="N1992">
        <v>2224</v>
      </c>
      <c r="O1992">
        <v>51144</v>
      </c>
    </row>
    <row r="1993" spans="1:15" x14ac:dyDescent="0.35">
      <c r="A1993">
        <v>1992</v>
      </c>
      <c r="B1993" s="2" t="s">
        <v>30</v>
      </c>
      <c r="C1993" s="2" t="s">
        <v>15</v>
      </c>
      <c r="D1993">
        <v>53</v>
      </c>
      <c r="E1993" s="2" t="s">
        <v>29</v>
      </c>
      <c r="F1993" s="2" t="s">
        <v>21</v>
      </c>
      <c r="G1993">
        <v>28245</v>
      </c>
      <c r="H1993" s="1">
        <v>44951</v>
      </c>
      <c r="I1993">
        <v>15</v>
      </c>
      <c r="J1993">
        <v>1</v>
      </c>
      <c r="K1993">
        <v>2824</v>
      </c>
      <c r="L1993">
        <v>1412</v>
      </c>
      <c r="M1993">
        <v>29657</v>
      </c>
      <c r="N1993">
        <v>1412</v>
      </c>
      <c r="O1993">
        <v>32481</v>
      </c>
    </row>
    <row r="1994" spans="1:15" x14ac:dyDescent="0.35">
      <c r="A1994">
        <v>1993</v>
      </c>
      <c r="B1994" s="2" t="s">
        <v>27</v>
      </c>
      <c r="C1994" s="2" t="s">
        <v>11</v>
      </c>
      <c r="D1994">
        <v>43</v>
      </c>
      <c r="E1994" s="2" t="s">
        <v>29</v>
      </c>
      <c r="F1994" s="2" t="s">
        <v>13</v>
      </c>
      <c r="G1994">
        <v>46660</v>
      </c>
      <c r="H1994" s="1">
        <v>45468</v>
      </c>
      <c r="I1994">
        <v>1</v>
      </c>
      <c r="J1994">
        <v>1</v>
      </c>
      <c r="K1994">
        <v>4666</v>
      </c>
      <c r="L1994">
        <v>2333</v>
      </c>
      <c r="M1994">
        <v>48993</v>
      </c>
      <c r="N1994">
        <v>0</v>
      </c>
      <c r="O1994">
        <v>51326</v>
      </c>
    </row>
    <row r="1995" spans="1:15" x14ac:dyDescent="0.35">
      <c r="A1995">
        <v>1994</v>
      </c>
      <c r="B1995" s="2" t="s">
        <v>26</v>
      </c>
      <c r="C1995" s="2" t="s">
        <v>11</v>
      </c>
      <c r="D1995">
        <v>59</v>
      </c>
      <c r="E1995" s="2" t="s">
        <v>16</v>
      </c>
      <c r="F1995" s="2" t="s">
        <v>19</v>
      </c>
      <c r="G1995">
        <v>40263</v>
      </c>
      <c r="H1995" s="1">
        <v>45388</v>
      </c>
      <c r="I1995">
        <v>1</v>
      </c>
      <c r="J1995">
        <v>1</v>
      </c>
      <c r="K1995">
        <v>4026</v>
      </c>
      <c r="L1995">
        <v>2013</v>
      </c>
      <c r="M1995">
        <v>42276</v>
      </c>
      <c r="N1995">
        <v>0</v>
      </c>
      <c r="O1995">
        <v>44289</v>
      </c>
    </row>
    <row r="1996" spans="1:15" x14ac:dyDescent="0.35">
      <c r="A1996">
        <v>1995</v>
      </c>
      <c r="B1996" s="2" t="s">
        <v>26</v>
      </c>
      <c r="C1996" s="2" t="s">
        <v>15</v>
      </c>
      <c r="D1996">
        <v>44</v>
      </c>
      <c r="E1996" s="2" t="s">
        <v>28</v>
      </c>
      <c r="F1996" s="2" t="s">
        <v>17</v>
      </c>
      <c r="G1996">
        <v>50167</v>
      </c>
      <c r="H1996" s="1">
        <v>44910</v>
      </c>
      <c r="I1996">
        <v>3</v>
      </c>
      <c r="J1996">
        <v>3</v>
      </c>
      <c r="K1996">
        <v>5017</v>
      </c>
      <c r="L1996">
        <v>2508</v>
      </c>
      <c r="M1996">
        <v>52676</v>
      </c>
      <c r="N1996">
        <v>0</v>
      </c>
      <c r="O1996">
        <v>55184</v>
      </c>
    </row>
    <row r="1997" spans="1:15" x14ac:dyDescent="0.35">
      <c r="A1997">
        <v>1996</v>
      </c>
      <c r="B1997" s="2" t="s">
        <v>27</v>
      </c>
      <c r="C1997" s="2" t="s">
        <v>11</v>
      </c>
      <c r="D1997">
        <v>35</v>
      </c>
      <c r="E1997" s="2" t="s">
        <v>28</v>
      </c>
      <c r="F1997" s="2" t="s">
        <v>25</v>
      </c>
      <c r="G1997">
        <v>44964</v>
      </c>
      <c r="H1997" s="1">
        <v>45548</v>
      </c>
      <c r="I1997">
        <v>11</v>
      </c>
      <c r="J1997">
        <v>1</v>
      </c>
      <c r="K1997">
        <v>4496</v>
      </c>
      <c r="L1997">
        <v>2248</v>
      </c>
      <c r="M1997">
        <v>47212</v>
      </c>
      <c r="N1997">
        <v>2248</v>
      </c>
      <c r="O1997">
        <v>51708</v>
      </c>
    </row>
    <row r="1998" spans="1:15" x14ac:dyDescent="0.35">
      <c r="A1998">
        <v>1997</v>
      </c>
      <c r="B1998" s="2" t="s">
        <v>20</v>
      </c>
      <c r="C1998" s="2" t="s">
        <v>11</v>
      </c>
      <c r="D1998">
        <v>45</v>
      </c>
      <c r="E1998" s="2" t="s">
        <v>29</v>
      </c>
      <c r="F1998" s="2" t="s">
        <v>17</v>
      </c>
      <c r="G1998">
        <v>67073</v>
      </c>
      <c r="H1998" s="1">
        <v>44652</v>
      </c>
      <c r="I1998">
        <v>5</v>
      </c>
      <c r="J1998">
        <v>4</v>
      </c>
      <c r="K1998">
        <v>6707</v>
      </c>
      <c r="L1998">
        <v>3354</v>
      </c>
      <c r="M1998">
        <v>70426</v>
      </c>
      <c r="N1998">
        <v>0</v>
      </c>
      <c r="O1998">
        <v>73780</v>
      </c>
    </row>
    <row r="1999" spans="1:15" x14ac:dyDescent="0.35">
      <c r="A1999">
        <v>1998</v>
      </c>
      <c r="B1999" s="2" t="s">
        <v>14</v>
      </c>
      <c r="C1999" s="2" t="s">
        <v>11</v>
      </c>
      <c r="D1999">
        <v>55</v>
      </c>
      <c r="E1999" s="2" t="s">
        <v>29</v>
      </c>
      <c r="F1999" s="2" t="s">
        <v>25</v>
      </c>
      <c r="G1999">
        <v>43616</v>
      </c>
      <c r="H1999" s="1">
        <v>44795</v>
      </c>
      <c r="I1999">
        <v>20</v>
      </c>
      <c r="J1999">
        <v>1</v>
      </c>
      <c r="K1999">
        <v>4362</v>
      </c>
      <c r="L1999">
        <v>2181</v>
      </c>
      <c r="M1999">
        <v>45797</v>
      </c>
      <c r="N1999">
        <v>2181</v>
      </c>
      <c r="O1999">
        <v>50159</v>
      </c>
    </row>
    <row r="2000" spans="1:15" x14ac:dyDescent="0.35">
      <c r="A2000">
        <v>1999</v>
      </c>
      <c r="B2000" s="2" t="s">
        <v>18</v>
      </c>
      <c r="C2000" s="2" t="s">
        <v>15</v>
      </c>
      <c r="D2000">
        <v>56</v>
      </c>
      <c r="E2000" s="2" t="s">
        <v>12</v>
      </c>
      <c r="F2000" s="2" t="s">
        <v>21</v>
      </c>
      <c r="G2000">
        <v>51222</v>
      </c>
      <c r="H2000" s="1">
        <v>45550</v>
      </c>
      <c r="I2000">
        <v>2</v>
      </c>
      <c r="J2000">
        <v>5</v>
      </c>
      <c r="K2000">
        <v>5122</v>
      </c>
      <c r="L2000">
        <v>2561</v>
      </c>
      <c r="M2000">
        <v>53783</v>
      </c>
      <c r="N2000">
        <v>0</v>
      </c>
      <c r="O2000">
        <v>56344</v>
      </c>
    </row>
    <row r="2001" spans="1:15" x14ac:dyDescent="0.35">
      <c r="A2001">
        <v>2000</v>
      </c>
      <c r="B2001" s="2" t="s">
        <v>18</v>
      </c>
      <c r="C2001" s="2" t="s">
        <v>15</v>
      </c>
      <c r="D2001">
        <v>30</v>
      </c>
      <c r="E2001" s="2" t="s">
        <v>29</v>
      </c>
      <c r="F2001" s="2" t="s">
        <v>19</v>
      </c>
      <c r="G2001">
        <v>87931</v>
      </c>
      <c r="H2001" s="1">
        <v>45126</v>
      </c>
      <c r="I2001">
        <v>11</v>
      </c>
      <c r="J2001">
        <v>5</v>
      </c>
      <c r="K2001">
        <v>8793</v>
      </c>
      <c r="L2001">
        <v>4397</v>
      </c>
      <c r="M2001">
        <v>92327</v>
      </c>
      <c r="N2001">
        <v>4397</v>
      </c>
      <c r="O2001">
        <v>101121</v>
      </c>
    </row>
    <row r="2002" spans="1:15" x14ac:dyDescent="0.35">
      <c r="A2002">
        <v>2001</v>
      </c>
      <c r="B2002" s="2" t="s">
        <v>10</v>
      </c>
      <c r="C2002" s="2" t="s">
        <v>11</v>
      </c>
      <c r="D2002">
        <v>53</v>
      </c>
      <c r="E2002" s="2" t="s">
        <v>24</v>
      </c>
      <c r="F2002" s="2" t="s">
        <v>25</v>
      </c>
      <c r="G2002">
        <v>42947</v>
      </c>
      <c r="H2002" s="1">
        <v>45117</v>
      </c>
      <c r="I2002">
        <v>9</v>
      </c>
      <c r="J2002">
        <v>3</v>
      </c>
      <c r="K2002">
        <v>4295</v>
      </c>
      <c r="L2002">
        <v>2147</v>
      </c>
      <c r="M2002">
        <v>45095</v>
      </c>
      <c r="N2002">
        <v>2147</v>
      </c>
      <c r="O2002">
        <v>49389</v>
      </c>
    </row>
    <row r="2003" spans="1:15" x14ac:dyDescent="0.35">
      <c r="A2003">
        <v>2002</v>
      </c>
      <c r="B2003" s="2" t="s">
        <v>18</v>
      </c>
      <c r="C2003" s="2" t="s">
        <v>15</v>
      </c>
      <c r="D2003">
        <v>38</v>
      </c>
      <c r="E2003" s="2" t="s">
        <v>24</v>
      </c>
      <c r="F2003" s="2" t="s">
        <v>21</v>
      </c>
      <c r="G2003">
        <v>75332</v>
      </c>
      <c r="H2003" s="1">
        <v>45119</v>
      </c>
      <c r="I2003">
        <v>10</v>
      </c>
      <c r="J2003">
        <v>4</v>
      </c>
      <c r="K2003">
        <v>7533</v>
      </c>
      <c r="L2003">
        <v>3767</v>
      </c>
      <c r="M2003">
        <v>79098</v>
      </c>
      <c r="N2003">
        <v>3767</v>
      </c>
      <c r="O2003">
        <v>86632</v>
      </c>
    </row>
    <row r="2004" spans="1:15" x14ac:dyDescent="0.35">
      <c r="A2004">
        <v>2003</v>
      </c>
      <c r="B2004" s="2" t="s">
        <v>10</v>
      </c>
      <c r="C2004" s="2" t="s">
        <v>11</v>
      </c>
      <c r="D2004">
        <v>29</v>
      </c>
      <c r="E2004" s="2" t="s">
        <v>12</v>
      </c>
      <c r="F2004" s="2" t="s">
        <v>25</v>
      </c>
      <c r="G2004">
        <v>51873</v>
      </c>
      <c r="H2004" s="1">
        <v>44648</v>
      </c>
      <c r="I2004">
        <v>14</v>
      </c>
      <c r="J2004">
        <v>4</v>
      </c>
      <c r="K2004">
        <v>5187</v>
      </c>
      <c r="L2004">
        <v>2594</v>
      </c>
      <c r="M2004">
        <v>54466</v>
      </c>
      <c r="N2004">
        <v>2594</v>
      </c>
      <c r="O2004">
        <v>59654</v>
      </c>
    </row>
    <row r="2005" spans="1:15" x14ac:dyDescent="0.35">
      <c r="A2005">
        <v>2004</v>
      </c>
      <c r="B2005" s="2" t="s">
        <v>23</v>
      </c>
      <c r="C2005" s="2" t="s">
        <v>11</v>
      </c>
      <c r="D2005">
        <v>44</v>
      </c>
      <c r="E2005" s="2" t="s">
        <v>24</v>
      </c>
      <c r="F2005" s="2" t="s">
        <v>25</v>
      </c>
      <c r="G2005">
        <v>54156</v>
      </c>
      <c r="H2005" s="1">
        <v>45351</v>
      </c>
      <c r="I2005">
        <v>13</v>
      </c>
      <c r="J2005">
        <v>3</v>
      </c>
      <c r="K2005">
        <v>5416</v>
      </c>
      <c r="L2005">
        <v>2708</v>
      </c>
      <c r="M2005">
        <v>56864</v>
      </c>
      <c r="N2005">
        <v>2708</v>
      </c>
      <c r="O2005">
        <v>62280</v>
      </c>
    </row>
    <row r="2006" spans="1:15" x14ac:dyDescent="0.35">
      <c r="A2006">
        <v>2005</v>
      </c>
      <c r="B2006" s="2" t="s">
        <v>31</v>
      </c>
      <c r="C2006" s="2" t="s">
        <v>15</v>
      </c>
      <c r="D2006">
        <v>42</v>
      </c>
      <c r="E2006" s="2" t="s">
        <v>12</v>
      </c>
      <c r="F2006" s="2" t="s">
        <v>13</v>
      </c>
      <c r="G2006">
        <v>29612</v>
      </c>
      <c r="H2006" s="1">
        <v>44736</v>
      </c>
      <c r="I2006">
        <v>17</v>
      </c>
      <c r="J2006">
        <v>4</v>
      </c>
      <c r="K2006">
        <v>2961</v>
      </c>
      <c r="L2006">
        <v>1481</v>
      </c>
      <c r="M2006">
        <v>31092</v>
      </c>
      <c r="N2006">
        <v>1481</v>
      </c>
      <c r="O2006">
        <v>34054</v>
      </c>
    </row>
    <row r="2007" spans="1:15" x14ac:dyDescent="0.35">
      <c r="A2007">
        <v>2006</v>
      </c>
      <c r="B2007" s="2" t="s">
        <v>23</v>
      </c>
      <c r="C2007" s="2" t="s">
        <v>11</v>
      </c>
      <c r="D2007">
        <v>25</v>
      </c>
      <c r="E2007" s="2" t="s">
        <v>28</v>
      </c>
      <c r="F2007" s="2" t="s">
        <v>17</v>
      </c>
      <c r="G2007">
        <v>90217</v>
      </c>
      <c r="H2007" s="1">
        <v>45549</v>
      </c>
      <c r="I2007">
        <v>13</v>
      </c>
      <c r="J2007">
        <v>4</v>
      </c>
      <c r="K2007">
        <v>9022</v>
      </c>
      <c r="L2007">
        <v>4511</v>
      </c>
      <c r="M2007">
        <v>94728</v>
      </c>
      <c r="N2007">
        <v>4511</v>
      </c>
      <c r="O2007">
        <v>103750</v>
      </c>
    </row>
    <row r="2008" spans="1:15" x14ac:dyDescent="0.35">
      <c r="A2008">
        <v>2007</v>
      </c>
      <c r="B2008" s="2" t="s">
        <v>26</v>
      </c>
      <c r="C2008" s="2" t="s">
        <v>15</v>
      </c>
      <c r="D2008">
        <v>28</v>
      </c>
      <c r="E2008" s="2" t="s">
        <v>24</v>
      </c>
      <c r="F2008" s="2" t="s">
        <v>21</v>
      </c>
      <c r="G2008">
        <v>94636</v>
      </c>
      <c r="H2008" s="1">
        <v>44639</v>
      </c>
      <c r="I2008">
        <v>19</v>
      </c>
      <c r="J2008">
        <v>4</v>
      </c>
      <c r="K2008">
        <v>9464</v>
      </c>
      <c r="L2008">
        <v>4732</v>
      </c>
      <c r="M2008">
        <v>99368</v>
      </c>
      <c r="N2008">
        <v>4732</v>
      </c>
      <c r="O2008">
        <v>108832</v>
      </c>
    </row>
    <row r="2009" spans="1:15" x14ac:dyDescent="0.35">
      <c r="A2009">
        <v>2008</v>
      </c>
      <c r="B2009" s="2" t="s">
        <v>18</v>
      </c>
      <c r="C2009" s="2" t="s">
        <v>15</v>
      </c>
      <c r="D2009">
        <v>33</v>
      </c>
      <c r="E2009" s="2" t="s">
        <v>16</v>
      </c>
      <c r="F2009" s="2" t="s">
        <v>19</v>
      </c>
      <c r="G2009">
        <v>72405</v>
      </c>
      <c r="H2009" s="1">
        <v>45550</v>
      </c>
      <c r="I2009">
        <v>17</v>
      </c>
      <c r="J2009">
        <v>1</v>
      </c>
      <c r="K2009">
        <v>7240</v>
      </c>
      <c r="L2009">
        <v>3620</v>
      </c>
      <c r="M2009">
        <v>76025</v>
      </c>
      <c r="N2009">
        <v>3620</v>
      </c>
      <c r="O2009">
        <v>83265</v>
      </c>
    </row>
    <row r="2010" spans="1:15" x14ac:dyDescent="0.35">
      <c r="A2010">
        <v>2009</v>
      </c>
      <c r="B2010" s="2" t="s">
        <v>14</v>
      </c>
      <c r="C2010" s="2" t="s">
        <v>11</v>
      </c>
      <c r="D2010">
        <v>29</v>
      </c>
      <c r="E2010" s="2" t="s">
        <v>24</v>
      </c>
      <c r="F2010" s="2" t="s">
        <v>17</v>
      </c>
      <c r="G2010">
        <v>34092</v>
      </c>
      <c r="H2010" s="1">
        <v>45019</v>
      </c>
      <c r="I2010">
        <v>4</v>
      </c>
      <c r="J2010">
        <v>1</v>
      </c>
      <c r="K2010">
        <v>3409</v>
      </c>
      <c r="L2010">
        <v>1705</v>
      </c>
      <c r="M2010">
        <v>35796</v>
      </c>
      <c r="N2010">
        <v>0</v>
      </c>
      <c r="O2010">
        <v>37501</v>
      </c>
    </row>
    <row r="2011" spans="1:15" x14ac:dyDescent="0.35">
      <c r="A2011">
        <v>2010</v>
      </c>
      <c r="B2011" s="2" t="s">
        <v>20</v>
      </c>
      <c r="C2011" s="2" t="s">
        <v>11</v>
      </c>
      <c r="D2011">
        <v>46</v>
      </c>
      <c r="E2011" s="2" t="s">
        <v>28</v>
      </c>
      <c r="F2011" s="2" t="s">
        <v>21</v>
      </c>
      <c r="G2011">
        <v>20583</v>
      </c>
      <c r="H2011" s="1">
        <v>44860</v>
      </c>
      <c r="I2011">
        <v>1</v>
      </c>
      <c r="J2011">
        <v>5</v>
      </c>
      <c r="K2011">
        <v>2058</v>
      </c>
      <c r="L2011">
        <v>1029</v>
      </c>
      <c r="M2011">
        <v>21612</v>
      </c>
      <c r="N2011">
        <v>0</v>
      </c>
      <c r="O2011">
        <v>22641</v>
      </c>
    </row>
    <row r="2012" spans="1:15" x14ac:dyDescent="0.35">
      <c r="A2012">
        <v>2011</v>
      </c>
      <c r="B2012" s="2" t="s">
        <v>18</v>
      </c>
      <c r="C2012" s="2" t="s">
        <v>15</v>
      </c>
      <c r="D2012">
        <v>30</v>
      </c>
      <c r="E2012" s="2" t="s">
        <v>12</v>
      </c>
      <c r="F2012" s="2" t="s">
        <v>17</v>
      </c>
      <c r="G2012">
        <v>84320</v>
      </c>
      <c r="H2012" s="1">
        <v>44681</v>
      </c>
      <c r="I2012">
        <v>17</v>
      </c>
      <c r="J2012">
        <v>5</v>
      </c>
      <c r="K2012">
        <v>8432</v>
      </c>
      <c r="L2012">
        <v>4216</v>
      </c>
      <c r="M2012">
        <v>88536</v>
      </c>
      <c r="N2012">
        <v>4216</v>
      </c>
      <c r="O2012">
        <v>96968</v>
      </c>
    </row>
    <row r="2013" spans="1:15" x14ac:dyDescent="0.35">
      <c r="A2013">
        <v>2012</v>
      </c>
      <c r="B2013" s="2" t="s">
        <v>22</v>
      </c>
      <c r="C2013" s="2" t="s">
        <v>15</v>
      </c>
      <c r="D2013">
        <v>53</v>
      </c>
      <c r="E2013" s="2" t="s">
        <v>16</v>
      </c>
      <c r="F2013" s="2" t="s">
        <v>17</v>
      </c>
      <c r="G2013">
        <v>22472</v>
      </c>
      <c r="H2013" s="1">
        <v>44737</v>
      </c>
      <c r="I2013">
        <v>6</v>
      </c>
      <c r="J2013">
        <v>3</v>
      </c>
      <c r="K2013">
        <v>2247</v>
      </c>
      <c r="L2013">
        <v>1124</v>
      </c>
      <c r="M2013">
        <v>23595</v>
      </c>
      <c r="N2013">
        <v>1124</v>
      </c>
      <c r="O2013">
        <v>25843</v>
      </c>
    </row>
    <row r="2014" spans="1:15" x14ac:dyDescent="0.35">
      <c r="A2014">
        <v>2013</v>
      </c>
      <c r="B2014" s="2" t="s">
        <v>10</v>
      </c>
      <c r="C2014" s="2" t="s">
        <v>11</v>
      </c>
      <c r="D2014">
        <v>51</v>
      </c>
      <c r="E2014" s="2" t="s">
        <v>28</v>
      </c>
      <c r="F2014" s="2" t="s">
        <v>17</v>
      </c>
      <c r="G2014">
        <v>81238</v>
      </c>
      <c r="H2014" s="1">
        <v>44758</v>
      </c>
      <c r="I2014">
        <v>3</v>
      </c>
      <c r="J2014">
        <v>5</v>
      </c>
      <c r="K2014">
        <v>8124</v>
      </c>
      <c r="L2014">
        <v>4062</v>
      </c>
      <c r="M2014">
        <v>85300</v>
      </c>
      <c r="N2014">
        <v>0</v>
      </c>
      <c r="O2014">
        <v>89362</v>
      </c>
    </row>
    <row r="2015" spans="1:15" x14ac:dyDescent="0.35">
      <c r="A2015">
        <v>2014</v>
      </c>
      <c r="B2015" s="2" t="s">
        <v>20</v>
      </c>
      <c r="C2015" s="2" t="s">
        <v>11</v>
      </c>
      <c r="D2015">
        <v>59</v>
      </c>
      <c r="E2015" s="2" t="s">
        <v>12</v>
      </c>
      <c r="F2015" s="2" t="s">
        <v>25</v>
      </c>
      <c r="G2015">
        <v>82850</v>
      </c>
      <c r="H2015" s="1">
        <v>45123</v>
      </c>
      <c r="I2015">
        <v>11</v>
      </c>
      <c r="J2015">
        <v>5</v>
      </c>
      <c r="K2015">
        <v>8285</v>
      </c>
      <c r="L2015">
        <v>4142</v>
      </c>
      <c r="M2015">
        <v>86993</v>
      </c>
      <c r="N2015">
        <v>4142</v>
      </c>
      <c r="O2015">
        <v>95277</v>
      </c>
    </row>
    <row r="2016" spans="1:15" x14ac:dyDescent="0.35">
      <c r="A2016">
        <v>2015</v>
      </c>
      <c r="B2016" s="2" t="s">
        <v>27</v>
      </c>
      <c r="C2016" s="2" t="s">
        <v>11</v>
      </c>
      <c r="D2016">
        <v>37</v>
      </c>
      <c r="E2016" s="2" t="s">
        <v>24</v>
      </c>
      <c r="F2016" s="2" t="s">
        <v>25</v>
      </c>
      <c r="G2016">
        <v>46970</v>
      </c>
      <c r="H2016" s="1">
        <v>44942</v>
      </c>
      <c r="I2016">
        <v>9</v>
      </c>
      <c r="J2016">
        <v>2</v>
      </c>
      <c r="K2016">
        <v>4697</v>
      </c>
      <c r="L2016">
        <v>2348</v>
      </c>
      <c r="M2016">
        <v>49319</v>
      </c>
      <c r="N2016">
        <v>2348</v>
      </c>
      <c r="O2016">
        <v>54015</v>
      </c>
    </row>
    <row r="2017" spans="1:15" x14ac:dyDescent="0.35">
      <c r="A2017">
        <v>2016</v>
      </c>
      <c r="B2017" s="2" t="s">
        <v>30</v>
      </c>
      <c r="C2017" s="2" t="s">
        <v>11</v>
      </c>
      <c r="D2017">
        <v>54</v>
      </c>
      <c r="E2017" s="2" t="s">
        <v>16</v>
      </c>
      <c r="F2017" s="2" t="s">
        <v>21</v>
      </c>
      <c r="G2017">
        <v>34376</v>
      </c>
      <c r="H2017" s="1">
        <v>45542</v>
      </c>
      <c r="I2017">
        <v>19</v>
      </c>
      <c r="J2017">
        <v>1</v>
      </c>
      <c r="K2017">
        <v>3438</v>
      </c>
      <c r="L2017">
        <v>1719</v>
      </c>
      <c r="M2017">
        <v>36095</v>
      </c>
      <c r="N2017">
        <v>1719</v>
      </c>
      <c r="O2017">
        <v>39533</v>
      </c>
    </row>
    <row r="2018" spans="1:15" x14ac:dyDescent="0.35">
      <c r="A2018">
        <v>2017</v>
      </c>
      <c r="B2018" s="2" t="s">
        <v>23</v>
      </c>
      <c r="C2018" s="2" t="s">
        <v>11</v>
      </c>
      <c r="D2018">
        <v>29</v>
      </c>
      <c r="E2018" s="2" t="s">
        <v>24</v>
      </c>
      <c r="F2018" s="2" t="s">
        <v>25</v>
      </c>
      <c r="G2018">
        <v>51417</v>
      </c>
      <c r="H2018" s="1">
        <v>45561</v>
      </c>
      <c r="I2018">
        <v>15</v>
      </c>
      <c r="J2018">
        <v>3</v>
      </c>
      <c r="K2018">
        <v>5142</v>
      </c>
      <c r="L2018">
        <v>2571</v>
      </c>
      <c r="M2018">
        <v>53988</v>
      </c>
      <c r="N2018">
        <v>2571</v>
      </c>
      <c r="O2018">
        <v>59130</v>
      </c>
    </row>
    <row r="2019" spans="1:15" x14ac:dyDescent="0.35">
      <c r="A2019">
        <v>2018</v>
      </c>
      <c r="B2019" s="2" t="s">
        <v>22</v>
      </c>
      <c r="C2019" s="2" t="s">
        <v>15</v>
      </c>
      <c r="D2019">
        <v>46</v>
      </c>
      <c r="E2019" s="2" t="s">
        <v>16</v>
      </c>
      <c r="F2019" s="2" t="s">
        <v>13</v>
      </c>
      <c r="G2019">
        <v>76709</v>
      </c>
      <c r="H2019" s="1">
        <v>45248</v>
      </c>
      <c r="I2019">
        <v>19</v>
      </c>
      <c r="J2019">
        <v>1</v>
      </c>
      <c r="K2019">
        <v>7671</v>
      </c>
      <c r="L2019">
        <v>3835</v>
      </c>
      <c r="M2019">
        <v>80545</v>
      </c>
      <c r="N2019">
        <v>3835</v>
      </c>
      <c r="O2019">
        <v>88215</v>
      </c>
    </row>
    <row r="2020" spans="1:15" x14ac:dyDescent="0.35">
      <c r="A2020">
        <v>2019</v>
      </c>
      <c r="B2020" s="2" t="s">
        <v>18</v>
      </c>
      <c r="C2020" s="2" t="s">
        <v>15</v>
      </c>
      <c r="D2020">
        <v>39</v>
      </c>
      <c r="E2020" s="2" t="s">
        <v>12</v>
      </c>
      <c r="F2020" s="2" t="s">
        <v>13</v>
      </c>
      <c r="G2020">
        <v>85528</v>
      </c>
      <c r="H2020" s="1">
        <v>45347</v>
      </c>
      <c r="I2020">
        <v>13</v>
      </c>
      <c r="J2020">
        <v>1</v>
      </c>
      <c r="K2020">
        <v>8553</v>
      </c>
      <c r="L2020">
        <v>4276</v>
      </c>
      <c r="M2020">
        <v>89805</v>
      </c>
      <c r="N2020">
        <v>4276</v>
      </c>
      <c r="O2020">
        <v>98357</v>
      </c>
    </row>
    <row r="2021" spans="1:15" x14ac:dyDescent="0.35">
      <c r="A2021">
        <v>2020</v>
      </c>
      <c r="B2021" s="2" t="s">
        <v>23</v>
      </c>
      <c r="C2021" s="2" t="s">
        <v>15</v>
      </c>
      <c r="D2021">
        <v>40</v>
      </c>
      <c r="E2021" s="2" t="s">
        <v>16</v>
      </c>
      <c r="F2021" s="2" t="s">
        <v>21</v>
      </c>
      <c r="G2021">
        <v>88989</v>
      </c>
      <c r="H2021" s="1">
        <v>44855</v>
      </c>
      <c r="I2021">
        <v>9</v>
      </c>
      <c r="J2021">
        <v>3</v>
      </c>
      <c r="K2021">
        <v>8899</v>
      </c>
      <c r="L2021">
        <v>4449</v>
      </c>
      <c r="M2021">
        <v>93439</v>
      </c>
      <c r="N2021">
        <v>4449</v>
      </c>
      <c r="O2021">
        <v>102337</v>
      </c>
    </row>
    <row r="2022" spans="1:15" x14ac:dyDescent="0.35">
      <c r="A2022">
        <v>2021</v>
      </c>
      <c r="B2022" s="2" t="s">
        <v>31</v>
      </c>
      <c r="C2022" s="2" t="s">
        <v>15</v>
      </c>
      <c r="D2022">
        <v>28</v>
      </c>
      <c r="E2022" s="2" t="s">
        <v>16</v>
      </c>
      <c r="F2022" s="2" t="s">
        <v>17</v>
      </c>
      <c r="G2022">
        <v>42047</v>
      </c>
      <c r="H2022" s="1">
        <v>45522</v>
      </c>
      <c r="I2022">
        <v>9</v>
      </c>
      <c r="J2022">
        <v>3</v>
      </c>
      <c r="K2022">
        <v>4205</v>
      </c>
      <c r="L2022">
        <v>2102</v>
      </c>
      <c r="M2022">
        <v>44150</v>
      </c>
      <c r="N2022">
        <v>2102</v>
      </c>
      <c r="O2022">
        <v>48354</v>
      </c>
    </row>
    <row r="2023" spans="1:15" x14ac:dyDescent="0.35">
      <c r="A2023">
        <v>2022</v>
      </c>
      <c r="B2023" s="2" t="s">
        <v>23</v>
      </c>
      <c r="C2023" s="2" t="s">
        <v>11</v>
      </c>
      <c r="D2023">
        <v>58</v>
      </c>
      <c r="E2023" s="2" t="s">
        <v>24</v>
      </c>
      <c r="F2023" s="2" t="s">
        <v>25</v>
      </c>
      <c r="G2023">
        <v>66682</v>
      </c>
      <c r="H2023" s="1">
        <v>45356</v>
      </c>
      <c r="I2023">
        <v>9</v>
      </c>
      <c r="J2023">
        <v>5</v>
      </c>
      <c r="K2023">
        <v>6668</v>
      </c>
      <c r="L2023">
        <v>3334</v>
      </c>
      <c r="M2023">
        <v>70016</v>
      </c>
      <c r="N2023">
        <v>3334</v>
      </c>
      <c r="O2023">
        <v>76684</v>
      </c>
    </row>
    <row r="2024" spans="1:15" x14ac:dyDescent="0.35">
      <c r="A2024">
        <v>2023</v>
      </c>
      <c r="B2024" s="2" t="s">
        <v>30</v>
      </c>
      <c r="C2024" s="2" t="s">
        <v>11</v>
      </c>
      <c r="D2024">
        <v>39</v>
      </c>
      <c r="E2024" s="2" t="s">
        <v>24</v>
      </c>
      <c r="F2024" s="2" t="s">
        <v>25</v>
      </c>
      <c r="G2024">
        <v>83765</v>
      </c>
      <c r="H2024" s="1">
        <v>44598</v>
      </c>
      <c r="I2024">
        <v>1</v>
      </c>
      <c r="J2024">
        <v>2</v>
      </c>
      <c r="K2024">
        <v>8376</v>
      </c>
      <c r="L2024">
        <v>4188</v>
      </c>
      <c r="M2024">
        <v>87953</v>
      </c>
      <c r="N2024">
        <v>0</v>
      </c>
      <c r="O2024">
        <v>92141</v>
      </c>
    </row>
    <row r="2025" spans="1:15" x14ac:dyDescent="0.35">
      <c r="A2025">
        <v>2024</v>
      </c>
      <c r="B2025" s="2" t="s">
        <v>14</v>
      </c>
      <c r="C2025" s="2" t="s">
        <v>11</v>
      </c>
      <c r="D2025">
        <v>38</v>
      </c>
      <c r="E2025" s="2" t="s">
        <v>12</v>
      </c>
      <c r="F2025" s="2" t="s">
        <v>19</v>
      </c>
      <c r="G2025">
        <v>82881</v>
      </c>
      <c r="H2025" s="1">
        <v>45512</v>
      </c>
      <c r="I2025">
        <v>13</v>
      </c>
      <c r="J2025">
        <v>4</v>
      </c>
      <c r="K2025">
        <v>8288</v>
      </c>
      <c r="L2025">
        <v>4144</v>
      </c>
      <c r="M2025">
        <v>87025</v>
      </c>
      <c r="N2025">
        <v>4144</v>
      </c>
      <c r="O2025">
        <v>95313</v>
      </c>
    </row>
    <row r="2026" spans="1:15" x14ac:dyDescent="0.35">
      <c r="A2026">
        <v>2025</v>
      </c>
      <c r="B2026" s="2" t="s">
        <v>27</v>
      </c>
      <c r="C2026" s="2" t="s">
        <v>15</v>
      </c>
      <c r="D2026">
        <v>40</v>
      </c>
      <c r="E2026" s="2" t="s">
        <v>28</v>
      </c>
      <c r="F2026" s="2" t="s">
        <v>17</v>
      </c>
      <c r="G2026">
        <v>87644</v>
      </c>
      <c r="H2026" s="1">
        <v>45359</v>
      </c>
      <c r="I2026">
        <v>15</v>
      </c>
      <c r="J2026">
        <v>4</v>
      </c>
      <c r="K2026">
        <v>8764</v>
      </c>
      <c r="L2026">
        <v>4382</v>
      </c>
      <c r="M2026">
        <v>92026</v>
      </c>
      <c r="N2026">
        <v>4382</v>
      </c>
      <c r="O2026">
        <v>100790</v>
      </c>
    </row>
    <row r="2027" spans="1:15" x14ac:dyDescent="0.35">
      <c r="A2027">
        <v>2026</v>
      </c>
      <c r="B2027" s="2" t="s">
        <v>27</v>
      </c>
      <c r="C2027" s="2" t="s">
        <v>11</v>
      </c>
      <c r="D2027">
        <v>40</v>
      </c>
      <c r="E2027" s="2" t="s">
        <v>29</v>
      </c>
      <c r="F2027" s="2" t="s">
        <v>19</v>
      </c>
      <c r="G2027">
        <v>49352</v>
      </c>
      <c r="H2027" s="1">
        <v>45292</v>
      </c>
      <c r="I2027">
        <v>18</v>
      </c>
      <c r="J2027">
        <v>4</v>
      </c>
      <c r="K2027">
        <v>4935</v>
      </c>
      <c r="L2027">
        <v>2468</v>
      </c>
      <c r="M2027">
        <v>51819</v>
      </c>
      <c r="N2027">
        <v>2468</v>
      </c>
      <c r="O2027">
        <v>56755</v>
      </c>
    </row>
    <row r="2028" spans="1:15" x14ac:dyDescent="0.35">
      <c r="A2028">
        <v>2027</v>
      </c>
      <c r="B2028" s="2" t="s">
        <v>26</v>
      </c>
      <c r="C2028" s="2" t="s">
        <v>11</v>
      </c>
      <c r="D2028">
        <v>54</v>
      </c>
      <c r="E2028" s="2" t="s">
        <v>24</v>
      </c>
      <c r="F2028" s="2" t="s">
        <v>19</v>
      </c>
      <c r="G2028">
        <v>31618</v>
      </c>
      <c r="H2028" s="1">
        <v>44595</v>
      </c>
      <c r="I2028">
        <v>13</v>
      </c>
      <c r="J2028">
        <v>2</v>
      </c>
      <c r="K2028">
        <v>3162</v>
      </c>
      <c r="L2028">
        <v>1581</v>
      </c>
      <c r="M2028">
        <v>33199</v>
      </c>
      <c r="N2028">
        <v>1581</v>
      </c>
      <c r="O2028">
        <v>36361</v>
      </c>
    </row>
    <row r="2029" spans="1:15" x14ac:dyDescent="0.35">
      <c r="A2029">
        <v>2028</v>
      </c>
      <c r="B2029" s="2" t="s">
        <v>10</v>
      </c>
      <c r="C2029" s="2" t="s">
        <v>15</v>
      </c>
      <c r="D2029">
        <v>29</v>
      </c>
      <c r="E2029" s="2" t="s">
        <v>12</v>
      </c>
      <c r="F2029" s="2" t="s">
        <v>25</v>
      </c>
      <c r="G2029">
        <v>71186</v>
      </c>
      <c r="H2029" s="1">
        <v>44730</v>
      </c>
      <c r="I2029">
        <v>5</v>
      </c>
      <c r="J2029">
        <v>1</v>
      </c>
      <c r="K2029">
        <v>7119</v>
      </c>
      <c r="L2029">
        <v>3559</v>
      </c>
      <c r="M2029">
        <v>74746</v>
      </c>
      <c r="N2029">
        <v>0</v>
      </c>
      <c r="O2029">
        <v>78305</v>
      </c>
    </row>
    <row r="2030" spans="1:15" x14ac:dyDescent="0.35">
      <c r="A2030">
        <v>2029</v>
      </c>
      <c r="B2030" s="2" t="s">
        <v>18</v>
      </c>
      <c r="C2030" s="2" t="s">
        <v>11</v>
      </c>
      <c r="D2030">
        <v>32</v>
      </c>
      <c r="E2030" s="2" t="s">
        <v>24</v>
      </c>
      <c r="F2030" s="2" t="s">
        <v>17</v>
      </c>
      <c r="G2030">
        <v>50817</v>
      </c>
      <c r="H2030" s="1">
        <v>45011</v>
      </c>
      <c r="I2030">
        <v>1</v>
      </c>
      <c r="J2030">
        <v>3</v>
      </c>
      <c r="K2030">
        <v>5082</v>
      </c>
      <c r="L2030">
        <v>2541</v>
      </c>
      <c r="M2030">
        <v>53358</v>
      </c>
      <c r="N2030">
        <v>0</v>
      </c>
      <c r="O2030">
        <v>55899</v>
      </c>
    </row>
    <row r="2031" spans="1:15" x14ac:dyDescent="0.35">
      <c r="A2031">
        <v>2030</v>
      </c>
      <c r="B2031" s="2" t="s">
        <v>22</v>
      </c>
      <c r="C2031" s="2" t="s">
        <v>11</v>
      </c>
      <c r="D2031">
        <v>51</v>
      </c>
      <c r="E2031" s="2" t="s">
        <v>12</v>
      </c>
      <c r="F2031" s="2" t="s">
        <v>17</v>
      </c>
      <c r="G2031">
        <v>78720</v>
      </c>
      <c r="H2031" s="1">
        <v>45511</v>
      </c>
      <c r="I2031">
        <v>7</v>
      </c>
      <c r="J2031">
        <v>4</v>
      </c>
      <c r="K2031">
        <v>7872</v>
      </c>
      <c r="L2031">
        <v>3936</v>
      </c>
      <c r="M2031">
        <v>82656</v>
      </c>
      <c r="N2031">
        <v>3936</v>
      </c>
      <c r="O2031">
        <v>90528</v>
      </c>
    </row>
    <row r="2032" spans="1:15" x14ac:dyDescent="0.35">
      <c r="A2032">
        <v>2031</v>
      </c>
      <c r="B2032" s="2" t="s">
        <v>27</v>
      </c>
      <c r="C2032" s="2" t="s">
        <v>15</v>
      </c>
      <c r="D2032">
        <v>47</v>
      </c>
      <c r="E2032" s="2" t="s">
        <v>24</v>
      </c>
      <c r="F2032" s="2" t="s">
        <v>21</v>
      </c>
      <c r="G2032">
        <v>50283</v>
      </c>
      <c r="H2032" s="1">
        <v>44843</v>
      </c>
      <c r="I2032">
        <v>5</v>
      </c>
      <c r="J2032">
        <v>3</v>
      </c>
      <c r="K2032">
        <v>5028</v>
      </c>
      <c r="L2032">
        <v>2514</v>
      </c>
      <c r="M2032">
        <v>52797</v>
      </c>
      <c r="N2032">
        <v>0</v>
      </c>
      <c r="O2032">
        <v>55311</v>
      </c>
    </row>
    <row r="2033" spans="1:15" x14ac:dyDescent="0.35">
      <c r="A2033">
        <v>2032</v>
      </c>
      <c r="B2033" s="2" t="s">
        <v>30</v>
      </c>
      <c r="C2033" s="2" t="s">
        <v>11</v>
      </c>
      <c r="D2033">
        <v>24</v>
      </c>
      <c r="E2033" s="2" t="s">
        <v>12</v>
      </c>
      <c r="F2033" s="2" t="s">
        <v>21</v>
      </c>
      <c r="G2033">
        <v>40155</v>
      </c>
      <c r="H2033" s="1">
        <v>44939</v>
      </c>
      <c r="I2033">
        <v>12</v>
      </c>
      <c r="J2033">
        <v>1</v>
      </c>
      <c r="K2033">
        <v>4016</v>
      </c>
      <c r="L2033">
        <v>2008</v>
      </c>
      <c r="M2033">
        <v>42163</v>
      </c>
      <c r="N2033">
        <v>2008</v>
      </c>
      <c r="O2033">
        <v>46179</v>
      </c>
    </row>
    <row r="2034" spans="1:15" x14ac:dyDescent="0.35">
      <c r="A2034">
        <v>2033</v>
      </c>
      <c r="B2034" s="2" t="s">
        <v>30</v>
      </c>
      <c r="C2034" s="2" t="s">
        <v>15</v>
      </c>
      <c r="D2034">
        <v>44</v>
      </c>
      <c r="E2034" s="2" t="s">
        <v>12</v>
      </c>
      <c r="F2034" s="2" t="s">
        <v>17</v>
      </c>
      <c r="G2034">
        <v>93922</v>
      </c>
      <c r="H2034" s="1">
        <v>45499</v>
      </c>
      <c r="I2034">
        <v>9</v>
      </c>
      <c r="J2034">
        <v>4</v>
      </c>
      <c r="K2034">
        <v>9392</v>
      </c>
      <c r="L2034">
        <v>4696</v>
      </c>
      <c r="M2034">
        <v>98618</v>
      </c>
      <c r="N2034">
        <v>4696</v>
      </c>
      <c r="O2034">
        <v>108010</v>
      </c>
    </row>
    <row r="2035" spans="1:15" x14ac:dyDescent="0.35">
      <c r="A2035">
        <v>2034</v>
      </c>
      <c r="B2035" s="2" t="s">
        <v>27</v>
      </c>
      <c r="C2035" s="2" t="s">
        <v>15</v>
      </c>
      <c r="D2035">
        <v>32</v>
      </c>
      <c r="E2035" s="2" t="s">
        <v>29</v>
      </c>
      <c r="F2035" s="2" t="s">
        <v>17</v>
      </c>
      <c r="G2035">
        <v>25519</v>
      </c>
      <c r="H2035" s="1">
        <v>44657</v>
      </c>
      <c r="I2035">
        <v>12</v>
      </c>
      <c r="J2035">
        <v>3</v>
      </c>
      <c r="K2035">
        <v>2552</v>
      </c>
      <c r="L2035">
        <v>1276</v>
      </c>
      <c r="M2035">
        <v>26795</v>
      </c>
      <c r="N2035">
        <v>1276</v>
      </c>
      <c r="O2035">
        <v>29347</v>
      </c>
    </row>
    <row r="2036" spans="1:15" x14ac:dyDescent="0.35">
      <c r="A2036">
        <v>2035</v>
      </c>
      <c r="B2036" s="2" t="s">
        <v>26</v>
      </c>
      <c r="C2036" s="2" t="s">
        <v>15</v>
      </c>
      <c r="D2036">
        <v>51</v>
      </c>
      <c r="E2036" s="2" t="s">
        <v>29</v>
      </c>
      <c r="F2036" s="2" t="s">
        <v>25</v>
      </c>
      <c r="G2036">
        <v>90912</v>
      </c>
      <c r="H2036" s="1">
        <v>45088</v>
      </c>
      <c r="I2036">
        <v>13</v>
      </c>
      <c r="J2036">
        <v>5</v>
      </c>
      <c r="K2036">
        <v>9091</v>
      </c>
      <c r="L2036">
        <v>4546</v>
      </c>
      <c r="M2036">
        <v>95457</v>
      </c>
      <c r="N2036">
        <v>4546</v>
      </c>
      <c r="O2036">
        <v>104549</v>
      </c>
    </row>
    <row r="2037" spans="1:15" x14ac:dyDescent="0.35">
      <c r="A2037">
        <v>2036</v>
      </c>
      <c r="B2037" s="2" t="s">
        <v>23</v>
      </c>
      <c r="C2037" s="2" t="s">
        <v>11</v>
      </c>
      <c r="D2037">
        <v>41</v>
      </c>
      <c r="E2037" s="2" t="s">
        <v>29</v>
      </c>
      <c r="F2037" s="2" t="s">
        <v>21</v>
      </c>
      <c r="G2037">
        <v>71063</v>
      </c>
      <c r="H2037" s="1">
        <v>44578</v>
      </c>
      <c r="I2037">
        <v>4</v>
      </c>
      <c r="J2037">
        <v>2</v>
      </c>
      <c r="K2037">
        <v>7106</v>
      </c>
      <c r="L2037">
        <v>3553</v>
      </c>
      <c r="M2037">
        <v>74616</v>
      </c>
      <c r="N2037">
        <v>0</v>
      </c>
      <c r="O2037">
        <v>78169</v>
      </c>
    </row>
    <row r="2038" spans="1:15" x14ac:dyDescent="0.35">
      <c r="A2038">
        <v>2037</v>
      </c>
      <c r="B2038" s="2" t="s">
        <v>20</v>
      </c>
      <c r="C2038" s="2" t="s">
        <v>11</v>
      </c>
      <c r="D2038">
        <v>59</v>
      </c>
      <c r="E2038" s="2" t="s">
        <v>24</v>
      </c>
      <c r="F2038" s="2" t="s">
        <v>19</v>
      </c>
      <c r="G2038">
        <v>57694</v>
      </c>
      <c r="H2038" s="1">
        <v>45273</v>
      </c>
      <c r="I2038">
        <v>18</v>
      </c>
      <c r="J2038">
        <v>3</v>
      </c>
      <c r="K2038">
        <v>5769</v>
      </c>
      <c r="L2038">
        <v>2885</v>
      </c>
      <c r="M2038">
        <v>60578</v>
      </c>
      <c r="N2038">
        <v>2885</v>
      </c>
      <c r="O2038">
        <v>66348</v>
      </c>
    </row>
    <row r="2039" spans="1:15" x14ac:dyDescent="0.35">
      <c r="A2039">
        <v>2038</v>
      </c>
      <c r="B2039" s="2" t="s">
        <v>10</v>
      </c>
      <c r="C2039" s="2" t="s">
        <v>11</v>
      </c>
      <c r="D2039">
        <v>50</v>
      </c>
      <c r="E2039" s="2" t="s">
        <v>24</v>
      </c>
      <c r="F2039" s="2" t="s">
        <v>13</v>
      </c>
      <c r="G2039">
        <v>89418</v>
      </c>
      <c r="H2039" s="1">
        <v>45320</v>
      </c>
      <c r="I2039">
        <v>1</v>
      </c>
      <c r="J2039">
        <v>3</v>
      </c>
      <c r="K2039">
        <v>8942</v>
      </c>
      <c r="L2039">
        <v>4471</v>
      </c>
      <c r="M2039">
        <v>93889</v>
      </c>
      <c r="N2039">
        <v>0</v>
      </c>
      <c r="O2039">
        <v>98360</v>
      </c>
    </row>
    <row r="2040" spans="1:15" x14ac:dyDescent="0.35">
      <c r="A2040">
        <v>2039</v>
      </c>
      <c r="B2040" s="2" t="s">
        <v>23</v>
      </c>
      <c r="C2040" s="2" t="s">
        <v>15</v>
      </c>
      <c r="D2040">
        <v>49</v>
      </c>
      <c r="E2040" s="2" t="s">
        <v>28</v>
      </c>
      <c r="F2040" s="2" t="s">
        <v>25</v>
      </c>
      <c r="G2040">
        <v>66809</v>
      </c>
      <c r="H2040" s="1">
        <v>45154</v>
      </c>
      <c r="I2040">
        <v>19</v>
      </c>
      <c r="J2040">
        <v>5</v>
      </c>
      <c r="K2040">
        <v>6681</v>
      </c>
      <c r="L2040">
        <v>3340</v>
      </c>
      <c r="M2040">
        <v>70150</v>
      </c>
      <c r="N2040">
        <v>3340</v>
      </c>
      <c r="O2040">
        <v>76830</v>
      </c>
    </row>
    <row r="2041" spans="1:15" x14ac:dyDescent="0.35">
      <c r="A2041">
        <v>2040</v>
      </c>
      <c r="B2041" s="2" t="s">
        <v>18</v>
      </c>
      <c r="C2041" s="2" t="s">
        <v>11</v>
      </c>
      <c r="D2041">
        <v>52</v>
      </c>
      <c r="E2041" s="2" t="s">
        <v>28</v>
      </c>
      <c r="F2041" s="2" t="s">
        <v>21</v>
      </c>
      <c r="G2041">
        <v>39327</v>
      </c>
      <c r="H2041" s="1">
        <v>45322</v>
      </c>
      <c r="I2041">
        <v>11</v>
      </c>
      <c r="J2041">
        <v>3</v>
      </c>
      <c r="K2041">
        <v>3933</v>
      </c>
      <c r="L2041">
        <v>1966</v>
      </c>
      <c r="M2041">
        <v>41294</v>
      </c>
      <c r="N2041">
        <v>1966</v>
      </c>
      <c r="O2041">
        <v>45226</v>
      </c>
    </row>
    <row r="2042" spans="1:15" x14ac:dyDescent="0.35">
      <c r="A2042">
        <v>2041</v>
      </c>
      <c r="B2042" s="2" t="s">
        <v>31</v>
      </c>
      <c r="C2042" s="2" t="s">
        <v>15</v>
      </c>
      <c r="D2042">
        <v>29</v>
      </c>
      <c r="E2042" s="2" t="s">
        <v>28</v>
      </c>
      <c r="F2042" s="2" t="s">
        <v>21</v>
      </c>
      <c r="G2042">
        <v>43711</v>
      </c>
      <c r="H2042" s="1">
        <v>45406</v>
      </c>
      <c r="I2042">
        <v>10</v>
      </c>
      <c r="J2042">
        <v>3</v>
      </c>
      <c r="K2042">
        <v>4371</v>
      </c>
      <c r="L2042">
        <v>2186</v>
      </c>
      <c r="M2042">
        <v>45896</v>
      </c>
      <c r="N2042">
        <v>2186</v>
      </c>
      <c r="O2042">
        <v>50268</v>
      </c>
    </row>
    <row r="2043" spans="1:15" x14ac:dyDescent="0.35">
      <c r="A2043">
        <v>2042</v>
      </c>
      <c r="B2043" s="2" t="s">
        <v>22</v>
      </c>
      <c r="C2043" s="2" t="s">
        <v>15</v>
      </c>
      <c r="D2043">
        <v>24</v>
      </c>
      <c r="E2043" s="2" t="s">
        <v>24</v>
      </c>
      <c r="F2043" s="2" t="s">
        <v>13</v>
      </c>
      <c r="G2043">
        <v>90480</v>
      </c>
      <c r="H2043" s="1">
        <v>44641</v>
      </c>
      <c r="I2043">
        <v>18</v>
      </c>
      <c r="J2043">
        <v>3</v>
      </c>
      <c r="K2043">
        <v>9048</v>
      </c>
      <c r="L2043">
        <v>4524</v>
      </c>
      <c r="M2043">
        <v>95004</v>
      </c>
      <c r="N2043">
        <v>4524</v>
      </c>
      <c r="O2043">
        <v>104052</v>
      </c>
    </row>
    <row r="2044" spans="1:15" x14ac:dyDescent="0.35">
      <c r="A2044">
        <v>2043</v>
      </c>
      <c r="B2044" s="2" t="s">
        <v>23</v>
      </c>
      <c r="C2044" s="2" t="s">
        <v>11</v>
      </c>
      <c r="D2044">
        <v>21</v>
      </c>
      <c r="E2044" s="2" t="s">
        <v>12</v>
      </c>
      <c r="F2044" s="2" t="s">
        <v>19</v>
      </c>
      <c r="G2044">
        <v>73452</v>
      </c>
      <c r="H2044" s="1">
        <v>44937</v>
      </c>
      <c r="I2044">
        <v>9</v>
      </c>
      <c r="J2044">
        <v>5</v>
      </c>
      <c r="K2044">
        <v>7345</v>
      </c>
      <c r="L2044">
        <v>3673</v>
      </c>
      <c r="M2044">
        <v>77124</v>
      </c>
      <c r="N2044">
        <v>3673</v>
      </c>
      <c r="O2044">
        <v>84470</v>
      </c>
    </row>
    <row r="2045" spans="1:15" x14ac:dyDescent="0.35">
      <c r="A2045">
        <v>2044</v>
      </c>
      <c r="B2045" s="2" t="s">
        <v>23</v>
      </c>
      <c r="C2045" s="2" t="s">
        <v>11</v>
      </c>
      <c r="D2045">
        <v>59</v>
      </c>
      <c r="E2045" s="2" t="s">
        <v>28</v>
      </c>
      <c r="F2045" s="2" t="s">
        <v>25</v>
      </c>
      <c r="G2045">
        <v>76179</v>
      </c>
      <c r="H2045" s="1">
        <v>44672</v>
      </c>
      <c r="I2045">
        <v>16</v>
      </c>
      <c r="J2045">
        <v>5</v>
      </c>
      <c r="K2045">
        <v>7618</v>
      </c>
      <c r="L2045">
        <v>3809</v>
      </c>
      <c r="M2045">
        <v>79988</v>
      </c>
      <c r="N2045">
        <v>3809</v>
      </c>
      <c r="O2045">
        <v>87606</v>
      </c>
    </row>
    <row r="2046" spans="1:15" x14ac:dyDescent="0.35">
      <c r="A2046">
        <v>2045</v>
      </c>
      <c r="B2046" s="2" t="s">
        <v>27</v>
      </c>
      <c r="C2046" s="2" t="s">
        <v>15</v>
      </c>
      <c r="D2046">
        <v>47</v>
      </c>
      <c r="E2046" s="2" t="s">
        <v>24</v>
      </c>
      <c r="F2046" s="2" t="s">
        <v>25</v>
      </c>
      <c r="G2046">
        <v>98024</v>
      </c>
      <c r="H2046" s="1">
        <v>44673</v>
      </c>
      <c r="I2046">
        <v>11</v>
      </c>
      <c r="J2046">
        <v>5</v>
      </c>
      <c r="K2046">
        <v>9802</v>
      </c>
      <c r="L2046">
        <v>4901</v>
      </c>
      <c r="M2046">
        <v>102925</v>
      </c>
      <c r="N2046">
        <v>4901</v>
      </c>
      <c r="O2046">
        <v>112727</v>
      </c>
    </row>
    <row r="2047" spans="1:15" x14ac:dyDescent="0.35">
      <c r="A2047">
        <v>2046</v>
      </c>
      <c r="B2047" s="2" t="s">
        <v>23</v>
      </c>
      <c r="C2047" s="2" t="s">
        <v>11</v>
      </c>
      <c r="D2047">
        <v>56</v>
      </c>
      <c r="E2047" s="2" t="s">
        <v>12</v>
      </c>
      <c r="F2047" s="2" t="s">
        <v>19</v>
      </c>
      <c r="G2047">
        <v>51282</v>
      </c>
      <c r="H2047" s="1">
        <v>44886</v>
      </c>
      <c r="I2047">
        <v>16</v>
      </c>
      <c r="J2047">
        <v>2</v>
      </c>
      <c r="K2047">
        <v>5128</v>
      </c>
      <c r="L2047">
        <v>2564</v>
      </c>
      <c r="M2047">
        <v>53846</v>
      </c>
      <c r="N2047">
        <v>2564</v>
      </c>
      <c r="O2047">
        <v>58974</v>
      </c>
    </row>
    <row r="2048" spans="1:15" x14ac:dyDescent="0.35">
      <c r="A2048">
        <v>2047</v>
      </c>
      <c r="B2048" s="2" t="s">
        <v>22</v>
      </c>
      <c r="C2048" s="2" t="s">
        <v>11</v>
      </c>
      <c r="D2048">
        <v>28</v>
      </c>
      <c r="E2048" s="2" t="s">
        <v>24</v>
      </c>
      <c r="F2048" s="2" t="s">
        <v>21</v>
      </c>
      <c r="G2048">
        <v>74097</v>
      </c>
      <c r="H2048" s="1">
        <v>44722</v>
      </c>
      <c r="I2048">
        <v>19</v>
      </c>
      <c r="J2048">
        <v>5</v>
      </c>
      <c r="K2048">
        <v>7410</v>
      </c>
      <c r="L2048">
        <v>3705</v>
      </c>
      <c r="M2048">
        <v>77802</v>
      </c>
      <c r="N2048">
        <v>3705</v>
      </c>
      <c r="O2048">
        <v>85212</v>
      </c>
    </row>
    <row r="2049" spans="1:15" x14ac:dyDescent="0.35">
      <c r="A2049">
        <v>2048</v>
      </c>
      <c r="B2049" s="2" t="s">
        <v>27</v>
      </c>
      <c r="C2049" s="2" t="s">
        <v>15</v>
      </c>
      <c r="D2049">
        <v>32</v>
      </c>
      <c r="E2049" s="2" t="s">
        <v>28</v>
      </c>
      <c r="F2049" s="2" t="s">
        <v>17</v>
      </c>
      <c r="G2049">
        <v>92667</v>
      </c>
      <c r="H2049" s="1">
        <v>45074</v>
      </c>
      <c r="I2049">
        <v>18</v>
      </c>
      <c r="J2049">
        <v>1</v>
      </c>
      <c r="K2049">
        <v>9267</v>
      </c>
      <c r="L2049">
        <v>4633</v>
      </c>
      <c r="M2049">
        <v>97301</v>
      </c>
      <c r="N2049">
        <v>4633</v>
      </c>
      <c r="O2049">
        <v>106567</v>
      </c>
    </row>
    <row r="2050" spans="1:15" x14ac:dyDescent="0.35">
      <c r="A2050">
        <v>2049</v>
      </c>
      <c r="B2050" s="2" t="s">
        <v>22</v>
      </c>
      <c r="C2050" s="2" t="s">
        <v>11</v>
      </c>
      <c r="D2050">
        <v>49</v>
      </c>
      <c r="E2050" s="2" t="s">
        <v>16</v>
      </c>
      <c r="F2050" s="2" t="s">
        <v>21</v>
      </c>
      <c r="G2050">
        <v>22114</v>
      </c>
      <c r="H2050" s="1">
        <v>44823</v>
      </c>
      <c r="I2050">
        <v>8</v>
      </c>
      <c r="J2050">
        <v>2</v>
      </c>
      <c r="K2050">
        <v>2211</v>
      </c>
      <c r="L2050">
        <v>1106</v>
      </c>
      <c r="M2050">
        <v>23219</v>
      </c>
      <c r="N2050">
        <v>1106</v>
      </c>
      <c r="O2050">
        <v>25431</v>
      </c>
    </row>
    <row r="2051" spans="1:15" x14ac:dyDescent="0.35">
      <c r="A2051">
        <v>2050</v>
      </c>
      <c r="B2051" s="2" t="s">
        <v>26</v>
      </c>
      <c r="C2051" s="2" t="s">
        <v>11</v>
      </c>
      <c r="D2051">
        <v>40</v>
      </c>
      <c r="E2051" s="2" t="s">
        <v>29</v>
      </c>
      <c r="F2051" s="2" t="s">
        <v>19</v>
      </c>
      <c r="G2051">
        <v>75350</v>
      </c>
      <c r="H2051" s="1">
        <v>45144</v>
      </c>
      <c r="I2051">
        <v>20</v>
      </c>
      <c r="J2051">
        <v>3</v>
      </c>
      <c r="K2051">
        <v>7535</v>
      </c>
      <c r="L2051">
        <v>3768</v>
      </c>
      <c r="M2051">
        <v>79117</v>
      </c>
      <c r="N2051">
        <v>3768</v>
      </c>
      <c r="O2051">
        <v>86653</v>
      </c>
    </row>
    <row r="2052" spans="1:15" x14ac:dyDescent="0.35">
      <c r="A2052">
        <v>2051</v>
      </c>
      <c r="B2052" s="2" t="s">
        <v>14</v>
      </c>
      <c r="C2052" s="2" t="s">
        <v>15</v>
      </c>
      <c r="D2052">
        <v>35</v>
      </c>
      <c r="E2052" s="2" t="s">
        <v>24</v>
      </c>
      <c r="F2052" s="2" t="s">
        <v>21</v>
      </c>
      <c r="G2052">
        <v>56528</v>
      </c>
      <c r="H2052" s="1">
        <v>45001</v>
      </c>
      <c r="I2052">
        <v>12</v>
      </c>
      <c r="J2052">
        <v>1</v>
      </c>
      <c r="K2052">
        <v>5653</v>
      </c>
      <c r="L2052">
        <v>2826</v>
      </c>
      <c r="M2052">
        <v>59355</v>
      </c>
      <c r="N2052">
        <v>2826</v>
      </c>
      <c r="O2052">
        <v>65007</v>
      </c>
    </row>
    <row r="2053" spans="1:15" x14ac:dyDescent="0.35">
      <c r="A2053">
        <v>2052</v>
      </c>
      <c r="B2053" s="2" t="s">
        <v>30</v>
      </c>
      <c r="C2053" s="2" t="s">
        <v>15</v>
      </c>
      <c r="D2053">
        <v>31</v>
      </c>
      <c r="E2053" s="2" t="s">
        <v>16</v>
      </c>
      <c r="F2053" s="2" t="s">
        <v>25</v>
      </c>
      <c r="G2053">
        <v>60716</v>
      </c>
      <c r="H2053" s="1">
        <v>44877</v>
      </c>
      <c r="I2053">
        <v>17</v>
      </c>
      <c r="J2053">
        <v>1</v>
      </c>
      <c r="K2053">
        <v>6072</v>
      </c>
      <c r="L2053">
        <v>3036</v>
      </c>
      <c r="M2053">
        <v>63752</v>
      </c>
      <c r="N2053">
        <v>3036</v>
      </c>
      <c r="O2053">
        <v>69824</v>
      </c>
    </row>
    <row r="2054" spans="1:15" x14ac:dyDescent="0.35">
      <c r="A2054">
        <v>2053</v>
      </c>
      <c r="B2054" s="2" t="s">
        <v>22</v>
      </c>
      <c r="C2054" s="2" t="s">
        <v>15</v>
      </c>
      <c r="D2054">
        <v>47</v>
      </c>
      <c r="E2054" s="2" t="s">
        <v>24</v>
      </c>
      <c r="F2054" s="2" t="s">
        <v>25</v>
      </c>
      <c r="G2054">
        <v>84376</v>
      </c>
      <c r="H2054" s="1">
        <v>44612</v>
      </c>
      <c r="I2054">
        <v>20</v>
      </c>
      <c r="J2054">
        <v>1</v>
      </c>
      <c r="K2054">
        <v>8438</v>
      </c>
      <c r="L2054">
        <v>4219</v>
      </c>
      <c r="M2054">
        <v>88595</v>
      </c>
      <c r="N2054">
        <v>4219</v>
      </c>
      <c r="O2054">
        <v>97033</v>
      </c>
    </row>
    <row r="2055" spans="1:15" x14ac:dyDescent="0.35">
      <c r="A2055">
        <v>2054</v>
      </c>
      <c r="B2055" s="2" t="s">
        <v>18</v>
      </c>
      <c r="C2055" s="2" t="s">
        <v>11</v>
      </c>
      <c r="D2055">
        <v>45</v>
      </c>
      <c r="E2055" s="2" t="s">
        <v>16</v>
      </c>
      <c r="F2055" s="2" t="s">
        <v>21</v>
      </c>
      <c r="G2055">
        <v>74191</v>
      </c>
      <c r="H2055" s="1">
        <v>44808</v>
      </c>
      <c r="I2055">
        <v>10</v>
      </c>
      <c r="J2055">
        <v>1</v>
      </c>
      <c r="K2055">
        <v>7419</v>
      </c>
      <c r="L2055">
        <v>3710</v>
      </c>
      <c r="M2055">
        <v>77900</v>
      </c>
      <c r="N2055">
        <v>3710</v>
      </c>
      <c r="O2055">
        <v>85320</v>
      </c>
    </row>
    <row r="2056" spans="1:15" x14ac:dyDescent="0.35">
      <c r="A2056">
        <v>2055</v>
      </c>
      <c r="B2056" s="2" t="s">
        <v>27</v>
      </c>
      <c r="C2056" s="2" t="s">
        <v>15</v>
      </c>
      <c r="D2056">
        <v>52</v>
      </c>
      <c r="E2056" s="2" t="s">
        <v>16</v>
      </c>
      <c r="F2056" s="2" t="s">
        <v>13</v>
      </c>
      <c r="G2056">
        <v>96997</v>
      </c>
      <c r="H2056" s="1">
        <v>44663</v>
      </c>
      <c r="I2056">
        <v>11</v>
      </c>
      <c r="J2056">
        <v>3</v>
      </c>
      <c r="K2056">
        <v>9700</v>
      </c>
      <c r="L2056">
        <v>4850</v>
      </c>
      <c r="M2056">
        <v>101847</v>
      </c>
      <c r="N2056">
        <v>4850</v>
      </c>
      <c r="O2056">
        <v>111547</v>
      </c>
    </row>
    <row r="2057" spans="1:15" x14ac:dyDescent="0.35">
      <c r="A2057">
        <v>2056</v>
      </c>
      <c r="B2057" s="2" t="s">
        <v>26</v>
      </c>
      <c r="C2057" s="2" t="s">
        <v>11</v>
      </c>
      <c r="D2057">
        <v>41</v>
      </c>
      <c r="E2057" s="2" t="s">
        <v>12</v>
      </c>
      <c r="F2057" s="2" t="s">
        <v>21</v>
      </c>
      <c r="G2057">
        <v>25993</v>
      </c>
      <c r="H2057" s="1">
        <v>44994</v>
      </c>
      <c r="I2057">
        <v>8</v>
      </c>
      <c r="J2057">
        <v>2</v>
      </c>
      <c r="K2057">
        <v>2599</v>
      </c>
      <c r="L2057">
        <v>1300</v>
      </c>
      <c r="M2057">
        <v>27292</v>
      </c>
      <c r="N2057">
        <v>1300</v>
      </c>
      <c r="O2057">
        <v>29892</v>
      </c>
    </row>
    <row r="2058" spans="1:15" x14ac:dyDescent="0.35">
      <c r="A2058">
        <v>2057</v>
      </c>
      <c r="B2058" s="2" t="s">
        <v>10</v>
      </c>
      <c r="C2058" s="2" t="s">
        <v>15</v>
      </c>
      <c r="D2058">
        <v>55</v>
      </c>
      <c r="E2058" s="2" t="s">
        <v>12</v>
      </c>
      <c r="F2058" s="2" t="s">
        <v>21</v>
      </c>
      <c r="G2058">
        <v>85624</v>
      </c>
      <c r="H2058" s="1">
        <v>45185</v>
      </c>
      <c r="I2058">
        <v>14</v>
      </c>
      <c r="J2058">
        <v>1</v>
      </c>
      <c r="K2058">
        <v>8562</v>
      </c>
      <c r="L2058">
        <v>4281</v>
      </c>
      <c r="M2058">
        <v>89905</v>
      </c>
      <c r="N2058">
        <v>4281</v>
      </c>
      <c r="O2058">
        <v>98467</v>
      </c>
    </row>
    <row r="2059" spans="1:15" x14ac:dyDescent="0.35">
      <c r="A2059">
        <v>2058</v>
      </c>
      <c r="B2059" s="2" t="s">
        <v>23</v>
      </c>
      <c r="C2059" s="2" t="s">
        <v>11</v>
      </c>
      <c r="D2059">
        <v>44</v>
      </c>
      <c r="E2059" s="2" t="s">
        <v>24</v>
      </c>
      <c r="F2059" s="2" t="s">
        <v>19</v>
      </c>
      <c r="G2059">
        <v>78802</v>
      </c>
      <c r="H2059" s="1">
        <v>44828</v>
      </c>
      <c r="I2059">
        <v>15</v>
      </c>
      <c r="J2059">
        <v>1</v>
      </c>
      <c r="K2059">
        <v>7880</v>
      </c>
      <c r="L2059">
        <v>3940</v>
      </c>
      <c r="M2059">
        <v>82742</v>
      </c>
      <c r="N2059">
        <v>3940</v>
      </c>
      <c r="O2059">
        <v>90622</v>
      </c>
    </row>
    <row r="2060" spans="1:15" x14ac:dyDescent="0.35">
      <c r="A2060">
        <v>2059</v>
      </c>
      <c r="B2060" s="2" t="s">
        <v>18</v>
      </c>
      <c r="C2060" s="2" t="s">
        <v>15</v>
      </c>
      <c r="D2060">
        <v>45</v>
      </c>
      <c r="E2060" s="2" t="s">
        <v>28</v>
      </c>
      <c r="F2060" s="2" t="s">
        <v>13</v>
      </c>
      <c r="G2060">
        <v>62309</v>
      </c>
      <c r="H2060" s="1">
        <v>44950</v>
      </c>
      <c r="I2060">
        <v>8</v>
      </c>
      <c r="J2060">
        <v>5</v>
      </c>
      <c r="K2060">
        <v>6231</v>
      </c>
      <c r="L2060">
        <v>3115</v>
      </c>
      <c r="M2060">
        <v>65425</v>
      </c>
      <c r="N2060">
        <v>3115</v>
      </c>
      <c r="O2060">
        <v>71655</v>
      </c>
    </row>
    <row r="2061" spans="1:15" x14ac:dyDescent="0.35">
      <c r="A2061">
        <v>2060</v>
      </c>
      <c r="B2061" s="2" t="s">
        <v>14</v>
      </c>
      <c r="C2061" s="2" t="s">
        <v>11</v>
      </c>
      <c r="D2061">
        <v>23</v>
      </c>
      <c r="E2061" s="2" t="s">
        <v>24</v>
      </c>
      <c r="F2061" s="2" t="s">
        <v>21</v>
      </c>
      <c r="G2061">
        <v>54388</v>
      </c>
      <c r="H2061" s="1">
        <v>44563</v>
      </c>
      <c r="I2061">
        <v>18</v>
      </c>
      <c r="J2061">
        <v>2</v>
      </c>
      <c r="K2061">
        <v>5439</v>
      </c>
      <c r="L2061">
        <v>2719</v>
      </c>
      <c r="M2061">
        <v>57108</v>
      </c>
      <c r="N2061">
        <v>2719</v>
      </c>
      <c r="O2061">
        <v>62546</v>
      </c>
    </row>
    <row r="2062" spans="1:15" x14ac:dyDescent="0.35">
      <c r="A2062">
        <v>2061</v>
      </c>
      <c r="B2062" s="2" t="s">
        <v>22</v>
      </c>
      <c r="C2062" s="2" t="s">
        <v>15</v>
      </c>
      <c r="D2062">
        <v>22</v>
      </c>
      <c r="E2062" s="2" t="s">
        <v>12</v>
      </c>
      <c r="F2062" s="2" t="s">
        <v>21</v>
      </c>
      <c r="G2062">
        <v>64229</v>
      </c>
      <c r="H2062" s="1">
        <v>45465</v>
      </c>
      <c r="I2062">
        <v>18</v>
      </c>
      <c r="J2062">
        <v>3</v>
      </c>
      <c r="K2062">
        <v>6423</v>
      </c>
      <c r="L2062">
        <v>3211</v>
      </c>
      <c r="M2062">
        <v>67441</v>
      </c>
      <c r="N2062">
        <v>3211</v>
      </c>
      <c r="O2062">
        <v>73863</v>
      </c>
    </row>
    <row r="2063" spans="1:15" x14ac:dyDescent="0.35">
      <c r="A2063">
        <v>2062</v>
      </c>
      <c r="B2063" s="2" t="s">
        <v>10</v>
      </c>
      <c r="C2063" s="2" t="s">
        <v>11</v>
      </c>
      <c r="D2063">
        <v>22</v>
      </c>
      <c r="E2063" s="2" t="s">
        <v>12</v>
      </c>
      <c r="F2063" s="2" t="s">
        <v>21</v>
      </c>
      <c r="G2063">
        <v>79634</v>
      </c>
      <c r="H2063" s="1">
        <v>45498</v>
      </c>
      <c r="I2063">
        <v>19</v>
      </c>
      <c r="J2063">
        <v>2</v>
      </c>
      <c r="K2063">
        <v>7963</v>
      </c>
      <c r="L2063">
        <v>3982</v>
      </c>
      <c r="M2063">
        <v>83615</v>
      </c>
      <c r="N2063">
        <v>3982</v>
      </c>
      <c r="O2063">
        <v>91579</v>
      </c>
    </row>
    <row r="2064" spans="1:15" x14ac:dyDescent="0.35">
      <c r="A2064">
        <v>2063</v>
      </c>
      <c r="B2064" s="2" t="s">
        <v>10</v>
      </c>
      <c r="C2064" s="2" t="s">
        <v>11</v>
      </c>
      <c r="D2064">
        <v>42</v>
      </c>
      <c r="E2064" s="2" t="s">
        <v>16</v>
      </c>
      <c r="F2064" s="2" t="s">
        <v>13</v>
      </c>
      <c r="G2064">
        <v>86911</v>
      </c>
      <c r="H2064" s="1">
        <v>44816</v>
      </c>
      <c r="I2064">
        <v>18</v>
      </c>
      <c r="J2064">
        <v>4</v>
      </c>
      <c r="K2064">
        <v>8691</v>
      </c>
      <c r="L2064">
        <v>4346</v>
      </c>
      <c r="M2064">
        <v>91256</v>
      </c>
      <c r="N2064">
        <v>4346</v>
      </c>
      <c r="O2064">
        <v>99948</v>
      </c>
    </row>
    <row r="2065" spans="1:15" x14ac:dyDescent="0.35">
      <c r="A2065">
        <v>2064</v>
      </c>
      <c r="B2065" s="2" t="s">
        <v>18</v>
      </c>
      <c r="C2065" s="2" t="s">
        <v>15</v>
      </c>
      <c r="D2065">
        <v>55</v>
      </c>
      <c r="E2065" s="2" t="s">
        <v>12</v>
      </c>
      <c r="F2065" s="2" t="s">
        <v>19</v>
      </c>
      <c r="G2065">
        <v>36521</v>
      </c>
      <c r="H2065" s="1">
        <v>44665</v>
      </c>
      <c r="I2065">
        <v>12</v>
      </c>
      <c r="J2065">
        <v>1</v>
      </c>
      <c r="K2065">
        <v>3652</v>
      </c>
      <c r="L2065">
        <v>1826</v>
      </c>
      <c r="M2065">
        <v>38347</v>
      </c>
      <c r="N2065">
        <v>1826</v>
      </c>
      <c r="O2065">
        <v>41999</v>
      </c>
    </row>
    <row r="2066" spans="1:15" x14ac:dyDescent="0.35">
      <c r="A2066">
        <v>2065</v>
      </c>
      <c r="B2066" s="2" t="s">
        <v>18</v>
      </c>
      <c r="C2066" s="2" t="s">
        <v>11</v>
      </c>
      <c r="D2066">
        <v>39</v>
      </c>
      <c r="E2066" s="2" t="s">
        <v>28</v>
      </c>
      <c r="F2066" s="2" t="s">
        <v>25</v>
      </c>
      <c r="G2066">
        <v>44229</v>
      </c>
      <c r="H2066" s="1">
        <v>45151</v>
      </c>
      <c r="I2066">
        <v>16</v>
      </c>
      <c r="J2066">
        <v>2</v>
      </c>
      <c r="K2066">
        <v>4423</v>
      </c>
      <c r="L2066">
        <v>2211</v>
      </c>
      <c r="M2066">
        <v>46441</v>
      </c>
      <c r="N2066">
        <v>2211</v>
      </c>
      <c r="O2066">
        <v>50863</v>
      </c>
    </row>
    <row r="2067" spans="1:15" x14ac:dyDescent="0.35">
      <c r="A2067">
        <v>2066</v>
      </c>
      <c r="B2067" s="2" t="s">
        <v>30</v>
      </c>
      <c r="C2067" s="2" t="s">
        <v>15</v>
      </c>
      <c r="D2067">
        <v>26</v>
      </c>
      <c r="E2067" s="2" t="s">
        <v>29</v>
      </c>
      <c r="F2067" s="2" t="s">
        <v>25</v>
      </c>
      <c r="G2067">
        <v>76170</v>
      </c>
      <c r="H2067" s="1">
        <v>44654</v>
      </c>
      <c r="I2067">
        <v>4</v>
      </c>
      <c r="J2067">
        <v>2</v>
      </c>
      <c r="K2067">
        <v>7617</v>
      </c>
      <c r="L2067">
        <v>3808</v>
      </c>
      <c r="M2067">
        <v>79979</v>
      </c>
      <c r="N2067">
        <v>0</v>
      </c>
      <c r="O2067">
        <v>83787</v>
      </c>
    </row>
    <row r="2068" spans="1:15" x14ac:dyDescent="0.35">
      <c r="A2068">
        <v>2067</v>
      </c>
      <c r="B2068" s="2" t="s">
        <v>27</v>
      </c>
      <c r="C2068" s="2" t="s">
        <v>11</v>
      </c>
      <c r="D2068">
        <v>51</v>
      </c>
      <c r="E2068" s="2" t="s">
        <v>24</v>
      </c>
      <c r="F2068" s="2" t="s">
        <v>17</v>
      </c>
      <c r="G2068">
        <v>91498</v>
      </c>
      <c r="H2068" s="1">
        <v>45414</v>
      </c>
      <c r="I2068">
        <v>15</v>
      </c>
      <c r="J2068">
        <v>2</v>
      </c>
      <c r="K2068">
        <v>9150</v>
      </c>
      <c r="L2068">
        <v>4575</v>
      </c>
      <c r="M2068">
        <v>96073</v>
      </c>
      <c r="N2068">
        <v>4575</v>
      </c>
      <c r="O2068">
        <v>105223</v>
      </c>
    </row>
    <row r="2069" spans="1:15" x14ac:dyDescent="0.35">
      <c r="A2069">
        <v>2068</v>
      </c>
      <c r="B2069" s="2" t="s">
        <v>30</v>
      </c>
      <c r="C2069" s="2" t="s">
        <v>11</v>
      </c>
      <c r="D2069">
        <v>28</v>
      </c>
      <c r="E2069" s="2" t="s">
        <v>24</v>
      </c>
      <c r="F2069" s="2" t="s">
        <v>21</v>
      </c>
      <c r="G2069">
        <v>70276</v>
      </c>
      <c r="H2069" s="1">
        <v>44884</v>
      </c>
      <c r="I2069">
        <v>11</v>
      </c>
      <c r="J2069">
        <v>4</v>
      </c>
      <c r="K2069">
        <v>7028</v>
      </c>
      <c r="L2069">
        <v>3514</v>
      </c>
      <c r="M2069">
        <v>73790</v>
      </c>
      <c r="N2069">
        <v>3514</v>
      </c>
      <c r="O2069">
        <v>80818</v>
      </c>
    </row>
    <row r="2070" spans="1:15" x14ac:dyDescent="0.35">
      <c r="A2070">
        <v>2069</v>
      </c>
      <c r="B2070" s="2" t="s">
        <v>30</v>
      </c>
      <c r="C2070" s="2" t="s">
        <v>11</v>
      </c>
      <c r="D2070">
        <v>47</v>
      </c>
      <c r="E2070" s="2" t="s">
        <v>28</v>
      </c>
      <c r="F2070" s="2" t="s">
        <v>21</v>
      </c>
      <c r="G2070">
        <v>96450</v>
      </c>
      <c r="H2070" s="1">
        <v>45554</v>
      </c>
      <c r="I2070">
        <v>3</v>
      </c>
      <c r="J2070">
        <v>4</v>
      </c>
      <c r="K2070">
        <v>9645</v>
      </c>
      <c r="L2070">
        <v>4822</v>
      </c>
      <c r="M2070">
        <v>101273</v>
      </c>
      <c r="N2070">
        <v>0</v>
      </c>
      <c r="O2070">
        <v>106095</v>
      </c>
    </row>
    <row r="2071" spans="1:15" x14ac:dyDescent="0.35">
      <c r="A2071">
        <v>2070</v>
      </c>
      <c r="B2071" s="2" t="s">
        <v>27</v>
      </c>
      <c r="C2071" s="2" t="s">
        <v>11</v>
      </c>
      <c r="D2071">
        <v>46</v>
      </c>
      <c r="E2071" s="2" t="s">
        <v>28</v>
      </c>
      <c r="F2071" s="2" t="s">
        <v>13</v>
      </c>
      <c r="G2071">
        <v>33195</v>
      </c>
      <c r="H2071" s="1">
        <v>44735</v>
      </c>
      <c r="I2071">
        <v>4</v>
      </c>
      <c r="J2071">
        <v>3</v>
      </c>
      <c r="K2071">
        <v>3320</v>
      </c>
      <c r="L2071">
        <v>1660</v>
      </c>
      <c r="M2071">
        <v>34855</v>
      </c>
      <c r="N2071">
        <v>0</v>
      </c>
      <c r="O2071">
        <v>36515</v>
      </c>
    </row>
    <row r="2072" spans="1:15" x14ac:dyDescent="0.35">
      <c r="A2072">
        <v>2071</v>
      </c>
      <c r="B2072" s="2" t="s">
        <v>20</v>
      </c>
      <c r="C2072" s="2" t="s">
        <v>15</v>
      </c>
      <c r="D2072">
        <v>52</v>
      </c>
      <c r="E2072" s="2" t="s">
        <v>28</v>
      </c>
      <c r="F2072" s="2" t="s">
        <v>19</v>
      </c>
      <c r="G2072">
        <v>53652</v>
      </c>
      <c r="H2072" s="1">
        <v>45127</v>
      </c>
      <c r="I2072">
        <v>4</v>
      </c>
      <c r="J2072">
        <v>1</v>
      </c>
      <c r="K2072">
        <v>5365</v>
      </c>
      <c r="L2072">
        <v>2683</v>
      </c>
      <c r="M2072">
        <v>56334</v>
      </c>
      <c r="N2072">
        <v>0</v>
      </c>
      <c r="O2072">
        <v>59017</v>
      </c>
    </row>
    <row r="2073" spans="1:15" x14ac:dyDescent="0.35">
      <c r="A2073">
        <v>2072</v>
      </c>
      <c r="B2073" s="2" t="s">
        <v>30</v>
      </c>
      <c r="C2073" s="2" t="s">
        <v>11</v>
      </c>
      <c r="D2073">
        <v>53</v>
      </c>
      <c r="E2073" s="2" t="s">
        <v>12</v>
      </c>
      <c r="F2073" s="2" t="s">
        <v>21</v>
      </c>
      <c r="G2073">
        <v>70399</v>
      </c>
      <c r="H2073" s="1">
        <v>45447</v>
      </c>
      <c r="I2073">
        <v>16</v>
      </c>
      <c r="J2073">
        <v>1</v>
      </c>
      <c r="K2073">
        <v>7040</v>
      </c>
      <c r="L2073">
        <v>3520</v>
      </c>
      <c r="M2073">
        <v>73919</v>
      </c>
      <c r="N2073">
        <v>3520</v>
      </c>
      <c r="O2073">
        <v>80959</v>
      </c>
    </row>
    <row r="2074" spans="1:15" x14ac:dyDescent="0.35">
      <c r="A2074">
        <v>2073</v>
      </c>
      <c r="B2074" s="2" t="s">
        <v>20</v>
      </c>
      <c r="C2074" s="2" t="s">
        <v>11</v>
      </c>
      <c r="D2074">
        <v>26</v>
      </c>
      <c r="E2074" s="2" t="s">
        <v>16</v>
      </c>
      <c r="F2074" s="2" t="s">
        <v>13</v>
      </c>
      <c r="G2074">
        <v>43809</v>
      </c>
      <c r="H2074" s="1">
        <v>44668</v>
      </c>
      <c r="I2074">
        <v>8</v>
      </c>
      <c r="J2074">
        <v>4</v>
      </c>
      <c r="K2074">
        <v>4381</v>
      </c>
      <c r="L2074">
        <v>2190</v>
      </c>
      <c r="M2074">
        <v>46000</v>
      </c>
      <c r="N2074">
        <v>2190</v>
      </c>
      <c r="O2074">
        <v>50380</v>
      </c>
    </row>
    <row r="2075" spans="1:15" x14ac:dyDescent="0.35">
      <c r="A2075">
        <v>2074</v>
      </c>
      <c r="B2075" s="2" t="s">
        <v>14</v>
      </c>
      <c r="C2075" s="2" t="s">
        <v>11</v>
      </c>
      <c r="D2075">
        <v>42</v>
      </c>
      <c r="E2075" s="2" t="s">
        <v>29</v>
      </c>
      <c r="F2075" s="2" t="s">
        <v>17</v>
      </c>
      <c r="G2075">
        <v>66194</v>
      </c>
      <c r="H2075" s="1">
        <v>45005</v>
      </c>
      <c r="I2075">
        <v>5</v>
      </c>
      <c r="J2075">
        <v>4</v>
      </c>
      <c r="K2075">
        <v>6619</v>
      </c>
      <c r="L2075">
        <v>3310</v>
      </c>
      <c r="M2075">
        <v>69503</v>
      </c>
      <c r="N2075">
        <v>0</v>
      </c>
      <c r="O2075">
        <v>72813</v>
      </c>
    </row>
    <row r="2076" spans="1:15" x14ac:dyDescent="0.35">
      <c r="A2076">
        <v>2075</v>
      </c>
      <c r="B2076" s="2" t="s">
        <v>10</v>
      </c>
      <c r="C2076" s="2" t="s">
        <v>15</v>
      </c>
      <c r="D2076">
        <v>55</v>
      </c>
      <c r="E2076" s="2" t="s">
        <v>24</v>
      </c>
      <c r="F2076" s="2" t="s">
        <v>21</v>
      </c>
      <c r="G2076">
        <v>69345</v>
      </c>
      <c r="H2076" s="1">
        <v>44591</v>
      </c>
      <c r="I2076">
        <v>18</v>
      </c>
      <c r="J2076">
        <v>1</v>
      </c>
      <c r="K2076">
        <v>6934</v>
      </c>
      <c r="L2076">
        <v>3467</v>
      </c>
      <c r="M2076">
        <v>72812</v>
      </c>
      <c r="N2076">
        <v>3467</v>
      </c>
      <c r="O2076">
        <v>79746</v>
      </c>
    </row>
    <row r="2077" spans="1:15" x14ac:dyDescent="0.35">
      <c r="A2077">
        <v>2076</v>
      </c>
      <c r="B2077" s="2" t="s">
        <v>18</v>
      </c>
      <c r="C2077" s="2" t="s">
        <v>11</v>
      </c>
      <c r="D2077">
        <v>40</v>
      </c>
      <c r="E2077" s="2" t="s">
        <v>28</v>
      </c>
      <c r="F2077" s="2" t="s">
        <v>21</v>
      </c>
      <c r="G2077">
        <v>61125</v>
      </c>
      <c r="H2077" s="1">
        <v>44639</v>
      </c>
      <c r="I2077">
        <v>19</v>
      </c>
      <c r="J2077">
        <v>4</v>
      </c>
      <c r="K2077">
        <v>6112</v>
      </c>
      <c r="L2077">
        <v>3056</v>
      </c>
      <c r="M2077">
        <v>64181</v>
      </c>
      <c r="N2077">
        <v>3056</v>
      </c>
      <c r="O2077">
        <v>70293</v>
      </c>
    </row>
    <row r="2078" spans="1:15" x14ac:dyDescent="0.35">
      <c r="A2078">
        <v>2077</v>
      </c>
      <c r="B2078" s="2" t="s">
        <v>18</v>
      </c>
      <c r="C2078" s="2" t="s">
        <v>15</v>
      </c>
      <c r="D2078">
        <v>26</v>
      </c>
      <c r="E2078" s="2" t="s">
        <v>28</v>
      </c>
      <c r="F2078" s="2" t="s">
        <v>25</v>
      </c>
      <c r="G2078">
        <v>83399</v>
      </c>
      <c r="H2078" s="1">
        <v>44598</v>
      </c>
      <c r="I2078">
        <v>19</v>
      </c>
      <c r="J2078">
        <v>5</v>
      </c>
      <c r="K2078">
        <v>8340</v>
      </c>
      <c r="L2078">
        <v>4170</v>
      </c>
      <c r="M2078">
        <v>87569</v>
      </c>
      <c r="N2078">
        <v>4170</v>
      </c>
      <c r="O2078">
        <v>95909</v>
      </c>
    </row>
    <row r="2079" spans="1:15" x14ac:dyDescent="0.35">
      <c r="A2079">
        <v>2078</v>
      </c>
      <c r="B2079" s="2" t="s">
        <v>10</v>
      </c>
      <c r="C2079" s="2" t="s">
        <v>15</v>
      </c>
      <c r="D2079">
        <v>50</v>
      </c>
      <c r="E2079" s="2" t="s">
        <v>16</v>
      </c>
      <c r="F2079" s="2" t="s">
        <v>21</v>
      </c>
      <c r="G2079">
        <v>48466</v>
      </c>
      <c r="H2079" s="1">
        <v>45225</v>
      </c>
      <c r="I2079">
        <v>2</v>
      </c>
      <c r="J2079">
        <v>3</v>
      </c>
      <c r="K2079">
        <v>4847</v>
      </c>
      <c r="L2079">
        <v>2423</v>
      </c>
      <c r="M2079">
        <v>50890</v>
      </c>
      <c r="N2079">
        <v>0</v>
      </c>
      <c r="O2079">
        <v>53313</v>
      </c>
    </row>
    <row r="2080" spans="1:15" x14ac:dyDescent="0.35">
      <c r="A2080">
        <v>2079</v>
      </c>
      <c r="B2080" s="2" t="s">
        <v>18</v>
      </c>
      <c r="C2080" s="2" t="s">
        <v>11</v>
      </c>
      <c r="D2080">
        <v>46</v>
      </c>
      <c r="E2080" s="2" t="s">
        <v>29</v>
      </c>
      <c r="F2080" s="2" t="s">
        <v>25</v>
      </c>
      <c r="G2080">
        <v>92927</v>
      </c>
      <c r="H2080" s="1">
        <v>45490</v>
      </c>
      <c r="I2080">
        <v>16</v>
      </c>
      <c r="J2080">
        <v>5</v>
      </c>
      <c r="K2080">
        <v>9293</v>
      </c>
      <c r="L2080">
        <v>4646</v>
      </c>
      <c r="M2080">
        <v>97574</v>
      </c>
      <c r="N2080">
        <v>4646</v>
      </c>
      <c r="O2080">
        <v>106866</v>
      </c>
    </row>
    <row r="2081" spans="1:15" x14ac:dyDescent="0.35">
      <c r="A2081">
        <v>2080</v>
      </c>
      <c r="B2081" s="2" t="s">
        <v>18</v>
      </c>
      <c r="C2081" s="2" t="s">
        <v>15</v>
      </c>
      <c r="D2081">
        <v>32</v>
      </c>
      <c r="E2081" s="2" t="s">
        <v>24</v>
      </c>
      <c r="F2081" s="2" t="s">
        <v>25</v>
      </c>
      <c r="G2081">
        <v>48753</v>
      </c>
      <c r="H2081" s="1">
        <v>44961</v>
      </c>
      <c r="I2081">
        <v>15</v>
      </c>
      <c r="J2081">
        <v>2</v>
      </c>
      <c r="K2081">
        <v>4875</v>
      </c>
      <c r="L2081">
        <v>2438</v>
      </c>
      <c r="M2081">
        <v>51190</v>
      </c>
      <c r="N2081">
        <v>2438</v>
      </c>
      <c r="O2081">
        <v>56066</v>
      </c>
    </row>
    <row r="2082" spans="1:15" x14ac:dyDescent="0.35">
      <c r="A2082">
        <v>2081</v>
      </c>
      <c r="B2082" s="2" t="s">
        <v>20</v>
      </c>
      <c r="C2082" s="2" t="s">
        <v>11</v>
      </c>
      <c r="D2082">
        <v>36</v>
      </c>
      <c r="E2082" s="2" t="s">
        <v>12</v>
      </c>
      <c r="F2082" s="2" t="s">
        <v>25</v>
      </c>
      <c r="G2082">
        <v>92248</v>
      </c>
      <c r="H2082" s="1">
        <v>44567</v>
      </c>
      <c r="I2082">
        <v>8</v>
      </c>
      <c r="J2082">
        <v>1</v>
      </c>
      <c r="K2082">
        <v>9225</v>
      </c>
      <c r="L2082">
        <v>4612</v>
      </c>
      <c r="M2082">
        <v>96861</v>
      </c>
      <c r="N2082">
        <v>4612</v>
      </c>
      <c r="O2082">
        <v>106085</v>
      </c>
    </row>
    <row r="2083" spans="1:15" x14ac:dyDescent="0.35">
      <c r="A2083">
        <v>2082</v>
      </c>
      <c r="B2083" s="2" t="s">
        <v>22</v>
      </c>
      <c r="C2083" s="2" t="s">
        <v>15</v>
      </c>
      <c r="D2083">
        <v>53</v>
      </c>
      <c r="E2083" s="2" t="s">
        <v>28</v>
      </c>
      <c r="F2083" s="2" t="s">
        <v>19</v>
      </c>
      <c r="G2083">
        <v>30184</v>
      </c>
      <c r="H2083" s="1">
        <v>44969</v>
      </c>
      <c r="I2083">
        <v>13</v>
      </c>
      <c r="J2083">
        <v>4</v>
      </c>
      <c r="K2083">
        <v>3018</v>
      </c>
      <c r="L2083">
        <v>1509</v>
      </c>
      <c r="M2083">
        <v>31693</v>
      </c>
      <c r="N2083">
        <v>1509</v>
      </c>
      <c r="O2083">
        <v>34711</v>
      </c>
    </row>
    <row r="2084" spans="1:15" x14ac:dyDescent="0.35">
      <c r="A2084">
        <v>2083</v>
      </c>
      <c r="B2084" s="2" t="s">
        <v>14</v>
      </c>
      <c r="C2084" s="2" t="s">
        <v>11</v>
      </c>
      <c r="D2084">
        <v>30</v>
      </c>
      <c r="E2084" s="2" t="s">
        <v>28</v>
      </c>
      <c r="F2084" s="2" t="s">
        <v>21</v>
      </c>
      <c r="G2084">
        <v>37519</v>
      </c>
      <c r="H2084" s="1">
        <v>44903</v>
      </c>
      <c r="I2084">
        <v>14</v>
      </c>
      <c r="J2084">
        <v>5</v>
      </c>
      <c r="K2084">
        <v>3752</v>
      </c>
      <c r="L2084">
        <v>1876</v>
      </c>
      <c r="M2084">
        <v>39395</v>
      </c>
      <c r="N2084">
        <v>1876</v>
      </c>
      <c r="O2084">
        <v>43147</v>
      </c>
    </row>
    <row r="2085" spans="1:15" x14ac:dyDescent="0.35">
      <c r="A2085">
        <v>2084</v>
      </c>
      <c r="B2085" s="2" t="s">
        <v>20</v>
      </c>
      <c r="C2085" s="2" t="s">
        <v>15</v>
      </c>
      <c r="D2085">
        <v>24</v>
      </c>
      <c r="E2085" s="2" t="s">
        <v>24</v>
      </c>
      <c r="F2085" s="2" t="s">
        <v>19</v>
      </c>
      <c r="G2085">
        <v>37976</v>
      </c>
      <c r="H2085" s="1">
        <v>45005</v>
      </c>
      <c r="I2085">
        <v>10</v>
      </c>
      <c r="J2085">
        <v>1</v>
      </c>
      <c r="K2085">
        <v>3798</v>
      </c>
      <c r="L2085">
        <v>1899</v>
      </c>
      <c r="M2085">
        <v>39875</v>
      </c>
      <c r="N2085">
        <v>1899</v>
      </c>
      <c r="O2085">
        <v>43673</v>
      </c>
    </row>
    <row r="2086" spans="1:15" x14ac:dyDescent="0.35">
      <c r="A2086">
        <v>2085</v>
      </c>
      <c r="B2086" s="2" t="s">
        <v>27</v>
      </c>
      <c r="C2086" s="2" t="s">
        <v>15</v>
      </c>
      <c r="D2086">
        <v>34</v>
      </c>
      <c r="E2086" s="2" t="s">
        <v>24</v>
      </c>
      <c r="F2086" s="2" t="s">
        <v>21</v>
      </c>
      <c r="G2086">
        <v>61711</v>
      </c>
      <c r="H2086" s="1">
        <v>44723</v>
      </c>
      <c r="I2086">
        <v>3</v>
      </c>
      <c r="J2086">
        <v>4</v>
      </c>
      <c r="K2086">
        <v>6171</v>
      </c>
      <c r="L2086">
        <v>3086</v>
      </c>
      <c r="M2086">
        <v>64796</v>
      </c>
      <c r="N2086">
        <v>0</v>
      </c>
      <c r="O2086">
        <v>67882</v>
      </c>
    </row>
    <row r="2087" spans="1:15" x14ac:dyDescent="0.35">
      <c r="A2087">
        <v>2086</v>
      </c>
      <c r="B2087" s="2" t="s">
        <v>10</v>
      </c>
      <c r="C2087" s="2" t="s">
        <v>11</v>
      </c>
      <c r="D2087">
        <v>52</v>
      </c>
      <c r="E2087" s="2" t="s">
        <v>12</v>
      </c>
      <c r="F2087" s="2" t="s">
        <v>25</v>
      </c>
      <c r="G2087">
        <v>56526</v>
      </c>
      <c r="H2087" s="1">
        <v>45424</v>
      </c>
      <c r="I2087">
        <v>9</v>
      </c>
      <c r="J2087">
        <v>4</v>
      </c>
      <c r="K2087">
        <v>5653</v>
      </c>
      <c r="L2087">
        <v>2826</v>
      </c>
      <c r="M2087">
        <v>59353</v>
      </c>
      <c r="N2087">
        <v>2826</v>
      </c>
      <c r="O2087">
        <v>65005</v>
      </c>
    </row>
    <row r="2088" spans="1:15" x14ac:dyDescent="0.35">
      <c r="A2088">
        <v>2087</v>
      </c>
      <c r="B2088" s="2" t="s">
        <v>20</v>
      </c>
      <c r="C2088" s="2" t="s">
        <v>15</v>
      </c>
      <c r="D2088">
        <v>22</v>
      </c>
      <c r="E2088" s="2" t="s">
        <v>12</v>
      </c>
      <c r="F2088" s="2" t="s">
        <v>19</v>
      </c>
      <c r="G2088">
        <v>73731</v>
      </c>
      <c r="H2088" s="1">
        <v>44790</v>
      </c>
      <c r="I2088">
        <v>7</v>
      </c>
      <c r="J2088">
        <v>5</v>
      </c>
      <c r="K2088">
        <v>7373</v>
      </c>
      <c r="L2088">
        <v>3687</v>
      </c>
      <c r="M2088">
        <v>77417</v>
      </c>
      <c r="N2088">
        <v>3687</v>
      </c>
      <c r="O2088">
        <v>84791</v>
      </c>
    </row>
    <row r="2089" spans="1:15" x14ac:dyDescent="0.35">
      <c r="A2089">
        <v>2088</v>
      </c>
      <c r="B2089" s="2" t="s">
        <v>10</v>
      </c>
      <c r="C2089" s="2" t="s">
        <v>15</v>
      </c>
      <c r="D2089">
        <v>46</v>
      </c>
      <c r="E2089" s="2" t="s">
        <v>29</v>
      </c>
      <c r="F2089" s="2" t="s">
        <v>17</v>
      </c>
      <c r="G2089">
        <v>73397</v>
      </c>
      <c r="H2089" s="1">
        <v>45202</v>
      </c>
      <c r="I2089">
        <v>1</v>
      </c>
      <c r="J2089">
        <v>3</v>
      </c>
      <c r="K2089">
        <v>7340</v>
      </c>
      <c r="L2089">
        <v>3670</v>
      </c>
      <c r="M2089">
        <v>77067</v>
      </c>
      <c r="N2089">
        <v>0</v>
      </c>
      <c r="O2089">
        <v>80737</v>
      </c>
    </row>
    <row r="2090" spans="1:15" x14ac:dyDescent="0.35">
      <c r="A2090">
        <v>2089</v>
      </c>
      <c r="B2090" s="2" t="s">
        <v>18</v>
      </c>
      <c r="C2090" s="2" t="s">
        <v>11</v>
      </c>
      <c r="D2090">
        <v>45</v>
      </c>
      <c r="E2090" s="2" t="s">
        <v>12</v>
      </c>
      <c r="F2090" s="2" t="s">
        <v>25</v>
      </c>
      <c r="G2090">
        <v>93201</v>
      </c>
      <c r="H2090" s="1">
        <v>45478</v>
      </c>
      <c r="I2090">
        <v>6</v>
      </c>
      <c r="J2090">
        <v>1</v>
      </c>
      <c r="K2090">
        <v>9320</v>
      </c>
      <c r="L2090">
        <v>4660</v>
      </c>
      <c r="M2090">
        <v>97861</v>
      </c>
      <c r="N2090">
        <v>4660</v>
      </c>
      <c r="O2090">
        <v>107181</v>
      </c>
    </row>
    <row r="2091" spans="1:15" x14ac:dyDescent="0.35">
      <c r="A2091">
        <v>2090</v>
      </c>
      <c r="B2091" s="2" t="s">
        <v>22</v>
      </c>
      <c r="C2091" s="2" t="s">
        <v>15</v>
      </c>
      <c r="D2091">
        <v>31</v>
      </c>
      <c r="E2091" s="2" t="s">
        <v>24</v>
      </c>
      <c r="F2091" s="2" t="s">
        <v>21</v>
      </c>
      <c r="G2091">
        <v>47443</v>
      </c>
      <c r="H2091" s="1">
        <v>45143</v>
      </c>
      <c r="I2091">
        <v>1</v>
      </c>
      <c r="J2091">
        <v>5</v>
      </c>
      <c r="K2091">
        <v>4744</v>
      </c>
      <c r="L2091">
        <v>2372</v>
      </c>
      <c r="M2091">
        <v>49815</v>
      </c>
      <c r="N2091">
        <v>0</v>
      </c>
      <c r="O2091">
        <v>52187</v>
      </c>
    </row>
    <row r="2092" spans="1:15" x14ac:dyDescent="0.35">
      <c r="A2092">
        <v>2091</v>
      </c>
      <c r="B2092" s="2" t="s">
        <v>18</v>
      </c>
      <c r="C2092" s="2" t="s">
        <v>15</v>
      </c>
      <c r="D2092">
        <v>59</v>
      </c>
      <c r="E2092" s="2" t="s">
        <v>28</v>
      </c>
      <c r="F2092" s="2" t="s">
        <v>21</v>
      </c>
      <c r="G2092">
        <v>95429</v>
      </c>
      <c r="H2092" s="1">
        <v>45095</v>
      </c>
      <c r="I2092">
        <v>11</v>
      </c>
      <c r="J2092">
        <v>3</v>
      </c>
      <c r="K2092">
        <v>9543</v>
      </c>
      <c r="L2092">
        <v>4771</v>
      </c>
      <c r="M2092">
        <v>100201</v>
      </c>
      <c r="N2092">
        <v>4771</v>
      </c>
      <c r="O2092">
        <v>109743</v>
      </c>
    </row>
    <row r="2093" spans="1:15" x14ac:dyDescent="0.35">
      <c r="A2093">
        <v>2092</v>
      </c>
      <c r="B2093" s="2" t="s">
        <v>26</v>
      </c>
      <c r="C2093" s="2" t="s">
        <v>15</v>
      </c>
      <c r="D2093">
        <v>51</v>
      </c>
      <c r="E2093" s="2" t="s">
        <v>29</v>
      </c>
      <c r="F2093" s="2" t="s">
        <v>25</v>
      </c>
      <c r="G2093">
        <v>33945</v>
      </c>
      <c r="H2093" s="1">
        <v>44569</v>
      </c>
      <c r="I2093">
        <v>1</v>
      </c>
      <c r="J2093">
        <v>4</v>
      </c>
      <c r="K2093">
        <v>3394</v>
      </c>
      <c r="L2093">
        <v>1697</v>
      </c>
      <c r="M2093">
        <v>35642</v>
      </c>
      <c r="N2093">
        <v>0</v>
      </c>
      <c r="O2093">
        <v>37339</v>
      </c>
    </row>
    <row r="2094" spans="1:15" x14ac:dyDescent="0.35">
      <c r="A2094">
        <v>2093</v>
      </c>
      <c r="B2094" s="2" t="s">
        <v>31</v>
      </c>
      <c r="C2094" s="2" t="s">
        <v>11</v>
      </c>
      <c r="D2094">
        <v>54</v>
      </c>
      <c r="E2094" s="2" t="s">
        <v>29</v>
      </c>
      <c r="F2094" s="2" t="s">
        <v>13</v>
      </c>
      <c r="G2094">
        <v>24894</v>
      </c>
      <c r="H2094" s="1">
        <v>45318</v>
      </c>
      <c r="I2094">
        <v>18</v>
      </c>
      <c r="J2094">
        <v>1</v>
      </c>
      <c r="K2094">
        <v>2489</v>
      </c>
      <c r="L2094">
        <v>1245</v>
      </c>
      <c r="M2094">
        <v>26138</v>
      </c>
      <c r="N2094">
        <v>1245</v>
      </c>
      <c r="O2094">
        <v>28628</v>
      </c>
    </row>
    <row r="2095" spans="1:15" x14ac:dyDescent="0.35">
      <c r="A2095">
        <v>2094</v>
      </c>
      <c r="B2095" s="2" t="s">
        <v>22</v>
      </c>
      <c r="C2095" s="2" t="s">
        <v>15</v>
      </c>
      <c r="D2095">
        <v>33</v>
      </c>
      <c r="E2095" s="2" t="s">
        <v>28</v>
      </c>
      <c r="F2095" s="2" t="s">
        <v>21</v>
      </c>
      <c r="G2095">
        <v>22458</v>
      </c>
      <c r="H2095" s="1">
        <v>45259</v>
      </c>
      <c r="I2095">
        <v>2</v>
      </c>
      <c r="J2095">
        <v>3</v>
      </c>
      <c r="K2095">
        <v>2246</v>
      </c>
      <c r="L2095">
        <v>1123</v>
      </c>
      <c r="M2095">
        <v>23581</v>
      </c>
      <c r="N2095">
        <v>0</v>
      </c>
      <c r="O2095">
        <v>24704</v>
      </c>
    </row>
    <row r="2096" spans="1:15" x14ac:dyDescent="0.35">
      <c r="A2096">
        <v>2095</v>
      </c>
      <c r="B2096" s="2" t="s">
        <v>27</v>
      </c>
      <c r="C2096" s="2" t="s">
        <v>11</v>
      </c>
      <c r="D2096">
        <v>42</v>
      </c>
      <c r="E2096" s="2" t="s">
        <v>28</v>
      </c>
      <c r="F2096" s="2" t="s">
        <v>17</v>
      </c>
      <c r="G2096">
        <v>44520</v>
      </c>
      <c r="H2096" s="1">
        <v>45035</v>
      </c>
      <c r="I2096">
        <v>10</v>
      </c>
      <c r="J2096">
        <v>5</v>
      </c>
      <c r="K2096">
        <v>4452</v>
      </c>
      <c r="L2096">
        <v>2226</v>
      </c>
      <c r="M2096">
        <v>46746</v>
      </c>
      <c r="N2096">
        <v>2226</v>
      </c>
      <c r="O2096">
        <v>51198</v>
      </c>
    </row>
    <row r="2097" spans="1:15" x14ac:dyDescent="0.35">
      <c r="A2097">
        <v>2096</v>
      </c>
      <c r="B2097" s="2" t="s">
        <v>20</v>
      </c>
      <c r="C2097" s="2" t="s">
        <v>11</v>
      </c>
      <c r="D2097">
        <v>43</v>
      </c>
      <c r="E2097" s="2" t="s">
        <v>28</v>
      </c>
      <c r="F2097" s="2" t="s">
        <v>13</v>
      </c>
      <c r="G2097">
        <v>30823</v>
      </c>
      <c r="H2097" s="1">
        <v>44913</v>
      </c>
      <c r="I2097">
        <v>18</v>
      </c>
      <c r="J2097">
        <v>3</v>
      </c>
      <c r="K2097">
        <v>3082</v>
      </c>
      <c r="L2097">
        <v>1541</v>
      </c>
      <c r="M2097">
        <v>32364</v>
      </c>
      <c r="N2097">
        <v>1541</v>
      </c>
      <c r="O2097">
        <v>35446</v>
      </c>
    </row>
    <row r="2098" spans="1:15" x14ac:dyDescent="0.35">
      <c r="A2098">
        <v>2097</v>
      </c>
      <c r="B2098" s="2" t="s">
        <v>23</v>
      </c>
      <c r="C2098" s="2" t="s">
        <v>15</v>
      </c>
      <c r="D2098">
        <v>28</v>
      </c>
      <c r="E2098" s="2" t="s">
        <v>24</v>
      </c>
      <c r="F2098" s="2" t="s">
        <v>17</v>
      </c>
      <c r="G2098">
        <v>23563</v>
      </c>
      <c r="H2098" s="1">
        <v>45126</v>
      </c>
      <c r="I2098">
        <v>2</v>
      </c>
      <c r="J2098">
        <v>3</v>
      </c>
      <c r="K2098">
        <v>2356</v>
      </c>
      <c r="L2098">
        <v>1178</v>
      </c>
      <c r="M2098">
        <v>24741</v>
      </c>
      <c r="N2098">
        <v>0</v>
      </c>
      <c r="O2098">
        <v>25919</v>
      </c>
    </row>
    <row r="2099" spans="1:15" x14ac:dyDescent="0.35">
      <c r="A2099">
        <v>2098</v>
      </c>
      <c r="B2099" s="2" t="s">
        <v>27</v>
      </c>
      <c r="C2099" s="2" t="s">
        <v>15</v>
      </c>
      <c r="D2099">
        <v>40</v>
      </c>
      <c r="E2099" s="2" t="s">
        <v>29</v>
      </c>
      <c r="F2099" s="2" t="s">
        <v>13</v>
      </c>
      <c r="G2099">
        <v>34647</v>
      </c>
      <c r="H2099" s="1">
        <v>45319</v>
      </c>
      <c r="I2099">
        <v>11</v>
      </c>
      <c r="J2099">
        <v>1</v>
      </c>
      <c r="K2099">
        <v>3465</v>
      </c>
      <c r="L2099">
        <v>1732</v>
      </c>
      <c r="M2099">
        <v>36380</v>
      </c>
      <c r="N2099">
        <v>1732</v>
      </c>
      <c r="O2099">
        <v>39844</v>
      </c>
    </row>
    <row r="2100" spans="1:15" x14ac:dyDescent="0.35">
      <c r="A2100">
        <v>2099</v>
      </c>
      <c r="B2100" s="2" t="s">
        <v>10</v>
      </c>
      <c r="C2100" s="2" t="s">
        <v>15</v>
      </c>
      <c r="D2100">
        <v>27</v>
      </c>
      <c r="E2100" s="2" t="s">
        <v>28</v>
      </c>
      <c r="F2100" s="2" t="s">
        <v>21</v>
      </c>
      <c r="G2100">
        <v>47048</v>
      </c>
      <c r="H2100" s="1">
        <v>44926</v>
      </c>
      <c r="I2100">
        <v>16</v>
      </c>
      <c r="J2100">
        <v>2</v>
      </c>
      <c r="K2100">
        <v>4705</v>
      </c>
      <c r="L2100">
        <v>2352</v>
      </c>
      <c r="M2100">
        <v>49401</v>
      </c>
      <c r="N2100">
        <v>2352</v>
      </c>
      <c r="O2100">
        <v>54105</v>
      </c>
    </row>
    <row r="2101" spans="1:15" x14ac:dyDescent="0.35">
      <c r="A2101">
        <v>2100</v>
      </c>
      <c r="B2101" s="2" t="s">
        <v>18</v>
      </c>
      <c r="C2101" s="2" t="s">
        <v>11</v>
      </c>
      <c r="D2101">
        <v>40</v>
      </c>
      <c r="E2101" s="2" t="s">
        <v>16</v>
      </c>
      <c r="F2101" s="2" t="s">
        <v>21</v>
      </c>
      <c r="G2101">
        <v>33874</v>
      </c>
      <c r="H2101" s="1">
        <v>45157</v>
      </c>
      <c r="I2101">
        <v>7</v>
      </c>
      <c r="J2101">
        <v>1</v>
      </c>
      <c r="K2101">
        <v>3387</v>
      </c>
      <c r="L2101">
        <v>1694</v>
      </c>
      <c r="M2101">
        <v>35567</v>
      </c>
      <c r="N2101">
        <v>1694</v>
      </c>
      <c r="O2101">
        <v>38955</v>
      </c>
    </row>
    <row r="2102" spans="1:15" x14ac:dyDescent="0.35">
      <c r="A2102">
        <v>2101</v>
      </c>
      <c r="B2102" s="2" t="s">
        <v>18</v>
      </c>
      <c r="C2102" s="2" t="s">
        <v>15</v>
      </c>
      <c r="D2102">
        <v>39</v>
      </c>
      <c r="E2102" s="2" t="s">
        <v>12</v>
      </c>
      <c r="F2102" s="2" t="s">
        <v>17</v>
      </c>
      <c r="G2102">
        <v>86767</v>
      </c>
      <c r="H2102" s="1">
        <v>45460</v>
      </c>
      <c r="I2102">
        <v>1</v>
      </c>
      <c r="J2102">
        <v>5</v>
      </c>
      <c r="K2102">
        <v>8677</v>
      </c>
      <c r="L2102">
        <v>4338</v>
      </c>
      <c r="M2102">
        <v>91106</v>
      </c>
      <c r="N2102">
        <v>0</v>
      </c>
      <c r="O2102">
        <v>95444</v>
      </c>
    </row>
    <row r="2103" spans="1:15" x14ac:dyDescent="0.35">
      <c r="A2103">
        <v>2102</v>
      </c>
      <c r="B2103" s="2" t="s">
        <v>26</v>
      </c>
      <c r="C2103" s="2" t="s">
        <v>11</v>
      </c>
      <c r="D2103">
        <v>28</v>
      </c>
      <c r="E2103" s="2" t="s">
        <v>16</v>
      </c>
      <c r="F2103" s="2" t="s">
        <v>17</v>
      </c>
      <c r="G2103">
        <v>29848</v>
      </c>
      <c r="H2103" s="1">
        <v>45547</v>
      </c>
      <c r="I2103">
        <v>14</v>
      </c>
      <c r="J2103">
        <v>2</v>
      </c>
      <c r="K2103">
        <v>2985</v>
      </c>
      <c r="L2103">
        <v>1492</v>
      </c>
      <c r="M2103">
        <v>31341</v>
      </c>
      <c r="N2103">
        <v>1492</v>
      </c>
      <c r="O2103">
        <v>34325</v>
      </c>
    </row>
    <row r="2104" spans="1:15" x14ac:dyDescent="0.35">
      <c r="A2104">
        <v>2103</v>
      </c>
      <c r="B2104" s="2" t="s">
        <v>26</v>
      </c>
      <c r="C2104" s="2" t="s">
        <v>11</v>
      </c>
      <c r="D2104">
        <v>45</v>
      </c>
      <c r="E2104" s="2" t="s">
        <v>28</v>
      </c>
      <c r="F2104" s="2" t="s">
        <v>21</v>
      </c>
      <c r="G2104">
        <v>41066</v>
      </c>
      <c r="H2104" s="1">
        <v>45289</v>
      </c>
      <c r="I2104">
        <v>1</v>
      </c>
      <c r="J2104">
        <v>3</v>
      </c>
      <c r="K2104">
        <v>4107</v>
      </c>
      <c r="L2104">
        <v>2053</v>
      </c>
      <c r="M2104">
        <v>43120</v>
      </c>
      <c r="N2104">
        <v>0</v>
      </c>
      <c r="O2104">
        <v>45173</v>
      </c>
    </row>
    <row r="2105" spans="1:15" x14ac:dyDescent="0.35">
      <c r="A2105">
        <v>2104</v>
      </c>
      <c r="B2105" s="2" t="s">
        <v>18</v>
      </c>
      <c r="C2105" s="2" t="s">
        <v>15</v>
      </c>
      <c r="D2105">
        <v>50</v>
      </c>
      <c r="E2105" s="2" t="s">
        <v>16</v>
      </c>
      <c r="F2105" s="2" t="s">
        <v>19</v>
      </c>
      <c r="G2105">
        <v>59021</v>
      </c>
      <c r="H2105" s="1">
        <v>45240</v>
      </c>
      <c r="I2105">
        <v>9</v>
      </c>
      <c r="J2105">
        <v>4</v>
      </c>
      <c r="K2105">
        <v>5902</v>
      </c>
      <c r="L2105">
        <v>2951</v>
      </c>
      <c r="M2105">
        <v>61972</v>
      </c>
      <c r="N2105">
        <v>2951</v>
      </c>
      <c r="O2105">
        <v>67874</v>
      </c>
    </row>
    <row r="2106" spans="1:15" x14ac:dyDescent="0.35">
      <c r="A2106">
        <v>2105</v>
      </c>
      <c r="B2106" s="2" t="s">
        <v>30</v>
      </c>
      <c r="C2106" s="2" t="s">
        <v>11</v>
      </c>
      <c r="D2106">
        <v>58</v>
      </c>
      <c r="E2106" s="2" t="s">
        <v>28</v>
      </c>
      <c r="F2106" s="2" t="s">
        <v>19</v>
      </c>
      <c r="G2106">
        <v>68019</v>
      </c>
      <c r="H2106" s="1">
        <v>45416</v>
      </c>
      <c r="I2106">
        <v>16</v>
      </c>
      <c r="J2106">
        <v>3</v>
      </c>
      <c r="K2106">
        <v>6802</v>
      </c>
      <c r="L2106">
        <v>3401</v>
      </c>
      <c r="M2106">
        <v>71420</v>
      </c>
      <c r="N2106">
        <v>3401</v>
      </c>
      <c r="O2106">
        <v>78222</v>
      </c>
    </row>
    <row r="2107" spans="1:15" x14ac:dyDescent="0.35">
      <c r="A2107">
        <v>2106</v>
      </c>
      <c r="B2107" s="2" t="s">
        <v>22</v>
      </c>
      <c r="C2107" s="2" t="s">
        <v>11</v>
      </c>
      <c r="D2107">
        <v>38</v>
      </c>
      <c r="E2107" s="2" t="s">
        <v>29</v>
      </c>
      <c r="F2107" s="2" t="s">
        <v>21</v>
      </c>
      <c r="G2107">
        <v>85645</v>
      </c>
      <c r="H2107" s="1">
        <v>45173</v>
      </c>
      <c r="I2107">
        <v>13</v>
      </c>
      <c r="J2107">
        <v>5</v>
      </c>
      <c r="K2107">
        <v>8564</v>
      </c>
      <c r="L2107">
        <v>4282</v>
      </c>
      <c r="M2107">
        <v>89927</v>
      </c>
      <c r="N2107">
        <v>4282</v>
      </c>
      <c r="O2107">
        <v>98491</v>
      </c>
    </row>
    <row r="2108" spans="1:15" x14ac:dyDescent="0.35">
      <c r="A2108">
        <v>2107</v>
      </c>
      <c r="B2108" s="2" t="s">
        <v>31</v>
      </c>
      <c r="C2108" s="2" t="s">
        <v>15</v>
      </c>
      <c r="D2108">
        <v>22</v>
      </c>
      <c r="E2108" s="2" t="s">
        <v>24</v>
      </c>
      <c r="F2108" s="2" t="s">
        <v>13</v>
      </c>
      <c r="G2108">
        <v>57420</v>
      </c>
      <c r="H2108" s="1">
        <v>44596</v>
      </c>
      <c r="I2108">
        <v>1</v>
      </c>
      <c r="J2108">
        <v>4</v>
      </c>
      <c r="K2108">
        <v>5742</v>
      </c>
      <c r="L2108">
        <v>2871</v>
      </c>
      <c r="M2108">
        <v>60291</v>
      </c>
      <c r="N2108">
        <v>0</v>
      </c>
      <c r="O2108">
        <v>63162</v>
      </c>
    </row>
    <row r="2109" spans="1:15" x14ac:dyDescent="0.35">
      <c r="A2109">
        <v>2108</v>
      </c>
      <c r="B2109" s="2" t="s">
        <v>14</v>
      </c>
      <c r="C2109" s="2" t="s">
        <v>15</v>
      </c>
      <c r="D2109">
        <v>41</v>
      </c>
      <c r="E2109" s="2" t="s">
        <v>28</v>
      </c>
      <c r="F2109" s="2" t="s">
        <v>13</v>
      </c>
      <c r="G2109">
        <v>36483</v>
      </c>
      <c r="H2109" s="1">
        <v>45049</v>
      </c>
      <c r="I2109">
        <v>4</v>
      </c>
      <c r="J2109">
        <v>3</v>
      </c>
      <c r="K2109">
        <v>3648</v>
      </c>
      <c r="L2109">
        <v>1824</v>
      </c>
      <c r="M2109">
        <v>38307</v>
      </c>
      <c r="N2109">
        <v>0</v>
      </c>
      <c r="O2109">
        <v>40131</v>
      </c>
    </row>
    <row r="2110" spans="1:15" x14ac:dyDescent="0.35">
      <c r="A2110">
        <v>2109</v>
      </c>
      <c r="B2110" s="2" t="s">
        <v>26</v>
      </c>
      <c r="C2110" s="2" t="s">
        <v>15</v>
      </c>
      <c r="D2110">
        <v>31</v>
      </c>
      <c r="E2110" s="2" t="s">
        <v>12</v>
      </c>
      <c r="F2110" s="2" t="s">
        <v>19</v>
      </c>
      <c r="G2110">
        <v>20740</v>
      </c>
      <c r="H2110" s="1">
        <v>45295</v>
      </c>
      <c r="I2110">
        <v>10</v>
      </c>
      <c r="J2110">
        <v>4</v>
      </c>
      <c r="K2110">
        <v>2074</v>
      </c>
      <c r="L2110">
        <v>1037</v>
      </c>
      <c r="M2110">
        <v>21777</v>
      </c>
      <c r="N2110">
        <v>1037</v>
      </c>
      <c r="O2110">
        <v>23851</v>
      </c>
    </row>
    <row r="2111" spans="1:15" x14ac:dyDescent="0.35">
      <c r="A2111">
        <v>2110</v>
      </c>
      <c r="B2111" s="2" t="s">
        <v>22</v>
      </c>
      <c r="C2111" s="2" t="s">
        <v>15</v>
      </c>
      <c r="D2111">
        <v>54</v>
      </c>
      <c r="E2111" s="2" t="s">
        <v>28</v>
      </c>
      <c r="F2111" s="2" t="s">
        <v>25</v>
      </c>
      <c r="G2111">
        <v>83980</v>
      </c>
      <c r="H2111" s="1">
        <v>44708</v>
      </c>
      <c r="I2111">
        <v>3</v>
      </c>
      <c r="J2111">
        <v>4</v>
      </c>
      <c r="K2111">
        <v>8398</v>
      </c>
      <c r="L2111">
        <v>4199</v>
      </c>
      <c r="M2111">
        <v>88179</v>
      </c>
      <c r="N2111">
        <v>0</v>
      </c>
      <c r="O2111">
        <v>92378</v>
      </c>
    </row>
    <row r="2112" spans="1:15" x14ac:dyDescent="0.35">
      <c r="A2112">
        <v>2111</v>
      </c>
      <c r="B2112" s="2" t="s">
        <v>18</v>
      </c>
      <c r="C2112" s="2" t="s">
        <v>11</v>
      </c>
      <c r="D2112">
        <v>42</v>
      </c>
      <c r="E2112" s="2" t="s">
        <v>12</v>
      </c>
      <c r="F2112" s="2" t="s">
        <v>21</v>
      </c>
      <c r="G2112">
        <v>48743</v>
      </c>
      <c r="H2112" s="1">
        <v>44760</v>
      </c>
      <c r="I2112">
        <v>3</v>
      </c>
      <c r="J2112">
        <v>2</v>
      </c>
      <c r="K2112">
        <v>4874</v>
      </c>
      <c r="L2112">
        <v>2437</v>
      </c>
      <c r="M2112">
        <v>51180</v>
      </c>
      <c r="N2112">
        <v>0</v>
      </c>
      <c r="O2112">
        <v>53617</v>
      </c>
    </row>
    <row r="2113" spans="1:15" x14ac:dyDescent="0.35">
      <c r="A2113">
        <v>2112</v>
      </c>
      <c r="B2113" s="2" t="s">
        <v>30</v>
      </c>
      <c r="C2113" s="2" t="s">
        <v>15</v>
      </c>
      <c r="D2113">
        <v>52</v>
      </c>
      <c r="E2113" s="2" t="s">
        <v>16</v>
      </c>
      <c r="F2113" s="2" t="s">
        <v>13</v>
      </c>
      <c r="G2113">
        <v>64120</v>
      </c>
      <c r="H2113" s="1">
        <v>45478</v>
      </c>
      <c r="I2113">
        <v>7</v>
      </c>
      <c r="J2113">
        <v>5</v>
      </c>
      <c r="K2113">
        <v>6412</v>
      </c>
      <c r="L2113">
        <v>3206</v>
      </c>
      <c r="M2113">
        <v>67326</v>
      </c>
      <c r="N2113">
        <v>3206</v>
      </c>
      <c r="O2113">
        <v>73738</v>
      </c>
    </row>
    <row r="2114" spans="1:15" x14ac:dyDescent="0.35">
      <c r="A2114">
        <v>2113</v>
      </c>
      <c r="B2114" s="2" t="s">
        <v>23</v>
      </c>
      <c r="C2114" s="2" t="s">
        <v>15</v>
      </c>
      <c r="D2114">
        <v>24</v>
      </c>
      <c r="E2114" s="2" t="s">
        <v>24</v>
      </c>
      <c r="F2114" s="2" t="s">
        <v>25</v>
      </c>
      <c r="G2114">
        <v>24580</v>
      </c>
      <c r="H2114" s="1">
        <v>44635</v>
      </c>
      <c r="I2114">
        <v>9</v>
      </c>
      <c r="J2114">
        <v>2</v>
      </c>
      <c r="K2114">
        <v>2458</v>
      </c>
      <c r="L2114">
        <v>1229</v>
      </c>
      <c r="M2114">
        <v>25809</v>
      </c>
      <c r="N2114">
        <v>1229</v>
      </c>
      <c r="O2114">
        <v>28267</v>
      </c>
    </row>
    <row r="2115" spans="1:15" x14ac:dyDescent="0.35">
      <c r="A2115">
        <v>2114</v>
      </c>
      <c r="B2115" s="2" t="s">
        <v>31</v>
      </c>
      <c r="C2115" s="2" t="s">
        <v>15</v>
      </c>
      <c r="D2115">
        <v>29</v>
      </c>
      <c r="E2115" s="2" t="s">
        <v>24</v>
      </c>
      <c r="F2115" s="2" t="s">
        <v>17</v>
      </c>
      <c r="G2115">
        <v>98948</v>
      </c>
      <c r="H2115" s="1">
        <v>44837</v>
      </c>
      <c r="I2115">
        <v>15</v>
      </c>
      <c r="J2115">
        <v>1</v>
      </c>
      <c r="K2115">
        <v>9895</v>
      </c>
      <c r="L2115">
        <v>4947</v>
      </c>
      <c r="M2115">
        <v>103896</v>
      </c>
      <c r="N2115">
        <v>4947</v>
      </c>
      <c r="O2115">
        <v>113790</v>
      </c>
    </row>
    <row r="2116" spans="1:15" x14ac:dyDescent="0.35">
      <c r="A2116">
        <v>2115</v>
      </c>
      <c r="B2116" s="2" t="s">
        <v>23</v>
      </c>
      <c r="C2116" s="2" t="s">
        <v>15</v>
      </c>
      <c r="D2116">
        <v>28</v>
      </c>
      <c r="E2116" s="2" t="s">
        <v>12</v>
      </c>
      <c r="F2116" s="2" t="s">
        <v>19</v>
      </c>
      <c r="G2116">
        <v>74138</v>
      </c>
      <c r="H2116" s="1">
        <v>45018</v>
      </c>
      <c r="I2116">
        <v>5</v>
      </c>
      <c r="J2116">
        <v>5</v>
      </c>
      <c r="K2116">
        <v>7414</v>
      </c>
      <c r="L2116">
        <v>3707</v>
      </c>
      <c r="M2116">
        <v>77845</v>
      </c>
      <c r="N2116">
        <v>0</v>
      </c>
      <c r="O2116">
        <v>81552</v>
      </c>
    </row>
    <row r="2117" spans="1:15" x14ac:dyDescent="0.35">
      <c r="A2117">
        <v>2116</v>
      </c>
      <c r="B2117" s="2" t="s">
        <v>10</v>
      </c>
      <c r="C2117" s="2" t="s">
        <v>15</v>
      </c>
      <c r="D2117">
        <v>25</v>
      </c>
      <c r="E2117" s="2" t="s">
        <v>12</v>
      </c>
      <c r="F2117" s="2" t="s">
        <v>17</v>
      </c>
      <c r="G2117">
        <v>43356</v>
      </c>
      <c r="H2117" s="1">
        <v>45215</v>
      </c>
      <c r="I2117">
        <v>4</v>
      </c>
      <c r="J2117">
        <v>4</v>
      </c>
      <c r="K2117">
        <v>4336</v>
      </c>
      <c r="L2117">
        <v>2168</v>
      </c>
      <c r="M2117">
        <v>45524</v>
      </c>
      <c r="N2117">
        <v>0</v>
      </c>
      <c r="O2117">
        <v>47692</v>
      </c>
    </row>
    <row r="2118" spans="1:15" x14ac:dyDescent="0.35">
      <c r="A2118">
        <v>2117</v>
      </c>
      <c r="B2118" s="2" t="s">
        <v>27</v>
      </c>
      <c r="C2118" s="2" t="s">
        <v>11</v>
      </c>
      <c r="D2118">
        <v>45</v>
      </c>
      <c r="E2118" s="2" t="s">
        <v>16</v>
      </c>
      <c r="F2118" s="2" t="s">
        <v>13</v>
      </c>
      <c r="G2118">
        <v>36617</v>
      </c>
      <c r="H2118" s="1">
        <v>44612</v>
      </c>
      <c r="I2118">
        <v>9</v>
      </c>
      <c r="J2118">
        <v>1</v>
      </c>
      <c r="K2118">
        <v>3662</v>
      </c>
      <c r="L2118">
        <v>1831</v>
      </c>
      <c r="M2118">
        <v>38448</v>
      </c>
      <c r="N2118">
        <v>1831</v>
      </c>
      <c r="O2118">
        <v>42110</v>
      </c>
    </row>
    <row r="2119" spans="1:15" x14ac:dyDescent="0.35">
      <c r="A2119">
        <v>2118</v>
      </c>
      <c r="B2119" s="2" t="s">
        <v>26</v>
      </c>
      <c r="C2119" s="2" t="s">
        <v>11</v>
      </c>
      <c r="D2119">
        <v>24</v>
      </c>
      <c r="E2119" s="2" t="s">
        <v>24</v>
      </c>
      <c r="F2119" s="2" t="s">
        <v>19</v>
      </c>
      <c r="G2119">
        <v>82492</v>
      </c>
      <c r="H2119" s="1">
        <v>45397</v>
      </c>
      <c r="I2119">
        <v>6</v>
      </c>
      <c r="J2119">
        <v>4</v>
      </c>
      <c r="K2119">
        <v>8249</v>
      </c>
      <c r="L2119">
        <v>4125</v>
      </c>
      <c r="M2119">
        <v>86616</v>
      </c>
      <c r="N2119">
        <v>4125</v>
      </c>
      <c r="O2119">
        <v>94866</v>
      </c>
    </row>
    <row r="2120" spans="1:15" x14ac:dyDescent="0.35">
      <c r="A2120">
        <v>2119</v>
      </c>
      <c r="B2120" s="2" t="s">
        <v>26</v>
      </c>
      <c r="C2120" s="2" t="s">
        <v>15</v>
      </c>
      <c r="D2120">
        <v>39</v>
      </c>
      <c r="E2120" s="2" t="s">
        <v>24</v>
      </c>
      <c r="F2120" s="2" t="s">
        <v>13</v>
      </c>
      <c r="G2120">
        <v>71387</v>
      </c>
      <c r="H2120" s="1">
        <v>44885</v>
      </c>
      <c r="I2120">
        <v>17</v>
      </c>
      <c r="J2120">
        <v>5</v>
      </c>
      <c r="K2120">
        <v>7139</v>
      </c>
      <c r="L2120">
        <v>3569</v>
      </c>
      <c r="M2120">
        <v>74957</v>
      </c>
      <c r="N2120">
        <v>3569</v>
      </c>
      <c r="O2120">
        <v>82095</v>
      </c>
    </row>
    <row r="2121" spans="1:15" x14ac:dyDescent="0.35">
      <c r="A2121">
        <v>2120</v>
      </c>
      <c r="B2121" s="2" t="s">
        <v>20</v>
      </c>
      <c r="C2121" s="2" t="s">
        <v>15</v>
      </c>
      <c r="D2121">
        <v>21</v>
      </c>
      <c r="E2121" s="2" t="s">
        <v>24</v>
      </c>
      <c r="F2121" s="2" t="s">
        <v>21</v>
      </c>
      <c r="G2121">
        <v>35439</v>
      </c>
      <c r="H2121" s="1">
        <v>45151</v>
      </c>
      <c r="I2121">
        <v>10</v>
      </c>
      <c r="J2121">
        <v>2</v>
      </c>
      <c r="K2121">
        <v>3544</v>
      </c>
      <c r="L2121">
        <v>1772</v>
      </c>
      <c r="M2121">
        <v>37211</v>
      </c>
      <c r="N2121">
        <v>1772</v>
      </c>
      <c r="O2121">
        <v>40755</v>
      </c>
    </row>
    <row r="2122" spans="1:15" x14ac:dyDescent="0.35">
      <c r="A2122">
        <v>2121</v>
      </c>
      <c r="B2122" s="2" t="s">
        <v>27</v>
      </c>
      <c r="C2122" s="2" t="s">
        <v>11</v>
      </c>
      <c r="D2122">
        <v>33</v>
      </c>
      <c r="E2122" s="2" t="s">
        <v>29</v>
      </c>
      <c r="F2122" s="2" t="s">
        <v>21</v>
      </c>
      <c r="G2122">
        <v>30037</v>
      </c>
      <c r="H2122" s="1">
        <v>44854</v>
      </c>
      <c r="I2122">
        <v>6</v>
      </c>
      <c r="J2122">
        <v>1</v>
      </c>
      <c r="K2122">
        <v>3004</v>
      </c>
      <c r="L2122">
        <v>1502</v>
      </c>
      <c r="M2122">
        <v>31539</v>
      </c>
      <c r="N2122">
        <v>1502</v>
      </c>
      <c r="O2122">
        <v>34543</v>
      </c>
    </row>
    <row r="2123" spans="1:15" x14ac:dyDescent="0.35">
      <c r="A2123">
        <v>2122</v>
      </c>
      <c r="B2123" s="2" t="s">
        <v>30</v>
      </c>
      <c r="C2123" s="2" t="s">
        <v>15</v>
      </c>
      <c r="D2123">
        <v>27</v>
      </c>
      <c r="E2123" s="2" t="s">
        <v>16</v>
      </c>
      <c r="F2123" s="2" t="s">
        <v>19</v>
      </c>
      <c r="G2123">
        <v>88327</v>
      </c>
      <c r="H2123" s="1">
        <v>45335</v>
      </c>
      <c r="I2123">
        <v>8</v>
      </c>
      <c r="J2123">
        <v>4</v>
      </c>
      <c r="K2123">
        <v>8833</v>
      </c>
      <c r="L2123">
        <v>4416</v>
      </c>
      <c r="M2123">
        <v>92744</v>
      </c>
      <c r="N2123">
        <v>4416</v>
      </c>
      <c r="O2123">
        <v>101576</v>
      </c>
    </row>
    <row r="2124" spans="1:15" x14ac:dyDescent="0.35">
      <c r="A2124">
        <v>2123</v>
      </c>
      <c r="B2124" s="2" t="s">
        <v>20</v>
      </c>
      <c r="C2124" s="2" t="s">
        <v>11</v>
      </c>
      <c r="D2124">
        <v>28</v>
      </c>
      <c r="E2124" s="2" t="s">
        <v>16</v>
      </c>
      <c r="F2124" s="2" t="s">
        <v>17</v>
      </c>
      <c r="G2124">
        <v>52010</v>
      </c>
      <c r="H2124" s="1">
        <v>45234</v>
      </c>
      <c r="I2124">
        <v>13</v>
      </c>
      <c r="J2124">
        <v>2</v>
      </c>
      <c r="K2124">
        <v>5201</v>
      </c>
      <c r="L2124">
        <v>2600</v>
      </c>
      <c r="M2124">
        <v>54611</v>
      </c>
      <c r="N2124">
        <v>2600</v>
      </c>
      <c r="O2124">
        <v>59811</v>
      </c>
    </row>
    <row r="2125" spans="1:15" x14ac:dyDescent="0.35">
      <c r="A2125">
        <v>2124</v>
      </c>
      <c r="B2125" s="2" t="s">
        <v>26</v>
      </c>
      <c r="C2125" s="2" t="s">
        <v>11</v>
      </c>
      <c r="D2125">
        <v>59</v>
      </c>
      <c r="E2125" s="2" t="s">
        <v>28</v>
      </c>
      <c r="F2125" s="2" t="s">
        <v>17</v>
      </c>
      <c r="G2125">
        <v>55646</v>
      </c>
      <c r="H2125" s="1">
        <v>45386</v>
      </c>
      <c r="I2125">
        <v>7</v>
      </c>
      <c r="J2125">
        <v>1</v>
      </c>
      <c r="K2125">
        <v>5565</v>
      </c>
      <c r="L2125">
        <v>2782</v>
      </c>
      <c r="M2125">
        <v>58429</v>
      </c>
      <c r="N2125">
        <v>2782</v>
      </c>
      <c r="O2125">
        <v>63993</v>
      </c>
    </row>
    <row r="2126" spans="1:15" x14ac:dyDescent="0.35">
      <c r="A2126">
        <v>2125</v>
      </c>
      <c r="B2126" s="2" t="s">
        <v>30</v>
      </c>
      <c r="C2126" s="2" t="s">
        <v>15</v>
      </c>
      <c r="D2126">
        <v>52</v>
      </c>
      <c r="E2126" s="2" t="s">
        <v>29</v>
      </c>
      <c r="F2126" s="2" t="s">
        <v>25</v>
      </c>
      <c r="G2126">
        <v>37604</v>
      </c>
      <c r="H2126" s="1">
        <v>44990</v>
      </c>
      <c r="I2126">
        <v>10</v>
      </c>
      <c r="J2126">
        <v>1</v>
      </c>
      <c r="K2126">
        <v>3760</v>
      </c>
      <c r="L2126">
        <v>1880</v>
      </c>
      <c r="M2126">
        <v>39484</v>
      </c>
      <c r="N2126">
        <v>1880</v>
      </c>
      <c r="O2126">
        <v>43244</v>
      </c>
    </row>
    <row r="2127" spans="1:15" x14ac:dyDescent="0.35">
      <c r="A2127">
        <v>2126</v>
      </c>
      <c r="B2127" s="2" t="s">
        <v>18</v>
      </c>
      <c r="C2127" s="2" t="s">
        <v>15</v>
      </c>
      <c r="D2127">
        <v>58</v>
      </c>
      <c r="E2127" s="2" t="s">
        <v>28</v>
      </c>
      <c r="F2127" s="2" t="s">
        <v>13</v>
      </c>
      <c r="G2127">
        <v>20675</v>
      </c>
      <c r="H2127" s="1">
        <v>45503</v>
      </c>
      <c r="I2127">
        <v>16</v>
      </c>
      <c r="J2127">
        <v>2</v>
      </c>
      <c r="K2127">
        <v>2068</v>
      </c>
      <c r="L2127">
        <v>1034</v>
      </c>
      <c r="M2127">
        <v>21709</v>
      </c>
      <c r="N2127">
        <v>1034</v>
      </c>
      <c r="O2127">
        <v>23777</v>
      </c>
    </row>
    <row r="2128" spans="1:15" x14ac:dyDescent="0.35">
      <c r="A2128">
        <v>2127</v>
      </c>
      <c r="B2128" s="2" t="s">
        <v>10</v>
      </c>
      <c r="C2128" s="2" t="s">
        <v>15</v>
      </c>
      <c r="D2128">
        <v>26</v>
      </c>
      <c r="E2128" s="2" t="s">
        <v>16</v>
      </c>
      <c r="F2128" s="2" t="s">
        <v>21</v>
      </c>
      <c r="G2128">
        <v>55481</v>
      </c>
      <c r="H2128" s="1">
        <v>45332</v>
      </c>
      <c r="I2128">
        <v>17</v>
      </c>
      <c r="J2128">
        <v>5</v>
      </c>
      <c r="K2128">
        <v>5548</v>
      </c>
      <c r="L2128">
        <v>2774</v>
      </c>
      <c r="M2128">
        <v>58255</v>
      </c>
      <c r="N2128">
        <v>2774</v>
      </c>
      <c r="O2128">
        <v>63803</v>
      </c>
    </row>
    <row r="2129" spans="1:15" x14ac:dyDescent="0.35">
      <c r="A2129">
        <v>2128</v>
      </c>
      <c r="B2129" s="2" t="s">
        <v>22</v>
      </c>
      <c r="C2129" s="2" t="s">
        <v>11</v>
      </c>
      <c r="D2129">
        <v>32</v>
      </c>
      <c r="E2129" s="2" t="s">
        <v>12</v>
      </c>
      <c r="F2129" s="2" t="s">
        <v>13</v>
      </c>
      <c r="G2129">
        <v>96423</v>
      </c>
      <c r="H2129" s="1">
        <v>44770</v>
      </c>
      <c r="I2129">
        <v>14</v>
      </c>
      <c r="J2129">
        <v>4</v>
      </c>
      <c r="K2129">
        <v>9642</v>
      </c>
      <c r="L2129">
        <v>4821</v>
      </c>
      <c r="M2129">
        <v>101244</v>
      </c>
      <c r="N2129">
        <v>4821</v>
      </c>
      <c r="O2129">
        <v>110886</v>
      </c>
    </row>
    <row r="2130" spans="1:15" x14ac:dyDescent="0.35">
      <c r="A2130">
        <v>2129</v>
      </c>
      <c r="B2130" s="2" t="s">
        <v>18</v>
      </c>
      <c r="C2130" s="2" t="s">
        <v>11</v>
      </c>
      <c r="D2130">
        <v>24</v>
      </c>
      <c r="E2130" s="2" t="s">
        <v>28</v>
      </c>
      <c r="F2130" s="2" t="s">
        <v>25</v>
      </c>
      <c r="G2130">
        <v>71580</v>
      </c>
      <c r="H2130" s="1">
        <v>45448</v>
      </c>
      <c r="I2130">
        <v>18</v>
      </c>
      <c r="J2130">
        <v>3</v>
      </c>
      <c r="K2130">
        <v>7158</v>
      </c>
      <c r="L2130">
        <v>3579</v>
      </c>
      <c r="M2130">
        <v>75159</v>
      </c>
      <c r="N2130">
        <v>3579</v>
      </c>
      <c r="O2130">
        <v>82317</v>
      </c>
    </row>
    <row r="2131" spans="1:15" x14ac:dyDescent="0.35">
      <c r="A2131">
        <v>2130</v>
      </c>
      <c r="B2131" s="2" t="s">
        <v>20</v>
      </c>
      <c r="C2131" s="2" t="s">
        <v>15</v>
      </c>
      <c r="D2131">
        <v>48</v>
      </c>
      <c r="E2131" s="2" t="s">
        <v>28</v>
      </c>
      <c r="F2131" s="2" t="s">
        <v>25</v>
      </c>
      <c r="G2131">
        <v>23827</v>
      </c>
      <c r="H2131" s="1">
        <v>44565</v>
      </c>
      <c r="I2131">
        <v>2</v>
      </c>
      <c r="J2131">
        <v>5</v>
      </c>
      <c r="K2131">
        <v>2383</v>
      </c>
      <c r="L2131">
        <v>1191</v>
      </c>
      <c r="M2131">
        <v>25019</v>
      </c>
      <c r="N2131">
        <v>0</v>
      </c>
      <c r="O2131">
        <v>26210</v>
      </c>
    </row>
    <row r="2132" spans="1:15" x14ac:dyDescent="0.35">
      <c r="A2132">
        <v>2131</v>
      </c>
      <c r="B2132" s="2" t="s">
        <v>18</v>
      </c>
      <c r="C2132" s="2" t="s">
        <v>15</v>
      </c>
      <c r="D2132">
        <v>56</v>
      </c>
      <c r="E2132" s="2" t="s">
        <v>29</v>
      </c>
      <c r="F2132" s="2" t="s">
        <v>17</v>
      </c>
      <c r="G2132">
        <v>66924</v>
      </c>
      <c r="H2132" s="1">
        <v>45288</v>
      </c>
      <c r="I2132">
        <v>11</v>
      </c>
      <c r="J2132">
        <v>1</v>
      </c>
      <c r="K2132">
        <v>6692</v>
      </c>
      <c r="L2132">
        <v>3346</v>
      </c>
      <c r="M2132">
        <v>70270</v>
      </c>
      <c r="N2132">
        <v>3346</v>
      </c>
      <c r="O2132">
        <v>76962</v>
      </c>
    </row>
    <row r="2133" spans="1:15" x14ac:dyDescent="0.35">
      <c r="A2133">
        <v>2132</v>
      </c>
      <c r="B2133" s="2" t="s">
        <v>18</v>
      </c>
      <c r="C2133" s="2" t="s">
        <v>15</v>
      </c>
      <c r="D2133">
        <v>54</v>
      </c>
      <c r="E2133" s="2" t="s">
        <v>12</v>
      </c>
      <c r="F2133" s="2" t="s">
        <v>19</v>
      </c>
      <c r="G2133">
        <v>33635</v>
      </c>
      <c r="H2133" s="1">
        <v>44988</v>
      </c>
      <c r="I2133">
        <v>7</v>
      </c>
      <c r="J2133">
        <v>5</v>
      </c>
      <c r="K2133">
        <v>3364</v>
      </c>
      <c r="L2133">
        <v>1682</v>
      </c>
      <c r="M2133">
        <v>35317</v>
      </c>
      <c r="N2133">
        <v>1682</v>
      </c>
      <c r="O2133">
        <v>38681</v>
      </c>
    </row>
    <row r="2134" spans="1:15" x14ac:dyDescent="0.35">
      <c r="A2134">
        <v>2133</v>
      </c>
      <c r="B2134" s="2" t="s">
        <v>22</v>
      </c>
      <c r="C2134" s="2" t="s">
        <v>15</v>
      </c>
      <c r="D2134">
        <v>44</v>
      </c>
      <c r="E2134" s="2" t="s">
        <v>28</v>
      </c>
      <c r="F2134" s="2" t="s">
        <v>17</v>
      </c>
      <c r="G2134">
        <v>35522</v>
      </c>
      <c r="H2134" s="1">
        <v>44952</v>
      </c>
      <c r="I2134">
        <v>3</v>
      </c>
      <c r="J2134">
        <v>3</v>
      </c>
      <c r="K2134">
        <v>3552</v>
      </c>
      <c r="L2134">
        <v>1776</v>
      </c>
      <c r="M2134">
        <v>37298</v>
      </c>
      <c r="N2134">
        <v>0</v>
      </c>
      <c r="O2134">
        <v>39074</v>
      </c>
    </row>
    <row r="2135" spans="1:15" x14ac:dyDescent="0.35">
      <c r="A2135">
        <v>2134</v>
      </c>
      <c r="B2135" s="2" t="s">
        <v>31</v>
      </c>
      <c r="C2135" s="2" t="s">
        <v>11</v>
      </c>
      <c r="D2135">
        <v>33</v>
      </c>
      <c r="E2135" s="2" t="s">
        <v>16</v>
      </c>
      <c r="F2135" s="2" t="s">
        <v>13</v>
      </c>
      <c r="G2135">
        <v>79828</v>
      </c>
      <c r="H2135" s="1">
        <v>45394</v>
      </c>
      <c r="I2135">
        <v>8</v>
      </c>
      <c r="J2135">
        <v>2</v>
      </c>
      <c r="K2135">
        <v>7983</v>
      </c>
      <c r="L2135">
        <v>3991</v>
      </c>
      <c r="M2135">
        <v>83820</v>
      </c>
      <c r="N2135">
        <v>3991</v>
      </c>
      <c r="O2135">
        <v>91802</v>
      </c>
    </row>
    <row r="2136" spans="1:15" x14ac:dyDescent="0.35">
      <c r="A2136">
        <v>2135</v>
      </c>
      <c r="B2136" s="2" t="s">
        <v>22</v>
      </c>
      <c r="C2136" s="2" t="s">
        <v>15</v>
      </c>
      <c r="D2136">
        <v>40</v>
      </c>
      <c r="E2136" s="2" t="s">
        <v>16</v>
      </c>
      <c r="F2136" s="2" t="s">
        <v>25</v>
      </c>
      <c r="G2136">
        <v>27679</v>
      </c>
      <c r="H2136" s="1">
        <v>45477</v>
      </c>
      <c r="I2136">
        <v>9</v>
      </c>
      <c r="J2136">
        <v>5</v>
      </c>
      <c r="K2136">
        <v>2768</v>
      </c>
      <c r="L2136">
        <v>1384</v>
      </c>
      <c r="M2136">
        <v>29063</v>
      </c>
      <c r="N2136">
        <v>1384</v>
      </c>
      <c r="O2136">
        <v>31831</v>
      </c>
    </row>
    <row r="2137" spans="1:15" x14ac:dyDescent="0.35">
      <c r="A2137">
        <v>2136</v>
      </c>
      <c r="B2137" s="2" t="s">
        <v>18</v>
      </c>
      <c r="C2137" s="2" t="s">
        <v>15</v>
      </c>
      <c r="D2137">
        <v>36</v>
      </c>
      <c r="E2137" s="2" t="s">
        <v>24</v>
      </c>
      <c r="F2137" s="2" t="s">
        <v>13</v>
      </c>
      <c r="G2137">
        <v>88562</v>
      </c>
      <c r="H2137" s="1">
        <v>45066</v>
      </c>
      <c r="I2137">
        <v>10</v>
      </c>
      <c r="J2137">
        <v>1</v>
      </c>
      <c r="K2137">
        <v>8856</v>
      </c>
      <c r="L2137">
        <v>4428</v>
      </c>
      <c r="M2137">
        <v>92990</v>
      </c>
      <c r="N2137">
        <v>4428</v>
      </c>
      <c r="O2137">
        <v>101846</v>
      </c>
    </row>
    <row r="2138" spans="1:15" x14ac:dyDescent="0.35">
      <c r="A2138">
        <v>2137</v>
      </c>
      <c r="B2138" s="2" t="s">
        <v>26</v>
      </c>
      <c r="C2138" s="2" t="s">
        <v>11</v>
      </c>
      <c r="D2138">
        <v>42</v>
      </c>
      <c r="E2138" s="2" t="s">
        <v>29</v>
      </c>
      <c r="F2138" s="2" t="s">
        <v>13</v>
      </c>
      <c r="G2138">
        <v>45737</v>
      </c>
      <c r="H2138" s="1">
        <v>45440</v>
      </c>
      <c r="I2138">
        <v>8</v>
      </c>
      <c r="J2138">
        <v>5</v>
      </c>
      <c r="K2138">
        <v>4574</v>
      </c>
      <c r="L2138">
        <v>2287</v>
      </c>
      <c r="M2138">
        <v>48024</v>
      </c>
      <c r="N2138">
        <v>2287</v>
      </c>
      <c r="O2138">
        <v>52598</v>
      </c>
    </row>
    <row r="2139" spans="1:15" x14ac:dyDescent="0.35">
      <c r="A2139">
        <v>2138</v>
      </c>
      <c r="B2139" s="2" t="s">
        <v>30</v>
      </c>
      <c r="C2139" s="2" t="s">
        <v>11</v>
      </c>
      <c r="D2139">
        <v>27</v>
      </c>
      <c r="E2139" s="2" t="s">
        <v>12</v>
      </c>
      <c r="F2139" s="2" t="s">
        <v>21</v>
      </c>
      <c r="G2139">
        <v>59033</v>
      </c>
      <c r="H2139" s="1">
        <v>45361</v>
      </c>
      <c r="I2139">
        <v>2</v>
      </c>
      <c r="J2139">
        <v>5</v>
      </c>
      <c r="K2139">
        <v>5903</v>
      </c>
      <c r="L2139">
        <v>2952</v>
      </c>
      <c r="M2139">
        <v>61984</v>
      </c>
      <c r="N2139">
        <v>0</v>
      </c>
      <c r="O2139">
        <v>64936</v>
      </c>
    </row>
    <row r="2140" spans="1:15" x14ac:dyDescent="0.35">
      <c r="A2140">
        <v>2139</v>
      </c>
      <c r="B2140" s="2" t="s">
        <v>26</v>
      </c>
      <c r="C2140" s="2" t="s">
        <v>11</v>
      </c>
      <c r="D2140">
        <v>27</v>
      </c>
      <c r="E2140" s="2" t="s">
        <v>12</v>
      </c>
      <c r="F2140" s="2" t="s">
        <v>13</v>
      </c>
      <c r="G2140">
        <v>83105</v>
      </c>
      <c r="H2140" s="1">
        <v>44904</v>
      </c>
      <c r="I2140">
        <v>6</v>
      </c>
      <c r="J2140">
        <v>3</v>
      </c>
      <c r="K2140">
        <v>8310</v>
      </c>
      <c r="L2140">
        <v>4155</v>
      </c>
      <c r="M2140">
        <v>87260</v>
      </c>
      <c r="N2140">
        <v>4155</v>
      </c>
      <c r="O2140">
        <v>95570</v>
      </c>
    </row>
    <row r="2141" spans="1:15" x14ac:dyDescent="0.35">
      <c r="A2141">
        <v>2140</v>
      </c>
      <c r="B2141" s="2" t="s">
        <v>23</v>
      </c>
      <c r="C2141" s="2" t="s">
        <v>11</v>
      </c>
      <c r="D2141">
        <v>25</v>
      </c>
      <c r="E2141" s="2" t="s">
        <v>16</v>
      </c>
      <c r="F2141" s="2" t="s">
        <v>25</v>
      </c>
      <c r="G2141">
        <v>97102</v>
      </c>
      <c r="H2141" s="1">
        <v>45336</v>
      </c>
      <c r="I2141">
        <v>14</v>
      </c>
      <c r="J2141">
        <v>3</v>
      </c>
      <c r="K2141">
        <v>9710</v>
      </c>
      <c r="L2141">
        <v>4855</v>
      </c>
      <c r="M2141">
        <v>101957</v>
      </c>
      <c r="N2141">
        <v>4855</v>
      </c>
      <c r="O2141">
        <v>111667</v>
      </c>
    </row>
    <row r="2142" spans="1:15" x14ac:dyDescent="0.35">
      <c r="A2142">
        <v>2141</v>
      </c>
      <c r="B2142" s="2" t="s">
        <v>27</v>
      </c>
      <c r="C2142" s="2" t="s">
        <v>11</v>
      </c>
      <c r="D2142">
        <v>54</v>
      </c>
      <c r="E2142" s="2" t="s">
        <v>12</v>
      </c>
      <c r="F2142" s="2" t="s">
        <v>17</v>
      </c>
      <c r="G2142">
        <v>69693</v>
      </c>
      <c r="H2142" s="1">
        <v>45385</v>
      </c>
      <c r="I2142">
        <v>18</v>
      </c>
      <c r="J2142">
        <v>2</v>
      </c>
      <c r="K2142">
        <v>6969</v>
      </c>
      <c r="L2142">
        <v>3485</v>
      </c>
      <c r="M2142">
        <v>73177</v>
      </c>
      <c r="N2142">
        <v>3485</v>
      </c>
      <c r="O2142">
        <v>80147</v>
      </c>
    </row>
    <row r="2143" spans="1:15" x14ac:dyDescent="0.35">
      <c r="A2143">
        <v>2142</v>
      </c>
      <c r="B2143" s="2" t="s">
        <v>31</v>
      </c>
      <c r="C2143" s="2" t="s">
        <v>15</v>
      </c>
      <c r="D2143">
        <v>53</v>
      </c>
      <c r="E2143" s="2" t="s">
        <v>16</v>
      </c>
      <c r="F2143" s="2" t="s">
        <v>13</v>
      </c>
      <c r="G2143">
        <v>91874</v>
      </c>
      <c r="H2143" s="1">
        <v>45132</v>
      </c>
      <c r="I2143">
        <v>19</v>
      </c>
      <c r="J2143">
        <v>5</v>
      </c>
      <c r="K2143">
        <v>9187</v>
      </c>
      <c r="L2143">
        <v>4594</v>
      </c>
      <c r="M2143">
        <v>96467</v>
      </c>
      <c r="N2143">
        <v>4594</v>
      </c>
      <c r="O2143">
        <v>105655</v>
      </c>
    </row>
    <row r="2144" spans="1:15" x14ac:dyDescent="0.35">
      <c r="A2144">
        <v>2143</v>
      </c>
      <c r="B2144" s="2" t="s">
        <v>20</v>
      </c>
      <c r="C2144" s="2" t="s">
        <v>15</v>
      </c>
      <c r="D2144">
        <v>41</v>
      </c>
      <c r="E2144" s="2" t="s">
        <v>12</v>
      </c>
      <c r="F2144" s="2" t="s">
        <v>17</v>
      </c>
      <c r="G2144">
        <v>40411</v>
      </c>
      <c r="H2144" s="1">
        <v>45063</v>
      </c>
      <c r="I2144">
        <v>14</v>
      </c>
      <c r="J2144">
        <v>3</v>
      </c>
      <c r="K2144">
        <v>4041</v>
      </c>
      <c r="L2144">
        <v>2021</v>
      </c>
      <c r="M2144">
        <v>42431</v>
      </c>
      <c r="N2144">
        <v>2021</v>
      </c>
      <c r="O2144">
        <v>46473</v>
      </c>
    </row>
    <row r="2145" spans="1:15" x14ac:dyDescent="0.35">
      <c r="A2145">
        <v>2144</v>
      </c>
      <c r="B2145" s="2" t="s">
        <v>20</v>
      </c>
      <c r="C2145" s="2" t="s">
        <v>11</v>
      </c>
      <c r="D2145">
        <v>40</v>
      </c>
      <c r="E2145" s="2" t="s">
        <v>24</v>
      </c>
      <c r="F2145" s="2" t="s">
        <v>21</v>
      </c>
      <c r="G2145">
        <v>41585</v>
      </c>
      <c r="H2145" s="1">
        <v>44857</v>
      </c>
      <c r="I2145">
        <v>11</v>
      </c>
      <c r="J2145">
        <v>5</v>
      </c>
      <c r="K2145">
        <v>4158</v>
      </c>
      <c r="L2145">
        <v>2079</v>
      </c>
      <c r="M2145">
        <v>43664</v>
      </c>
      <c r="N2145">
        <v>2079</v>
      </c>
      <c r="O2145">
        <v>47822</v>
      </c>
    </row>
    <row r="2146" spans="1:15" x14ac:dyDescent="0.35">
      <c r="A2146">
        <v>2145</v>
      </c>
      <c r="B2146" s="2" t="s">
        <v>22</v>
      </c>
      <c r="C2146" s="2" t="s">
        <v>11</v>
      </c>
      <c r="D2146">
        <v>22</v>
      </c>
      <c r="E2146" s="2" t="s">
        <v>29</v>
      </c>
      <c r="F2146" s="2" t="s">
        <v>19</v>
      </c>
      <c r="G2146">
        <v>28032</v>
      </c>
      <c r="H2146" s="1">
        <v>44572</v>
      </c>
      <c r="I2146">
        <v>18</v>
      </c>
      <c r="J2146">
        <v>4</v>
      </c>
      <c r="K2146">
        <v>2803</v>
      </c>
      <c r="L2146">
        <v>1402</v>
      </c>
      <c r="M2146">
        <v>29433</v>
      </c>
      <c r="N2146">
        <v>1402</v>
      </c>
      <c r="O2146">
        <v>32237</v>
      </c>
    </row>
    <row r="2147" spans="1:15" x14ac:dyDescent="0.35">
      <c r="A2147">
        <v>2146</v>
      </c>
      <c r="B2147" s="2" t="s">
        <v>14</v>
      </c>
      <c r="C2147" s="2" t="s">
        <v>15</v>
      </c>
      <c r="D2147">
        <v>41</v>
      </c>
      <c r="E2147" s="2" t="s">
        <v>29</v>
      </c>
      <c r="F2147" s="2" t="s">
        <v>13</v>
      </c>
      <c r="G2147">
        <v>27089</v>
      </c>
      <c r="H2147" s="1">
        <v>44669</v>
      </c>
      <c r="I2147">
        <v>16</v>
      </c>
      <c r="J2147">
        <v>4</v>
      </c>
      <c r="K2147">
        <v>2709</v>
      </c>
      <c r="L2147">
        <v>1354</v>
      </c>
      <c r="M2147">
        <v>28444</v>
      </c>
      <c r="N2147">
        <v>1354</v>
      </c>
      <c r="O2147">
        <v>31152</v>
      </c>
    </row>
    <row r="2148" spans="1:15" x14ac:dyDescent="0.35">
      <c r="A2148">
        <v>2147</v>
      </c>
      <c r="B2148" s="2" t="s">
        <v>30</v>
      </c>
      <c r="C2148" s="2" t="s">
        <v>15</v>
      </c>
      <c r="D2148">
        <v>25</v>
      </c>
      <c r="E2148" s="2" t="s">
        <v>16</v>
      </c>
      <c r="F2148" s="2" t="s">
        <v>17</v>
      </c>
      <c r="G2148">
        <v>98134</v>
      </c>
      <c r="H2148" s="1">
        <v>45019</v>
      </c>
      <c r="I2148">
        <v>2</v>
      </c>
      <c r="J2148">
        <v>1</v>
      </c>
      <c r="K2148">
        <v>9813</v>
      </c>
      <c r="L2148">
        <v>4907</v>
      </c>
      <c r="M2148">
        <v>103040</v>
      </c>
      <c r="N2148">
        <v>0</v>
      </c>
      <c r="O2148">
        <v>107947</v>
      </c>
    </row>
    <row r="2149" spans="1:15" x14ac:dyDescent="0.35">
      <c r="A2149">
        <v>2148</v>
      </c>
      <c r="B2149" s="2" t="s">
        <v>14</v>
      </c>
      <c r="C2149" s="2" t="s">
        <v>15</v>
      </c>
      <c r="D2149">
        <v>37</v>
      </c>
      <c r="E2149" s="2" t="s">
        <v>16</v>
      </c>
      <c r="F2149" s="2" t="s">
        <v>25</v>
      </c>
      <c r="G2149">
        <v>51997</v>
      </c>
      <c r="H2149" s="1">
        <v>45107</v>
      </c>
      <c r="I2149">
        <v>3</v>
      </c>
      <c r="J2149">
        <v>2</v>
      </c>
      <c r="K2149">
        <v>5200</v>
      </c>
      <c r="L2149">
        <v>2600</v>
      </c>
      <c r="M2149">
        <v>54597</v>
      </c>
      <c r="N2149">
        <v>0</v>
      </c>
      <c r="O2149">
        <v>57197</v>
      </c>
    </row>
    <row r="2150" spans="1:15" x14ac:dyDescent="0.35">
      <c r="A2150">
        <v>2149</v>
      </c>
      <c r="B2150" s="2" t="s">
        <v>30</v>
      </c>
      <c r="C2150" s="2" t="s">
        <v>11</v>
      </c>
      <c r="D2150">
        <v>60</v>
      </c>
      <c r="E2150" s="2" t="s">
        <v>28</v>
      </c>
      <c r="F2150" s="2" t="s">
        <v>19</v>
      </c>
      <c r="G2150">
        <v>46830</v>
      </c>
      <c r="H2150" s="1">
        <v>44893</v>
      </c>
      <c r="I2150">
        <v>16</v>
      </c>
      <c r="J2150">
        <v>5</v>
      </c>
      <c r="K2150">
        <v>4683</v>
      </c>
      <c r="L2150">
        <v>2342</v>
      </c>
      <c r="M2150">
        <v>49171</v>
      </c>
      <c r="N2150">
        <v>2342</v>
      </c>
      <c r="O2150">
        <v>53855</v>
      </c>
    </row>
    <row r="2151" spans="1:15" x14ac:dyDescent="0.35">
      <c r="A2151">
        <v>2150</v>
      </c>
      <c r="B2151" s="2" t="s">
        <v>26</v>
      </c>
      <c r="C2151" s="2" t="s">
        <v>11</v>
      </c>
      <c r="D2151">
        <v>52</v>
      </c>
      <c r="E2151" s="2" t="s">
        <v>29</v>
      </c>
      <c r="F2151" s="2" t="s">
        <v>13</v>
      </c>
      <c r="G2151">
        <v>75703</v>
      </c>
      <c r="H2151" s="1">
        <v>44880</v>
      </c>
      <c r="I2151">
        <v>3</v>
      </c>
      <c r="J2151">
        <v>1</v>
      </c>
      <c r="K2151">
        <v>7570</v>
      </c>
      <c r="L2151">
        <v>3785</v>
      </c>
      <c r="M2151">
        <v>79488</v>
      </c>
      <c r="N2151">
        <v>0</v>
      </c>
      <c r="O2151">
        <v>83273</v>
      </c>
    </row>
    <row r="2152" spans="1:15" x14ac:dyDescent="0.35">
      <c r="A2152">
        <v>2151</v>
      </c>
      <c r="B2152" s="2" t="s">
        <v>27</v>
      </c>
      <c r="C2152" s="2" t="s">
        <v>15</v>
      </c>
      <c r="D2152">
        <v>51</v>
      </c>
      <c r="E2152" s="2" t="s">
        <v>12</v>
      </c>
      <c r="F2152" s="2" t="s">
        <v>25</v>
      </c>
      <c r="G2152">
        <v>71887</v>
      </c>
      <c r="H2152" s="1">
        <v>45337</v>
      </c>
      <c r="I2152">
        <v>4</v>
      </c>
      <c r="J2152">
        <v>4</v>
      </c>
      <c r="K2152">
        <v>7189</v>
      </c>
      <c r="L2152">
        <v>3594</v>
      </c>
      <c r="M2152">
        <v>75482</v>
      </c>
      <c r="N2152">
        <v>0</v>
      </c>
      <c r="O2152">
        <v>79076</v>
      </c>
    </row>
    <row r="2153" spans="1:15" x14ac:dyDescent="0.35">
      <c r="A2153">
        <v>2152</v>
      </c>
      <c r="B2153" s="2" t="s">
        <v>26</v>
      </c>
      <c r="C2153" s="2" t="s">
        <v>11</v>
      </c>
      <c r="D2153">
        <v>43</v>
      </c>
      <c r="E2153" s="2" t="s">
        <v>12</v>
      </c>
      <c r="F2153" s="2" t="s">
        <v>21</v>
      </c>
      <c r="G2153">
        <v>57950</v>
      </c>
      <c r="H2153" s="1">
        <v>44597</v>
      </c>
      <c r="I2153">
        <v>19</v>
      </c>
      <c r="J2153">
        <v>1</v>
      </c>
      <c r="K2153">
        <v>5795</v>
      </c>
      <c r="L2153">
        <v>2898</v>
      </c>
      <c r="M2153">
        <v>60847</v>
      </c>
      <c r="N2153">
        <v>2898</v>
      </c>
      <c r="O2153">
        <v>66643</v>
      </c>
    </row>
    <row r="2154" spans="1:15" x14ac:dyDescent="0.35">
      <c r="A2154">
        <v>2153</v>
      </c>
      <c r="B2154" s="2" t="s">
        <v>22</v>
      </c>
      <c r="C2154" s="2" t="s">
        <v>11</v>
      </c>
      <c r="D2154">
        <v>36</v>
      </c>
      <c r="E2154" s="2" t="s">
        <v>28</v>
      </c>
      <c r="F2154" s="2" t="s">
        <v>19</v>
      </c>
      <c r="G2154">
        <v>29199</v>
      </c>
      <c r="H2154" s="1">
        <v>44866</v>
      </c>
      <c r="I2154">
        <v>16</v>
      </c>
      <c r="J2154">
        <v>4</v>
      </c>
      <c r="K2154">
        <v>2920</v>
      </c>
      <c r="L2154">
        <v>1460</v>
      </c>
      <c r="M2154">
        <v>30659</v>
      </c>
      <c r="N2154">
        <v>1460</v>
      </c>
      <c r="O2154">
        <v>33579</v>
      </c>
    </row>
    <row r="2155" spans="1:15" x14ac:dyDescent="0.35">
      <c r="A2155">
        <v>2154</v>
      </c>
      <c r="B2155" s="2" t="s">
        <v>22</v>
      </c>
      <c r="C2155" s="2" t="s">
        <v>15</v>
      </c>
      <c r="D2155">
        <v>22</v>
      </c>
      <c r="E2155" s="2" t="s">
        <v>16</v>
      </c>
      <c r="F2155" s="2" t="s">
        <v>17</v>
      </c>
      <c r="G2155">
        <v>79440</v>
      </c>
      <c r="H2155" s="1">
        <v>45429</v>
      </c>
      <c r="I2155">
        <v>10</v>
      </c>
      <c r="J2155">
        <v>4</v>
      </c>
      <c r="K2155">
        <v>7944</v>
      </c>
      <c r="L2155">
        <v>3972</v>
      </c>
      <c r="M2155">
        <v>83412</v>
      </c>
      <c r="N2155">
        <v>3972</v>
      </c>
      <c r="O2155">
        <v>91356</v>
      </c>
    </row>
    <row r="2156" spans="1:15" x14ac:dyDescent="0.35">
      <c r="A2156">
        <v>2155</v>
      </c>
      <c r="B2156" s="2" t="s">
        <v>14</v>
      </c>
      <c r="C2156" s="2" t="s">
        <v>15</v>
      </c>
      <c r="D2156">
        <v>28</v>
      </c>
      <c r="E2156" s="2" t="s">
        <v>16</v>
      </c>
      <c r="F2156" s="2" t="s">
        <v>21</v>
      </c>
      <c r="G2156">
        <v>66332</v>
      </c>
      <c r="H2156" s="1">
        <v>44925</v>
      </c>
      <c r="I2156">
        <v>6</v>
      </c>
      <c r="J2156">
        <v>2</v>
      </c>
      <c r="K2156">
        <v>6633</v>
      </c>
      <c r="L2156">
        <v>3317</v>
      </c>
      <c r="M2156">
        <v>69648</v>
      </c>
      <c r="N2156">
        <v>3317</v>
      </c>
      <c r="O2156">
        <v>76282</v>
      </c>
    </row>
    <row r="2157" spans="1:15" x14ac:dyDescent="0.35">
      <c r="A2157">
        <v>2156</v>
      </c>
      <c r="B2157" s="2" t="s">
        <v>26</v>
      </c>
      <c r="C2157" s="2" t="s">
        <v>11</v>
      </c>
      <c r="D2157">
        <v>21</v>
      </c>
      <c r="E2157" s="2" t="s">
        <v>24</v>
      </c>
      <c r="F2157" s="2" t="s">
        <v>25</v>
      </c>
      <c r="G2157">
        <v>73105</v>
      </c>
      <c r="H2157" s="1">
        <v>45444</v>
      </c>
      <c r="I2157">
        <v>2</v>
      </c>
      <c r="J2157">
        <v>4</v>
      </c>
      <c r="K2157">
        <v>7310</v>
      </c>
      <c r="L2157">
        <v>3655</v>
      </c>
      <c r="M2157">
        <v>76760</v>
      </c>
      <c r="N2157">
        <v>0</v>
      </c>
      <c r="O2157">
        <v>80415</v>
      </c>
    </row>
    <row r="2158" spans="1:15" x14ac:dyDescent="0.35">
      <c r="A2158">
        <v>2157</v>
      </c>
      <c r="B2158" s="2" t="s">
        <v>26</v>
      </c>
      <c r="C2158" s="2" t="s">
        <v>15</v>
      </c>
      <c r="D2158">
        <v>28</v>
      </c>
      <c r="E2158" s="2" t="s">
        <v>16</v>
      </c>
      <c r="F2158" s="2" t="s">
        <v>19</v>
      </c>
      <c r="G2158">
        <v>83615</v>
      </c>
      <c r="H2158" s="1">
        <v>45117</v>
      </c>
      <c r="I2158">
        <v>16</v>
      </c>
      <c r="J2158">
        <v>5</v>
      </c>
      <c r="K2158">
        <v>8362</v>
      </c>
      <c r="L2158">
        <v>4181</v>
      </c>
      <c r="M2158">
        <v>87796</v>
      </c>
      <c r="N2158">
        <v>4181</v>
      </c>
      <c r="O2158">
        <v>96158</v>
      </c>
    </row>
    <row r="2159" spans="1:15" x14ac:dyDescent="0.35">
      <c r="A2159">
        <v>2158</v>
      </c>
      <c r="B2159" s="2" t="s">
        <v>20</v>
      </c>
      <c r="C2159" s="2" t="s">
        <v>11</v>
      </c>
      <c r="D2159">
        <v>32</v>
      </c>
      <c r="E2159" s="2" t="s">
        <v>28</v>
      </c>
      <c r="F2159" s="2" t="s">
        <v>25</v>
      </c>
      <c r="G2159">
        <v>90031</v>
      </c>
      <c r="H2159" s="1">
        <v>45084</v>
      </c>
      <c r="I2159">
        <v>12</v>
      </c>
      <c r="J2159">
        <v>2</v>
      </c>
      <c r="K2159">
        <v>9003</v>
      </c>
      <c r="L2159">
        <v>4502</v>
      </c>
      <c r="M2159">
        <v>94532</v>
      </c>
      <c r="N2159">
        <v>4502</v>
      </c>
      <c r="O2159">
        <v>103536</v>
      </c>
    </row>
    <row r="2160" spans="1:15" x14ac:dyDescent="0.35">
      <c r="A2160">
        <v>2159</v>
      </c>
      <c r="B2160" s="2" t="s">
        <v>22</v>
      </c>
      <c r="C2160" s="2" t="s">
        <v>15</v>
      </c>
      <c r="D2160">
        <v>46</v>
      </c>
      <c r="E2160" s="2" t="s">
        <v>29</v>
      </c>
      <c r="F2160" s="2" t="s">
        <v>25</v>
      </c>
      <c r="G2160">
        <v>51737</v>
      </c>
      <c r="H2160" s="1">
        <v>44932</v>
      </c>
      <c r="I2160">
        <v>5</v>
      </c>
      <c r="J2160">
        <v>5</v>
      </c>
      <c r="K2160">
        <v>5174</v>
      </c>
      <c r="L2160">
        <v>2587</v>
      </c>
      <c r="M2160">
        <v>54324</v>
      </c>
      <c r="N2160">
        <v>0</v>
      </c>
      <c r="O2160">
        <v>56911</v>
      </c>
    </row>
    <row r="2161" spans="1:15" x14ac:dyDescent="0.35">
      <c r="A2161">
        <v>2160</v>
      </c>
      <c r="B2161" s="2" t="s">
        <v>27</v>
      </c>
      <c r="C2161" s="2" t="s">
        <v>11</v>
      </c>
      <c r="D2161">
        <v>59</v>
      </c>
      <c r="E2161" s="2" t="s">
        <v>16</v>
      </c>
      <c r="F2161" s="2" t="s">
        <v>19</v>
      </c>
      <c r="G2161">
        <v>46237</v>
      </c>
      <c r="H2161" s="1">
        <v>45560</v>
      </c>
      <c r="I2161">
        <v>20</v>
      </c>
      <c r="J2161">
        <v>3</v>
      </c>
      <c r="K2161">
        <v>4624</v>
      </c>
      <c r="L2161">
        <v>2312</v>
      </c>
      <c r="M2161">
        <v>48549</v>
      </c>
      <c r="N2161">
        <v>2312</v>
      </c>
      <c r="O2161">
        <v>53173</v>
      </c>
    </row>
    <row r="2162" spans="1:15" x14ac:dyDescent="0.35">
      <c r="A2162">
        <v>2161</v>
      </c>
      <c r="B2162" s="2" t="s">
        <v>18</v>
      </c>
      <c r="C2162" s="2" t="s">
        <v>15</v>
      </c>
      <c r="D2162">
        <v>33</v>
      </c>
      <c r="E2162" s="2" t="s">
        <v>16</v>
      </c>
      <c r="F2162" s="2" t="s">
        <v>25</v>
      </c>
      <c r="G2162">
        <v>35937</v>
      </c>
      <c r="H2162" s="1">
        <v>45296</v>
      </c>
      <c r="I2162">
        <v>16</v>
      </c>
      <c r="J2162">
        <v>5</v>
      </c>
      <c r="K2162">
        <v>3594</v>
      </c>
      <c r="L2162">
        <v>1797</v>
      </c>
      <c r="M2162">
        <v>37734</v>
      </c>
      <c r="N2162">
        <v>1797</v>
      </c>
      <c r="O2162">
        <v>41328</v>
      </c>
    </row>
    <row r="2163" spans="1:15" x14ac:dyDescent="0.35">
      <c r="A2163">
        <v>2162</v>
      </c>
      <c r="B2163" s="2" t="s">
        <v>27</v>
      </c>
      <c r="C2163" s="2" t="s">
        <v>15</v>
      </c>
      <c r="D2163">
        <v>35</v>
      </c>
      <c r="E2163" s="2" t="s">
        <v>24</v>
      </c>
      <c r="F2163" s="2" t="s">
        <v>19</v>
      </c>
      <c r="G2163">
        <v>81876</v>
      </c>
      <c r="H2163" s="1">
        <v>44715</v>
      </c>
      <c r="I2163">
        <v>18</v>
      </c>
      <c r="J2163">
        <v>1</v>
      </c>
      <c r="K2163">
        <v>8188</v>
      </c>
      <c r="L2163">
        <v>4094</v>
      </c>
      <c r="M2163">
        <v>85970</v>
      </c>
      <c r="N2163">
        <v>4094</v>
      </c>
      <c r="O2163">
        <v>94158</v>
      </c>
    </row>
    <row r="2164" spans="1:15" x14ac:dyDescent="0.35">
      <c r="A2164">
        <v>2163</v>
      </c>
      <c r="B2164" s="2" t="s">
        <v>26</v>
      </c>
      <c r="C2164" s="2" t="s">
        <v>15</v>
      </c>
      <c r="D2164">
        <v>35</v>
      </c>
      <c r="E2164" s="2" t="s">
        <v>29</v>
      </c>
      <c r="F2164" s="2" t="s">
        <v>17</v>
      </c>
      <c r="G2164">
        <v>87801</v>
      </c>
      <c r="H2164" s="1">
        <v>45177</v>
      </c>
      <c r="I2164">
        <v>6</v>
      </c>
      <c r="J2164">
        <v>3</v>
      </c>
      <c r="K2164">
        <v>8780</v>
      </c>
      <c r="L2164">
        <v>4390</v>
      </c>
      <c r="M2164">
        <v>92191</v>
      </c>
      <c r="N2164">
        <v>4390</v>
      </c>
      <c r="O2164">
        <v>100971</v>
      </c>
    </row>
    <row r="2165" spans="1:15" x14ac:dyDescent="0.35">
      <c r="A2165">
        <v>2164</v>
      </c>
      <c r="B2165" s="2" t="s">
        <v>14</v>
      </c>
      <c r="C2165" s="2" t="s">
        <v>15</v>
      </c>
      <c r="D2165">
        <v>37</v>
      </c>
      <c r="E2165" s="2" t="s">
        <v>28</v>
      </c>
      <c r="F2165" s="2" t="s">
        <v>19</v>
      </c>
      <c r="G2165">
        <v>49562</v>
      </c>
      <c r="H2165" s="1">
        <v>45227</v>
      </c>
      <c r="I2165">
        <v>8</v>
      </c>
      <c r="J2165">
        <v>3</v>
      </c>
      <c r="K2165">
        <v>4956</v>
      </c>
      <c r="L2165">
        <v>2478</v>
      </c>
      <c r="M2165">
        <v>52040</v>
      </c>
      <c r="N2165">
        <v>2478</v>
      </c>
      <c r="O2165">
        <v>56996</v>
      </c>
    </row>
    <row r="2166" spans="1:15" x14ac:dyDescent="0.35">
      <c r="A2166">
        <v>2165</v>
      </c>
      <c r="B2166" s="2" t="s">
        <v>23</v>
      </c>
      <c r="C2166" s="2" t="s">
        <v>15</v>
      </c>
      <c r="D2166">
        <v>25</v>
      </c>
      <c r="E2166" s="2" t="s">
        <v>28</v>
      </c>
      <c r="F2166" s="2" t="s">
        <v>17</v>
      </c>
      <c r="G2166">
        <v>41950</v>
      </c>
      <c r="H2166" s="1">
        <v>45429</v>
      </c>
      <c r="I2166">
        <v>2</v>
      </c>
      <c r="J2166">
        <v>4</v>
      </c>
      <c r="K2166">
        <v>4195</v>
      </c>
      <c r="L2166">
        <v>2098</v>
      </c>
      <c r="M2166">
        <v>44047</v>
      </c>
      <c r="N2166">
        <v>0</v>
      </c>
      <c r="O2166">
        <v>46145</v>
      </c>
    </row>
    <row r="2167" spans="1:15" x14ac:dyDescent="0.35">
      <c r="A2167">
        <v>2166</v>
      </c>
      <c r="B2167" s="2" t="s">
        <v>14</v>
      </c>
      <c r="C2167" s="2" t="s">
        <v>11</v>
      </c>
      <c r="D2167">
        <v>50</v>
      </c>
      <c r="E2167" s="2" t="s">
        <v>29</v>
      </c>
      <c r="F2167" s="2" t="s">
        <v>17</v>
      </c>
      <c r="G2167">
        <v>74277</v>
      </c>
      <c r="H2167" s="1">
        <v>45558</v>
      </c>
      <c r="I2167">
        <v>2</v>
      </c>
      <c r="J2167">
        <v>4</v>
      </c>
      <c r="K2167">
        <v>7428</v>
      </c>
      <c r="L2167">
        <v>3714</v>
      </c>
      <c r="M2167">
        <v>77991</v>
      </c>
      <c r="N2167">
        <v>0</v>
      </c>
      <c r="O2167">
        <v>81705</v>
      </c>
    </row>
    <row r="2168" spans="1:15" x14ac:dyDescent="0.35">
      <c r="A2168">
        <v>2167</v>
      </c>
      <c r="B2168" s="2" t="s">
        <v>14</v>
      </c>
      <c r="C2168" s="2" t="s">
        <v>11</v>
      </c>
      <c r="D2168">
        <v>36</v>
      </c>
      <c r="E2168" s="2" t="s">
        <v>12</v>
      </c>
      <c r="F2168" s="2" t="s">
        <v>13</v>
      </c>
      <c r="G2168">
        <v>85458</v>
      </c>
      <c r="H2168" s="1">
        <v>44608</v>
      </c>
      <c r="I2168">
        <v>18</v>
      </c>
      <c r="J2168">
        <v>4</v>
      </c>
      <c r="K2168">
        <v>8546</v>
      </c>
      <c r="L2168">
        <v>4273</v>
      </c>
      <c r="M2168">
        <v>89731</v>
      </c>
      <c r="N2168">
        <v>4273</v>
      </c>
      <c r="O2168">
        <v>98277</v>
      </c>
    </row>
    <row r="2169" spans="1:15" x14ac:dyDescent="0.35">
      <c r="A2169">
        <v>2168</v>
      </c>
      <c r="B2169" s="2" t="s">
        <v>23</v>
      </c>
      <c r="C2169" s="2" t="s">
        <v>11</v>
      </c>
      <c r="D2169">
        <v>49</v>
      </c>
      <c r="E2169" s="2" t="s">
        <v>12</v>
      </c>
      <c r="F2169" s="2" t="s">
        <v>21</v>
      </c>
      <c r="G2169">
        <v>58825</v>
      </c>
      <c r="H2169" s="1">
        <v>45484</v>
      </c>
      <c r="I2169">
        <v>15</v>
      </c>
      <c r="J2169">
        <v>5</v>
      </c>
      <c r="K2169">
        <v>5882</v>
      </c>
      <c r="L2169">
        <v>2941</v>
      </c>
      <c r="M2169">
        <v>61766</v>
      </c>
      <c r="N2169">
        <v>2941</v>
      </c>
      <c r="O2169">
        <v>67648</v>
      </c>
    </row>
    <row r="2170" spans="1:15" x14ac:dyDescent="0.35">
      <c r="A2170">
        <v>2169</v>
      </c>
      <c r="B2170" s="2" t="s">
        <v>31</v>
      </c>
      <c r="C2170" s="2" t="s">
        <v>15</v>
      </c>
      <c r="D2170">
        <v>24</v>
      </c>
      <c r="E2170" s="2" t="s">
        <v>12</v>
      </c>
      <c r="F2170" s="2" t="s">
        <v>25</v>
      </c>
      <c r="G2170">
        <v>21178</v>
      </c>
      <c r="H2170" s="1">
        <v>45324</v>
      </c>
      <c r="I2170">
        <v>10</v>
      </c>
      <c r="J2170">
        <v>3</v>
      </c>
      <c r="K2170">
        <v>2118</v>
      </c>
      <c r="L2170">
        <v>1059</v>
      </c>
      <c r="M2170">
        <v>22237</v>
      </c>
      <c r="N2170">
        <v>1059</v>
      </c>
      <c r="O2170">
        <v>24355</v>
      </c>
    </row>
    <row r="2171" spans="1:15" x14ac:dyDescent="0.35">
      <c r="A2171">
        <v>2170</v>
      </c>
      <c r="B2171" s="2" t="s">
        <v>22</v>
      </c>
      <c r="C2171" s="2" t="s">
        <v>11</v>
      </c>
      <c r="D2171">
        <v>25</v>
      </c>
      <c r="E2171" s="2" t="s">
        <v>16</v>
      </c>
      <c r="F2171" s="2" t="s">
        <v>21</v>
      </c>
      <c r="G2171">
        <v>32348</v>
      </c>
      <c r="H2171" s="1">
        <v>44919</v>
      </c>
      <c r="I2171">
        <v>1</v>
      </c>
      <c r="J2171">
        <v>3</v>
      </c>
      <c r="K2171">
        <v>3235</v>
      </c>
      <c r="L2171">
        <v>1617</v>
      </c>
      <c r="M2171">
        <v>33966</v>
      </c>
      <c r="N2171">
        <v>0</v>
      </c>
      <c r="O2171">
        <v>35583</v>
      </c>
    </row>
    <row r="2172" spans="1:15" x14ac:dyDescent="0.35">
      <c r="A2172">
        <v>2171</v>
      </c>
      <c r="B2172" s="2" t="s">
        <v>27</v>
      </c>
      <c r="C2172" s="2" t="s">
        <v>11</v>
      </c>
      <c r="D2172">
        <v>27</v>
      </c>
      <c r="E2172" s="2" t="s">
        <v>29</v>
      </c>
      <c r="F2172" s="2" t="s">
        <v>19</v>
      </c>
      <c r="G2172">
        <v>51906</v>
      </c>
      <c r="H2172" s="1">
        <v>45514</v>
      </c>
      <c r="I2172">
        <v>17</v>
      </c>
      <c r="J2172">
        <v>4</v>
      </c>
      <c r="K2172">
        <v>5191</v>
      </c>
      <c r="L2172">
        <v>2595</v>
      </c>
      <c r="M2172">
        <v>54502</v>
      </c>
      <c r="N2172">
        <v>2595</v>
      </c>
      <c r="O2172">
        <v>59692</v>
      </c>
    </row>
    <row r="2173" spans="1:15" x14ac:dyDescent="0.35">
      <c r="A2173">
        <v>2172</v>
      </c>
      <c r="B2173" s="2" t="s">
        <v>18</v>
      </c>
      <c r="C2173" s="2" t="s">
        <v>11</v>
      </c>
      <c r="D2173">
        <v>50</v>
      </c>
      <c r="E2173" s="2" t="s">
        <v>29</v>
      </c>
      <c r="F2173" s="2" t="s">
        <v>19</v>
      </c>
      <c r="G2173">
        <v>29205</v>
      </c>
      <c r="H2173" s="1">
        <v>45295</v>
      </c>
      <c r="I2173">
        <v>19</v>
      </c>
      <c r="J2173">
        <v>4</v>
      </c>
      <c r="K2173">
        <v>2920</v>
      </c>
      <c r="L2173">
        <v>1460</v>
      </c>
      <c r="M2173">
        <v>30665</v>
      </c>
      <c r="N2173">
        <v>1460</v>
      </c>
      <c r="O2173">
        <v>33585</v>
      </c>
    </row>
    <row r="2174" spans="1:15" x14ac:dyDescent="0.35">
      <c r="A2174">
        <v>2173</v>
      </c>
      <c r="B2174" s="2" t="s">
        <v>14</v>
      </c>
      <c r="C2174" s="2" t="s">
        <v>15</v>
      </c>
      <c r="D2174">
        <v>29</v>
      </c>
      <c r="E2174" s="2" t="s">
        <v>16</v>
      </c>
      <c r="F2174" s="2" t="s">
        <v>17</v>
      </c>
      <c r="G2174">
        <v>31936</v>
      </c>
      <c r="H2174" s="1">
        <v>45435</v>
      </c>
      <c r="I2174">
        <v>17</v>
      </c>
      <c r="J2174">
        <v>4</v>
      </c>
      <c r="K2174">
        <v>3194</v>
      </c>
      <c r="L2174">
        <v>1597</v>
      </c>
      <c r="M2174">
        <v>33533</v>
      </c>
      <c r="N2174">
        <v>1597</v>
      </c>
      <c r="O2174">
        <v>36727</v>
      </c>
    </row>
    <row r="2175" spans="1:15" x14ac:dyDescent="0.35">
      <c r="A2175">
        <v>2174</v>
      </c>
      <c r="B2175" s="2" t="s">
        <v>31</v>
      </c>
      <c r="C2175" s="2" t="s">
        <v>15</v>
      </c>
      <c r="D2175">
        <v>34</v>
      </c>
      <c r="E2175" s="2" t="s">
        <v>29</v>
      </c>
      <c r="F2175" s="2" t="s">
        <v>21</v>
      </c>
      <c r="G2175">
        <v>88576</v>
      </c>
      <c r="H2175" s="1">
        <v>45274</v>
      </c>
      <c r="I2175">
        <v>8</v>
      </c>
      <c r="J2175">
        <v>1</v>
      </c>
      <c r="K2175">
        <v>8858</v>
      </c>
      <c r="L2175">
        <v>4429</v>
      </c>
      <c r="M2175">
        <v>93005</v>
      </c>
      <c r="N2175">
        <v>4429</v>
      </c>
      <c r="O2175">
        <v>101863</v>
      </c>
    </row>
    <row r="2176" spans="1:15" x14ac:dyDescent="0.35">
      <c r="A2176">
        <v>2175</v>
      </c>
      <c r="B2176" s="2" t="s">
        <v>26</v>
      </c>
      <c r="C2176" s="2" t="s">
        <v>15</v>
      </c>
      <c r="D2176">
        <v>49</v>
      </c>
      <c r="E2176" s="2" t="s">
        <v>24</v>
      </c>
      <c r="F2176" s="2" t="s">
        <v>25</v>
      </c>
      <c r="G2176">
        <v>34463</v>
      </c>
      <c r="H2176" s="1">
        <v>45109</v>
      </c>
      <c r="I2176">
        <v>8</v>
      </c>
      <c r="J2176">
        <v>5</v>
      </c>
      <c r="K2176">
        <v>3446</v>
      </c>
      <c r="L2176">
        <v>1723</v>
      </c>
      <c r="M2176">
        <v>36186</v>
      </c>
      <c r="N2176">
        <v>1723</v>
      </c>
      <c r="O2176">
        <v>39632</v>
      </c>
    </row>
    <row r="2177" spans="1:15" x14ac:dyDescent="0.35">
      <c r="A2177">
        <v>2176</v>
      </c>
      <c r="B2177" s="2" t="s">
        <v>14</v>
      </c>
      <c r="C2177" s="2" t="s">
        <v>11</v>
      </c>
      <c r="D2177">
        <v>33</v>
      </c>
      <c r="E2177" s="2" t="s">
        <v>28</v>
      </c>
      <c r="F2177" s="2" t="s">
        <v>19</v>
      </c>
      <c r="G2177">
        <v>52233</v>
      </c>
      <c r="H2177" s="1">
        <v>45292</v>
      </c>
      <c r="I2177">
        <v>14</v>
      </c>
      <c r="J2177">
        <v>3</v>
      </c>
      <c r="K2177">
        <v>5223</v>
      </c>
      <c r="L2177">
        <v>2612</v>
      </c>
      <c r="M2177">
        <v>54844</v>
      </c>
      <c r="N2177">
        <v>2612</v>
      </c>
      <c r="O2177">
        <v>60068</v>
      </c>
    </row>
    <row r="2178" spans="1:15" x14ac:dyDescent="0.35">
      <c r="A2178">
        <v>2177</v>
      </c>
      <c r="B2178" s="2" t="s">
        <v>20</v>
      </c>
      <c r="C2178" s="2" t="s">
        <v>11</v>
      </c>
      <c r="D2178">
        <v>43</v>
      </c>
      <c r="E2178" s="2" t="s">
        <v>24</v>
      </c>
      <c r="F2178" s="2" t="s">
        <v>19</v>
      </c>
      <c r="G2178">
        <v>21983</v>
      </c>
      <c r="H2178" s="1">
        <v>44569</v>
      </c>
      <c r="I2178">
        <v>13</v>
      </c>
      <c r="J2178">
        <v>4</v>
      </c>
      <c r="K2178">
        <v>2198</v>
      </c>
      <c r="L2178">
        <v>1099</v>
      </c>
      <c r="M2178">
        <v>23082</v>
      </c>
      <c r="N2178">
        <v>1099</v>
      </c>
      <c r="O2178">
        <v>25280</v>
      </c>
    </row>
    <row r="2179" spans="1:15" x14ac:dyDescent="0.35">
      <c r="A2179">
        <v>2178</v>
      </c>
      <c r="B2179" s="2" t="s">
        <v>26</v>
      </c>
      <c r="C2179" s="2" t="s">
        <v>11</v>
      </c>
      <c r="D2179">
        <v>43</v>
      </c>
      <c r="E2179" s="2" t="s">
        <v>28</v>
      </c>
      <c r="F2179" s="2" t="s">
        <v>25</v>
      </c>
      <c r="G2179">
        <v>59931</v>
      </c>
      <c r="H2179" s="1">
        <v>44746</v>
      </c>
      <c r="I2179">
        <v>6</v>
      </c>
      <c r="J2179">
        <v>4</v>
      </c>
      <c r="K2179">
        <v>5993</v>
      </c>
      <c r="L2179">
        <v>2997</v>
      </c>
      <c r="M2179">
        <v>62927</v>
      </c>
      <c r="N2179">
        <v>2997</v>
      </c>
      <c r="O2179">
        <v>68921</v>
      </c>
    </row>
    <row r="2180" spans="1:15" x14ac:dyDescent="0.35">
      <c r="A2180">
        <v>2179</v>
      </c>
      <c r="B2180" s="2" t="s">
        <v>26</v>
      </c>
      <c r="C2180" s="2" t="s">
        <v>15</v>
      </c>
      <c r="D2180">
        <v>43</v>
      </c>
      <c r="E2180" s="2" t="s">
        <v>24</v>
      </c>
      <c r="F2180" s="2" t="s">
        <v>21</v>
      </c>
      <c r="G2180">
        <v>48125</v>
      </c>
      <c r="H2180" s="1">
        <v>44845</v>
      </c>
      <c r="I2180">
        <v>7</v>
      </c>
      <c r="J2180">
        <v>2</v>
      </c>
      <c r="K2180">
        <v>4812</v>
      </c>
      <c r="L2180">
        <v>2406</v>
      </c>
      <c r="M2180">
        <v>50531</v>
      </c>
      <c r="N2180">
        <v>2406</v>
      </c>
      <c r="O2180">
        <v>55343</v>
      </c>
    </row>
    <row r="2181" spans="1:15" x14ac:dyDescent="0.35">
      <c r="A2181">
        <v>2180</v>
      </c>
      <c r="B2181" s="2" t="s">
        <v>27</v>
      </c>
      <c r="C2181" s="2" t="s">
        <v>11</v>
      </c>
      <c r="D2181">
        <v>34</v>
      </c>
      <c r="E2181" s="2" t="s">
        <v>24</v>
      </c>
      <c r="F2181" s="2" t="s">
        <v>19</v>
      </c>
      <c r="G2181">
        <v>87398</v>
      </c>
      <c r="H2181" s="1">
        <v>45235</v>
      </c>
      <c r="I2181">
        <v>10</v>
      </c>
      <c r="J2181">
        <v>1</v>
      </c>
      <c r="K2181">
        <v>8740</v>
      </c>
      <c r="L2181">
        <v>4370</v>
      </c>
      <c r="M2181">
        <v>91768</v>
      </c>
      <c r="N2181">
        <v>4370</v>
      </c>
      <c r="O2181">
        <v>100508</v>
      </c>
    </row>
    <row r="2182" spans="1:15" x14ac:dyDescent="0.35">
      <c r="A2182">
        <v>2181</v>
      </c>
      <c r="B2182" s="2" t="s">
        <v>27</v>
      </c>
      <c r="C2182" s="2" t="s">
        <v>15</v>
      </c>
      <c r="D2182">
        <v>29</v>
      </c>
      <c r="E2182" s="2" t="s">
        <v>12</v>
      </c>
      <c r="F2182" s="2" t="s">
        <v>25</v>
      </c>
      <c r="G2182">
        <v>25044</v>
      </c>
      <c r="H2182" s="1">
        <v>45250</v>
      </c>
      <c r="I2182">
        <v>3</v>
      </c>
      <c r="J2182">
        <v>4</v>
      </c>
      <c r="K2182">
        <v>2504</v>
      </c>
      <c r="L2182">
        <v>1252</v>
      </c>
      <c r="M2182">
        <v>26296</v>
      </c>
      <c r="N2182">
        <v>0</v>
      </c>
      <c r="O2182">
        <v>27548</v>
      </c>
    </row>
    <row r="2183" spans="1:15" x14ac:dyDescent="0.35">
      <c r="A2183">
        <v>2182</v>
      </c>
      <c r="B2183" s="2" t="s">
        <v>26</v>
      </c>
      <c r="C2183" s="2" t="s">
        <v>15</v>
      </c>
      <c r="D2183">
        <v>23</v>
      </c>
      <c r="E2183" s="2" t="s">
        <v>29</v>
      </c>
      <c r="F2183" s="2" t="s">
        <v>21</v>
      </c>
      <c r="G2183">
        <v>34024</v>
      </c>
      <c r="H2183" s="1">
        <v>44660</v>
      </c>
      <c r="I2183">
        <v>10</v>
      </c>
      <c r="J2183">
        <v>2</v>
      </c>
      <c r="K2183">
        <v>3402</v>
      </c>
      <c r="L2183">
        <v>1701</v>
      </c>
      <c r="M2183">
        <v>35725</v>
      </c>
      <c r="N2183">
        <v>1701</v>
      </c>
      <c r="O2183">
        <v>39127</v>
      </c>
    </row>
    <row r="2184" spans="1:15" x14ac:dyDescent="0.35">
      <c r="A2184">
        <v>2183</v>
      </c>
      <c r="B2184" s="2" t="s">
        <v>30</v>
      </c>
      <c r="C2184" s="2" t="s">
        <v>15</v>
      </c>
      <c r="D2184">
        <v>58</v>
      </c>
      <c r="E2184" s="2" t="s">
        <v>28</v>
      </c>
      <c r="F2184" s="2" t="s">
        <v>21</v>
      </c>
      <c r="G2184">
        <v>70291</v>
      </c>
      <c r="H2184" s="1">
        <v>45473</v>
      </c>
      <c r="I2184">
        <v>6</v>
      </c>
      <c r="J2184">
        <v>1</v>
      </c>
      <c r="K2184">
        <v>7029</v>
      </c>
      <c r="L2184">
        <v>3515</v>
      </c>
      <c r="M2184">
        <v>73805</v>
      </c>
      <c r="N2184">
        <v>3515</v>
      </c>
      <c r="O2184">
        <v>80835</v>
      </c>
    </row>
    <row r="2185" spans="1:15" x14ac:dyDescent="0.35">
      <c r="A2185">
        <v>2184</v>
      </c>
      <c r="B2185" s="2" t="s">
        <v>10</v>
      </c>
      <c r="C2185" s="2" t="s">
        <v>11</v>
      </c>
      <c r="D2185">
        <v>30</v>
      </c>
      <c r="E2185" s="2" t="s">
        <v>12</v>
      </c>
      <c r="F2185" s="2" t="s">
        <v>25</v>
      </c>
      <c r="G2185">
        <v>36138</v>
      </c>
      <c r="H2185" s="1">
        <v>44644</v>
      </c>
      <c r="I2185">
        <v>9</v>
      </c>
      <c r="J2185">
        <v>2</v>
      </c>
      <c r="K2185">
        <v>3614</v>
      </c>
      <c r="L2185">
        <v>1807</v>
      </c>
      <c r="M2185">
        <v>37945</v>
      </c>
      <c r="N2185">
        <v>1807</v>
      </c>
      <c r="O2185">
        <v>41559</v>
      </c>
    </row>
    <row r="2186" spans="1:15" x14ac:dyDescent="0.35">
      <c r="A2186">
        <v>2185</v>
      </c>
      <c r="B2186" s="2" t="s">
        <v>10</v>
      </c>
      <c r="C2186" s="2" t="s">
        <v>15</v>
      </c>
      <c r="D2186">
        <v>30</v>
      </c>
      <c r="E2186" s="2" t="s">
        <v>12</v>
      </c>
      <c r="F2186" s="2" t="s">
        <v>25</v>
      </c>
      <c r="G2186">
        <v>53292</v>
      </c>
      <c r="H2186" s="1">
        <v>44784</v>
      </c>
      <c r="I2186">
        <v>10</v>
      </c>
      <c r="J2186">
        <v>5</v>
      </c>
      <c r="K2186">
        <v>5329</v>
      </c>
      <c r="L2186">
        <v>2665</v>
      </c>
      <c r="M2186">
        <v>55956</v>
      </c>
      <c r="N2186">
        <v>2665</v>
      </c>
      <c r="O2186">
        <v>61286</v>
      </c>
    </row>
    <row r="2187" spans="1:15" x14ac:dyDescent="0.35">
      <c r="A2187">
        <v>2186</v>
      </c>
      <c r="B2187" s="2" t="s">
        <v>14</v>
      </c>
      <c r="C2187" s="2" t="s">
        <v>15</v>
      </c>
      <c r="D2187">
        <v>35</v>
      </c>
      <c r="E2187" s="2" t="s">
        <v>16</v>
      </c>
      <c r="F2187" s="2" t="s">
        <v>17</v>
      </c>
      <c r="G2187">
        <v>85717</v>
      </c>
      <c r="H2187" s="1">
        <v>44966</v>
      </c>
      <c r="I2187">
        <v>8</v>
      </c>
      <c r="J2187">
        <v>2</v>
      </c>
      <c r="K2187">
        <v>8572</v>
      </c>
      <c r="L2187">
        <v>4286</v>
      </c>
      <c r="M2187">
        <v>90003</v>
      </c>
      <c r="N2187">
        <v>4286</v>
      </c>
      <c r="O2187">
        <v>98575</v>
      </c>
    </row>
    <row r="2188" spans="1:15" x14ac:dyDescent="0.35">
      <c r="A2188">
        <v>2187</v>
      </c>
      <c r="B2188" s="2" t="s">
        <v>30</v>
      </c>
      <c r="C2188" s="2" t="s">
        <v>15</v>
      </c>
      <c r="D2188">
        <v>24</v>
      </c>
      <c r="E2188" s="2" t="s">
        <v>16</v>
      </c>
      <c r="F2188" s="2" t="s">
        <v>17</v>
      </c>
      <c r="G2188">
        <v>61404</v>
      </c>
      <c r="H2188" s="1">
        <v>44825</v>
      </c>
      <c r="I2188">
        <v>16</v>
      </c>
      <c r="J2188">
        <v>2</v>
      </c>
      <c r="K2188">
        <v>6140</v>
      </c>
      <c r="L2188">
        <v>3070</v>
      </c>
      <c r="M2188">
        <v>64474</v>
      </c>
      <c r="N2188">
        <v>3070</v>
      </c>
      <c r="O2188">
        <v>70614</v>
      </c>
    </row>
    <row r="2189" spans="1:15" x14ac:dyDescent="0.35">
      <c r="A2189">
        <v>2188</v>
      </c>
      <c r="B2189" s="2" t="s">
        <v>18</v>
      </c>
      <c r="C2189" s="2" t="s">
        <v>15</v>
      </c>
      <c r="D2189">
        <v>30</v>
      </c>
      <c r="E2189" s="2" t="s">
        <v>12</v>
      </c>
      <c r="F2189" s="2" t="s">
        <v>25</v>
      </c>
      <c r="G2189">
        <v>31994</v>
      </c>
      <c r="H2189" s="1">
        <v>45099</v>
      </c>
      <c r="I2189">
        <v>17</v>
      </c>
      <c r="J2189">
        <v>5</v>
      </c>
      <c r="K2189">
        <v>3199</v>
      </c>
      <c r="L2189">
        <v>1600</v>
      </c>
      <c r="M2189">
        <v>33593</v>
      </c>
      <c r="N2189">
        <v>1600</v>
      </c>
      <c r="O2189">
        <v>36793</v>
      </c>
    </row>
    <row r="2190" spans="1:15" x14ac:dyDescent="0.35">
      <c r="A2190">
        <v>2189</v>
      </c>
      <c r="B2190" s="2" t="s">
        <v>30</v>
      </c>
      <c r="C2190" s="2" t="s">
        <v>11</v>
      </c>
      <c r="D2190">
        <v>60</v>
      </c>
      <c r="E2190" s="2" t="s">
        <v>28</v>
      </c>
      <c r="F2190" s="2" t="s">
        <v>25</v>
      </c>
      <c r="G2190">
        <v>80452</v>
      </c>
      <c r="H2190" s="1">
        <v>45144</v>
      </c>
      <c r="I2190">
        <v>18</v>
      </c>
      <c r="J2190">
        <v>5</v>
      </c>
      <c r="K2190">
        <v>8045</v>
      </c>
      <c r="L2190">
        <v>4023</v>
      </c>
      <c r="M2190">
        <v>84474</v>
      </c>
      <c r="N2190">
        <v>4023</v>
      </c>
      <c r="O2190">
        <v>92520</v>
      </c>
    </row>
    <row r="2191" spans="1:15" x14ac:dyDescent="0.35">
      <c r="A2191">
        <v>2190</v>
      </c>
      <c r="B2191" s="2" t="s">
        <v>22</v>
      </c>
      <c r="C2191" s="2" t="s">
        <v>11</v>
      </c>
      <c r="D2191">
        <v>47</v>
      </c>
      <c r="E2191" s="2" t="s">
        <v>12</v>
      </c>
      <c r="F2191" s="2" t="s">
        <v>25</v>
      </c>
      <c r="G2191">
        <v>88047</v>
      </c>
      <c r="H2191" s="1">
        <v>44758</v>
      </c>
      <c r="I2191">
        <v>4</v>
      </c>
      <c r="J2191">
        <v>5</v>
      </c>
      <c r="K2191">
        <v>8805</v>
      </c>
      <c r="L2191">
        <v>4402</v>
      </c>
      <c r="M2191">
        <v>92450</v>
      </c>
      <c r="N2191">
        <v>0</v>
      </c>
      <c r="O2191">
        <v>96852</v>
      </c>
    </row>
    <row r="2192" spans="1:15" x14ac:dyDescent="0.35">
      <c r="A2192">
        <v>2191</v>
      </c>
      <c r="B2192" s="2" t="s">
        <v>18</v>
      </c>
      <c r="C2192" s="2" t="s">
        <v>11</v>
      </c>
      <c r="D2192">
        <v>43</v>
      </c>
      <c r="E2192" s="2" t="s">
        <v>12</v>
      </c>
      <c r="F2192" s="2" t="s">
        <v>13</v>
      </c>
      <c r="G2192">
        <v>38017</v>
      </c>
      <c r="H2192" s="1">
        <v>44933</v>
      </c>
      <c r="I2192">
        <v>12</v>
      </c>
      <c r="J2192">
        <v>4</v>
      </c>
      <c r="K2192">
        <v>3802</v>
      </c>
      <c r="L2192">
        <v>1901</v>
      </c>
      <c r="M2192">
        <v>39918</v>
      </c>
      <c r="N2192">
        <v>1901</v>
      </c>
      <c r="O2192">
        <v>43720</v>
      </c>
    </row>
    <row r="2193" spans="1:15" x14ac:dyDescent="0.35">
      <c r="A2193">
        <v>2192</v>
      </c>
      <c r="B2193" s="2" t="s">
        <v>23</v>
      </c>
      <c r="C2193" s="2" t="s">
        <v>15</v>
      </c>
      <c r="D2193">
        <v>42</v>
      </c>
      <c r="E2193" s="2" t="s">
        <v>24</v>
      </c>
      <c r="F2193" s="2" t="s">
        <v>13</v>
      </c>
      <c r="G2193">
        <v>40992</v>
      </c>
      <c r="H2193" s="1">
        <v>44831</v>
      </c>
      <c r="I2193">
        <v>4</v>
      </c>
      <c r="J2193">
        <v>4</v>
      </c>
      <c r="K2193">
        <v>4099</v>
      </c>
      <c r="L2193">
        <v>2050</v>
      </c>
      <c r="M2193">
        <v>43041</v>
      </c>
      <c r="N2193">
        <v>0</v>
      </c>
      <c r="O2193">
        <v>45091</v>
      </c>
    </row>
    <row r="2194" spans="1:15" x14ac:dyDescent="0.35">
      <c r="A2194">
        <v>2193</v>
      </c>
      <c r="B2194" s="2" t="s">
        <v>26</v>
      </c>
      <c r="C2194" s="2" t="s">
        <v>11</v>
      </c>
      <c r="D2194">
        <v>49</v>
      </c>
      <c r="E2194" s="2" t="s">
        <v>29</v>
      </c>
      <c r="F2194" s="2" t="s">
        <v>17</v>
      </c>
      <c r="G2194">
        <v>24615</v>
      </c>
      <c r="H2194" s="1">
        <v>45448</v>
      </c>
      <c r="I2194">
        <v>14</v>
      </c>
      <c r="J2194">
        <v>4</v>
      </c>
      <c r="K2194">
        <v>2462</v>
      </c>
      <c r="L2194">
        <v>1231</v>
      </c>
      <c r="M2194">
        <v>25846</v>
      </c>
      <c r="N2194">
        <v>1231</v>
      </c>
      <c r="O2194">
        <v>28308</v>
      </c>
    </row>
    <row r="2195" spans="1:15" x14ac:dyDescent="0.35">
      <c r="A2195">
        <v>2194</v>
      </c>
      <c r="B2195" s="2" t="s">
        <v>10</v>
      </c>
      <c r="C2195" s="2" t="s">
        <v>15</v>
      </c>
      <c r="D2195">
        <v>45</v>
      </c>
      <c r="E2195" s="2" t="s">
        <v>16</v>
      </c>
      <c r="F2195" s="2" t="s">
        <v>13</v>
      </c>
      <c r="G2195">
        <v>44657</v>
      </c>
      <c r="H2195" s="1">
        <v>45109</v>
      </c>
      <c r="I2195">
        <v>14</v>
      </c>
      <c r="J2195">
        <v>4</v>
      </c>
      <c r="K2195">
        <v>4466</v>
      </c>
      <c r="L2195">
        <v>2233</v>
      </c>
      <c r="M2195">
        <v>46890</v>
      </c>
      <c r="N2195">
        <v>2233</v>
      </c>
      <c r="O2195">
        <v>51356</v>
      </c>
    </row>
    <row r="2196" spans="1:15" x14ac:dyDescent="0.35">
      <c r="A2196">
        <v>2195</v>
      </c>
      <c r="B2196" s="2" t="s">
        <v>26</v>
      </c>
      <c r="C2196" s="2" t="s">
        <v>11</v>
      </c>
      <c r="D2196">
        <v>33</v>
      </c>
      <c r="E2196" s="2" t="s">
        <v>24</v>
      </c>
      <c r="F2196" s="2" t="s">
        <v>19</v>
      </c>
      <c r="G2196">
        <v>96909</v>
      </c>
      <c r="H2196" s="1">
        <v>45212</v>
      </c>
      <c r="I2196">
        <v>16</v>
      </c>
      <c r="J2196">
        <v>3</v>
      </c>
      <c r="K2196">
        <v>9691</v>
      </c>
      <c r="L2196">
        <v>4845</v>
      </c>
      <c r="M2196">
        <v>101755</v>
      </c>
      <c r="N2196">
        <v>4845</v>
      </c>
      <c r="O2196">
        <v>111445</v>
      </c>
    </row>
    <row r="2197" spans="1:15" x14ac:dyDescent="0.35">
      <c r="A2197">
        <v>2196</v>
      </c>
      <c r="B2197" s="2" t="s">
        <v>31</v>
      </c>
      <c r="C2197" s="2" t="s">
        <v>15</v>
      </c>
      <c r="D2197">
        <v>27</v>
      </c>
      <c r="E2197" s="2" t="s">
        <v>29</v>
      </c>
      <c r="F2197" s="2" t="s">
        <v>13</v>
      </c>
      <c r="G2197">
        <v>61256</v>
      </c>
      <c r="H2197" s="1">
        <v>44689</v>
      </c>
      <c r="I2197">
        <v>13</v>
      </c>
      <c r="J2197">
        <v>4</v>
      </c>
      <c r="K2197">
        <v>6126</v>
      </c>
      <c r="L2197">
        <v>3063</v>
      </c>
      <c r="M2197">
        <v>64319</v>
      </c>
      <c r="N2197">
        <v>3063</v>
      </c>
      <c r="O2197">
        <v>70445</v>
      </c>
    </row>
    <row r="2198" spans="1:15" x14ac:dyDescent="0.35">
      <c r="A2198">
        <v>2197</v>
      </c>
      <c r="B2198" s="2" t="s">
        <v>30</v>
      </c>
      <c r="C2198" s="2" t="s">
        <v>15</v>
      </c>
      <c r="D2198">
        <v>46</v>
      </c>
      <c r="E2198" s="2" t="s">
        <v>12</v>
      </c>
      <c r="F2198" s="2" t="s">
        <v>21</v>
      </c>
      <c r="G2198">
        <v>98028</v>
      </c>
      <c r="H2198" s="1">
        <v>44688</v>
      </c>
      <c r="I2198">
        <v>9</v>
      </c>
      <c r="J2198">
        <v>3</v>
      </c>
      <c r="K2198">
        <v>9803</v>
      </c>
      <c r="L2198">
        <v>4901</v>
      </c>
      <c r="M2198">
        <v>102930</v>
      </c>
      <c r="N2198">
        <v>4901</v>
      </c>
      <c r="O2198">
        <v>112732</v>
      </c>
    </row>
    <row r="2199" spans="1:15" x14ac:dyDescent="0.35">
      <c r="A2199">
        <v>2198</v>
      </c>
      <c r="B2199" s="2" t="s">
        <v>22</v>
      </c>
      <c r="C2199" s="2" t="s">
        <v>11</v>
      </c>
      <c r="D2199">
        <v>59</v>
      </c>
      <c r="E2199" s="2" t="s">
        <v>28</v>
      </c>
      <c r="F2199" s="2" t="s">
        <v>25</v>
      </c>
      <c r="G2199">
        <v>25532</v>
      </c>
      <c r="H2199" s="1">
        <v>44914</v>
      </c>
      <c r="I2199">
        <v>18</v>
      </c>
      <c r="J2199">
        <v>3</v>
      </c>
      <c r="K2199">
        <v>2553</v>
      </c>
      <c r="L2199">
        <v>1277</v>
      </c>
      <c r="M2199">
        <v>26808</v>
      </c>
      <c r="N2199">
        <v>1277</v>
      </c>
      <c r="O2199">
        <v>29362</v>
      </c>
    </row>
    <row r="2200" spans="1:15" x14ac:dyDescent="0.35">
      <c r="A2200">
        <v>2199</v>
      </c>
      <c r="B2200" s="2" t="s">
        <v>26</v>
      </c>
      <c r="C2200" s="2" t="s">
        <v>15</v>
      </c>
      <c r="D2200">
        <v>27</v>
      </c>
      <c r="E2200" s="2" t="s">
        <v>12</v>
      </c>
      <c r="F2200" s="2" t="s">
        <v>25</v>
      </c>
      <c r="G2200">
        <v>43811</v>
      </c>
      <c r="H2200" s="1">
        <v>44796</v>
      </c>
      <c r="I2200">
        <v>13</v>
      </c>
      <c r="J2200">
        <v>1</v>
      </c>
      <c r="K2200">
        <v>4381</v>
      </c>
      <c r="L2200">
        <v>2191</v>
      </c>
      <c r="M2200">
        <v>46001</v>
      </c>
      <c r="N2200">
        <v>2191</v>
      </c>
      <c r="O2200">
        <v>50383</v>
      </c>
    </row>
    <row r="2201" spans="1:15" x14ac:dyDescent="0.35">
      <c r="A2201">
        <v>2200</v>
      </c>
      <c r="B2201" s="2" t="s">
        <v>27</v>
      </c>
      <c r="C2201" s="2" t="s">
        <v>15</v>
      </c>
      <c r="D2201">
        <v>21</v>
      </c>
      <c r="E2201" s="2" t="s">
        <v>12</v>
      </c>
      <c r="F2201" s="2" t="s">
        <v>17</v>
      </c>
      <c r="G2201">
        <v>34739</v>
      </c>
      <c r="H2201" s="1">
        <v>45067</v>
      </c>
      <c r="I2201">
        <v>3</v>
      </c>
      <c r="J2201">
        <v>2</v>
      </c>
      <c r="K2201">
        <v>3474</v>
      </c>
      <c r="L2201">
        <v>1737</v>
      </c>
      <c r="M2201">
        <v>36476</v>
      </c>
      <c r="N2201">
        <v>0</v>
      </c>
      <c r="O2201">
        <v>38213</v>
      </c>
    </row>
    <row r="2202" spans="1:15" x14ac:dyDescent="0.35">
      <c r="A2202">
        <v>2201</v>
      </c>
      <c r="B2202" s="2" t="s">
        <v>23</v>
      </c>
      <c r="C2202" s="2" t="s">
        <v>15</v>
      </c>
      <c r="D2202">
        <v>25</v>
      </c>
      <c r="E2202" s="2" t="s">
        <v>24</v>
      </c>
      <c r="F2202" s="2" t="s">
        <v>13</v>
      </c>
      <c r="G2202">
        <v>32440</v>
      </c>
      <c r="H2202" s="1">
        <v>44983</v>
      </c>
      <c r="I2202">
        <v>1</v>
      </c>
      <c r="J2202">
        <v>2</v>
      </c>
      <c r="K2202">
        <v>3244</v>
      </c>
      <c r="L2202">
        <v>1622</v>
      </c>
      <c r="M2202">
        <v>34062</v>
      </c>
      <c r="N2202">
        <v>0</v>
      </c>
      <c r="O2202">
        <v>35684</v>
      </c>
    </row>
    <row r="2203" spans="1:15" x14ac:dyDescent="0.35">
      <c r="A2203">
        <v>2202</v>
      </c>
      <c r="B2203" s="2" t="s">
        <v>26</v>
      </c>
      <c r="C2203" s="2" t="s">
        <v>15</v>
      </c>
      <c r="D2203">
        <v>52</v>
      </c>
      <c r="E2203" s="2" t="s">
        <v>12</v>
      </c>
      <c r="F2203" s="2" t="s">
        <v>25</v>
      </c>
      <c r="G2203">
        <v>87217</v>
      </c>
      <c r="H2203" s="1">
        <v>45485</v>
      </c>
      <c r="I2203">
        <v>2</v>
      </c>
      <c r="J2203">
        <v>2</v>
      </c>
      <c r="K2203">
        <v>8722</v>
      </c>
      <c r="L2203">
        <v>4361</v>
      </c>
      <c r="M2203">
        <v>91578</v>
      </c>
      <c r="N2203">
        <v>0</v>
      </c>
      <c r="O2203">
        <v>95939</v>
      </c>
    </row>
    <row r="2204" spans="1:15" x14ac:dyDescent="0.35">
      <c r="A2204">
        <v>2203</v>
      </c>
      <c r="B2204" s="2" t="s">
        <v>27</v>
      </c>
      <c r="C2204" s="2" t="s">
        <v>11</v>
      </c>
      <c r="D2204">
        <v>59</v>
      </c>
      <c r="E2204" s="2" t="s">
        <v>12</v>
      </c>
      <c r="F2204" s="2" t="s">
        <v>21</v>
      </c>
      <c r="G2204">
        <v>39967</v>
      </c>
      <c r="H2204" s="1">
        <v>44768</v>
      </c>
      <c r="I2204">
        <v>11</v>
      </c>
      <c r="J2204">
        <v>1</v>
      </c>
      <c r="K2204">
        <v>3997</v>
      </c>
      <c r="L2204">
        <v>1998</v>
      </c>
      <c r="M2204">
        <v>41966</v>
      </c>
      <c r="N2204">
        <v>1998</v>
      </c>
      <c r="O2204">
        <v>45962</v>
      </c>
    </row>
    <row r="2205" spans="1:15" x14ac:dyDescent="0.35">
      <c r="A2205">
        <v>2204</v>
      </c>
      <c r="B2205" s="2" t="s">
        <v>23</v>
      </c>
      <c r="C2205" s="2" t="s">
        <v>11</v>
      </c>
      <c r="D2205">
        <v>43</v>
      </c>
      <c r="E2205" s="2" t="s">
        <v>12</v>
      </c>
      <c r="F2205" s="2" t="s">
        <v>19</v>
      </c>
      <c r="G2205">
        <v>66800</v>
      </c>
      <c r="H2205" s="1">
        <v>45304</v>
      </c>
      <c r="I2205">
        <v>19</v>
      </c>
      <c r="J2205">
        <v>5</v>
      </c>
      <c r="K2205">
        <v>6680</v>
      </c>
      <c r="L2205">
        <v>3340</v>
      </c>
      <c r="M2205">
        <v>70140</v>
      </c>
      <c r="N2205">
        <v>3340</v>
      </c>
      <c r="O2205">
        <v>76820</v>
      </c>
    </row>
    <row r="2206" spans="1:15" x14ac:dyDescent="0.35">
      <c r="A2206">
        <v>2205</v>
      </c>
      <c r="B2206" s="2" t="s">
        <v>23</v>
      </c>
      <c r="C2206" s="2" t="s">
        <v>15</v>
      </c>
      <c r="D2206">
        <v>52</v>
      </c>
      <c r="E2206" s="2" t="s">
        <v>28</v>
      </c>
      <c r="F2206" s="2" t="s">
        <v>13</v>
      </c>
      <c r="G2206">
        <v>29010</v>
      </c>
      <c r="H2206" s="1">
        <v>44754</v>
      </c>
      <c r="I2206">
        <v>16</v>
      </c>
      <c r="J2206">
        <v>1</v>
      </c>
      <c r="K2206">
        <v>2901</v>
      </c>
      <c r="L2206">
        <v>1450</v>
      </c>
      <c r="M2206">
        <v>30461</v>
      </c>
      <c r="N2206">
        <v>1450</v>
      </c>
      <c r="O2206">
        <v>33361</v>
      </c>
    </row>
    <row r="2207" spans="1:15" x14ac:dyDescent="0.35">
      <c r="A2207">
        <v>2206</v>
      </c>
      <c r="B2207" s="2" t="s">
        <v>20</v>
      </c>
      <c r="C2207" s="2" t="s">
        <v>15</v>
      </c>
      <c r="D2207">
        <v>22</v>
      </c>
      <c r="E2207" s="2" t="s">
        <v>12</v>
      </c>
      <c r="F2207" s="2" t="s">
        <v>21</v>
      </c>
      <c r="G2207">
        <v>22106</v>
      </c>
      <c r="H2207" s="1">
        <v>45061</v>
      </c>
      <c r="I2207">
        <v>9</v>
      </c>
      <c r="J2207">
        <v>2</v>
      </c>
      <c r="K2207">
        <v>2211</v>
      </c>
      <c r="L2207">
        <v>1105</v>
      </c>
      <c r="M2207">
        <v>23212</v>
      </c>
      <c r="N2207">
        <v>1105</v>
      </c>
      <c r="O2207">
        <v>25422</v>
      </c>
    </row>
    <row r="2208" spans="1:15" x14ac:dyDescent="0.35">
      <c r="A2208">
        <v>2207</v>
      </c>
      <c r="B2208" s="2" t="s">
        <v>30</v>
      </c>
      <c r="C2208" s="2" t="s">
        <v>15</v>
      </c>
      <c r="D2208">
        <v>30</v>
      </c>
      <c r="E2208" s="2" t="s">
        <v>29</v>
      </c>
      <c r="F2208" s="2" t="s">
        <v>13</v>
      </c>
      <c r="G2208">
        <v>47948</v>
      </c>
      <c r="H2208" s="1">
        <v>45343</v>
      </c>
      <c r="I2208">
        <v>17</v>
      </c>
      <c r="J2208">
        <v>3</v>
      </c>
      <c r="K2208">
        <v>4795</v>
      </c>
      <c r="L2208">
        <v>2397</v>
      </c>
      <c r="M2208">
        <v>50346</v>
      </c>
      <c r="N2208">
        <v>2397</v>
      </c>
      <c r="O2208">
        <v>55140</v>
      </c>
    </row>
    <row r="2209" spans="1:15" x14ac:dyDescent="0.35">
      <c r="A2209">
        <v>2208</v>
      </c>
      <c r="B2209" s="2" t="s">
        <v>23</v>
      </c>
      <c r="C2209" s="2" t="s">
        <v>15</v>
      </c>
      <c r="D2209">
        <v>60</v>
      </c>
      <c r="E2209" s="2" t="s">
        <v>29</v>
      </c>
      <c r="F2209" s="2" t="s">
        <v>13</v>
      </c>
      <c r="G2209">
        <v>59166</v>
      </c>
      <c r="H2209" s="1">
        <v>45050</v>
      </c>
      <c r="I2209">
        <v>3</v>
      </c>
      <c r="J2209">
        <v>2</v>
      </c>
      <c r="K2209">
        <v>5917</v>
      </c>
      <c r="L2209">
        <v>2958</v>
      </c>
      <c r="M2209">
        <v>62125</v>
      </c>
      <c r="N2209">
        <v>0</v>
      </c>
      <c r="O2209">
        <v>65083</v>
      </c>
    </row>
    <row r="2210" spans="1:15" x14ac:dyDescent="0.35">
      <c r="A2210">
        <v>2209</v>
      </c>
      <c r="B2210" s="2" t="s">
        <v>20</v>
      </c>
      <c r="C2210" s="2" t="s">
        <v>11</v>
      </c>
      <c r="D2210">
        <v>24</v>
      </c>
      <c r="E2210" s="2" t="s">
        <v>28</v>
      </c>
      <c r="F2210" s="2" t="s">
        <v>21</v>
      </c>
      <c r="G2210">
        <v>63317</v>
      </c>
      <c r="H2210" s="1">
        <v>45491</v>
      </c>
      <c r="I2210">
        <v>15</v>
      </c>
      <c r="J2210">
        <v>2</v>
      </c>
      <c r="K2210">
        <v>6332</v>
      </c>
      <c r="L2210">
        <v>3166</v>
      </c>
      <c r="M2210">
        <v>66483</v>
      </c>
      <c r="N2210">
        <v>3166</v>
      </c>
      <c r="O2210">
        <v>72815</v>
      </c>
    </row>
    <row r="2211" spans="1:15" x14ac:dyDescent="0.35">
      <c r="A2211">
        <v>2210</v>
      </c>
      <c r="B2211" s="2" t="s">
        <v>20</v>
      </c>
      <c r="C2211" s="2" t="s">
        <v>11</v>
      </c>
      <c r="D2211">
        <v>34</v>
      </c>
      <c r="E2211" s="2" t="s">
        <v>16</v>
      </c>
      <c r="F2211" s="2" t="s">
        <v>25</v>
      </c>
      <c r="G2211">
        <v>94553</v>
      </c>
      <c r="H2211" s="1">
        <v>45298</v>
      </c>
      <c r="I2211">
        <v>19</v>
      </c>
      <c r="J2211">
        <v>1</v>
      </c>
      <c r="K2211">
        <v>9455</v>
      </c>
      <c r="L2211">
        <v>4728</v>
      </c>
      <c r="M2211">
        <v>99280</v>
      </c>
      <c r="N2211">
        <v>4728</v>
      </c>
      <c r="O2211">
        <v>108736</v>
      </c>
    </row>
    <row r="2212" spans="1:15" x14ac:dyDescent="0.35">
      <c r="A2212">
        <v>2211</v>
      </c>
      <c r="B2212" s="2" t="s">
        <v>27</v>
      </c>
      <c r="C2212" s="2" t="s">
        <v>15</v>
      </c>
      <c r="D2212">
        <v>53</v>
      </c>
      <c r="E2212" s="2" t="s">
        <v>12</v>
      </c>
      <c r="F2212" s="2" t="s">
        <v>13</v>
      </c>
      <c r="G2212">
        <v>84913</v>
      </c>
      <c r="H2212" s="1">
        <v>45136</v>
      </c>
      <c r="I2212">
        <v>11</v>
      </c>
      <c r="J2212">
        <v>2</v>
      </c>
      <c r="K2212">
        <v>8491</v>
      </c>
      <c r="L2212">
        <v>4246</v>
      </c>
      <c r="M2212">
        <v>89158</v>
      </c>
      <c r="N2212">
        <v>4246</v>
      </c>
      <c r="O2212">
        <v>97650</v>
      </c>
    </row>
    <row r="2213" spans="1:15" x14ac:dyDescent="0.35">
      <c r="A2213">
        <v>2212</v>
      </c>
      <c r="B2213" s="2" t="s">
        <v>22</v>
      </c>
      <c r="C2213" s="2" t="s">
        <v>15</v>
      </c>
      <c r="D2213">
        <v>50</v>
      </c>
      <c r="E2213" s="2" t="s">
        <v>12</v>
      </c>
      <c r="F2213" s="2" t="s">
        <v>19</v>
      </c>
      <c r="G2213">
        <v>52607</v>
      </c>
      <c r="H2213" s="1">
        <v>45506</v>
      </c>
      <c r="I2213">
        <v>1</v>
      </c>
      <c r="J2213">
        <v>2</v>
      </c>
      <c r="K2213">
        <v>5261</v>
      </c>
      <c r="L2213">
        <v>2630</v>
      </c>
      <c r="M2213">
        <v>55238</v>
      </c>
      <c r="N2213">
        <v>0</v>
      </c>
      <c r="O2213">
        <v>57868</v>
      </c>
    </row>
    <row r="2214" spans="1:15" x14ac:dyDescent="0.35">
      <c r="A2214">
        <v>2213</v>
      </c>
      <c r="B2214" s="2" t="s">
        <v>26</v>
      </c>
      <c r="C2214" s="2" t="s">
        <v>11</v>
      </c>
      <c r="D2214">
        <v>40</v>
      </c>
      <c r="E2214" s="2" t="s">
        <v>12</v>
      </c>
      <c r="F2214" s="2" t="s">
        <v>19</v>
      </c>
      <c r="G2214">
        <v>60744</v>
      </c>
      <c r="H2214" s="1">
        <v>45070</v>
      </c>
      <c r="I2214">
        <v>1</v>
      </c>
      <c r="J2214">
        <v>3</v>
      </c>
      <c r="K2214">
        <v>6074</v>
      </c>
      <c r="L2214">
        <v>3037</v>
      </c>
      <c r="M2214">
        <v>63781</v>
      </c>
      <c r="N2214">
        <v>0</v>
      </c>
      <c r="O2214">
        <v>66818</v>
      </c>
    </row>
    <row r="2215" spans="1:15" x14ac:dyDescent="0.35">
      <c r="A2215">
        <v>2214</v>
      </c>
      <c r="B2215" s="2" t="s">
        <v>14</v>
      </c>
      <c r="C2215" s="2" t="s">
        <v>11</v>
      </c>
      <c r="D2215">
        <v>27</v>
      </c>
      <c r="E2215" s="2" t="s">
        <v>24</v>
      </c>
      <c r="F2215" s="2" t="s">
        <v>21</v>
      </c>
      <c r="G2215">
        <v>93590</v>
      </c>
      <c r="H2215" s="1">
        <v>44841</v>
      </c>
      <c r="I2215">
        <v>13</v>
      </c>
      <c r="J2215">
        <v>3</v>
      </c>
      <c r="K2215">
        <v>9359</v>
      </c>
      <c r="L2215">
        <v>4680</v>
      </c>
      <c r="M2215">
        <v>98269</v>
      </c>
      <c r="N2215">
        <v>4680</v>
      </c>
      <c r="O2215">
        <v>107629</v>
      </c>
    </row>
    <row r="2216" spans="1:15" x14ac:dyDescent="0.35">
      <c r="A2216">
        <v>2215</v>
      </c>
      <c r="B2216" s="2" t="s">
        <v>14</v>
      </c>
      <c r="C2216" s="2" t="s">
        <v>15</v>
      </c>
      <c r="D2216">
        <v>30</v>
      </c>
      <c r="E2216" s="2" t="s">
        <v>24</v>
      </c>
      <c r="F2216" s="2" t="s">
        <v>19</v>
      </c>
      <c r="G2216">
        <v>62452</v>
      </c>
      <c r="H2216" s="1">
        <v>45050</v>
      </c>
      <c r="I2216">
        <v>5</v>
      </c>
      <c r="J2216">
        <v>4</v>
      </c>
      <c r="K2216">
        <v>6245</v>
      </c>
      <c r="L2216">
        <v>3123</v>
      </c>
      <c r="M2216">
        <v>65574</v>
      </c>
      <c r="N2216">
        <v>0</v>
      </c>
      <c r="O2216">
        <v>68697</v>
      </c>
    </row>
    <row r="2217" spans="1:15" x14ac:dyDescent="0.35">
      <c r="A2217">
        <v>2216</v>
      </c>
      <c r="B2217" s="2" t="s">
        <v>14</v>
      </c>
      <c r="C2217" s="2" t="s">
        <v>11</v>
      </c>
      <c r="D2217">
        <v>42</v>
      </c>
      <c r="E2217" s="2" t="s">
        <v>29</v>
      </c>
      <c r="F2217" s="2" t="s">
        <v>21</v>
      </c>
      <c r="G2217">
        <v>33144</v>
      </c>
      <c r="H2217" s="1">
        <v>45391</v>
      </c>
      <c r="I2217">
        <v>11</v>
      </c>
      <c r="J2217">
        <v>3</v>
      </c>
      <c r="K2217">
        <v>3314</v>
      </c>
      <c r="L2217">
        <v>1657</v>
      </c>
      <c r="M2217">
        <v>34801</v>
      </c>
      <c r="N2217">
        <v>1657</v>
      </c>
      <c r="O2217">
        <v>38115</v>
      </c>
    </row>
    <row r="2218" spans="1:15" x14ac:dyDescent="0.35">
      <c r="A2218">
        <v>2217</v>
      </c>
      <c r="B2218" s="2" t="s">
        <v>30</v>
      </c>
      <c r="C2218" s="2" t="s">
        <v>15</v>
      </c>
      <c r="D2218">
        <v>46</v>
      </c>
      <c r="E2218" s="2" t="s">
        <v>28</v>
      </c>
      <c r="F2218" s="2" t="s">
        <v>17</v>
      </c>
      <c r="G2218">
        <v>62070</v>
      </c>
      <c r="H2218" s="1">
        <v>45347</v>
      </c>
      <c r="I2218">
        <v>4</v>
      </c>
      <c r="J2218">
        <v>2</v>
      </c>
      <c r="K2218">
        <v>6207</v>
      </c>
      <c r="L2218">
        <v>3104</v>
      </c>
      <c r="M2218">
        <v>65173</v>
      </c>
      <c r="N2218">
        <v>0</v>
      </c>
      <c r="O2218">
        <v>68277</v>
      </c>
    </row>
    <row r="2219" spans="1:15" x14ac:dyDescent="0.35">
      <c r="A2219">
        <v>2218</v>
      </c>
      <c r="B2219" s="2" t="s">
        <v>18</v>
      </c>
      <c r="C2219" s="2" t="s">
        <v>11</v>
      </c>
      <c r="D2219">
        <v>29</v>
      </c>
      <c r="E2219" s="2" t="s">
        <v>12</v>
      </c>
      <c r="F2219" s="2" t="s">
        <v>19</v>
      </c>
      <c r="G2219">
        <v>37180</v>
      </c>
      <c r="H2219" s="1">
        <v>44650</v>
      </c>
      <c r="I2219">
        <v>12</v>
      </c>
      <c r="J2219">
        <v>4</v>
      </c>
      <c r="K2219">
        <v>3718</v>
      </c>
      <c r="L2219">
        <v>1859</v>
      </c>
      <c r="M2219">
        <v>39039</v>
      </c>
      <c r="N2219">
        <v>1859</v>
      </c>
      <c r="O2219">
        <v>42757</v>
      </c>
    </row>
    <row r="2220" spans="1:15" x14ac:dyDescent="0.35">
      <c r="A2220">
        <v>2219</v>
      </c>
      <c r="B2220" s="2" t="s">
        <v>10</v>
      </c>
      <c r="C2220" s="2" t="s">
        <v>11</v>
      </c>
      <c r="D2220">
        <v>52</v>
      </c>
      <c r="E2220" s="2" t="s">
        <v>28</v>
      </c>
      <c r="F2220" s="2" t="s">
        <v>19</v>
      </c>
      <c r="G2220">
        <v>68464</v>
      </c>
      <c r="H2220" s="1">
        <v>44619</v>
      </c>
      <c r="I2220">
        <v>14</v>
      </c>
      <c r="J2220">
        <v>1</v>
      </c>
      <c r="K2220">
        <v>6846</v>
      </c>
      <c r="L2220">
        <v>3423</v>
      </c>
      <c r="M2220">
        <v>71887</v>
      </c>
      <c r="N2220">
        <v>3423</v>
      </c>
      <c r="O2220">
        <v>78733</v>
      </c>
    </row>
    <row r="2221" spans="1:15" x14ac:dyDescent="0.35">
      <c r="A2221">
        <v>2220</v>
      </c>
      <c r="B2221" s="2" t="s">
        <v>20</v>
      </c>
      <c r="C2221" s="2" t="s">
        <v>11</v>
      </c>
      <c r="D2221">
        <v>38</v>
      </c>
      <c r="E2221" s="2" t="s">
        <v>28</v>
      </c>
      <c r="F2221" s="2" t="s">
        <v>13</v>
      </c>
      <c r="G2221">
        <v>56519</v>
      </c>
      <c r="H2221" s="1">
        <v>44848</v>
      </c>
      <c r="I2221">
        <v>8</v>
      </c>
      <c r="J2221">
        <v>1</v>
      </c>
      <c r="K2221">
        <v>5652</v>
      </c>
      <c r="L2221">
        <v>2826</v>
      </c>
      <c r="M2221">
        <v>59345</v>
      </c>
      <c r="N2221">
        <v>2826</v>
      </c>
      <c r="O2221">
        <v>64997</v>
      </c>
    </row>
    <row r="2222" spans="1:15" x14ac:dyDescent="0.35">
      <c r="A2222">
        <v>2221</v>
      </c>
      <c r="B2222" s="2" t="s">
        <v>31</v>
      </c>
      <c r="C2222" s="2" t="s">
        <v>11</v>
      </c>
      <c r="D2222">
        <v>33</v>
      </c>
      <c r="E2222" s="2" t="s">
        <v>24</v>
      </c>
      <c r="F2222" s="2" t="s">
        <v>19</v>
      </c>
      <c r="G2222">
        <v>81560</v>
      </c>
      <c r="H2222" s="1">
        <v>45331</v>
      </c>
      <c r="I2222">
        <v>6</v>
      </c>
      <c r="J2222">
        <v>4</v>
      </c>
      <c r="K2222">
        <v>8156</v>
      </c>
      <c r="L2222">
        <v>4078</v>
      </c>
      <c r="M2222">
        <v>85638</v>
      </c>
      <c r="N2222">
        <v>4078</v>
      </c>
      <c r="O2222">
        <v>93794</v>
      </c>
    </row>
    <row r="2223" spans="1:15" x14ac:dyDescent="0.35">
      <c r="A2223">
        <v>2222</v>
      </c>
      <c r="B2223" s="2" t="s">
        <v>31</v>
      </c>
      <c r="C2223" s="2" t="s">
        <v>11</v>
      </c>
      <c r="D2223">
        <v>34</v>
      </c>
      <c r="E2223" s="2" t="s">
        <v>12</v>
      </c>
      <c r="F2223" s="2" t="s">
        <v>13</v>
      </c>
      <c r="G2223">
        <v>49153</v>
      </c>
      <c r="H2223" s="1">
        <v>45553</v>
      </c>
      <c r="I2223">
        <v>13</v>
      </c>
      <c r="J2223">
        <v>1</v>
      </c>
      <c r="K2223">
        <v>4915</v>
      </c>
      <c r="L2223">
        <v>2458</v>
      </c>
      <c r="M2223">
        <v>51610</v>
      </c>
      <c r="N2223">
        <v>2458</v>
      </c>
      <c r="O2223">
        <v>56526</v>
      </c>
    </row>
    <row r="2224" spans="1:15" x14ac:dyDescent="0.35">
      <c r="A2224">
        <v>2223</v>
      </c>
      <c r="B2224" s="2" t="s">
        <v>18</v>
      </c>
      <c r="C2224" s="2" t="s">
        <v>11</v>
      </c>
      <c r="D2224">
        <v>58</v>
      </c>
      <c r="E2224" s="2" t="s">
        <v>12</v>
      </c>
      <c r="F2224" s="2" t="s">
        <v>19</v>
      </c>
      <c r="G2224">
        <v>26730</v>
      </c>
      <c r="H2224" s="1">
        <v>44613</v>
      </c>
      <c r="I2224">
        <v>6</v>
      </c>
      <c r="J2224">
        <v>1</v>
      </c>
      <c r="K2224">
        <v>2673</v>
      </c>
      <c r="L2224">
        <v>1336</v>
      </c>
      <c r="M2224">
        <v>28067</v>
      </c>
      <c r="N2224">
        <v>1336</v>
      </c>
      <c r="O2224">
        <v>30739</v>
      </c>
    </row>
    <row r="2225" spans="1:15" x14ac:dyDescent="0.35">
      <c r="A2225">
        <v>2224</v>
      </c>
      <c r="B2225" s="2" t="s">
        <v>31</v>
      </c>
      <c r="C2225" s="2" t="s">
        <v>11</v>
      </c>
      <c r="D2225">
        <v>38</v>
      </c>
      <c r="E2225" s="2" t="s">
        <v>12</v>
      </c>
      <c r="F2225" s="2" t="s">
        <v>25</v>
      </c>
      <c r="G2225">
        <v>72060</v>
      </c>
      <c r="H2225" s="1">
        <v>44652</v>
      </c>
      <c r="I2225">
        <v>14</v>
      </c>
      <c r="J2225">
        <v>3</v>
      </c>
      <c r="K2225">
        <v>7206</v>
      </c>
      <c r="L2225">
        <v>3603</v>
      </c>
      <c r="M2225">
        <v>75663</v>
      </c>
      <c r="N2225">
        <v>3603</v>
      </c>
      <c r="O2225">
        <v>82869</v>
      </c>
    </row>
    <row r="2226" spans="1:15" x14ac:dyDescent="0.35">
      <c r="A2226">
        <v>2225</v>
      </c>
      <c r="B2226" s="2" t="s">
        <v>30</v>
      </c>
      <c r="C2226" s="2" t="s">
        <v>15</v>
      </c>
      <c r="D2226">
        <v>38</v>
      </c>
      <c r="E2226" s="2" t="s">
        <v>24</v>
      </c>
      <c r="F2226" s="2" t="s">
        <v>19</v>
      </c>
      <c r="G2226">
        <v>72524</v>
      </c>
      <c r="H2226" s="1">
        <v>45304</v>
      </c>
      <c r="I2226">
        <v>17</v>
      </c>
      <c r="J2226">
        <v>2</v>
      </c>
      <c r="K2226">
        <v>7252</v>
      </c>
      <c r="L2226">
        <v>3626</v>
      </c>
      <c r="M2226">
        <v>76150</v>
      </c>
      <c r="N2226">
        <v>3626</v>
      </c>
      <c r="O2226">
        <v>83402</v>
      </c>
    </row>
    <row r="2227" spans="1:15" x14ac:dyDescent="0.35">
      <c r="A2227">
        <v>2226</v>
      </c>
      <c r="B2227" s="2" t="s">
        <v>26</v>
      </c>
      <c r="C2227" s="2" t="s">
        <v>11</v>
      </c>
      <c r="D2227">
        <v>27</v>
      </c>
      <c r="E2227" s="2" t="s">
        <v>28</v>
      </c>
      <c r="F2227" s="2" t="s">
        <v>19</v>
      </c>
      <c r="G2227">
        <v>74253</v>
      </c>
      <c r="H2227" s="1">
        <v>44611</v>
      </c>
      <c r="I2227">
        <v>12</v>
      </c>
      <c r="J2227">
        <v>2</v>
      </c>
      <c r="K2227">
        <v>7425</v>
      </c>
      <c r="L2227">
        <v>3713</v>
      </c>
      <c r="M2227">
        <v>77965</v>
      </c>
      <c r="N2227">
        <v>3713</v>
      </c>
      <c r="O2227">
        <v>85391</v>
      </c>
    </row>
    <row r="2228" spans="1:15" x14ac:dyDescent="0.35">
      <c r="A2228">
        <v>2227</v>
      </c>
      <c r="B2228" s="2" t="s">
        <v>30</v>
      </c>
      <c r="C2228" s="2" t="s">
        <v>11</v>
      </c>
      <c r="D2228">
        <v>39</v>
      </c>
      <c r="E2228" s="2" t="s">
        <v>28</v>
      </c>
      <c r="F2228" s="2" t="s">
        <v>17</v>
      </c>
      <c r="G2228">
        <v>85688</v>
      </c>
      <c r="H2228" s="1">
        <v>45468</v>
      </c>
      <c r="I2228">
        <v>15</v>
      </c>
      <c r="J2228">
        <v>2</v>
      </c>
      <c r="K2228">
        <v>8569</v>
      </c>
      <c r="L2228">
        <v>4284</v>
      </c>
      <c r="M2228">
        <v>89973</v>
      </c>
      <c r="N2228">
        <v>4284</v>
      </c>
      <c r="O2228">
        <v>98541</v>
      </c>
    </row>
    <row r="2229" spans="1:15" x14ac:dyDescent="0.35">
      <c r="A2229">
        <v>2228</v>
      </c>
      <c r="B2229" s="2" t="s">
        <v>10</v>
      </c>
      <c r="C2229" s="2" t="s">
        <v>11</v>
      </c>
      <c r="D2229">
        <v>21</v>
      </c>
      <c r="E2229" s="2" t="s">
        <v>24</v>
      </c>
      <c r="F2229" s="2" t="s">
        <v>17</v>
      </c>
      <c r="G2229">
        <v>55357</v>
      </c>
      <c r="H2229" s="1">
        <v>44785</v>
      </c>
      <c r="I2229">
        <v>15</v>
      </c>
      <c r="J2229">
        <v>2</v>
      </c>
      <c r="K2229">
        <v>5536</v>
      </c>
      <c r="L2229">
        <v>2768</v>
      </c>
      <c r="M2229">
        <v>58125</v>
      </c>
      <c r="N2229">
        <v>2768</v>
      </c>
      <c r="O2229">
        <v>63661</v>
      </c>
    </row>
    <row r="2230" spans="1:15" x14ac:dyDescent="0.35">
      <c r="A2230">
        <v>2229</v>
      </c>
      <c r="B2230" s="2" t="s">
        <v>14</v>
      </c>
      <c r="C2230" s="2" t="s">
        <v>11</v>
      </c>
      <c r="D2230">
        <v>52</v>
      </c>
      <c r="E2230" s="2" t="s">
        <v>29</v>
      </c>
      <c r="F2230" s="2" t="s">
        <v>25</v>
      </c>
      <c r="G2230">
        <v>49520</v>
      </c>
      <c r="H2230" s="1">
        <v>45064</v>
      </c>
      <c r="I2230">
        <v>7</v>
      </c>
      <c r="J2230">
        <v>4</v>
      </c>
      <c r="K2230">
        <v>4952</v>
      </c>
      <c r="L2230">
        <v>2476</v>
      </c>
      <c r="M2230">
        <v>51996</v>
      </c>
      <c r="N2230">
        <v>2476</v>
      </c>
      <c r="O2230">
        <v>56948</v>
      </c>
    </row>
    <row r="2231" spans="1:15" x14ac:dyDescent="0.35">
      <c r="A2231">
        <v>2230</v>
      </c>
      <c r="B2231" s="2" t="s">
        <v>20</v>
      </c>
      <c r="C2231" s="2" t="s">
        <v>11</v>
      </c>
      <c r="D2231">
        <v>42</v>
      </c>
      <c r="E2231" s="2" t="s">
        <v>29</v>
      </c>
      <c r="F2231" s="2" t="s">
        <v>21</v>
      </c>
      <c r="G2231">
        <v>71910</v>
      </c>
      <c r="H2231" s="1">
        <v>44632</v>
      </c>
      <c r="I2231">
        <v>17</v>
      </c>
      <c r="J2231">
        <v>3</v>
      </c>
      <c r="K2231">
        <v>7191</v>
      </c>
      <c r="L2231">
        <v>3596</v>
      </c>
      <c r="M2231">
        <v>75505</v>
      </c>
      <c r="N2231">
        <v>3596</v>
      </c>
      <c r="O2231">
        <v>82697</v>
      </c>
    </row>
    <row r="2232" spans="1:15" x14ac:dyDescent="0.35">
      <c r="A2232">
        <v>2231</v>
      </c>
      <c r="B2232" s="2" t="s">
        <v>20</v>
      </c>
      <c r="C2232" s="2" t="s">
        <v>15</v>
      </c>
      <c r="D2232">
        <v>51</v>
      </c>
      <c r="E2232" s="2" t="s">
        <v>28</v>
      </c>
      <c r="F2232" s="2" t="s">
        <v>19</v>
      </c>
      <c r="G2232">
        <v>80036</v>
      </c>
      <c r="H2232" s="1">
        <v>45452</v>
      </c>
      <c r="I2232">
        <v>4</v>
      </c>
      <c r="J2232">
        <v>5</v>
      </c>
      <c r="K2232">
        <v>8004</v>
      </c>
      <c r="L2232">
        <v>4002</v>
      </c>
      <c r="M2232">
        <v>84038</v>
      </c>
      <c r="N2232">
        <v>0</v>
      </c>
      <c r="O2232">
        <v>88040</v>
      </c>
    </row>
    <row r="2233" spans="1:15" x14ac:dyDescent="0.35">
      <c r="A2233">
        <v>2232</v>
      </c>
      <c r="B2233" s="2" t="s">
        <v>31</v>
      </c>
      <c r="C2233" s="2" t="s">
        <v>15</v>
      </c>
      <c r="D2233">
        <v>36</v>
      </c>
      <c r="E2233" s="2" t="s">
        <v>12</v>
      </c>
      <c r="F2233" s="2" t="s">
        <v>19</v>
      </c>
      <c r="G2233">
        <v>27621</v>
      </c>
      <c r="H2233" s="1">
        <v>44932</v>
      </c>
      <c r="I2233">
        <v>15</v>
      </c>
      <c r="J2233">
        <v>5</v>
      </c>
      <c r="K2233">
        <v>2762</v>
      </c>
      <c r="L2233">
        <v>1381</v>
      </c>
      <c r="M2233">
        <v>29002</v>
      </c>
      <c r="N2233">
        <v>1381</v>
      </c>
      <c r="O2233">
        <v>31764</v>
      </c>
    </row>
    <row r="2234" spans="1:15" x14ac:dyDescent="0.35">
      <c r="A2234">
        <v>2233</v>
      </c>
      <c r="B2234" s="2" t="s">
        <v>14</v>
      </c>
      <c r="C2234" s="2" t="s">
        <v>15</v>
      </c>
      <c r="D2234">
        <v>29</v>
      </c>
      <c r="E2234" s="2" t="s">
        <v>28</v>
      </c>
      <c r="F2234" s="2" t="s">
        <v>21</v>
      </c>
      <c r="G2234">
        <v>81616</v>
      </c>
      <c r="H2234" s="1">
        <v>45367</v>
      </c>
      <c r="I2234">
        <v>16</v>
      </c>
      <c r="J2234">
        <v>2</v>
      </c>
      <c r="K2234">
        <v>8162</v>
      </c>
      <c r="L2234">
        <v>4081</v>
      </c>
      <c r="M2234">
        <v>85697</v>
      </c>
      <c r="N2234">
        <v>4081</v>
      </c>
      <c r="O2234">
        <v>93859</v>
      </c>
    </row>
    <row r="2235" spans="1:15" x14ac:dyDescent="0.35">
      <c r="A2235">
        <v>2234</v>
      </c>
      <c r="B2235" s="2" t="s">
        <v>10</v>
      </c>
      <c r="C2235" s="2" t="s">
        <v>15</v>
      </c>
      <c r="D2235">
        <v>41</v>
      </c>
      <c r="E2235" s="2" t="s">
        <v>12</v>
      </c>
      <c r="F2235" s="2" t="s">
        <v>19</v>
      </c>
      <c r="G2235">
        <v>53577</v>
      </c>
      <c r="H2235" s="1">
        <v>44981</v>
      </c>
      <c r="I2235">
        <v>3</v>
      </c>
      <c r="J2235">
        <v>1</v>
      </c>
      <c r="K2235">
        <v>5358</v>
      </c>
      <c r="L2235">
        <v>2679</v>
      </c>
      <c r="M2235">
        <v>56256</v>
      </c>
      <c r="N2235">
        <v>0</v>
      </c>
      <c r="O2235">
        <v>58935</v>
      </c>
    </row>
    <row r="2236" spans="1:15" x14ac:dyDescent="0.35">
      <c r="A2236">
        <v>2235</v>
      </c>
      <c r="B2236" s="2" t="s">
        <v>23</v>
      </c>
      <c r="C2236" s="2" t="s">
        <v>11</v>
      </c>
      <c r="D2236">
        <v>40</v>
      </c>
      <c r="E2236" s="2" t="s">
        <v>28</v>
      </c>
      <c r="F2236" s="2" t="s">
        <v>17</v>
      </c>
      <c r="G2236">
        <v>52460</v>
      </c>
      <c r="H2236" s="1">
        <v>44985</v>
      </c>
      <c r="I2236">
        <v>2</v>
      </c>
      <c r="J2236">
        <v>2</v>
      </c>
      <c r="K2236">
        <v>5246</v>
      </c>
      <c r="L2236">
        <v>2623</v>
      </c>
      <c r="M2236">
        <v>55083</v>
      </c>
      <c r="N2236">
        <v>0</v>
      </c>
      <c r="O2236">
        <v>57706</v>
      </c>
    </row>
    <row r="2237" spans="1:15" x14ac:dyDescent="0.35">
      <c r="A2237">
        <v>2236</v>
      </c>
      <c r="B2237" s="2" t="s">
        <v>23</v>
      </c>
      <c r="C2237" s="2" t="s">
        <v>15</v>
      </c>
      <c r="D2237">
        <v>48</v>
      </c>
      <c r="E2237" s="2" t="s">
        <v>16</v>
      </c>
      <c r="F2237" s="2" t="s">
        <v>17</v>
      </c>
      <c r="G2237">
        <v>78987</v>
      </c>
      <c r="H2237" s="1">
        <v>45357</v>
      </c>
      <c r="I2237">
        <v>3</v>
      </c>
      <c r="J2237">
        <v>5</v>
      </c>
      <c r="K2237">
        <v>7899</v>
      </c>
      <c r="L2237">
        <v>3949</v>
      </c>
      <c r="M2237">
        <v>82937</v>
      </c>
      <c r="N2237">
        <v>0</v>
      </c>
      <c r="O2237">
        <v>86886</v>
      </c>
    </row>
    <row r="2238" spans="1:15" x14ac:dyDescent="0.35">
      <c r="A2238">
        <v>2237</v>
      </c>
      <c r="B2238" s="2" t="s">
        <v>31</v>
      </c>
      <c r="C2238" s="2" t="s">
        <v>11</v>
      </c>
      <c r="D2238">
        <v>25</v>
      </c>
      <c r="E2238" s="2" t="s">
        <v>12</v>
      </c>
      <c r="F2238" s="2" t="s">
        <v>17</v>
      </c>
      <c r="G2238">
        <v>53824</v>
      </c>
      <c r="H2238" s="1">
        <v>44606</v>
      </c>
      <c r="I2238">
        <v>13</v>
      </c>
      <c r="J2238">
        <v>1</v>
      </c>
      <c r="K2238">
        <v>5382</v>
      </c>
      <c r="L2238">
        <v>2691</v>
      </c>
      <c r="M2238">
        <v>56515</v>
      </c>
      <c r="N2238">
        <v>2691</v>
      </c>
      <c r="O2238">
        <v>61897</v>
      </c>
    </row>
    <row r="2239" spans="1:15" x14ac:dyDescent="0.35">
      <c r="A2239">
        <v>2238</v>
      </c>
      <c r="B2239" s="2" t="s">
        <v>23</v>
      </c>
      <c r="C2239" s="2" t="s">
        <v>15</v>
      </c>
      <c r="D2239">
        <v>27</v>
      </c>
      <c r="E2239" s="2" t="s">
        <v>24</v>
      </c>
      <c r="F2239" s="2" t="s">
        <v>17</v>
      </c>
      <c r="G2239">
        <v>31521</v>
      </c>
      <c r="H2239" s="1">
        <v>45313</v>
      </c>
      <c r="I2239">
        <v>3</v>
      </c>
      <c r="J2239">
        <v>5</v>
      </c>
      <c r="K2239">
        <v>3152</v>
      </c>
      <c r="L2239">
        <v>1576</v>
      </c>
      <c r="M2239">
        <v>33097</v>
      </c>
      <c r="N2239">
        <v>0</v>
      </c>
      <c r="O2239">
        <v>34673</v>
      </c>
    </row>
    <row r="2240" spans="1:15" x14ac:dyDescent="0.35">
      <c r="A2240">
        <v>2239</v>
      </c>
      <c r="B2240" s="2" t="s">
        <v>30</v>
      </c>
      <c r="C2240" s="2" t="s">
        <v>11</v>
      </c>
      <c r="D2240">
        <v>52</v>
      </c>
      <c r="E2240" s="2" t="s">
        <v>29</v>
      </c>
      <c r="F2240" s="2" t="s">
        <v>25</v>
      </c>
      <c r="G2240">
        <v>41177</v>
      </c>
      <c r="H2240" s="1">
        <v>45129</v>
      </c>
      <c r="I2240">
        <v>18</v>
      </c>
      <c r="J2240">
        <v>4</v>
      </c>
      <c r="K2240">
        <v>4118</v>
      </c>
      <c r="L2240">
        <v>2059</v>
      </c>
      <c r="M2240">
        <v>43236</v>
      </c>
      <c r="N2240">
        <v>2059</v>
      </c>
      <c r="O2240">
        <v>47354</v>
      </c>
    </row>
    <row r="2241" spans="1:15" x14ac:dyDescent="0.35">
      <c r="A2241">
        <v>2240</v>
      </c>
      <c r="B2241" s="2" t="s">
        <v>10</v>
      </c>
      <c r="C2241" s="2" t="s">
        <v>15</v>
      </c>
      <c r="D2241">
        <v>56</v>
      </c>
      <c r="E2241" s="2" t="s">
        <v>24</v>
      </c>
      <c r="F2241" s="2" t="s">
        <v>25</v>
      </c>
      <c r="G2241">
        <v>91418</v>
      </c>
      <c r="H2241" s="1">
        <v>44761</v>
      </c>
      <c r="I2241">
        <v>12</v>
      </c>
      <c r="J2241">
        <v>1</v>
      </c>
      <c r="K2241">
        <v>9142</v>
      </c>
      <c r="L2241">
        <v>4571</v>
      </c>
      <c r="M2241">
        <v>95989</v>
      </c>
      <c r="N2241">
        <v>4571</v>
      </c>
      <c r="O2241">
        <v>105131</v>
      </c>
    </row>
    <row r="2242" spans="1:15" x14ac:dyDescent="0.35">
      <c r="A2242">
        <v>2241</v>
      </c>
      <c r="B2242" s="2" t="s">
        <v>14</v>
      </c>
      <c r="C2242" s="2" t="s">
        <v>11</v>
      </c>
      <c r="D2242">
        <v>24</v>
      </c>
      <c r="E2242" s="2" t="s">
        <v>28</v>
      </c>
      <c r="F2242" s="2" t="s">
        <v>25</v>
      </c>
      <c r="G2242">
        <v>78779</v>
      </c>
      <c r="H2242" s="1">
        <v>44825</v>
      </c>
      <c r="I2242">
        <v>13</v>
      </c>
      <c r="J2242">
        <v>3</v>
      </c>
      <c r="K2242">
        <v>7878</v>
      </c>
      <c r="L2242">
        <v>3939</v>
      </c>
      <c r="M2242">
        <v>82718</v>
      </c>
      <c r="N2242">
        <v>3939</v>
      </c>
      <c r="O2242">
        <v>90596</v>
      </c>
    </row>
    <row r="2243" spans="1:15" x14ac:dyDescent="0.35">
      <c r="A2243">
        <v>2242</v>
      </c>
      <c r="B2243" s="2" t="s">
        <v>22</v>
      </c>
      <c r="C2243" s="2" t="s">
        <v>15</v>
      </c>
      <c r="D2243">
        <v>21</v>
      </c>
      <c r="E2243" s="2" t="s">
        <v>24</v>
      </c>
      <c r="F2243" s="2" t="s">
        <v>21</v>
      </c>
      <c r="G2243">
        <v>47634</v>
      </c>
      <c r="H2243" s="1">
        <v>45166</v>
      </c>
      <c r="I2243">
        <v>11</v>
      </c>
      <c r="J2243">
        <v>3</v>
      </c>
      <c r="K2243">
        <v>4763</v>
      </c>
      <c r="L2243">
        <v>2382</v>
      </c>
      <c r="M2243">
        <v>50015</v>
      </c>
      <c r="N2243">
        <v>2382</v>
      </c>
      <c r="O2243">
        <v>54779</v>
      </c>
    </row>
    <row r="2244" spans="1:15" x14ac:dyDescent="0.35">
      <c r="A2244">
        <v>2243</v>
      </c>
      <c r="B2244" s="2" t="s">
        <v>14</v>
      </c>
      <c r="C2244" s="2" t="s">
        <v>11</v>
      </c>
      <c r="D2244">
        <v>21</v>
      </c>
      <c r="E2244" s="2" t="s">
        <v>12</v>
      </c>
      <c r="F2244" s="2" t="s">
        <v>25</v>
      </c>
      <c r="G2244">
        <v>30794</v>
      </c>
      <c r="H2244" s="1">
        <v>45230</v>
      </c>
      <c r="I2244">
        <v>12</v>
      </c>
      <c r="J2244">
        <v>2</v>
      </c>
      <c r="K2244">
        <v>3079</v>
      </c>
      <c r="L2244">
        <v>1540</v>
      </c>
      <c r="M2244">
        <v>32333</v>
      </c>
      <c r="N2244">
        <v>1540</v>
      </c>
      <c r="O2244">
        <v>35413</v>
      </c>
    </row>
    <row r="2245" spans="1:15" x14ac:dyDescent="0.35">
      <c r="A2245">
        <v>2244</v>
      </c>
      <c r="B2245" s="2" t="s">
        <v>26</v>
      </c>
      <c r="C2245" s="2" t="s">
        <v>15</v>
      </c>
      <c r="D2245">
        <v>59</v>
      </c>
      <c r="E2245" s="2" t="s">
        <v>16</v>
      </c>
      <c r="F2245" s="2" t="s">
        <v>17</v>
      </c>
      <c r="G2245">
        <v>39635</v>
      </c>
      <c r="H2245" s="1">
        <v>45331</v>
      </c>
      <c r="I2245">
        <v>5</v>
      </c>
      <c r="J2245">
        <v>4</v>
      </c>
      <c r="K2245">
        <v>3964</v>
      </c>
      <c r="L2245">
        <v>1982</v>
      </c>
      <c r="M2245">
        <v>41617</v>
      </c>
      <c r="N2245">
        <v>0</v>
      </c>
      <c r="O2245">
        <v>43599</v>
      </c>
    </row>
    <row r="2246" spans="1:15" x14ac:dyDescent="0.35">
      <c r="A2246">
        <v>2245</v>
      </c>
      <c r="B2246" s="2" t="s">
        <v>14</v>
      </c>
      <c r="C2246" s="2" t="s">
        <v>15</v>
      </c>
      <c r="D2246">
        <v>29</v>
      </c>
      <c r="E2246" s="2" t="s">
        <v>16</v>
      </c>
      <c r="F2246" s="2" t="s">
        <v>21</v>
      </c>
      <c r="G2246">
        <v>67687</v>
      </c>
      <c r="H2246" s="1">
        <v>45554</v>
      </c>
      <c r="I2246">
        <v>12</v>
      </c>
      <c r="J2246">
        <v>1</v>
      </c>
      <c r="K2246">
        <v>6769</v>
      </c>
      <c r="L2246">
        <v>3384</v>
      </c>
      <c r="M2246">
        <v>71072</v>
      </c>
      <c r="N2246">
        <v>3384</v>
      </c>
      <c r="O2246">
        <v>77840</v>
      </c>
    </row>
    <row r="2247" spans="1:15" x14ac:dyDescent="0.35">
      <c r="A2247">
        <v>2246</v>
      </c>
      <c r="B2247" s="2" t="s">
        <v>31</v>
      </c>
      <c r="C2247" s="2" t="s">
        <v>15</v>
      </c>
      <c r="D2247">
        <v>45</v>
      </c>
      <c r="E2247" s="2" t="s">
        <v>24</v>
      </c>
      <c r="F2247" s="2" t="s">
        <v>17</v>
      </c>
      <c r="G2247">
        <v>57764</v>
      </c>
      <c r="H2247" s="1">
        <v>45112</v>
      </c>
      <c r="I2247">
        <v>13</v>
      </c>
      <c r="J2247">
        <v>2</v>
      </c>
      <c r="K2247">
        <v>5776</v>
      </c>
      <c r="L2247">
        <v>2888</v>
      </c>
      <c r="M2247">
        <v>60652</v>
      </c>
      <c r="N2247">
        <v>2888</v>
      </c>
      <c r="O2247">
        <v>66428</v>
      </c>
    </row>
    <row r="2248" spans="1:15" x14ac:dyDescent="0.35">
      <c r="A2248">
        <v>2247</v>
      </c>
      <c r="B2248" s="2" t="s">
        <v>14</v>
      </c>
      <c r="C2248" s="2" t="s">
        <v>11</v>
      </c>
      <c r="D2248">
        <v>45</v>
      </c>
      <c r="E2248" s="2" t="s">
        <v>16</v>
      </c>
      <c r="F2248" s="2" t="s">
        <v>17</v>
      </c>
      <c r="G2248">
        <v>92670</v>
      </c>
      <c r="H2248" s="1">
        <v>45054</v>
      </c>
      <c r="I2248">
        <v>2</v>
      </c>
      <c r="J2248">
        <v>2</v>
      </c>
      <c r="K2248">
        <v>9267</v>
      </c>
      <c r="L2248">
        <v>4634</v>
      </c>
      <c r="M2248">
        <v>97303</v>
      </c>
      <c r="N2248">
        <v>0</v>
      </c>
      <c r="O2248">
        <v>101937</v>
      </c>
    </row>
    <row r="2249" spans="1:15" x14ac:dyDescent="0.35">
      <c r="A2249">
        <v>2248</v>
      </c>
      <c r="B2249" s="2" t="s">
        <v>23</v>
      </c>
      <c r="C2249" s="2" t="s">
        <v>15</v>
      </c>
      <c r="D2249">
        <v>22</v>
      </c>
      <c r="E2249" s="2" t="s">
        <v>16</v>
      </c>
      <c r="F2249" s="2" t="s">
        <v>13</v>
      </c>
      <c r="G2249">
        <v>25809</v>
      </c>
      <c r="H2249" s="1">
        <v>45435</v>
      </c>
      <c r="I2249">
        <v>19</v>
      </c>
      <c r="J2249">
        <v>4</v>
      </c>
      <c r="K2249">
        <v>2581</v>
      </c>
      <c r="L2249">
        <v>1290</v>
      </c>
      <c r="M2249">
        <v>27100</v>
      </c>
      <c r="N2249">
        <v>1290</v>
      </c>
      <c r="O2249">
        <v>29680</v>
      </c>
    </row>
    <row r="2250" spans="1:15" x14ac:dyDescent="0.35">
      <c r="A2250">
        <v>2249</v>
      </c>
      <c r="B2250" s="2" t="s">
        <v>10</v>
      </c>
      <c r="C2250" s="2" t="s">
        <v>15</v>
      </c>
      <c r="D2250">
        <v>43</v>
      </c>
      <c r="E2250" s="2" t="s">
        <v>29</v>
      </c>
      <c r="F2250" s="2" t="s">
        <v>19</v>
      </c>
      <c r="G2250">
        <v>48440</v>
      </c>
      <c r="H2250" s="1">
        <v>45391</v>
      </c>
      <c r="I2250">
        <v>6</v>
      </c>
      <c r="J2250">
        <v>2</v>
      </c>
      <c r="K2250">
        <v>4844</v>
      </c>
      <c r="L2250">
        <v>2422</v>
      </c>
      <c r="M2250">
        <v>50862</v>
      </c>
      <c r="N2250">
        <v>2422</v>
      </c>
      <c r="O2250">
        <v>55706</v>
      </c>
    </row>
    <row r="2251" spans="1:15" x14ac:dyDescent="0.35">
      <c r="A2251">
        <v>2250</v>
      </c>
      <c r="B2251" s="2" t="s">
        <v>14</v>
      </c>
      <c r="C2251" s="2" t="s">
        <v>11</v>
      </c>
      <c r="D2251">
        <v>23</v>
      </c>
      <c r="E2251" s="2" t="s">
        <v>29</v>
      </c>
      <c r="F2251" s="2" t="s">
        <v>21</v>
      </c>
      <c r="G2251">
        <v>34782</v>
      </c>
      <c r="H2251" s="1">
        <v>44772</v>
      </c>
      <c r="I2251">
        <v>9</v>
      </c>
      <c r="J2251">
        <v>1</v>
      </c>
      <c r="K2251">
        <v>3478</v>
      </c>
      <c r="L2251">
        <v>1739</v>
      </c>
      <c r="M2251">
        <v>36521</v>
      </c>
      <c r="N2251">
        <v>1739</v>
      </c>
      <c r="O2251">
        <v>39999</v>
      </c>
    </row>
    <row r="2252" spans="1:15" x14ac:dyDescent="0.35">
      <c r="A2252">
        <v>2251</v>
      </c>
      <c r="B2252" s="2" t="s">
        <v>31</v>
      </c>
      <c r="C2252" s="2" t="s">
        <v>11</v>
      </c>
      <c r="D2252">
        <v>29</v>
      </c>
      <c r="E2252" s="2" t="s">
        <v>29</v>
      </c>
      <c r="F2252" s="2" t="s">
        <v>13</v>
      </c>
      <c r="G2252">
        <v>23160</v>
      </c>
      <c r="H2252" s="1">
        <v>45083</v>
      </c>
      <c r="I2252">
        <v>7</v>
      </c>
      <c r="J2252">
        <v>5</v>
      </c>
      <c r="K2252">
        <v>2316</v>
      </c>
      <c r="L2252">
        <v>1158</v>
      </c>
      <c r="M2252">
        <v>24318</v>
      </c>
      <c r="N2252">
        <v>1158</v>
      </c>
      <c r="O2252">
        <v>26634</v>
      </c>
    </row>
    <row r="2253" spans="1:15" x14ac:dyDescent="0.35">
      <c r="A2253">
        <v>2252</v>
      </c>
      <c r="B2253" s="2" t="s">
        <v>14</v>
      </c>
      <c r="C2253" s="2" t="s">
        <v>11</v>
      </c>
      <c r="D2253">
        <v>32</v>
      </c>
      <c r="E2253" s="2" t="s">
        <v>16</v>
      </c>
      <c r="F2253" s="2" t="s">
        <v>17</v>
      </c>
      <c r="G2253">
        <v>98004</v>
      </c>
      <c r="H2253" s="1">
        <v>45423</v>
      </c>
      <c r="I2253">
        <v>4</v>
      </c>
      <c r="J2253">
        <v>3</v>
      </c>
      <c r="K2253">
        <v>9800</v>
      </c>
      <c r="L2253">
        <v>4900</v>
      </c>
      <c r="M2253">
        <v>102904</v>
      </c>
      <c r="N2253">
        <v>0</v>
      </c>
      <c r="O2253">
        <v>107804</v>
      </c>
    </row>
    <row r="2254" spans="1:15" x14ac:dyDescent="0.35">
      <c r="A2254">
        <v>2253</v>
      </c>
      <c r="B2254" s="2" t="s">
        <v>22</v>
      </c>
      <c r="C2254" s="2" t="s">
        <v>15</v>
      </c>
      <c r="D2254">
        <v>24</v>
      </c>
      <c r="E2254" s="2" t="s">
        <v>16</v>
      </c>
      <c r="F2254" s="2" t="s">
        <v>19</v>
      </c>
      <c r="G2254">
        <v>88295</v>
      </c>
      <c r="H2254" s="1">
        <v>44816</v>
      </c>
      <c r="I2254">
        <v>16</v>
      </c>
      <c r="J2254">
        <v>2</v>
      </c>
      <c r="K2254">
        <v>8830</v>
      </c>
      <c r="L2254">
        <v>4415</v>
      </c>
      <c r="M2254">
        <v>92710</v>
      </c>
      <c r="N2254">
        <v>4415</v>
      </c>
      <c r="O2254">
        <v>101540</v>
      </c>
    </row>
    <row r="2255" spans="1:15" x14ac:dyDescent="0.35">
      <c r="A2255">
        <v>2254</v>
      </c>
      <c r="B2255" s="2" t="s">
        <v>27</v>
      </c>
      <c r="C2255" s="2" t="s">
        <v>11</v>
      </c>
      <c r="D2255">
        <v>28</v>
      </c>
      <c r="E2255" s="2" t="s">
        <v>28</v>
      </c>
      <c r="F2255" s="2" t="s">
        <v>21</v>
      </c>
      <c r="G2255">
        <v>21169</v>
      </c>
      <c r="H2255" s="1">
        <v>45500</v>
      </c>
      <c r="I2255">
        <v>16</v>
      </c>
      <c r="J2255">
        <v>5</v>
      </c>
      <c r="K2255">
        <v>2117</v>
      </c>
      <c r="L2255">
        <v>1058</v>
      </c>
      <c r="M2255">
        <v>22228</v>
      </c>
      <c r="N2255">
        <v>1058</v>
      </c>
      <c r="O2255">
        <v>24344</v>
      </c>
    </row>
    <row r="2256" spans="1:15" x14ac:dyDescent="0.35">
      <c r="A2256">
        <v>2255</v>
      </c>
      <c r="B2256" s="2" t="s">
        <v>27</v>
      </c>
      <c r="C2256" s="2" t="s">
        <v>11</v>
      </c>
      <c r="D2256">
        <v>59</v>
      </c>
      <c r="E2256" s="2" t="s">
        <v>24</v>
      </c>
      <c r="F2256" s="2" t="s">
        <v>17</v>
      </c>
      <c r="G2256">
        <v>85966</v>
      </c>
      <c r="H2256" s="1">
        <v>45502</v>
      </c>
      <c r="I2256">
        <v>5</v>
      </c>
      <c r="J2256">
        <v>5</v>
      </c>
      <c r="K2256">
        <v>8597</v>
      </c>
      <c r="L2256">
        <v>4298</v>
      </c>
      <c r="M2256">
        <v>90265</v>
      </c>
      <c r="N2256">
        <v>0</v>
      </c>
      <c r="O2256">
        <v>94563</v>
      </c>
    </row>
    <row r="2257" spans="1:15" x14ac:dyDescent="0.35">
      <c r="A2257">
        <v>2256</v>
      </c>
      <c r="B2257" s="2" t="s">
        <v>23</v>
      </c>
      <c r="C2257" s="2" t="s">
        <v>11</v>
      </c>
      <c r="D2257">
        <v>38</v>
      </c>
      <c r="E2257" s="2" t="s">
        <v>16</v>
      </c>
      <c r="F2257" s="2" t="s">
        <v>19</v>
      </c>
      <c r="G2257">
        <v>57511</v>
      </c>
      <c r="H2257" s="1">
        <v>44762</v>
      </c>
      <c r="I2257">
        <v>2</v>
      </c>
      <c r="J2257">
        <v>2</v>
      </c>
      <c r="K2257">
        <v>5751</v>
      </c>
      <c r="L2257">
        <v>2876</v>
      </c>
      <c r="M2257">
        <v>60386</v>
      </c>
      <c r="N2257">
        <v>0</v>
      </c>
      <c r="O2257">
        <v>63262</v>
      </c>
    </row>
    <row r="2258" spans="1:15" x14ac:dyDescent="0.35">
      <c r="A2258">
        <v>2257</v>
      </c>
      <c r="B2258" s="2" t="s">
        <v>30</v>
      </c>
      <c r="C2258" s="2" t="s">
        <v>11</v>
      </c>
      <c r="D2258">
        <v>60</v>
      </c>
      <c r="E2258" s="2" t="s">
        <v>16</v>
      </c>
      <c r="F2258" s="2" t="s">
        <v>25</v>
      </c>
      <c r="G2258">
        <v>32522</v>
      </c>
      <c r="H2258" s="1">
        <v>45129</v>
      </c>
      <c r="I2258">
        <v>10</v>
      </c>
      <c r="J2258">
        <v>5</v>
      </c>
      <c r="K2258">
        <v>3252</v>
      </c>
      <c r="L2258">
        <v>1626</v>
      </c>
      <c r="M2258">
        <v>34148</v>
      </c>
      <c r="N2258">
        <v>1626</v>
      </c>
      <c r="O2258">
        <v>37400</v>
      </c>
    </row>
    <row r="2259" spans="1:15" x14ac:dyDescent="0.35">
      <c r="A2259">
        <v>2258</v>
      </c>
      <c r="B2259" s="2" t="s">
        <v>18</v>
      </c>
      <c r="C2259" s="2" t="s">
        <v>11</v>
      </c>
      <c r="D2259">
        <v>49</v>
      </c>
      <c r="E2259" s="2" t="s">
        <v>29</v>
      </c>
      <c r="F2259" s="2" t="s">
        <v>21</v>
      </c>
      <c r="G2259">
        <v>20291</v>
      </c>
      <c r="H2259" s="1">
        <v>44759</v>
      </c>
      <c r="I2259">
        <v>3</v>
      </c>
      <c r="J2259">
        <v>3</v>
      </c>
      <c r="K2259">
        <v>2029</v>
      </c>
      <c r="L2259">
        <v>1015</v>
      </c>
      <c r="M2259">
        <v>21305</v>
      </c>
      <c r="N2259">
        <v>0</v>
      </c>
      <c r="O2259">
        <v>22320</v>
      </c>
    </row>
    <row r="2260" spans="1:15" x14ac:dyDescent="0.35">
      <c r="A2260">
        <v>2259</v>
      </c>
      <c r="B2260" s="2" t="s">
        <v>10</v>
      </c>
      <c r="C2260" s="2" t="s">
        <v>11</v>
      </c>
      <c r="D2260">
        <v>32</v>
      </c>
      <c r="E2260" s="2" t="s">
        <v>24</v>
      </c>
      <c r="F2260" s="2" t="s">
        <v>19</v>
      </c>
      <c r="G2260">
        <v>68489</v>
      </c>
      <c r="H2260" s="1">
        <v>44926</v>
      </c>
      <c r="I2260">
        <v>6</v>
      </c>
      <c r="J2260">
        <v>3</v>
      </c>
      <c r="K2260">
        <v>6849</v>
      </c>
      <c r="L2260">
        <v>3424</v>
      </c>
      <c r="M2260">
        <v>71914</v>
      </c>
      <c r="N2260">
        <v>3424</v>
      </c>
      <c r="O2260">
        <v>78762</v>
      </c>
    </row>
    <row r="2261" spans="1:15" x14ac:dyDescent="0.35">
      <c r="A2261">
        <v>2260</v>
      </c>
      <c r="B2261" s="2" t="s">
        <v>27</v>
      </c>
      <c r="C2261" s="2" t="s">
        <v>15</v>
      </c>
      <c r="D2261">
        <v>47</v>
      </c>
      <c r="E2261" s="2" t="s">
        <v>29</v>
      </c>
      <c r="F2261" s="2" t="s">
        <v>21</v>
      </c>
      <c r="G2261">
        <v>66482</v>
      </c>
      <c r="H2261" s="1">
        <v>45087</v>
      </c>
      <c r="I2261">
        <v>16</v>
      </c>
      <c r="J2261">
        <v>5</v>
      </c>
      <c r="K2261">
        <v>6648</v>
      </c>
      <c r="L2261">
        <v>3324</v>
      </c>
      <c r="M2261">
        <v>69806</v>
      </c>
      <c r="N2261">
        <v>3324</v>
      </c>
      <c r="O2261">
        <v>76454</v>
      </c>
    </row>
    <row r="2262" spans="1:15" x14ac:dyDescent="0.35">
      <c r="A2262">
        <v>2261</v>
      </c>
      <c r="B2262" s="2" t="s">
        <v>23</v>
      </c>
      <c r="C2262" s="2" t="s">
        <v>11</v>
      </c>
      <c r="D2262">
        <v>50</v>
      </c>
      <c r="E2262" s="2" t="s">
        <v>12</v>
      </c>
      <c r="F2262" s="2" t="s">
        <v>25</v>
      </c>
      <c r="G2262">
        <v>38140</v>
      </c>
      <c r="H2262" s="1">
        <v>44584</v>
      </c>
      <c r="I2262">
        <v>8</v>
      </c>
      <c r="J2262">
        <v>5</v>
      </c>
      <c r="K2262">
        <v>3814</v>
      </c>
      <c r="L2262">
        <v>1907</v>
      </c>
      <c r="M2262">
        <v>40047</v>
      </c>
      <c r="N2262">
        <v>1907</v>
      </c>
      <c r="O2262">
        <v>43861</v>
      </c>
    </row>
    <row r="2263" spans="1:15" x14ac:dyDescent="0.35">
      <c r="A2263">
        <v>2262</v>
      </c>
      <c r="B2263" s="2" t="s">
        <v>26</v>
      </c>
      <c r="C2263" s="2" t="s">
        <v>11</v>
      </c>
      <c r="D2263">
        <v>48</v>
      </c>
      <c r="E2263" s="2" t="s">
        <v>28</v>
      </c>
      <c r="F2263" s="2" t="s">
        <v>17</v>
      </c>
      <c r="G2263">
        <v>28842</v>
      </c>
      <c r="H2263" s="1">
        <v>45399</v>
      </c>
      <c r="I2263">
        <v>5</v>
      </c>
      <c r="J2263">
        <v>1</v>
      </c>
      <c r="K2263">
        <v>2884</v>
      </c>
      <c r="L2263">
        <v>1442</v>
      </c>
      <c r="M2263">
        <v>30284</v>
      </c>
      <c r="N2263">
        <v>0</v>
      </c>
      <c r="O2263">
        <v>31726</v>
      </c>
    </row>
    <row r="2264" spans="1:15" x14ac:dyDescent="0.35">
      <c r="A2264">
        <v>2263</v>
      </c>
      <c r="B2264" s="2" t="s">
        <v>27</v>
      </c>
      <c r="C2264" s="2" t="s">
        <v>11</v>
      </c>
      <c r="D2264">
        <v>52</v>
      </c>
      <c r="E2264" s="2" t="s">
        <v>24</v>
      </c>
      <c r="F2264" s="2" t="s">
        <v>21</v>
      </c>
      <c r="G2264">
        <v>56441</v>
      </c>
      <c r="H2264" s="1">
        <v>45453</v>
      </c>
      <c r="I2264">
        <v>8</v>
      </c>
      <c r="J2264">
        <v>2</v>
      </c>
      <c r="K2264">
        <v>5644</v>
      </c>
      <c r="L2264">
        <v>2822</v>
      </c>
      <c r="M2264">
        <v>59263</v>
      </c>
      <c r="N2264">
        <v>2822</v>
      </c>
      <c r="O2264">
        <v>64907</v>
      </c>
    </row>
    <row r="2265" spans="1:15" x14ac:dyDescent="0.35">
      <c r="A2265">
        <v>2264</v>
      </c>
      <c r="B2265" s="2" t="s">
        <v>31</v>
      </c>
      <c r="C2265" s="2" t="s">
        <v>15</v>
      </c>
      <c r="D2265">
        <v>22</v>
      </c>
      <c r="E2265" s="2" t="s">
        <v>16</v>
      </c>
      <c r="F2265" s="2" t="s">
        <v>13</v>
      </c>
      <c r="G2265">
        <v>29795</v>
      </c>
      <c r="H2265" s="1">
        <v>45026</v>
      </c>
      <c r="I2265">
        <v>4</v>
      </c>
      <c r="J2265">
        <v>5</v>
      </c>
      <c r="K2265">
        <v>2980</v>
      </c>
      <c r="L2265">
        <v>1490</v>
      </c>
      <c r="M2265">
        <v>31285</v>
      </c>
      <c r="N2265">
        <v>0</v>
      </c>
      <c r="O2265">
        <v>32775</v>
      </c>
    </row>
    <row r="2266" spans="1:15" x14ac:dyDescent="0.35">
      <c r="A2266">
        <v>2265</v>
      </c>
      <c r="B2266" s="2" t="s">
        <v>31</v>
      </c>
      <c r="C2266" s="2" t="s">
        <v>15</v>
      </c>
      <c r="D2266">
        <v>39</v>
      </c>
      <c r="E2266" s="2" t="s">
        <v>16</v>
      </c>
      <c r="F2266" s="2" t="s">
        <v>19</v>
      </c>
      <c r="G2266">
        <v>59778</v>
      </c>
      <c r="H2266" s="1">
        <v>45263</v>
      </c>
      <c r="I2266">
        <v>7</v>
      </c>
      <c r="J2266">
        <v>1</v>
      </c>
      <c r="K2266">
        <v>5978</v>
      </c>
      <c r="L2266">
        <v>2989</v>
      </c>
      <c r="M2266">
        <v>62767</v>
      </c>
      <c r="N2266">
        <v>2989</v>
      </c>
      <c r="O2266">
        <v>68745</v>
      </c>
    </row>
    <row r="2267" spans="1:15" x14ac:dyDescent="0.35">
      <c r="A2267">
        <v>2266</v>
      </c>
      <c r="B2267" s="2" t="s">
        <v>26</v>
      </c>
      <c r="C2267" s="2" t="s">
        <v>11</v>
      </c>
      <c r="D2267">
        <v>27</v>
      </c>
      <c r="E2267" s="2" t="s">
        <v>16</v>
      </c>
      <c r="F2267" s="2" t="s">
        <v>19</v>
      </c>
      <c r="G2267">
        <v>23685</v>
      </c>
      <c r="H2267" s="1">
        <v>45360</v>
      </c>
      <c r="I2267">
        <v>4</v>
      </c>
      <c r="J2267">
        <v>3</v>
      </c>
      <c r="K2267">
        <v>2368</v>
      </c>
      <c r="L2267">
        <v>1184</v>
      </c>
      <c r="M2267">
        <v>24869</v>
      </c>
      <c r="N2267">
        <v>0</v>
      </c>
      <c r="O2267">
        <v>26053</v>
      </c>
    </row>
    <row r="2268" spans="1:15" x14ac:dyDescent="0.35">
      <c r="A2268">
        <v>2267</v>
      </c>
      <c r="B2268" s="2" t="s">
        <v>23</v>
      </c>
      <c r="C2268" s="2" t="s">
        <v>15</v>
      </c>
      <c r="D2268">
        <v>60</v>
      </c>
      <c r="E2268" s="2" t="s">
        <v>12</v>
      </c>
      <c r="F2268" s="2" t="s">
        <v>21</v>
      </c>
      <c r="G2268">
        <v>40134</v>
      </c>
      <c r="H2268" s="1">
        <v>44927</v>
      </c>
      <c r="I2268">
        <v>16</v>
      </c>
      <c r="J2268">
        <v>2</v>
      </c>
      <c r="K2268">
        <v>4013</v>
      </c>
      <c r="L2268">
        <v>2007</v>
      </c>
      <c r="M2268">
        <v>42140</v>
      </c>
      <c r="N2268">
        <v>2007</v>
      </c>
      <c r="O2268">
        <v>46154</v>
      </c>
    </row>
    <row r="2269" spans="1:15" x14ac:dyDescent="0.35">
      <c r="A2269">
        <v>2268</v>
      </c>
      <c r="B2269" s="2" t="s">
        <v>10</v>
      </c>
      <c r="C2269" s="2" t="s">
        <v>15</v>
      </c>
      <c r="D2269">
        <v>32</v>
      </c>
      <c r="E2269" s="2" t="s">
        <v>24</v>
      </c>
      <c r="F2269" s="2" t="s">
        <v>19</v>
      </c>
      <c r="G2269">
        <v>96128</v>
      </c>
      <c r="H2269" s="1">
        <v>45561</v>
      </c>
      <c r="I2269">
        <v>13</v>
      </c>
      <c r="J2269">
        <v>1</v>
      </c>
      <c r="K2269">
        <v>9613</v>
      </c>
      <c r="L2269">
        <v>4806</v>
      </c>
      <c r="M2269">
        <v>100935</v>
      </c>
      <c r="N2269">
        <v>4806</v>
      </c>
      <c r="O2269">
        <v>110547</v>
      </c>
    </row>
    <row r="2270" spans="1:15" x14ac:dyDescent="0.35">
      <c r="A2270">
        <v>2269</v>
      </c>
      <c r="B2270" s="2" t="s">
        <v>23</v>
      </c>
      <c r="C2270" s="2" t="s">
        <v>15</v>
      </c>
      <c r="D2270">
        <v>36</v>
      </c>
      <c r="E2270" s="2" t="s">
        <v>12</v>
      </c>
      <c r="F2270" s="2" t="s">
        <v>19</v>
      </c>
      <c r="G2270">
        <v>30017</v>
      </c>
      <c r="H2270" s="1">
        <v>45189</v>
      </c>
      <c r="I2270">
        <v>1</v>
      </c>
      <c r="J2270">
        <v>5</v>
      </c>
      <c r="K2270">
        <v>3002</v>
      </c>
      <c r="L2270">
        <v>1501</v>
      </c>
      <c r="M2270">
        <v>31518</v>
      </c>
      <c r="N2270">
        <v>0</v>
      </c>
      <c r="O2270">
        <v>33019</v>
      </c>
    </row>
    <row r="2271" spans="1:15" x14ac:dyDescent="0.35">
      <c r="A2271">
        <v>2270</v>
      </c>
      <c r="B2271" s="2" t="s">
        <v>27</v>
      </c>
      <c r="C2271" s="2" t="s">
        <v>11</v>
      </c>
      <c r="D2271">
        <v>24</v>
      </c>
      <c r="E2271" s="2" t="s">
        <v>16</v>
      </c>
      <c r="F2271" s="2" t="s">
        <v>13</v>
      </c>
      <c r="G2271">
        <v>45721</v>
      </c>
      <c r="H2271" s="1">
        <v>44857</v>
      </c>
      <c r="I2271">
        <v>18</v>
      </c>
      <c r="J2271">
        <v>4</v>
      </c>
      <c r="K2271">
        <v>4572</v>
      </c>
      <c r="L2271">
        <v>2286</v>
      </c>
      <c r="M2271">
        <v>48007</v>
      </c>
      <c r="N2271">
        <v>2286</v>
      </c>
      <c r="O2271">
        <v>52579</v>
      </c>
    </row>
    <row r="2272" spans="1:15" x14ac:dyDescent="0.35">
      <c r="A2272">
        <v>2271</v>
      </c>
      <c r="B2272" s="2" t="s">
        <v>26</v>
      </c>
      <c r="C2272" s="2" t="s">
        <v>11</v>
      </c>
      <c r="D2272">
        <v>51</v>
      </c>
      <c r="E2272" s="2" t="s">
        <v>12</v>
      </c>
      <c r="F2272" s="2" t="s">
        <v>19</v>
      </c>
      <c r="G2272">
        <v>77757</v>
      </c>
      <c r="H2272" s="1">
        <v>45300</v>
      </c>
      <c r="I2272">
        <v>1</v>
      </c>
      <c r="J2272">
        <v>4</v>
      </c>
      <c r="K2272">
        <v>7776</v>
      </c>
      <c r="L2272">
        <v>3888</v>
      </c>
      <c r="M2272">
        <v>81645</v>
      </c>
      <c r="N2272">
        <v>0</v>
      </c>
      <c r="O2272">
        <v>85533</v>
      </c>
    </row>
    <row r="2273" spans="1:15" x14ac:dyDescent="0.35">
      <c r="A2273">
        <v>2272</v>
      </c>
      <c r="B2273" s="2" t="s">
        <v>30</v>
      </c>
      <c r="C2273" s="2" t="s">
        <v>11</v>
      </c>
      <c r="D2273">
        <v>38</v>
      </c>
      <c r="E2273" s="2" t="s">
        <v>24</v>
      </c>
      <c r="F2273" s="2" t="s">
        <v>17</v>
      </c>
      <c r="G2273">
        <v>63880</v>
      </c>
      <c r="H2273" s="1">
        <v>45153</v>
      </c>
      <c r="I2273">
        <v>3</v>
      </c>
      <c r="J2273">
        <v>3</v>
      </c>
      <c r="K2273">
        <v>6388</v>
      </c>
      <c r="L2273">
        <v>3194</v>
      </c>
      <c r="M2273">
        <v>67074</v>
      </c>
      <c r="N2273">
        <v>0</v>
      </c>
      <c r="O2273">
        <v>70268</v>
      </c>
    </row>
    <row r="2274" spans="1:15" x14ac:dyDescent="0.35">
      <c r="A2274">
        <v>2273</v>
      </c>
      <c r="B2274" s="2" t="s">
        <v>18</v>
      </c>
      <c r="C2274" s="2" t="s">
        <v>15</v>
      </c>
      <c r="D2274">
        <v>54</v>
      </c>
      <c r="E2274" s="2" t="s">
        <v>29</v>
      </c>
      <c r="F2274" s="2" t="s">
        <v>25</v>
      </c>
      <c r="G2274">
        <v>64895</v>
      </c>
      <c r="H2274" s="1">
        <v>44746</v>
      </c>
      <c r="I2274">
        <v>4</v>
      </c>
      <c r="J2274">
        <v>1</v>
      </c>
      <c r="K2274">
        <v>6490</v>
      </c>
      <c r="L2274">
        <v>3245</v>
      </c>
      <c r="M2274">
        <v>68140</v>
      </c>
      <c r="N2274">
        <v>0</v>
      </c>
      <c r="O2274">
        <v>71385</v>
      </c>
    </row>
    <row r="2275" spans="1:15" x14ac:dyDescent="0.35">
      <c r="A2275">
        <v>2274</v>
      </c>
      <c r="B2275" s="2" t="s">
        <v>27</v>
      </c>
      <c r="C2275" s="2" t="s">
        <v>11</v>
      </c>
      <c r="D2275">
        <v>51</v>
      </c>
      <c r="E2275" s="2" t="s">
        <v>12</v>
      </c>
      <c r="F2275" s="2" t="s">
        <v>13</v>
      </c>
      <c r="G2275">
        <v>57952</v>
      </c>
      <c r="H2275" s="1">
        <v>44907</v>
      </c>
      <c r="I2275">
        <v>13</v>
      </c>
      <c r="J2275">
        <v>2</v>
      </c>
      <c r="K2275">
        <v>5795</v>
      </c>
      <c r="L2275">
        <v>2898</v>
      </c>
      <c r="M2275">
        <v>60849</v>
      </c>
      <c r="N2275">
        <v>2898</v>
      </c>
      <c r="O2275">
        <v>66645</v>
      </c>
    </row>
    <row r="2276" spans="1:15" x14ac:dyDescent="0.35">
      <c r="A2276">
        <v>2275</v>
      </c>
      <c r="B2276" s="2" t="s">
        <v>10</v>
      </c>
      <c r="C2276" s="2" t="s">
        <v>11</v>
      </c>
      <c r="D2276">
        <v>31</v>
      </c>
      <c r="E2276" s="2" t="s">
        <v>16</v>
      </c>
      <c r="F2276" s="2" t="s">
        <v>13</v>
      </c>
      <c r="G2276">
        <v>63305</v>
      </c>
      <c r="H2276" s="1">
        <v>45188</v>
      </c>
      <c r="I2276">
        <v>6</v>
      </c>
      <c r="J2276">
        <v>2</v>
      </c>
      <c r="K2276">
        <v>6330</v>
      </c>
      <c r="L2276">
        <v>3165</v>
      </c>
      <c r="M2276">
        <v>66470</v>
      </c>
      <c r="N2276">
        <v>3165</v>
      </c>
      <c r="O2276">
        <v>72800</v>
      </c>
    </row>
    <row r="2277" spans="1:15" x14ac:dyDescent="0.35">
      <c r="A2277">
        <v>2276</v>
      </c>
      <c r="B2277" s="2" t="s">
        <v>23</v>
      </c>
      <c r="C2277" s="2" t="s">
        <v>11</v>
      </c>
      <c r="D2277">
        <v>38</v>
      </c>
      <c r="E2277" s="2" t="s">
        <v>24</v>
      </c>
      <c r="F2277" s="2" t="s">
        <v>13</v>
      </c>
      <c r="G2277">
        <v>94714</v>
      </c>
      <c r="H2277" s="1">
        <v>45291</v>
      </c>
      <c r="I2277">
        <v>10</v>
      </c>
      <c r="J2277">
        <v>4</v>
      </c>
      <c r="K2277">
        <v>9471</v>
      </c>
      <c r="L2277">
        <v>4736</v>
      </c>
      <c r="M2277">
        <v>99449</v>
      </c>
      <c r="N2277">
        <v>4736</v>
      </c>
      <c r="O2277">
        <v>108921</v>
      </c>
    </row>
    <row r="2278" spans="1:15" x14ac:dyDescent="0.35">
      <c r="A2278">
        <v>2277</v>
      </c>
      <c r="B2278" s="2" t="s">
        <v>30</v>
      </c>
      <c r="C2278" s="2" t="s">
        <v>15</v>
      </c>
      <c r="D2278">
        <v>47</v>
      </c>
      <c r="E2278" s="2" t="s">
        <v>28</v>
      </c>
      <c r="F2278" s="2" t="s">
        <v>19</v>
      </c>
      <c r="G2278">
        <v>86339</v>
      </c>
      <c r="H2278" s="1">
        <v>44904</v>
      </c>
      <c r="I2278">
        <v>5</v>
      </c>
      <c r="J2278">
        <v>2</v>
      </c>
      <c r="K2278">
        <v>8634</v>
      </c>
      <c r="L2278">
        <v>4317</v>
      </c>
      <c r="M2278">
        <v>90656</v>
      </c>
      <c r="N2278">
        <v>0</v>
      </c>
      <c r="O2278">
        <v>94973</v>
      </c>
    </row>
    <row r="2279" spans="1:15" x14ac:dyDescent="0.35">
      <c r="A2279">
        <v>2278</v>
      </c>
      <c r="B2279" s="2" t="s">
        <v>30</v>
      </c>
      <c r="C2279" s="2" t="s">
        <v>11</v>
      </c>
      <c r="D2279">
        <v>34</v>
      </c>
      <c r="E2279" s="2" t="s">
        <v>28</v>
      </c>
      <c r="F2279" s="2" t="s">
        <v>17</v>
      </c>
      <c r="G2279">
        <v>26692</v>
      </c>
      <c r="H2279" s="1">
        <v>45177</v>
      </c>
      <c r="I2279">
        <v>12</v>
      </c>
      <c r="J2279">
        <v>4</v>
      </c>
      <c r="K2279">
        <v>2669</v>
      </c>
      <c r="L2279">
        <v>1335</v>
      </c>
      <c r="M2279">
        <v>28026</v>
      </c>
      <c r="N2279">
        <v>1335</v>
      </c>
      <c r="O2279">
        <v>30696</v>
      </c>
    </row>
    <row r="2280" spans="1:15" x14ac:dyDescent="0.35">
      <c r="A2280">
        <v>2279</v>
      </c>
      <c r="B2280" s="2" t="s">
        <v>14</v>
      </c>
      <c r="C2280" s="2" t="s">
        <v>15</v>
      </c>
      <c r="D2280">
        <v>48</v>
      </c>
      <c r="E2280" s="2" t="s">
        <v>16</v>
      </c>
      <c r="F2280" s="2" t="s">
        <v>21</v>
      </c>
      <c r="G2280">
        <v>30186</v>
      </c>
      <c r="H2280" s="1">
        <v>45538</v>
      </c>
      <c r="I2280">
        <v>6</v>
      </c>
      <c r="J2280">
        <v>5</v>
      </c>
      <c r="K2280">
        <v>3019</v>
      </c>
      <c r="L2280">
        <v>1509</v>
      </c>
      <c r="M2280">
        <v>31696</v>
      </c>
      <c r="N2280">
        <v>1509</v>
      </c>
      <c r="O2280">
        <v>34714</v>
      </c>
    </row>
    <row r="2281" spans="1:15" x14ac:dyDescent="0.35">
      <c r="A2281">
        <v>2280</v>
      </c>
      <c r="B2281" s="2" t="s">
        <v>26</v>
      </c>
      <c r="C2281" s="2" t="s">
        <v>15</v>
      </c>
      <c r="D2281">
        <v>30</v>
      </c>
      <c r="E2281" s="2" t="s">
        <v>24</v>
      </c>
      <c r="F2281" s="2" t="s">
        <v>25</v>
      </c>
      <c r="G2281">
        <v>87671</v>
      </c>
      <c r="H2281" s="1">
        <v>45481</v>
      </c>
      <c r="I2281">
        <v>16</v>
      </c>
      <c r="J2281">
        <v>2</v>
      </c>
      <c r="K2281">
        <v>8767</v>
      </c>
      <c r="L2281">
        <v>4384</v>
      </c>
      <c r="M2281">
        <v>92054</v>
      </c>
      <c r="N2281">
        <v>4384</v>
      </c>
      <c r="O2281">
        <v>100822</v>
      </c>
    </row>
    <row r="2282" spans="1:15" x14ac:dyDescent="0.35">
      <c r="A2282">
        <v>2281</v>
      </c>
      <c r="B2282" s="2" t="s">
        <v>30</v>
      </c>
      <c r="C2282" s="2" t="s">
        <v>11</v>
      </c>
      <c r="D2282">
        <v>43</v>
      </c>
      <c r="E2282" s="2" t="s">
        <v>16</v>
      </c>
      <c r="F2282" s="2" t="s">
        <v>13</v>
      </c>
      <c r="G2282">
        <v>22964</v>
      </c>
      <c r="H2282" s="1">
        <v>44568</v>
      </c>
      <c r="I2282">
        <v>4</v>
      </c>
      <c r="J2282">
        <v>1</v>
      </c>
      <c r="K2282">
        <v>2296</v>
      </c>
      <c r="L2282">
        <v>1148</v>
      </c>
      <c r="M2282">
        <v>24112</v>
      </c>
      <c r="N2282">
        <v>0</v>
      </c>
      <c r="O2282">
        <v>25260</v>
      </c>
    </row>
    <row r="2283" spans="1:15" x14ac:dyDescent="0.35">
      <c r="A2283">
        <v>2282</v>
      </c>
      <c r="B2283" s="2" t="s">
        <v>10</v>
      </c>
      <c r="C2283" s="2" t="s">
        <v>15</v>
      </c>
      <c r="D2283">
        <v>59</v>
      </c>
      <c r="E2283" s="2" t="s">
        <v>28</v>
      </c>
      <c r="F2283" s="2" t="s">
        <v>17</v>
      </c>
      <c r="G2283">
        <v>79234</v>
      </c>
      <c r="H2283" s="1">
        <v>44686</v>
      </c>
      <c r="I2283">
        <v>18</v>
      </c>
      <c r="J2283">
        <v>4</v>
      </c>
      <c r="K2283">
        <v>7923</v>
      </c>
      <c r="L2283">
        <v>3962</v>
      </c>
      <c r="M2283">
        <v>83195</v>
      </c>
      <c r="N2283">
        <v>3962</v>
      </c>
      <c r="O2283">
        <v>91119</v>
      </c>
    </row>
    <row r="2284" spans="1:15" x14ac:dyDescent="0.35">
      <c r="A2284">
        <v>2283</v>
      </c>
      <c r="B2284" s="2" t="s">
        <v>31</v>
      </c>
      <c r="C2284" s="2" t="s">
        <v>15</v>
      </c>
      <c r="D2284">
        <v>51</v>
      </c>
      <c r="E2284" s="2" t="s">
        <v>29</v>
      </c>
      <c r="F2284" s="2" t="s">
        <v>17</v>
      </c>
      <c r="G2284">
        <v>46054</v>
      </c>
      <c r="H2284" s="1">
        <v>45248</v>
      </c>
      <c r="I2284">
        <v>12</v>
      </c>
      <c r="J2284">
        <v>4</v>
      </c>
      <c r="K2284">
        <v>4605</v>
      </c>
      <c r="L2284">
        <v>2303</v>
      </c>
      <c r="M2284">
        <v>48356</v>
      </c>
      <c r="N2284">
        <v>2303</v>
      </c>
      <c r="O2284">
        <v>52962</v>
      </c>
    </row>
    <row r="2285" spans="1:15" x14ac:dyDescent="0.35">
      <c r="A2285">
        <v>2284</v>
      </c>
      <c r="B2285" s="2" t="s">
        <v>26</v>
      </c>
      <c r="C2285" s="2" t="s">
        <v>15</v>
      </c>
      <c r="D2285">
        <v>37</v>
      </c>
      <c r="E2285" s="2" t="s">
        <v>16</v>
      </c>
      <c r="F2285" s="2" t="s">
        <v>21</v>
      </c>
      <c r="G2285">
        <v>77832</v>
      </c>
      <c r="H2285" s="1">
        <v>44797</v>
      </c>
      <c r="I2285">
        <v>12</v>
      </c>
      <c r="J2285">
        <v>2</v>
      </c>
      <c r="K2285">
        <v>7783</v>
      </c>
      <c r="L2285">
        <v>3892</v>
      </c>
      <c r="M2285">
        <v>81723</v>
      </c>
      <c r="N2285">
        <v>3892</v>
      </c>
      <c r="O2285">
        <v>89507</v>
      </c>
    </row>
    <row r="2286" spans="1:15" x14ac:dyDescent="0.35">
      <c r="A2286">
        <v>2285</v>
      </c>
      <c r="B2286" s="2" t="s">
        <v>18</v>
      </c>
      <c r="C2286" s="2" t="s">
        <v>11</v>
      </c>
      <c r="D2286">
        <v>31</v>
      </c>
      <c r="E2286" s="2" t="s">
        <v>12</v>
      </c>
      <c r="F2286" s="2" t="s">
        <v>19</v>
      </c>
      <c r="G2286">
        <v>82243</v>
      </c>
      <c r="H2286" s="1">
        <v>44894</v>
      </c>
      <c r="I2286">
        <v>17</v>
      </c>
      <c r="J2286">
        <v>3</v>
      </c>
      <c r="K2286">
        <v>8224</v>
      </c>
      <c r="L2286">
        <v>4112</v>
      </c>
      <c r="M2286">
        <v>86355</v>
      </c>
      <c r="N2286">
        <v>4112</v>
      </c>
      <c r="O2286">
        <v>94579</v>
      </c>
    </row>
    <row r="2287" spans="1:15" x14ac:dyDescent="0.35">
      <c r="A2287">
        <v>2286</v>
      </c>
      <c r="B2287" s="2" t="s">
        <v>26</v>
      </c>
      <c r="C2287" s="2" t="s">
        <v>11</v>
      </c>
      <c r="D2287">
        <v>27</v>
      </c>
      <c r="E2287" s="2" t="s">
        <v>24</v>
      </c>
      <c r="F2287" s="2" t="s">
        <v>17</v>
      </c>
      <c r="G2287">
        <v>53525</v>
      </c>
      <c r="H2287" s="1">
        <v>45432</v>
      </c>
      <c r="I2287">
        <v>3</v>
      </c>
      <c r="J2287">
        <v>5</v>
      </c>
      <c r="K2287">
        <v>5352</v>
      </c>
      <c r="L2287">
        <v>2676</v>
      </c>
      <c r="M2287">
        <v>56201</v>
      </c>
      <c r="N2287">
        <v>0</v>
      </c>
      <c r="O2287">
        <v>58877</v>
      </c>
    </row>
    <row r="2288" spans="1:15" x14ac:dyDescent="0.35">
      <c r="A2288">
        <v>2287</v>
      </c>
      <c r="B2288" s="2" t="s">
        <v>14</v>
      </c>
      <c r="C2288" s="2" t="s">
        <v>11</v>
      </c>
      <c r="D2288">
        <v>43</v>
      </c>
      <c r="E2288" s="2" t="s">
        <v>24</v>
      </c>
      <c r="F2288" s="2" t="s">
        <v>19</v>
      </c>
      <c r="G2288">
        <v>26541</v>
      </c>
      <c r="H2288" s="1">
        <v>44818</v>
      </c>
      <c r="I2288">
        <v>15</v>
      </c>
      <c r="J2288">
        <v>5</v>
      </c>
      <c r="K2288">
        <v>2654</v>
      </c>
      <c r="L2288">
        <v>1327</v>
      </c>
      <c r="M2288">
        <v>27868</v>
      </c>
      <c r="N2288">
        <v>1327</v>
      </c>
      <c r="O2288">
        <v>30522</v>
      </c>
    </row>
    <row r="2289" spans="1:15" x14ac:dyDescent="0.35">
      <c r="A2289">
        <v>2288</v>
      </c>
      <c r="B2289" s="2" t="s">
        <v>27</v>
      </c>
      <c r="C2289" s="2" t="s">
        <v>11</v>
      </c>
      <c r="D2289">
        <v>23</v>
      </c>
      <c r="E2289" s="2" t="s">
        <v>16</v>
      </c>
      <c r="F2289" s="2" t="s">
        <v>19</v>
      </c>
      <c r="G2289">
        <v>28879</v>
      </c>
      <c r="H2289" s="1">
        <v>45275</v>
      </c>
      <c r="I2289">
        <v>12</v>
      </c>
      <c r="J2289">
        <v>1</v>
      </c>
      <c r="K2289">
        <v>2888</v>
      </c>
      <c r="L2289">
        <v>1444</v>
      </c>
      <c r="M2289">
        <v>30323</v>
      </c>
      <c r="N2289">
        <v>1444</v>
      </c>
      <c r="O2289">
        <v>33211</v>
      </c>
    </row>
    <row r="2290" spans="1:15" x14ac:dyDescent="0.35">
      <c r="A2290">
        <v>2289</v>
      </c>
      <c r="B2290" s="2" t="s">
        <v>23</v>
      </c>
      <c r="C2290" s="2" t="s">
        <v>11</v>
      </c>
      <c r="D2290">
        <v>36</v>
      </c>
      <c r="E2290" s="2" t="s">
        <v>16</v>
      </c>
      <c r="F2290" s="2" t="s">
        <v>17</v>
      </c>
      <c r="G2290">
        <v>60842</v>
      </c>
      <c r="H2290" s="1">
        <v>44783</v>
      </c>
      <c r="I2290">
        <v>17</v>
      </c>
      <c r="J2290">
        <v>2</v>
      </c>
      <c r="K2290">
        <v>6084</v>
      </c>
      <c r="L2290">
        <v>3042</v>
      </c>
      <c r="M2290">
        <v>63884</v>
      </c>
      <c r="N2290">
        <v>3042</v>
      </c>
      <c r="O2290">
        <v>69968</v>
      </c>
    </row>
    <row r="2291" spans="1:15" x14ac:dyDescent="0.35">
      <c r="A2291">
        <v>2290</v>
      </c>
      <c r="B2291" s="2" t="s">
        <v>20</v>
      </c>
      <c r="C2291" s="2" t="s">
        <v>11</v>
      </c>
      <c r="D2291">
        <v>59</v>
      </c>
      <c r="E2291" s="2" t="s">
        <v>29</v>
      </c>
      <c r="F2291" s="2" t="s">
        <v>13</v>
      </c>
      <c r="G2291">
        <v>46968</v>
      </c>
      <c r="H2291" s="1">
        <v>44841</v>
      </c>
      <c r="I2291">
        <v>18</v>
      </c>
      <c r="J2291">
        <v>2</v>
      </c>
      <c r="K2291">
        <v>4697</v>
      </c>
      <c r="L2291">
        <v>2348</v>
      </c>
      <c r="M2291">
        <v>49317</v>
      </c>
      <c r="N2291">
        <v>2348</v>
      </c>
      <c r="O2291">
        <v>54013</v>
      </c>
    </row>
    <row r="2292" spans="1:15" x14ac:dyDescent="0.35">
      <c r="A2292">
        <v>2291</v>
      </c>
      <c r="B2292" s="2" t="s">
        <v>14</v>
      </c>
      <c r="C2292" s="2" t="s">
        <v>15</v>
      </c>
      <c r="D2292">
        <v>38</v>
      </c>
      <c r="E2292" s="2" t="s">
        <v>24</v>
      </c>
      <c r="F2292" s="2" t="s">
        <v>13</v>
      </c>
      <c r="G2292">
        <v>63224</v>
      </c>
      <c r="H2292" s="1">
        <v>44617</v>
      </c>
      <c r="I2292">
        <v>9</v>
      </c>
      <c r="J2292">
        <v>1</v>
      </c>
      <c r="K2292">
        <v>6322</v>
      </c>
      <c r="L2292">
        <v>3161</v>
      </c>
      <c r="M2292">
        <v>66385</v>
      </c>
      <c r="N2292">
        <v>3161</v>
      </c>
      <c r="O2292">
        <v>72707</v>
      </c>
    </row>
    <row r="2293" spans="1:15" x14ac:dyDescent="0.35">
      <c r="A2293">
        <v>2292</v>
      </c>
      <c r="B2293" s="2" t="s">
        <v>26</v>
      </c>
      <c r="C2293" s="2" t="s">
        <v>15</v>
      </c>
      <c r="D2293">
        <v>21</v>
      </c>
      <c r="E2293" s="2" t="s">
        <v>16</v>
      </c>
      <c r="F2293" s="2" t="s">
        <v>17</v>
      </c>
      <c r="G2293">
        <v>89363</v>
      </c>
      <c r="H2293" s="1">
        <v>45201</v>
      </c>
      <c r="I2293">
        <v>4</v>
      </c>
      <c r="J2293">
        <v>1</v>
      </c>
      <c r="K2293">
        <v>8936</v>
      </c>
      <c r="L2293">
        <v>4468</v>
      </c>
      <c r="M2293">
        <v>93831</v>
      </c>
      <c r="N2293">
        <v>0</v>
      </c>
      <c r="O2293">
        <v>98299</v>
      </c>
    </row>
    <row r="2294" spans="1:15" x14ac:dyDescent="0.35">
      <c r="A2294">
        <v>2293</v>
      </c>
      <c r="B2294" s="2" t="s">
        <v>22</v>
      </c>
      <c r="C2294" s="2" t="s">
        <v>15</v>
      </c>
      <c r="D2294">
        <v>55</v>
      </c>
      <c r="E2294" s="2" t="s">
        <v>28</v>
      </c>
      <c r="F2294" s="2" t="s">
        <v>13</v>
      </c>
      <c r="G2294">
        <v>84113</v>
      </c>
      <c r="H2294" s="1">
        <v>45488</v>
      </c>
      <c r="I2294">
        <v>14</v>
      </c>
      <c r="J2294">
        <v>1</v>
      </c>
      <c r="K2294">
        <v>8411</v>
      </c>
      <c r="L2294">
        <v>4206</v>
      </c>
      <c r="M2294">
        <v>88318</v>
      </c>
      <c r="N2294">
        <v>4206</v>
      </c>
      <c r="O2294">
        <v>96730</v>
      </c>
    </row>
    <row r="2295" spans="1:15" x14ac:dyDescent="0.35">
      <c r="A2295">
        <v>2294</v>
      </c>
      <c r="B2295" s="2" t="s">
        <v>26</v>
      </c>
      <c r="C2295" s="2" t="s">
        <v>11</v>
      </c>
      <c r="D2295">
        <v>54</v>
      </c>
      <c r="E2295" s="2" t="s">
        <v>29</v>
      </c>
      <c r="F2295" s="2" t="s">
        <v>17</v>
      </c>
      <c r="G2295">
        <v>59076</v>
      </c>
      <c r="H2295" s="1">
        <v>45378</v>
      </c>
      <c r="I2295">
        <v>19</v>
      </c>
      <c r="J2295">
        <v>5</v>
      </c>
      <c r="K2295">
        <v>5908</v>
      </c>
      <c r="L2295">
        <v>2954</v>
      </c>
      <c r="M2295">
        <v>62030</v>
      </c>
      <c r="N2295">
        <v>2954</v>
      </c>
      <c r="O2295">
        <v>67938</v>
      </c>
    </row>
    <row r="2296" spans="1:15" x14ac:dyDescent="0.35">
      <c r="A2296">
        <v>2295</v>
      </c>
      <c r="B2296" s="2" t="s">
        <v>26</v>
      </c>
      <c r="C2296" s="2" t="s">
        <v>11</v>
      </c>
      <c r="D2296">
        <v>49</v>
      </c>
      <c r="E2296" s="2" t="s">
        <v>16</v>
      </c>
      <c r="F2296" s="2" t="s">
        <v>21</v>
      </c>
      <c r="G2296">
        <v>62514</v>
      </c>
      <c r="H2296" s="1">
        <v>45086</v>
      </c>
      <c r="I2296">
        <v>6</v>
      </c>
      <c r="J2296">
        <v>4</v>
      </c>
      <c r="K2296">
        <v>6251</v>
      </c>
      <c r="L2296">
        <v>3126</v>
      </c>
      <c r="M2296">
        <v>65639</v>
      </c>
      <c r="N2296">
        <v>3126</v>
      </c>
      <c r="O2296">
        <v>71891</v>
      </c>
    </row>
    <row r="2297" spans="1:15" x14ac:dyDescent="0.35">
      <c r="A2297">
        <v>2296</v>
      </c>
      <c r="B2297" s="2" t="s">
        <v>20</v>
      </c>
      <c r="C2297" s="2" t="s">
        <v>11</v>
      </c>
      <c r="D2297">
        <v>46</v>
      </c>
      <c r="E2297" s="2" t="s">
        <v>16</v>
      </c>
      <c r="F2297" s="2" t="s">
        <v>13</v>
      </c>
      <c r="G2297">
        <v>54286</v>
      </c>
      <c r="H2297" s="1">
        <v>45341</v>
      </c>
      <c r="I2297">
        <v>2</v>
      </c>
      <c r="J2297">
        <v>2</v>
      </c>
      <c r="K2297">
        <v>5429</v>
      </c>
      <c r="L2297">
        <v>2714</v>
      </c>
      <c r="M2297">
        <v>57001</v>
      </c>
      <c r="N2297">
        <v>0</v>
      </c>
      <c r="O2297">
        <v>59715</v>
      </c>
    </row>
    <row r="2298" spans="1:15" x14ac:dyDescent="0.35">
      <c r="A2298">
        <v>2297</v>
      </c>
      <c r="B2298" s="2" t="s">
        <v>20</v>
      </c>
      <c r="C2298" s="2" t="s">
        <v>15</v>
      </c>
      <c r="D2298">
        <v>49</v>
      </c>
      <c r="E2298" s="2" t="s">
        <v>12</v>
      </c>
      <c r="F2298" s="2" t="s">
        <v>21</v>
      </c>
      <c r="G2298">
        <v>38117</v>
      </c>
      <c r="H2298" s="1">
        <v>44940</v>
      </c>
      <c r="I2298">
        <v>16</v>
      </c>
      <c r="J2298">
        <v>3</v>
      </c>
      <c r="K2298">
        <v>3812</v>
      </c>
      <c r="L2298">
        <v>1906</v>
      </c>
      <c r="M2298">
        <v>40023</v>
      </c>
      <c r="N2298">
        <v>1906</v>
      </c>
      <c r="O2298">
        <v>43835</v>
      </c>
    </row>
    <row r="2299" spans="1:15" x14ac:dyDescent="0.35">
      <c r="A2299">
        <v>2298</v>
      </c>
      <c r="B2299" s="2" t="s">
        <v>14</v>
      </c>
      <c r="C2299" s="2" t="s">
        <v>15</v>
      </c>
      <c r="D2299">
        <v>43</v>
      </c>
      <c r="E2299" s="2" t="s">
        <v>16</v>
      </c>
      <c r="F2299" s="2" t="s">
        <v>21</v>
      </c>
      <c r="G2299">
        <v>35337</v>
      </c>
      <c r="H2299" s="1">
        <v>45213</v>
      </c>
      <c r="I2299">
        <v>2</v>
      </c>
      <c r="J2299">
        <v>2</v>
      </c>
      <c r="K2299">
        <v>3534</v>
      </c>
      <c r="L2299">
        <v>1767</v>
      </c>
      <c r="M2299">
        <v>37104</v>
      </c>
      <c r="N2299">
        <v>0</v>
      </c>
      <c r="O2299">
        <v>38871</v>
      </c>
    </row>
    <row r="2300" spans="1:15" x14ac:dyDescent="0.35">
      <c r="A2300">
        <v>2299</v>
      </c>
      <c r="B2300" s="2" t="s">
        <v>14</v>
      </c>
      <c r="C2300" s="2" t="s">
        <v>15</v>
      </c>
      <c r="D2300">
        <v>47</v>
      </c>
      <c r="E2300" s="2" t="s">
        <v>28</v>
      </c>
      <c r="F2300" s="2" t="s">
        <v>25</v>
      </c>
      <c r="G2300">
        <v>49516</v>
      </c>
      <c r="H2300" s="1">
        <v>44597</v>
      </c>
      <c r="I2300">
        <v>4</v>
      </c>
      <c r="J2300">
        <v>4</v>
      </c>
      <c r="K2300">
        <v>4952</v>
      </c>
      <c r="L2300">
        <v>2476</v>
      </c>
      <c r="M2300">
        <v>51992</v>
      </c>
      <c r="N2300">
        <v>0</v>
      </c>
      <c r="O2300">
        <v>54468</v>
      </c>
    </row>
    <row r="2301" spans="1:15" x14ac:dyDescent="0.35">
      <c r="A2301">
        <v>2300</v>
      </c>
      <c r="B2301" s="2" t="s">
        <v>20</v>
      </c>
      <c r="C2301" s="2" t="s">
        <v>15</v>
      </c>
      <c r="D2301">
        <v>54</v>
      </c>
      <c r="E2301" s="2" t="s">
        <v>28</v>
      </c>
      <c r="F2301" s="2" t="s">
        <v>21</v>
      </c>
      <c r="G2301">
        <v>79533</v>
      </c>
      <c r="H2301" s="1">
        <v>45150</v>
      </c>
      <c r="I2301">
        <v>20</v>
      </c>
      <c r="J2301">
        <v>3</v>
      </c>
      <c r="K2301">
        <v>7953</v>
      </c>
      <c r="L2301">
        <v>3977</v>
      </c>
      <c r="M2301">
        <v>83509</v>
      </c>
      <c r="N2301">
        <v>3977</v>
      </c>
      <c r="O2301">
        <v>91463</v>
      </c>
    </row>
    <row r="2302" spans="1:15" x14ac:dyDescent="0.35">
      <c r="A2302">
        <v>2301</v>
      </c>
      <c r="B2302" s="2" t="s">
        <v>31</v>
      </c>
      <c r="C2302" s="2" t="s">
        <v>11</v>
      </c>
      <c r="D2302">
        <v>50</v>
      </c>
      <c r="E2302" s="2" t="s">
        <v>24</v>
      </c>
      <c r="F2302" s="2" t="s">
        <v>21</v>
      </c>
      <c r="G2302">
        <v>95117</v>
      </c>
      <c r="H2302" s="1">
        <v>44738</v>
      </c>
      <c r="I2302">
        <v>12</v>
      </c>
      <c r="J2302">
        <v>2</v>
      </c>
      <c r="K2302">
        <v>9512</v>
      </c>
      <c r="L2302">
        <v>4756</v>
      </c>
      <c r="M2302">
        <v>99873</v>
      </c>
      <c r="N2302">
        <v>4756</v>
      </c>
      <c r="O2302">
        <v>109385</v>
      </c>
    </row>
    <row r="2303" spans="1:15" x14ac:dyDescent="0.35">
      <c r="A2303">
        <v>2302</v>
      </c>
      <c r="B2303" s="2" t="s">
        <v>20</v>
      </c>
      <c r="C2303" s="2" t="s">
        <v>11</v>
      </c>
      <c r="D2303">
        <v>53</v>
      </c>
      <c r="E2303" s="2" t="s">
        <v>16</v>
      </c>
      <c r="F2303" s="2" t="s">
        <v>17</v>
      </c>
      <c r="G2303">
        <v>89364</v>
      </c>
      <c r="H2303" s="1">
        <v>45207</v>
      </c>
      <c r="I2303">
        <v>3</v>
      </c>
      <c r="J2303">
        <v>1</v>
      </c>
      <c r="K2303">
        <v>8936</v>
      </c>
      <c r="L2303">
        <v>4468</v>
      </c>
      <c r="M2303">
        <v>93832</v>
      </c>
      <c r="N2303">
        <v>0</v>
      </c>
      <c r="O2303">
        <v>98300</v>
      </c>
    </row>
    <row r="2304" spans="1:15" x14ac:dyDescent="0.35">
      <c r="A2304">
        <v>2303</v>
      </c>
      <c r="B2304" s="2" t="s">
        <v>20</v>
      </c>
      <c r="C2304" s="2" t="s">
        <v>11</v>
      </c>
      <c r="D2304">
        <v>28</v>
      </c>
      <c r="E2304" s="2" t="s">
        <v>29</v>
      </c>
      <c r="F2304" s="2" t="s">
        <v>17</v>
      </c>
      <c r="G2304">
        <v>33722</v>
      </c>
      <c r="H2304" s="1">
        <v>44902</v>
      </c>
      <c r="I2304">
        <v>12</v>
      </c>
      <c r="J2304">
        <v>4</v>
      </c>
      <c r="K2304">
        <v>3372</v>
      </c>
      <c r="L2304">
        <v>1686</v>
      </c>
      <c r="M2304">
        <v>35408</v>
      </c>
      <c r="N2304">
        <v>1686</v>
      </c>
      <c r="O2304">
        <v>38780</v>
      </c>
    </row>
    <row r="2305" spans="1:15" x14ac:dyDescent="0.35">
      <c r="A2305">
        <v>2304</v>
      </c>
      <c r="B2305" s="2" t="s">
        <v>14</v>
      </c>
      <c r="C2305" s="2" t="s">
        <v>15</v>
      </c>
      <c r="D2305">
        <v>49</v>
      </c>
      <c r="E2305" s="2" t="s">
        <v>28</v>
      </c>
      <c r="F2305" s="2" t="s">
        <v>19</v>
      </c>
      <c r="G2305">
        <v>62339</v>
      </c>
      <c r="H2305" s="1">
        <v>44702</v>
      </c>
      <c r="I2305">
        <v>1</v>
      </c>
      <c r="J2305">
        <v>4</v>
      </c>
      <c r="K2305">
        <v>6234</v>
      </c>
      <c r="L2305">
        <v>3117</v>
      </c>
      <c r="M2305">
        <v>65456</v>
      </c>
      <c r="N2305">
        <v>0</v>
      </c>
      <c r="O2305">
        <v>68573</v>
      </c>
    </row>
    <row r="2306" spans="1:15" x14ac:dyDescent="0.35">
      <c r="A2306">
        <v>2305</v>
      </c>
      <c r="B2306" s="2" t="s">
        <v>23</v>
      </c>
      <c r="C2306" s="2" t="s">
        <v>11</v>
      </c>
      <c r="D2306">
        <v>24</v>
      </c>
      <c r="E2306" s="2" t="s">
        <v>29</v>
      </c>
      <c r="F2306" s="2" t="s">
        <v>19</v>
      </c>
      <c r="G2306">
        <v>20754</v>
      </c>
      <c r="H2306" s="1">
        <v>44584</v>
      </c>
      <c r="I2306">
        <v>1</v>
      </c>
      <c r="J2306">
        <v>5</v>
      </c>
      <c r="K2306">
        <v>2075</v>
      </c>
      <c r="L2306">
        <v>1038</v>
      </c>
      <c r="M2306">
        <v>21791</v>
      </c>
      <c r="N2306">
        <v>0</v>
      </c>
      <c r="O2306">
        <v>22829</v>
      </c>
    </row>
    <row r="2307" spans="1:15" x14ac:dyDescent="0.35">
      <c r="A2307">
        <v>2306</v>
      </c>
      <c r="B2307" s="2" t="s">
        <v>27</v>
      </c>
      <c r="C2307" s="2" t="s">
        <v>11</v>
      </c>
      <c r="D2307">
        <v>41</v>
      </c>
      <c r="E2307" s="2" t="s">
        <v>29</v>
      </c>
      <c r="F2307" s="2" t="s">
        <v>25</v>
      </c>
      <c r="G2307">
        <v>46901</v>
      </c>
      <c r="H2307" s="1">
        <v>45385</v>
      </c>
      <c r="I2307">
        <v>13</v>
      </c>
      <c r="J2307">
        <v>3</v>
      </c>
      <c r="K2307">
        <v>4690</v>
      </c>
      <c r="L2307">
        <v>2345</v>
      </c>
      <c r="M2307">
        <v>49246</v>
      </c>
      <c r="N2307">
        <v>2345</v>
      </c>
      <c r="O2307">
        <v>53936</v>
      </c>
    </row>
    <row r="2308" spans="1:15" x14ac:dyDescent="0.35">
      <c r="A2308">
        <v>2307</v>
      </c>
      <c r="B2308" s="2" t="s">
        <v>26</v>
      </c>
      <c r="C2308" s="2" t="s">
        <v>15</v>
      </c>
      <c r="D2308">
        <v>39</v>
      </c>
      <c r="E2308" s="2" t="s">
        <v>28</v>
      </c>
      <c r="F2308" s="2" t="s">
        <v>19</v>
      </c>
      <c r="G2308">
        <v>62909</v>
      </c>
      <c r="H2308" s="1">
        <v>45086</v>
      </c>
      <c r="I2308">
        <v>2</v>
      </c>
      <c r="J2308">
        <v>5</v>
      </c>
      <c r="K2308">
        <v>6291</v>
      </c>
      <c r="L2308">
        <v>3145</v>
      </c>
      <c r="M2308">
        <v>66055</v>
      </c>
      <c r="N2308">
        <v>0</v>
      </c>
      <c r="O2308">
        <v>69200</v>
      </c>
    </row>
    <row r="2309" spans="1:15" x14ac:dyDescent="0.35">
      <c r="A2309">
        <v>2308</v>
      </c>
      <c r="B2309" s="2" t="s">
        <v>27</v>
      </c>
      <c r="C2309" s="2" t="s">
        <v>15</v>
      </c>
      <c r="D2309">
        <v>40</v>
      </c>
      <c r="E2309" s="2" t="s">
        <v>12</v>
      </c>
      <c r="F2309" s="2" t="s">
        <v>13</v>
      </c>
      <c r="G2309">
        <v>61458</v>
      </c>
      <c r="H2309" s="1">
        <v>45215</v>
      </c>
      <c r="I2309">
        <v>11</v>
      </c>
      <c r="J2309">
        <v>4</v>
      </c>
      <c r="K2309">
        <v>6146</v>
      </c>
      <c r="L2309">
        <v>3073</v>
      </c>
      <c r="M2309">
        <v>64531</v>
      </c>
      <c r="N2309">
        <v>3073</v>
      </c>
      <c r="O2309">
        <v>70677</v>
      </c>
    </row>
    <row r="2310" spans="1:15" x14ac:dyDescent="0.35">
      <c r="A2310">
        <v>2309</v>
      </c>
      <c r="B2310" s="2" t="s">
        <v>27</v>
      </c>
      <c r="C2310" s="2" t="s">
        <v>11</v>
      </c>
      <c r="D2310">
        <v>58</v>
      </c>
      <c r="E2310" s="2" t="s">
        <v>28</v>
      </c>
      <c r="F2310" s="2" t="s">
        <v>19</v>
      </c>
      <c r="G2310">
        <v>72087</v>
      </c>
      <c r="H2310" s="1">
        <v>45332</v>
      </c>
      <c r="I2310">
        <v>5</v>
      </c>
      <c r="J2310">
        <v>4</v>
      </c>
      <c r="K2310">
        <v>7209</v>
      </c>
      <c r="L2310">
        <v>3604</v>
      </c>
      <c r="M2310">
        <v>75692</v>
      </c>
      <c r="N2310">
        <v>0</v>
      </c>
      <c r="O2310">
        <v>79296</v>
      </c>
    </row>
    <row r="2311" spans="1:15" x14ac:dyDescent="0.35">
      <c r="A2311">
        <v>2310</v>
      </c>
      <c r="B2311" s="2" t="s">
        <v>30</v>
      </c>
      <c r="C2311" s="2" t="s">
        <v>15</v>
      </c>
      <c r="D2311">
        <v>56</v>
      </c>
      <c r="E2311" s="2" t="s">
        <v>12</v>
      </c>
      <c r="F2311" s="2" t="s">
        <v>17</v>
      </c>
      <c r="G2311">
        <v>37323</v>
      </c>
      <c r="H2311" s="1">
        <v>45361</v>
      </c>
      <c r="I2311">
        <v>18</v>
      </c>
      <c r="J2311">
        <v>5</v>
      </c>
      <c r="K2311">
        <v>3732</v>
      </c>
      <c r="L2311">
        <v>1866</v>
      </c>
      <c r="M2311">
        <v>39189</v>
      </c>
      <c r="N2311">
        <v>1866</v>
      </c>
      <c r="O2311">
        <v>42921</v>
      </c>
    </row>
    <row r="2312" spans="1:15" x14ac:dyDescent="0.35">
      <c r="A2312">
        <v>2311</v>
      </c>
      <c r="B2312" s="2" t="s">
        <v>27</v>
      </c>
      <c r="C2312" s="2" t="s">
        <v>11</v>
      </c>
      <c r="D2312">
        <v>21</v>
      </c>
      <c r="E2312" s="2" t="s">
        <v>12</v>
      </c>
      <c r="F2312" s="2" t="s">
        <v>19</v>
      </c>
      <c r="G2312">
        <v>45643</v>
      </c>
      <c r="H2312" s="1">
        <v>44855</v>
      </c>
      <c r="I2312">
        <v>20</v>
      </c>
      <c r="J2312">
        <v>4</v>
      </c>
      <c r="K2312">
        <v>4564</v>
      </c>
      <c r="L2312">
        <v>2282</v>
      </c>
      <c r="M2312">
        <v>47925</v>
      </c>
      <c r="N2312">
        <v>2282</v>
      </c>
      <c r="O2312">
        <v>52489</v>
      </c>
    </row>
    <row r="2313" spans="1:15" x14ac:dyDescent="0.35">
      <c r="A2313">
        <v>2312</v>
      </c>
      <c r="B2313" s="2" t="s">
        <v>27</v>
      </c>
      <c r="C2313" s="2" t="s">
        <v>15</v>
      </c>
      <c r="D2313">
        <v>34</v>
      </c>
      <c r="E2313" s="2" t="s">
        <v>28</v>
      </c>
      <c r="F2313" s="2" t="s">
        <v>25</v>
      </c>
      <c r="G2313">
        <v>41160</v>
      </c>
      <c r="H2313" s="1">
        <v>45101</v>
      </c>
      <c r="I2313">
        <v>20</v>
      </c>
      <c r="J2313">
        <v>2</v>
      </c>
      <c r="K2313">
        <v>4116</v>
      </c>
      <c r="L2313">
        <v>2058</v>
      </c>
      <c r="M2313">
        <v>43218</v>
      </c>
      <c r="N2313">
        <v>2058</v>
      </c>
      <c r="O2313">
        <v>47334</v>
      </c>
    </row>
    <row r="2314" spans="1:15" x14ac:dyDescent="0.35">
      <c r="A2314">
        <v>2313</v>
      </c>
      <c r="B2314" s="2" t="s">
        <v>10</v>
      </c>
      <c r="C2314" s="2" t="s">
        <v>11</v>
      </c>
      <c r="D2314">
        <v>23</v>
      </c>
      <c r="E2314" s="2" t="s">
        <v>29</v>
      </c>
      <c r="F2314" s="2" t="s">
        <v>13</v>
      </c>
      <c r="G2314">
        <v>37498</v>
      </c>
      <c r="H2314" s="1">
        <v>45221</v>
      </c>
      <c r="I2314">
        <v>18</v>
      </c>
      <c r="J2314">
        <v>1</v>
      </c>
      <c r="K2314">
        <v>3750</v>
      </c>
      <c r="L2314">
        <v>1875</v>
      </c>
      <c r="M2314">
        <v>39373</v>
      </c>
      <c r="N2314">
        <v>1875</v>
      </c>
      <c r="O2314">
        <v>43123</v>
      </c>
    </row>
    <row r="2315" spans="1:15" x14ac:dyDescent="0.35">
      <c r="A2315">
        <v>2314</v>
      </c>
      <c r="B2315" s="2" t="s">
        <v>27</v>
      </c>
      <c r="C2315" s="2" t="s">
        <v>15</v>
      </c>
      <c r="D2315">
        <v>59</v>
      </c>
      <c r="E2315" s="2" t="s">
        <v>29</v>
      </c>
      <c r="F2315" s="2" t="s">
        <v>25</v>
      </c>
      <c r="G2315">
        <v>79630</v>
      </c>
      <c r="H2315" s="1">
        <v>45402</v>
      </c>
      <c r="I2315">
        <v>1</v>
      </c>
      <c r="J2315">
        <v>1</v>
      </c>
      <c r="K2315">
        <v>7963</v>
      </c>
      <c r="L2315">
        <v>3982</v>
      </c>
      <c r="M2315">
        <v>83611</v>
      </c>
      <c r="N2315">
        <v>0</v>
      </c>
      <c r="O2315">
        <v>87593</v>
      </c>
    </row>
    <row r="2316" spans="1:15" x14ac:dyDescent="0.35">
      <c r="A2316">
        <v>2315</v>
      </c>
      <c r="B2316" s="2" t="s">
        <v>23</v>
      </c>
      <c r="C2316" s="2" t="s">
        <v>11</v>
      </c>
      <c r="D2316">
        <v>34</v>
      </c>
      <c r="E2316" s="2" t="s">
        <v>24</v>
      </c>
      <c r="F2316" s="2" t="s">
        <v>13</v>
      </c>
      <c r="G2316">
        <v>43719</v>
      </c>
      <c r="H2316" s="1">
        <v>45173</v>
      </c>
      <c r="I2316">
        <v>18</v>
      </c>
      <c r="J2316">
        <v>3</v>
      </c>
      <c r="K2316">
        <v>4372</v>
      </c>
      <c r="L2316">
        <v>2186</v>
      </c>
      <c r="M2316">
        <v>45905</v>
      </c>
      <c r="N2316">
        <v>2186</v>
      </c>
      <c r="O2316">
        <v>50277</v>
      </c>
    </row>
    <row r="2317" spans="1:15" x14ac:dyDescent="0.35">
      <c r="A2317">
        <v>2316</v>
      </c>
      <c r="B2317" s="2" t="s">
        <v>27</v>
      </c>
      <c r="C2317" s="2" t="s">
        <v>11</v>
      </c>
      <c r="D2317">
        <v>47</v>
      </c>
      <c r="E2317" s="2" t="s">
        <v>28</v>
      </c>
      <c r="F2317" s="2" t="s">
        <v>25</v>
      </c>
      <c r="G2317">
        <v>93444</v>
      </c>
      <c r="H2317" s="1">
        <v>45230</v>
      </c>
      <c r="I2317">
        <v>4</v>
      </c>
      <c r="J2317">
        <v>3</v>
      </c>
      <c r="K2317">
        <v>9344</v>
      </c>
      <c r="L2317">
        <v>4672</v>
      </c>
      <c r="M2317">
        <v>98116</v>
      </c>
      <c r="N2317">
        <v>0</v>
      </c>
      <c r="O2317">
        <v>102788</v>
      </c>
    </row>
    <row r="2318" spans="1:15" x14ac:dyDescent="0.35">
      <c r="A2318">
        <v>2317</v>
      </c>
      <c r="B2318" s="2" t="s">
        <v>22</v>
      </c>
      <c r="C2318" s="2" t="s">
        <v>15</v>
      </c>
      <c r="D2318">
        <v>50</v>
      </c>
      <c r="E2318" s="2" t="s">
        <v>16</v>
      </c>
      <c r="F2318" s="2" t="s">
        <v>21</v>
      </c>
      <c r="G2318">
        <v>92654</v>
      </c>
      <c r="H2318" s="1">
        <v>44574</v>
      </c>
      <c r="I2318">
        <v>4</v>
      </c>
      <c r="J2318">
        <v>2</v>
      </c>
      <c r="K2318">
        <v>9265</v>
      </c>
      <c r="L2318">
        <v>4633</v>
      </c>
      <c r="M2318">
        <v>97286</v>
      </c>
      <c r="N2318">
        <v>0</v>
      </c>
      <c r="O2318">
        <v>101919</v>
      </c>
    </row>
    <row r="2319" spans="1:15" x14ac:dyDescent="0.35">
      <c r="A2319">
        <v>2318</v>
      </c>
      <c r="B2319" s="2" t="s">
        <v>18</v>
      </c>
      <c r="C2319" s="2" t="s">
        <v>15</v>
      </c>
      <c r="D2319">
        <v>23</v>
      </c>
      <c r="E2319" s="2" t="s">
        <v>16</v>
      </c>
      <c r="F2319" s="2" t="s">
        <v>21</v>
      </c>
      <c r="G2319">
        <v>88146</v>
      </c>
      <c r="H2319" s="1">
        <v>45494</v>
      </c>
      <c r="I2319">
        <v>12</v>
      </c>
      <c r="J2319">
        <v>2</v>
      </c>
      <c r="K2319">
        <v>8815</v>
      </c>
      <c r="L2319">
        <v>4407</v>
      </c>
      <c r="M2319">
        <v>92554</v>
      </c>
      <c r="N2319">
        <v>4407</v>
      </c>
      <c r="O2319">
        <v>101368</v>
      </c>
    </row>
    <row r="2320" spans="1:15" x14ac:dyDescent="0.35">
      <c r="A2320">
        <v>2319</v>
      </c>
      <c r="B2320" s="2" t="s">
        <v>22</v>
      </c>
      <c r="C2320" s="2" t="s">
        <v>11</v>
      </c>
      <c r="D2320">
        <v>45</v>
      </c>
      <c r="E2320" s="2" t="s">
        <v>12</v>
      </c>
      <c r="F2320" s="2" t="s">
        <v>17</v>
      </c>
      <c r="G2320">
        <v>81928</v>
      </c>
      <c r="H2320" s="1">
        <v>45133</v>
      </c>
      <c r="I2320">
        <v>3</v>
      </c>
      <c r="J2320">
        <v>4</v>
      </c>
      <c r="K2320">
        <v>8193</v>
      </c>
      <c r="L2320">
        <v>4096</v>
      </c>
      <c r="M2320">
        <v>86025</v>
      </c>
      <c r="N2320">
        <v>0</v>
      </c>
      <c r="O2320">
        <v>90121</v>
      </c>
    </row>
    <row r="2321" spans="1:15" x14ac:dyDescent="0.35">
      <c r="A2321">
        <v>2320</v>
      </c>
      <c r="B2321" s="2" t="s">
        <v>30</v>
      </c>
      <c r="C2321" s="2" t="s">
        <v>11</v>
      </c>
      <c r="D2321">
        <v>23</v>
      </c>
      <c r="E2321" s="2" t="s">
        <v>24</v>
      </c>
      <c r="F2321" s="2" t="s">
        <v>21</v>
      </c>
      <c r="G2321">
        <v>45767</v>
      </c>
      <c r="H2321" s="1">
        <v>45115</v>
      </c>
      <c r="I2321">
        <v>19</v>
      </c>
      <c r="J2321">
        <v>3</v>
      </c>
      <c r="K2321">
        <v>4577</v>
      </c>
      <c r="L2321">
        <v>2288</v>
      </c>
      <c r="M2321">
        <v>48056</v>
      </c>
      <c r="N2321">
        <v>2288</v>
      </c>
      <c r="O2321">
        <v>52632</v>
      </c>
    </row>
    <row r="2322" spans="1:15" x14ac:dyDescent="0.35">
      <c r="A2322">
        <v>2321</v>
      </c>
      <c r="B2322" s="2" t="s">
        <v>27</v>
      </c>
      <c r="C2322" s="2" t="s">
        <v>11</v>
      </c>
      <c r="D2322">
        <v>51</v>
      </c>
      <c r="E2322" s="2" t="s">
        <v>28</v>
      </c>
      <c r="F2322" s="2" t="s">
        <v>17</v>
      </c>
      <c r="G2322">
        <v>78823</v>
      </c>
      <c r="H2322" s="1">
        <v>44595</v>
      </c>
      <c r="I2322">
        <v>17</v>
      </c>
      <c r="J2322">
        <v>3</v>
      </c>
      <c r="K2322">
        <v>7882</v>
      </c>
      <c r="L2322">
        <v>3941</v>
      </c>
      <c r="M2322">
        <v>82764</v>
      </c>
      <c r="N2322">
        <v>3941</v>
      </c>
      <c r="O2322">
        <v>90646</v>
      </c>
    </row>
    <row r="2323" spans="1:15" x14ac:dyDescent="0.35">
      <c r="A2323">
        <v>2322</v>
      </c>
      <c r="B2323" s="2" t="s">
        <v>14</v>
      </c>
      <c r="C2323" s="2" t="s">
        <v>11</v>
      </c>
      <c r="D2323">
        <v>27</v>
      </c>
      <c r="E2323" s="2" t="s">
        <v>28</v>
      </c>
      <c r="F2323" s="2" t="s">
        <v>21</v>
      </c>
      <c r="G2323">
        <v>42994</v>
      </c>
      <c r="H2323" s="1">
        <v>45187</v>
      </c>
      <c r="I2323">
        <v>17</v>
      </c>
      <c r="J2323">
        <v>3</v>
      </c>
      <c r="K2323">
        <v>4299</v>
      </c>
      <c r="L2323">
        <v>2150</v>
      </c>
      <c r="M2323">
        <v>45143</v>
      </c>
      <c r="N2323">
        <v>2150</v>
      </c>
      <c r="O2323">
        <v>49443</v>
      </c>
    </row>
    <row r="2324" spans="1:15" x14ac:dyDescent="0.35">
      <c r="A2324">
        <v>2323</v>
      </c>
      <c r="B2324" s="2" t="s">
        <v>20</v>
      </c>
      <c r="C2324" s="2" t="s">
        <v>15</v>
      </c>
      <c r="D2324">
        <v>49</v>
      </c>
      <c r="E2324" s="2" t="s">
        <v>24</v>
      </c>
      <c r="F2324" s="2" t="s">
        <v>13</v>
      </c>
      <c r="G2324">
        <v>91386</v>
      </c>
      <c r="H2324" s="1">
        <v>44638</v>
      </c>
      <c r="I2324">
        <v>7</v>
      </c>
      <c r="J2324">
        <v>5</v>
      </c>
      <c r="K2324">
        <v>9139</v>
      </c>
      <c r="L2324">
        <v>4569</v>
      </c>
      <c r="M2324">
        <v>95956</v>
      </c>
      <c r="N2324">
        <v>4569</v>
      </c>
      <c r="O2324">
        <v>105094</v>
      </c>
    </row>
    <row r="2325" spans="1:15" x14ac:dyDescent="0.35">
      <c r="A2325">
        <v>2324</v>
      </c>
      <c r="B2325" s="2" t="s">
        <v>23</v>
      </c>
      <c r="C2325" s="2" t="s">
        <v>11</v>
      </c>
      <c r="D2325">
        <v>56</v>
      </c>
      <c r="E2325" s="2" t="s">
        <v>28</v>
      </c>
      <c r="F2325" s="2" t="s">
        <v>19</v>
      </c>
      <c r="G2325">
        <v>98339</v>
      </c>
      <c r="H2325" s="1">
        <v>45186</v>
      </c>
      <c r="I2325">
        <v>6</v>
      </c>
      <c r="J2325">
        <v>2</v>
      </c>
      <c r="K2325">
        <v>9834</v>
      </c>
      <c r="L2325">
        <v>4917</v>
      </c>
      <c r="M2325">
        <v>103256</v>
      </c>
      <c r="N2325">
        <v>4917</v>
      </c>
      <c r="O2325">
        <v>113090</v>
      </c>
    </row>
    <row r="2326" spans="1:15" x14ac:dyDescent="0.35">
      <c r="A2326">
        <v>2325</v>
      </c>
      <c r="B2326" s="2" t="s">
        <v>18</v>
      </c>
      <c r="C2326" s="2" t="s">
        <v>15</v>
      </c>
      <c r="D2326">
        <v>48</v>
      </c>
      <c r="E2326" s="2" t="s">
        <v>16</v>
      </c>
      <c r="F2326" s="2" t="s">
        <v>17</v>
      </c>
      <c r="G2326">
        <v>59966</v>
      </c>
      <c r="H2326" s="1">
        <v>45043</v>
      </c>
      <c r="I2326">
        <v>11</v>
      </c>
      <c r="J2326">
        <v>5</v>
      </c>
      <c r="K2326">
        <v>5997</v>
      </c>
      <c r="L2326">
        <v>2998</v>
      </c>
      <c r="M2326">
        <v>62965</v>
      </c>
      <c r="N2326">
        <v>2998</v>
      </c>
      <c r="O2326">
        <v>68961</v>
      </c>
    </row>
    <row r="2327" spans="1:15" x14ac:dyDescent="0.35">
      <c r="A2327">
        <v>2326</v>
      </c>
      <c r="B2327" s="2" t="s">
        <v>20</v>
      </c>
      <c r="C2327" s="2" t="s">
        <v>11</v>
      </c>
      <c r="D2327">
        <v>27</v>
      </c>
      <c r="E2327" s="2" t="s">
        <v>24</v>
      </c>
      <c r="F2327" s="2" t="s">
        <v>13</v>
      </c>
      <c r="G2327">
        <v>27957</v>
      </c>
      <c r="H2327" s="1">
        <v>45024</v>
      </c>
      <c r="I2327">
        <v>1</v>
      </c>
      <c r="J2327">
        <v>5</v>
      </c>
      <c r="K2327">
        <v>2796</v>
      </c>
      <c r="L2327">
        <v>1398</v>
      </c>
      <c r="M2327">
        <v>29355</v>
      </c>
      <c r="N2327">
        <v>0</v>
      </c>
      <c r="O2327">
        <v>30753</v>
      </c>
    </row>
    <row r="2328" spans="1:15" x14ac:dyDescent="0.35">
      <c r="A2328">
        <v>2327</v>
      </c>
      <c r="B2328" s="2" t="s">
        <v>30</v>
      </c>
      <c r="C2328" s="2" t="s">
        <v>11</v>
      </c>
      <c r="D2328">
        <v>22</v>
      </c>
      <c r="E2328" s="2" t="s">
        <v>12</v>
      </c>
      <c r="F2328" s="2" t="s">
        <v>17</v>
      </c>
      <c r="G2328">
        <v>26750</v>
      </c>
      <c r="H2328" s="1">
        <v>45048</v>
      </c>
      <c r="I2328">
        <v>9</v>
      </c>
      <c r="J2328">
        <v>4</v>
      </c>
      <c r="K2328">
        <v>2675</v>
      </c>
      <c r="L2328">
        <v>1338</v>
      </c>
      <c r="M2328">
        <v>28087</v>
      </c>
      <c r="N2328">
        <v>1338</v>
      </c>
      <c r="O2328">
        <v>30763</v>
      </c>
    </row>
    <row r="2329" spans="1:15" x14ac:dyDescent="0.35">
      <c r="A2329">
        <v>2328</v>
      </c>
      <c r="B2329" s="2" t="s">
        <v>26</v>
      </c>
      <c r="C2329" s="2" t="s">
        <v>15</v>
      </c>
      <c r="D2329">
        <v>49</v>
      </c>
      <c r="E2329" s="2" t="s">
        <v>12</v>
      </c>
      <c r="F2329" s="2" t="s">
        <v>19</v>
      </c>
      <c r="G2329">
        <v>43648</v>
      </c>
      <c r="H2329" s="1">
        <v>44905</v>
      </c>
      <c r="I2329">
        <v>12</v>
      </c>
      <c r="J2329">
        <v>2</v>
      </c>
      <c r="K2329">
        <v>4365</v>
      </c>
      <c r="L2329">
        <v>2182</v>
      </c>
      <c r="M2329">
        <v>45831</v>
      </c>
      <c r="N2329">
        <v>2182</v>
      </c>
      <c r="O2329">
        <v>50195</v>
      </c>
    </row>
    <row r="2330" spans="1:15" x14ac:dyDescent="0.35">
      <c r="A2330">
        <v>2329</v>
      </c>
      <c r="B2330" s="2" t="s">
        <v>18</v>
      </c>
      <c r="C2330" s="2" t="s">
        <v>11</v>
      </c>
      <c r="D2330">
        <v>40</v>
      </c>
      <c r="E2330" s="2" t="s">
        <v>24</v>
      </c>
      <c r="F2330" s="2" t="s">
        <v>21</v>
      </c>
      <c r="G2330">
        <v>95230</v>
      </c>
      <c r="H2330" s="1">
        <v>45141</v>
      </c>
      <c r="I2330">
        <v>9</v>
      </c>
      <c r="J2330">
        <v>3</v>
      </c>
      <c r="K2330">
        <v>9523</v>
      </c>
      <c r="L2330">
        <v>4762</v>
      </c>
      <c r="M2330">
        <v>99991</v>
      </c>
      <c r="N2330">
        <v>4762</v>
      </c>
      <c r="O2330">
        <v>109515</v>
      </c>
    </row>
    <row r="2331" spans="1:15" x14ac:dyDescent="0.35">
      <c r="A2331">
        <v>2330</v>
      </c>
      <c r="B2331" s="2" t="s">
        <v>27</v>
      </c>
      <c r="C2331" s="2" t="s">
        <v>15</v>
      </c>
      <c r="D2331">
        <v>49</v>
      </c>
      <c r="E2331" s="2" t="s">
        <v>29</v>
      </c>
      <c r="F2331" s="2" t="s">
        <v>17</v>
      </c>
      <c r="G2331">
        <v>30846</v>
      </c>
      <c r="H2331" s="1">
        <v>44790</v>
      </c>
      <c r="I2331">
        <v>10</v>
      </c>
      <c r="J2331">
        <v>2</v>
      </c>
      <c r="K2331">
        <v>3085</v>
      </c>
      <c r="L2331">
        <v>1542</v>
      </c>
      <c r="M2331">
        <v>32389</v>
      </c>
      <c r="N2331">
        <v>1542</v>
      </c>
      <c r="O2331">
        <v>35473</v>
      </c>
    </row>
    <row r="2332" spans="1:15" x14ac:dyDescent="0.35">
      <c r="A2332">
        <v>2331</v>
      </c>
      <c r="B2332" s="2" t="s">
        <v>31</v>
      </c>
      <c r="C2332" s="2" t="s">
        <v>15</v>
      </c>
      <c r="D2332">
        <v>54</v>
      </c>
      <c r="E2332" s="2" t="s">
        <v>24</v>
      </c>
      <c r="F2332" s="2" t="s">
        <v>13</v>
      </c>
      <c r="G2332">
        <v>70724</v>
      </c>
      <c r="H2332" s="1">
        <v>44774</v>
      </c>
      <c r="I2332">
        <v>15</v>
      </c>
      <c r="J2332">
        <v>5</v>
      </c>
      <c r="K2332">
        <v>7072</v>
      </c>
      <c r="L2332">
        <v>3536</v>
      </c>
      <c r="M2332">
        <v>74260</v>
      </c>
      <c r="N2332">
        <v>3536</v>
      </c>
      <c r="O2332">
        <v>81332</v>
      </c>
    </row>
    <row r="2333" spans="1:15" x14ac:dyDescent="0.35">
      <c r="A2333">
        <v>2332</v>
      </c>
      <c r="B2333" s="2" t="s">
        <v>18</v>
      </c>
      <c r="C2333" s="2" t="s">
        <v>15</v>
      </c>
      <c r="D2333">
        <v>24</v>
      </c>
      <c r="E2333" s="2" t="s">
        <v>24</v>
      </c>
      <c r="F2333" s="2" t="s">
        <v>19</v>
      </c>
      <c r="G2333">
        <v>73073</v>
      </c>
      <c r="H2333" s="1">
        <v>44742</v>
      </c>
      <c r="I2333">
        <v>8</v>
      </c>
      <c r="J2333">
        <v>3</v>
      </c>
      <c r="K2333">
        <v>7307</v>
      </c>
      <c r="L2333">
        <v>3654</v>
      </c>
      <c r="M2333">
        <v>76726</v>
      </c>
      <c r="N2333">
        <v>3654</v>
      </c>
      <c r="O2333">
        <v>84034</v>
      </c>
    </row>
    <row r="2334" spans="1:15" x14ac:dyDescent="0.35">
      <c r="A2334">
        <v>2333</v>
      </c>
      <c r="B2334" s="2" t="s">
        <v>18</v>
      </c>
      <c r="C2334" s="2" t="s">
        <v>15</v>
      </c>
      <c r="D2334">
        <v>33</v>
      </c>
      <c r="E2334" s="2" t="s">
        <v>28</v>
      </c>
      <c r="F2334" s="2" t="s">
        <v>17</v>
      </c>
      <c r="G2334">
        <v>78629</v>
      </c>
      <c r="H2334" s="1">
        <v>45381</v>
      </c>
      <c r="I2334">
        <v>12</v>
      </c>
      <c r="J2334">
        <v>3</v>
      </c>
      <c r="K2334">
        <v>7863</v>
      </c>
      <c r="L2334">
        <v>3931</v>
      </c>
      <c r="M2334">
        <v>82561</v>
      </c>
      <c r="N2334">
        <v>3931</v>
      </c>
      <c r="O2334">
        <v>90423</v>
      </c>
    </row>
    <row r="2335" spans="1:15" x14ac:dyDescent="0.35">
      <c r="A2335">
        <v>2334</v>
      </c>
      <c r="B2335" s="2" t="s">
        <v>23</v>
      </c>
      <c r="C2335" s="2" t="s">
        <v>11</v>
      </c>
      <c r="D2335">
        <v>22</v>
      </c>
      <c r="E2335" s="2" t="s">
        <v>28</v>
      </c>
      <c r="F2335" s="2" t="s">
        <v>13</v>
      </c>
      <c r="G2335">
        <v>43384</v>
      </c>
      <c r="H2335" s="1">
        <v>44854</v>
      </c>
      <c r="I2335">
        <v>20</v>
      </c>
      <c r="J2335">
        <v>1</v>
      </c>
      <c r="K2335">
        <v>4338</v>
      </c>
      <c r="L2335">
        <v>2169</v>
      </c>
      <c r="M2335">
        <v>45553</v>
      </c>
      <c r="N2335">
        <v>2169</v>
      </c>
      <c r="O2335">
        <v>49891</v>
      </c>
    </row>
    <row r="2336" spans="1:15" x14ac:dyDescent="0.35">
      <c r="A2336">
        <v>2335</v>
      </c>
      <c r="B2336" s="2" t="s">
        <v>14</v>
      </c>
      <c r="C2336" s="2" t="s">
        <v>11</v>
      </c>
      <c r="D2336">
        <v>21</v>
      </c>
      <c r="E2336" s="2" t="s">
        <v>12</v>
      </c>
      <c r="F2336" s="2" t="s">
        <v>21</v>
      </c>
      <c r="G2336">
        <v>97416</v>
      </c>
      <c r="H2336" s="1">
        <v>45212</v>
      </c>
      <c r="I2336">
        <v>5</v>
      </c>
      <c r="J2336">
        <v>1</v>
      </c>
      <c r="K2336">
        <v>9742</v>
      </c>
      <c r="L2336">
        <v>4871</v>
      </c>
      <c r="M2336">
        <v>102287</v>
      </c>
      <c r="N2336">
        <v>0</v>
      </c>
      <c r="O2336">
        <v>107158</v>
      </c>
    </row>
    <row r="2337" spans="1:15" x14ac:dyDescent="0.35">
      <c r="A2337">
        <v>2336</v>
      </c>
      <c r="B2337" s="2" t="s">
        <v>18</v>
      </c>
      <c r="C2337" s="2" t="s">
        <v>11</v>
      </c>
      <c r="D2337">
        <v>48</v>
      </c>
      <c r="E2337" s="2" t="s">
        <v>12</v>
      </c>
      <c r="F2337" s="2" t="s">
        <v>21</v>
      </c>
      <c r="G2337">
        <v>82325</v>
      </c>
      <c r="H2337" s="1">
        <v>45515</v>
      </c>
      <c r="I2337">
        <v>15</v>
      </c>
      <c r="J2337">
        <v>2</v>
      </c>
      <c r="K2337">
        <v>8232</v>
      </c>
      <c r="L2337">
        <v>4116</v>
      </c>
      <c r="M2337">
        <v>86441</v>
      </c>
      <c r="N2337">
        <v>4116</v>
      </c>
      <c r="O2337">
        <v>94673</v>
      </c>
    </row>
    <row r="2338" spans="1:15" x14ac:dyDescent="0.35">
      <c r="A2338">
        <v>2337</v>
      </c>
      <c r="B2338" s="2" t="s">
        <v>30</v>
      </c>
      <c r="C2338" s="2" t="s">
        <v>15</v>
      </c>
      <c r="D2338">
        <v>25</v>
      </c>
      <c r="E2338" s="2" t="s">
        <v>12</v>
      </c>
      <c r="F2338" s="2" t="s">
        <v>25</v>
      </c>
      <c r="G2338">
        <v>59595</v>
      </c>
      <c r="H2338" s="1">
        <v>44926</v>
      </c>
      <c r="I2338">
        <v>9</v>
      </c>
      <c r="J2338">
        <v>3</v>
      </c>
      <c r="K2338">
        <v>5960</v>
      </c>
      <c r="L2338">
        <v>2980</v>
      </c>
      <c r="M2338">
        <v>62575</v>
      </c>
      <c r="N2338">
        <v>2980</v>
      </c>
      <c r="O2338">
        <v>68535</v>
      </c>
    </row>
    <row r="2339" spans="1:15" x14ac:dyDescent="0.35">
      <c r="A2339">
        <v>2338</v>
      </c>
      <c r="B2339" s="2" t="s">
        <v>18</v>
      </c>
      <c r="C2339" s="2" t="s">
        <v>15</v>
      </c>
      <c r="D2339">
        <v>53</v>
      </c>
      <c r="E2339" s="2" t="s">
        <v>29</v>
      </c>
      <c r="F2339" s="2" t="s">
        <v>21</v>
      </c>
      <c r="G2339">
        <v>22245</v>
      </c>
      <c r="H2339" s="1">
        <v>45542</v>
      </c>
      <c r="I2339">
        <v>17</v>
      </c>
      <c r="J2339">
        <v>4</v>
      </c>
      <c r="K2339">
        <v>2224</v>
      </c>
      <c r="L2339">
        <v>1112</v>
      </c>
      <c r="M2339">
        <v>23357</v>
      </c>
      <c r="N2339">
        <v>1112</v>
      </c>
      <c r="O2339">
        <v>25581</v>
      </c>
    </row>
    <row r="2340" spans="1:15" x14ac:dyDescent="0.35">
      <c r="A2340">
        <v>2339</v>
      </c>
      <c r="B2340" s="2" t="s">
        <v>10</v>
      </c>
      <c r="C2340" s="2" t="s">
        <v>15</v>
      </c>
      <c r="D2340">
        <v>38</v>
      </c>
      <c r="E2340" s="2" t="s">
        <v>24</v>
      </c>
      <c r="F2340" s="2" t="s">
        <v>25</v>
      </c>
      <c r="G2340">
        <v>52909</v>
      </c>
      <c r="H2340" s="1">
        <v>45145</v>
      </c>
      <c r="I2340">
        <v>2</v>
      </c>
      <c r="J2340">
        <v>5</v>
      </c>
      <c r="K2340">
        <v>5291</v>
      </c>
      <c r="L2340">
        <v>2645</v>
      </c>
      <c r="M2340">
        <v>55555</v>
      </c>
      <c r="N2340">
        <v>0</v>
      </c>
      <c r="O2340">
        <v>58200</v>
      </c>
    </row>
    <row r="2341" spans="1:15" x14ac:dyDescent="0.35">
      <c r="A2341">
        <v>2340</v>
      </c>
      <c r="B2341" s="2" t="s">
        <v>18</v>
      </c>
      <c r="C2341" s="2" t="s">
        <v>15</v>
      </c>
      <c r="D2341">
        <v>24</v>
      </c>
      <c r="E2341" s="2" t="s">
        <v>28</v>
      </c>
      <c r="F2341" s="2" t="s">
        <v>19</v>
      </c>
      <c r="G2341">
        <v>85033</v>
      </c>
      <c r="H2341" s="1">
        <v>44878</v>
      </c>
      <c r="I2341">
        <v>14</v>
      </c>
      <c r="J2341">
        <v>2</v>
      </c>
      <c r="K2341">
        <v>8503</v>
      </c>
      <c r="L2341">
        <v>4252</v>
      </c>
      <c r="M2341">
        <v>89284</v>
      </c>
      <c r="N2341">
        <v>4252</v>
      </c>
      <c r="O2341">
        <v>97788</v>
      </c>
    </row>
    <row r="2342" spans="1:15" x14ac:dyDescent="0.35">
      <c r="A2342">
        <v>2341</v>
      </c>
      <c r="B2342" s="2" t="s">
        <v>27</v>
      </c>
      <c r="C2342" s="2" t="s">
        <v>15</v>
      </c>
      <c r="D2342">
        <v>48</v>
      </c>
      <c r="E2342" s="2" t="s">
        <v>12</v>
      </c>
      <c r="F2342" s="2" t="s">
        <v>19</v>
      </c>
      <c r="G2342">
        <v>29300</v>
      </c>
      <c r="H2342" s="1">
        <v>45271</v>
      </c>
      <c r="I2342">
        <v>17</v>
      </c>
      <c r="J2342">
        <v>1</v>
      </c>
      <c r="K2342">
        <v>2930</v>
      </c>
      <c r="L2342">
        <v>1465</v>
      </c>
      <c r="M2342">
        <v>30765</v>
      </c>
      <c r="N2342">
        <v>1465</v>
      </c>
      <c r="O2342">
        <v>33695</v>
      </c>
    </row>
    <row r="2343" spans="1:15" x14ac:dyDescent="0.35">
      <c r="A2343">
        <v>2342</v>
      </c>
      <c r="B2343" s="2" t="s">
        <v>18</v>
      </c>
      <c r="C2343" s="2" t="s">
        <v>11</v>
      </c>
      <c r="D2343">
        <v>52</v>
      </c>
      <c r="E2343" s="2" t="s">
        <v>12</v>
      </c>
      <c r="F2343" s="2" t="s">
        <v>19</v>
      </c>
      <c r="G2343">
        <v>96499</v>
      </c>
      <c r="H2343" s="1">
        <v>44946</v>
      </c>
      <c r="I2343">
        <v>11</v>
      </c>
      <c r="J2343">
        <v>1</v>
      </c>
      <c r="K2343">
        <v>9650</v>
      </c>
      <c r="L2343">
        <v>4825</v>
      </c>
      <c r="M2343">
        <v>101324</v>
      </c>
      <c r="N2343">
        <v>4825</v>
      </c>
      <c r="O2343">
        <v>110974</v>
      </c>
    </row>
    <row r="2344" spans="1:15" x14ac:dyDescent="0.35">
      <c r="A2344">
        <v>2343</v>
      </c>
      <c r="B2344" s="2" t="s">
        <v>10</v>
      </c>
      <c r="C2344" s="2" t="s">
        <v>11</v>
      </c>
      <c r="D2344">
        <v>34</v>
      </c>
      <c r="E2344" s="2" t="s">
        <v>29</v>
      </c>
      <c r="F2344" s="2" t="s">
        <v>25</v>
      </c>
      <c r="G2344">
        <v>59510</v>
      </c>
      <c r="H2344" s="1">
        <v>44695</v>
      </c>
      <c r="I2344">
        <v>9</v>
      </c>
      <c r="J2344">
        <v>3</v>
      </c>
      <c r="K2344">
        <v>5951</v>
      </c>
      <c r="L2344">
        <v>2976</v>
      </c>
      <c r="M2344">
        <v>62485</v>
      </c>
      <c r="N2344">
        <v>2976</v>
      </c>
      <c r="O2344">
        <v>68437</v>
      </c>
    </row>
    <row r="2345" spans="1:15" x14ac:dyDescent="0.35">
      <c r="A2345">
        <v>2344</v>
      </c>
      <c r="B2345" s="2" t="s">
        <v>10</v>
      </c>
      <c r="C2345" s="2" t="s">
        <v>15</v>
      </c>
      <c r="D2345">
        <v>39</v>
      </c>
      <c r="E2345" s="2" t="s">
        <v>12</v>
      </c>
      <c r="F2345" s="2" t="s">
        <v>19</v>
      </c>
      <c r="G2345">
        <v>64638</v>
      </c>
      <c r="H2345" s="1">
        <v>45453</v>
      </c>
      <c r="I2345">
        <v>4</v>
      </c>
      <c r="J2345">
        <v>3</v>
      </c>
      <c r="K2345">
        <v>6464</v>
      </c>
      <c r="L2345">
        <v>3232</v>
      </c>
      <c r="M2345">
        <v>67870</v>
      </c>
      <c r="N2345">
        <v>0</v>
      </c>
      <c r="O2345">
        <v>71102</v>
      </c>
    </row>
    <row r="2346" spans="1:15" x14ac:dyDescent="0.35">
      <c r="A2346">
        <v>2345</v>
      </c>
      <c r="B2346" s="2" t="s">
        <v>20</v>
      </c>
      <c r="C2346" s="2" t="s">
        <v>15</v>
      </c>
      <c r="D2346">
        <v>60</v>
      </c>
      <c r="E2346" s="2" t="s">
        <v>28</v>
      </c>
      <c r="F2346" s="2" t="s">
        <v>13</v>
      </c>
      <c r="G2346">
        <v>75719</v>
      </c>
      <c r="H2346" s="1">
        <v>45244</v>
      </c>
      <c r="I2346">
        <v>17</v>
      </c>
      <c r="J2346">
        <v>5</v>
      </c>
      <c r="K2346">
        <v>7572</v>
      </c>
      <c r="L2346">
        <v>3786</v>
      </c>
      <c r="M2346">
        <v>79505</v>
      </c>
      <c r="N2346">
        <v>3786</v>
      </c>
      <c r="O2346">
        <v>87077</v>
      </c>
    </row>
    <row r="2347" spans="1:15" x14ac:dyDescent="0.35">
      <c r="A2347">
        <v>2346</v>
      </c>
      <c r="B2347" s="2" t="s">
        <v>27</v>
      </c>
      <c r="C2347" s="2" t="s">
        <v>15</v>
      </c>
      <c r="D2347">
        <v>48</v>
      </c>
      <c r="E2347" s="2" t="s">
        <v>12</v>
      </c>
      <c r="F2347" s="2" t="s">
        <v>19</v>
      </c>
      <c r="G2347">
        <v>49164</v>
      </c>
      <c r="H2347" s="1">
        <v>44799</v>
      </c>
      <c r="I2347">
        <v>9</v>
      </c>
      <c r="J2347">
        <v>4</v>
      </c>
      <c r="K2347">
        <v>4916</v>
      </c>
      <c r="L2347">
        <v>2458</v>
      </c>
      <c r="M2347">
        <v>51622</v>
      </c>
      <c r="N2347">
        <v>2458</v>
      </c>
      <c r="O2347">
        <v>56538</v>
      </c>
    </row>
    <row r="2348" spans="1:15" x14ac:dyDescent="0.35">
      <c r="A2348">
        <v>2347</v>
      </c>
      <c r="B2348" s="2" t="s">
        <v>10</v>
      </c>
      <c r="C2348" s="2" t="s">
        <v>15</v>
      </c>
      <c r="D2348">
        <v>42</v>
      </c>
      <c r="E2348" s="2" t="s">
        <v>16</v>
      </c>
      <c r="F2348" s="2" t="s">
        <v>25</v>
      </c>
      <c r="G2348">
        <v>53307</v>
      </c>
      <c r="H2348" s="1">
        <v>45208</v>
      </c>
      <c r="I2348">
        <v>13</v>
      </c>
      <c r="J2348">
        <v>5</v>
      </c>
      <c r="K2348">
        <v>5331</v>
      </c>
      <c r="L2348">
        <v>2665</v>
      </c>
      <c r="M2348">
        <v>55973</v>
      </c>
      <c r="N2348">
        <v>2665</v>
      </c>
      <c r="O2348">
        <v>61303</v>
      </c>
    </row>
    <row r="2349" spans="1:15" x14ac:dyDescent="0.35">
      <c r="A2349">
        <v>2348</v>
      </c>
      <c r="B2349" s="2" t="s">
        <v>14</v>
      </c>
      <c r="C2349" s="2" t="s">
        <v>11</v>
      </c>
      <c r="D2349">
        <v>38</v>
      </c>
      <c r="E2349" s="2" t="s">
        <v>12</v>
      </c>
      <c r="F2349" s="2" t="s">
        <v>13</v>
      </c>
      <c r="G2349">
        <v>48811</v>
      </c>
      <c r="H2349" s="1">
        <v>45265</v>
      </c>
      <c r="I2349">
        <v>6</v>
      </c>
      <c r="J2349">
        <v>5</v>
      </c>
      <c r="K2349">
        <v>4881</v>
      </c>
      <c r="L2349">
        <v>2441</v>
      </c>
      <c r="M2349">
        <v>51251</v>
      </c>
      <c r="N2349">
        <v>2441</v>
      </c>
      <c r="O2349">
        <v>56133</v>
      </c>
    </row>
    <row r="2350" spans="1:15" x14ac:dyDescent="0.35">
      <c r="A2350">
        <v>2349</v>
      </c>
      <c r="B2350" s="2" t="s">
        <v>10</v>
      </c>
      <c r="C2350" s="2" t="s">
        <v>11</v>
      </c>
      <c r="D2350">
        <v>49</v>
      </c>
      <c r="E2350" s="2" t="s">
        <v>24</v>
      </c>
      <c r="F2350" s="2" t="s">
        <v>25</v>
      </c>
      <c r="G2350">
        <v>77395</v>
      </c>
      <c r="H2350" s="1">
        <v>44966</v>
      </c>
      <c r="I2350">
        <v>7</v>
      </c>
      <c r="J2350">
        <v>2</v>
      </c>
      <c r="K2350">
        <v>7740</v>
      </c>
      <c r="L2350">
        <v>3870</v>
      </c>
      <c r="M2350">
        <v>81265</v>
      </c>
      <c r="N2350">
        <v>3870</v>
      </c>
      <c r="O2350">
        <v>89005</v>
      </c>
    </row>
    <row r="2351" spans="1:15" x14ac:dyDescent="0.35">
      <c r="A2351">
        <v>2350</v>
      </c>
      <c r="B2351" s="2" t="s">
        <v>27</v>
      </c>
      <c r="C2351" s="2" t="s">
        <v>11</v>
      </c>
      <c r="D2351">
        <v>24</v>
      </c>
      <c r="E2351" s="2" t="s">
        <v>12</v>
      </c>
      <c r="F2351" s="2" t="s">
        <v>13</v>
      </c>
      <c r="G2351">
        <v>79293</v>
      </c>
      <c r="H2351" s="1">
        <v>45246</v>
      </c>
      <c r="I2351">
        <v>16</v>
      </c>
      <c r="J2351">
        <v>1</v>
      </c>
      <c r="K2351">
        <v>7929</v>
      </c>
      <c r="L2351">
        <v>3965</v>
      </c>
      <c r="M2351">
        <v>83257</v>
      </c>
      <c r="N2351">
        <v>3965</v>
      </c>
      <c r="O2351">
        <v>91187</v>
      </c>
    </row>
    <row r="2352" spans="1:15" x14ac:dyDescent="0.35">
      <c r="A2352">
        <v>2351</v>
      </c>
      <c r="B2352" s="2" t="s">
        <v>18</v>
      </c>
      <c r="C2352" s="2" t="s">
        <v>11</v>
      </c>
      <c r="D2352">
        <v>39</v>
      </c>
      <c r="E2352" s="2" t="s">
        <v>28</v>
      </c>
      <c r="F2352" s="2" t="s">
        <v>13</v>
      </c>
      <c r="G2352">
        <v>31154</v>
      </c>
      <c r="H2352" s="1">
        <v>44969</v>
      </c>
      <c r="I2352">
        <v>17</v>
      </c>
      <c r="J2352">
        <v>4</v>
      </c>
      <c r="K2352">
        <v>3115</v>
      </c>
      <c r="L2352">
        <v>1558</v>
      </c>
      <c r="M2352">
        <v>32711</v>
      </c>
      <c r="N2352">
        <v>1558</v>
      </c>
      <c r="O2352">
        <v>35827</v>
      </c>
    </row>
    <row r="2353" spans="1:15" x14ac:dyDescent="0.35">
      <c r="A2353">
        <v>2352</v>
      </c>
      <c r="B2353" s="2" t="s">
        <v>22</v>
      </c>
      <c r="C2353" s="2" t="s">
        <v>11</v>
      </c>
      <c r="D2353">
        <v>30</v>
      </c>
      <c r="E2353" s="2" t="s">
        <v>12</v>
      </c>
      <c r="F2353" s="2" t="s">
        <v>25</v>
      </c>
      <c r="G2353">
        <v>96790</v>
      </c>
      <c r="H2353" s="1">
        <v>44870</v>
      </c>
      <c r="I2353">
        <v>18</v>
      </c>
      <c r="J2353">
        <v>5</v>
      </c>
      <c r="K2353">
        <v>9679</v>
      </c>
      <c r="L2353">
        <v>4840</v>
      </c>
      <c r="M2353">
        <v>101629</v>
      </c>
      <c r="N2353">
        <v>4840</v>
      </c>
      <c r="O2353">
        <v>111309</v>
      </c>
    </row>
    <row r="2354" spans="1:15" x14ac:dyDescent="0.35">
      <c r="A2354">
        <v>2353</v>
      </c>
      <c r="B2354" s="2" t="s">
        <v>30</v>
      </c>
      <c r="C2354" s="2" t="s">
        <v>11</v>
      </c>
      <c r="D2354">
        <v>44</v>
      </c>
      <c r="E2354" s="2" t="s">
        <v>12</v>
      </c>
      <c r="F2354" s="2" t="s">
        <v>21</v>
      </c>
      <c r="G2354">
        <v>85454</v>
      </c>
      <c r="H2354" s="1">
        <v>45411</v>
      </c>
      <c r="I2354">
        <v>13</v>
      </c>
      <c r="J2354">
        <v>4</v>
      </c>
      <c r="K2354">
        <v>8545</v>
      </c>
      <c r="L2354">
        <v>4273</v>
      </c>
      <c r="M2354">
        <v>89726</v>
      </c>
      <c r="N2354">
        <v>4273</v>
      </c>
      <c r="O2354">
        <v>98272</v>
      </c>
    </row>
    <row r="2355" spans="1:15" x14ac:dyDescent="0.35">
      <c r="A2355">
        <v>2354</v>
      </c>
      <c r="B2355" s="2" t="s">
        <v>10</v>
      </c>
      <c r="C2355" s="2" t="s">
        <v>15</v>
      </c>
      <c r="D2355">
        <v>22</v>
      </c>
      <c r="E2355" s="2" t="s">
        <v>29</v>
      </c>
      <c r="F2355" s="2" t="s">
        <v>13</v>
      </c>
      <c r="G2355">
        <v>75011</v>
      </c>
      <c r="H2355" s="1">
        <v>45138</v>
      </c>
      <c r="I2355">
        <v>12</v>
      </c>
      <c r="J2355">
        <v>4</v>
      </c>
      <c r="K2355">
        <v>7501</v>
      </c>
      <c r="L2355">
        <v>3751</v>
      </c>
      <c r="M2355">
        <v>78761</v>
      </c>
      <c r="N2355">
        <v>3751</v>
      </c>
      <c r="O2355">
        <v>86263</v>
      </c>
    </row>
    <row r="2356" spans="1:15" x14ac:dyDescent="0.35">
      <c r="A2356">
        <v>2355</v>
      </c>
      <c r="B2356" s="2" t="s">
        <v>26</v>
      </c>
      <c r="C2356" s="2" t="s">
        <v>15</v>
      </c>
      <c r="D2356">
        <v>34</v>
      </c>
      <c r="E2356" s="2" t="s">
        <v>24</v>
      </c>
      <c r="F2356" s="2" t="s">
        <v>13</v>
      </c>
      <c r="G2356">
        <v>49825</v>
      </c>
      <c r="H2356" s="1">
        <v>44606</v>
      </c>
      <c r="I2356">
        <v>17</v>
      </c>
      <c r="J2356">
        <v>1</v>
      </c>
      <c r="K2356">
        <v>4982</v>
      </c>
      <c r="L2356">
        <v>2491</v>
      </c>
      <c r="M2356">
        <v>52316</v>
      </c>
      <c r="N2356">
        <v>2491</v>
      </c>
      <c r="O2356">
        <v>57298</v>
      </c>
    </row>
    <row r="2357" spans="1:15" x14ac:dyDescent="0.35">
      <c r="A2357">
        <v>2356</v>
      </c>
      <c r="B2357" s="2" t="s">
        <v>27</v>
      </c>
      <c r="C2357" s="2" t="s">
        <v>11</v>
      </c>
      <c r="D2357">
        <v>25</v>
      </c>
      <c r="E2357" s="2" t="s">
        <v>28</v>
      </c>
      <c r="F2357" s="2" t="s">
        <v>19</v>
      </c>
      <c r="G2357">
        <v>99005</v>
      </c>
      <c r="H2357" s="1">
        <v>45416</v>
      </c>
      <c r="I2357">
        <v>1</v>
      </c>
      <c r="J2357">
        <v>3</v>
      </c>
      <c r="K2357">
        <v>9900</v>
      </c>
      <c r="L2357">
        <v>4950</v>
      </c>
      <c r="M2357">
        <v>103955</v>
      </c>
      <c r="N2357">
        <v>0</v>
      </c>
      <c r="O2357">
        <v>108905</v>
      </c>
    </row>
    <row r="2358" spans="1:15" x14ac:dyDescent="0.35">
      <c r="A2358">
        <v>2357</v>
      </c>
      <c r="B2358" s="2" t="s">
        <v>30</v>
      </c>
      <c r="C2358" s="2" t="s">
        <v>11</v>
      </c>
      <c r="D2358">
        <v>24</v>
      </c>
      <c r="E2358" s="2" t="s">
        <v>16</v>
      </c>
      <c r="F2358" s="2" t="s">
        <v>17</v>
      </c>
      <c r="G2358">
        <v>70345</v>
      </c>
      <c r="H2358" s="1">
        <v>44735</v>
      </c>
      <c r="I2358">
        <v>19</v>
      </c>
      <c r="J2358">
        <v>1</v>
      </c>
      <c r="K2358">
        <v>7034</v>
      </c>
      <c r="L2358">
        <v>3517</v>
      </c>
      <c r="M2358">
        <v>73862</v>
      </c>
      <c r="N2358">
        <v>3517</v>
      </c>
      <c r="O2358">
        <v>80896</v>
      </c>
    </row>
    <row r="2359" spans="1:15" x14ac:dyDescent="0.35">
      <c r="A2359">
        <v>2358</v>
      </c>
      <c r="B2359" s="2" t="s">
        <v>30</v>
      </c>
      <c r="C2359" s="2" t="s">
        <v>11</v>
      </c>
      <c r="D2359">
        <v>25</v>
      </c>
      <c r="E2359" s="2" t="s">
        <v>24</v>
      </c>
      <c r="F2359" s="2" t="s">
        <v>17</v>
      </c>
      <c r="G2359">
        <v>35567</v>
      </c>
      <c r="H2359" s="1">
        <v>45456</v>
      </c>
      <c r="I2359">
        <v>13</v>
      </c>
      <c r="J2359">
        <v>5</v>
      </c>
      <c r="K2359">
        <v>3557</v>
      </c>
      <c r="L2359">
        <v>1778</v>
      </c>
      <c r="M2359">
        <v>37346</v>
      </c>
      <c r="N2359">
        <v>1778</v>
      </c>
      <c r="O2359">
        <v>40902</v>
      </c>
    </row>
    <row r="2360" spans="1:15" x14ac:dyDescent="0.35">
      <c r="A2360">
        <v>2359</v>
      </c>
      <c r="B2360" s="2" t="s">
        <v>22</v>
      </c>
      <c r="C2360" s="2" t="s">
        <v>15</v>
      </c>
      <c r="D2360">
        <v>24</v>
      </c>
      <c r="E2360" s="2" t="s">
        <v>12</v>
      </c>
      <c r="F2360" s="2" t="s">
        <v>25</v>
      </c>
      <c r="G2360">
        <v>22768</v>
      </c>
      <c r="H2360" s="1">
        <v>44891</v>
      </c>
      <c r="I2360">
        <v>7</v>
      </c>
      <c r="J2360">
        <v>5</v>
      </c>
      <c r="K2360">
        <v>2277</v>
      </c>
      <c r="L2360">
        <v>1138</v>
      </c>
      <c r="M2360">
        <v>23907</v>
      </c>
      <c r="N2360">
        <v>1138</v>
      </c>
      <c r="O2360">
        <v>26183</v>
      </c>
    </row>
    <row r="2361" spans="1:15" x14ac:dyDescent="0.35">
      <c r="A2361">
        <v>2360</v>
      </c>
      <c r="B2361" s="2" t="s">
        <v>26</v>
      </c>
      <c r="C2361" s="2" t="s">
        <v>11</v>
      </c>
      <c r="D2361">
        <v>33</v>
      </c>
      <c r="E2361" s="2" t="s">
        <v>16</v>
      </c>
      <c r="F2361" s="2" t="s">
        <v>13</v>
      </c>
      <c r="G2361">
        <v>70516</v>
      </c>
      <c r="H2361" s="1">
        <v>45019</v>
      </c>
      <c r="I2361">
        <v>7</v>
      </c>
      <c r="J2361">
        <v>4</v>
      </c>
      <c r="K2361">
        <v>7052</v>
      </c>
      <c r="L2361">
        <v>3526</v>
      </c>
      <c r="M2361">
        <v>74042</v>
      </c>
      <c r="N2361">
        <v>3526</v>
      </c>
      <c r="O2361">
        <v>81094</v>
      </c>
    </row>
    <row r="2362" spans="1:15" x14ac:dyDescent="0.35">
      <c r="A2362">
        <v>2361</v>
      </c>
      <c r="B2362" s="2" t="s">
        <v>26</v>
      </c>
      <c r="C2362" s="2" t="s">
        <v>11</v>
      </c>
      <c r="D2362">
        <v>36</v>
      </c>
      <c r="E2362" s="2" t="s">
        <v>28</v>
      </c>
      <c r="F2362" s="2" t="s">
        <v>25</v>
      </c>
      <c r="G2362">
        <v>59074</v>
      </c>
      <c r="H2362" s="1">
        <v>44629</v>
      </c>
      <c r="I2362">
        <v>1</v>
      </c>
      <c r="J2362">
        <v>4</v>
      </c>
      <c r="K2362">
        <v>5907</v>
      </c>
      <c r="L2362">
        <v>2954</v>
      </c>
      <c r="M2362">
        <v>62027</v>
      </c>
      <c r="N2362">
        <v>0</v>
      </c>
      <c r="O2362">
        <v>64981</v>
      </c>
    </row>
    <row r="2363" spans="1:15" x14ac:dyDescent="0.35">
      <c r="A2363">
        <v>2362</v>
      </c>
      <c r="B2363" s="2" t="s">
        <v>31</v>
      </c>
      <c r="C2363" s="2" t="s">
        <v>15</v>
      </c>
      <c r="D2363">
        <v>21</v>
      </c>
      <c r="E2363" s="2" t="s">
        <v>24</v>
      </c>
      <c r="F2363" s="2" t="s">
        <v>19</v>
      </c>
      <c r="G2363">
        <v>38203</v>
      </c>
      <c r="H2363" s="1">
        <v>45092</v>
      </c>
      <c r="I2363">
        <v>7</v>
      </c>
      <c r="J2363">
        <v>5</v>
      </c>
      <c r="K2363">
        <v>3820</v>
      </c>
      <c r="L2363">
        <v>1910</v>
      </c>
      <c r="M2363">
        <v>40113</v>
      </c>
      <c r="N2363">
        <v>1910</v>
      </c>
      <c r="O2363">
        <v>43933</v>
      </c>
    </row>
    <row r="2364" spans="1:15" x14ac:dyDescent="0.35">
      <c r="A2364">
        <v>2363</v>
      </c>
      <c r="B2364" s="2" t="s">
        <v>18</v>
      </c>
      <c r="C2364" s="2" t="s">
        <v>15</v>
      </c>
      <c r="D2364">
        <v>29</v>
      </c>
      <c r="E2364" s="2" t="s">
        <v>29</v>
      </c>
      <c r="F2364" s="2" t="s">
        <v>21</v>
      </c>
      <c r="G2364">
        <v>79781</v>
      </c>
      <c r="H2364" s="1">
        <v>44688</v>
      </c>
      <c r="I2364">
        <v>3</v>
      </c>
      <c r="J2364">
        <v>4</v>
      </c>
      <c r="K2364">
        <v>7978</v>
      </c>
      <c r="L2364">
        <v>3989</v>
      </c>
      <c r="M2364">
        <v>83770</v>
      </c>
      <c r="N2364">
        <v>0</v>
      </c>
      <c r="O2364">
        <v>87759</v>
      </c>
    </row>
    <row r="2365" spans="1:15" x14ac:dyDescent="0.35">
      <c r="A2365">
        <v>2364</v>
      </c>
      <c r="B2365" s="2" t="s">
        <v>18</v>
      </c>
      <c r="C2365" s="2" t="s">
        <v>11</v>
      </c>
      <c r="D2365">
        <v>39</v>
      </c>
      <c r="E2365" s="2" t="s">
        <v>28</v>
      </c>
      <c r="F2365" s="2" t="s">
        <v>19</v>
      </c>
      <c r="G2365">
        <v>76322</v>
      </c>
      <c r="H2365" s="1">
        <v>45324</v>
      </c>
      <c r="I2365">
        <v>14</v>
      </c>
      <c r="J2365">
        <v>4</v>
      </c>
      <c r="K2365">
        <v>7632</v>
      </c>
      <c r="L2365">
        <v>3816</v>
      </c>
      <c r="M2365">
        <v>80138</v>
      </c>
      <c r="N2365">
        <v>3816</v>
      </c>
      <c r="O2365">
        <v>87770</v>
      </c>
    </row>
    <row r="2366" spans="1:15" x14ac:dyDescent="0.35">
      <c r="A2366">
        <v>2365</v>
      </c>
      <c r="B2366" s="2" t="s">
        <v>14</v>
      </c>
      <c r="C2366" s="2" t="s">
        <v>15</v>
      </c>
      <c r="D2366">
        <v>25</v>
      </c>
      <c r="E2366" s="2" t="s">
        <v>12</v>
      </c>
      <c r="F2366" s="2" t="s">
        <v>13</v>
      </c>
      <c r="G2366">
        <v>99165</v>
      </c>
      <c r="H2366" s="1">
        <v>45044</v>
      </c>
      <c r="I2366">
        <v>3</v>
      </c>
      <c r="J2366">
        <v>2</v>
      </c>
      <c r="K2366">
        <v>9916</v>
      </c>
      <c r="L2366">
        <v>4958</v>
      </c>
      <c r="M2366">
        <v>104123</v>
      </c>
      <c r="N2366">
        <v>0</v>
      </c>
      <c r="O2366">
        <v>109081</v>
      </c>
    </row>
    <row r="2367" spans="1:15" x14ac:dyDescent="0.35">
      <c r="A2367">
        <v>2366</v>
      </c>
      <c r="B2367" s="2" t="s">
        <v>31</v>
      </c>
      <c r="C2367" s="2" t="s">
        <v>11</v>
      </c>
      <c r="D2367">
        <v>45</v>
      </c>
      <c r="E2367" s="2" t="s">
        <v>12</v>
      </c>
      <c r="F2367" s="2" t="s">
        <v>21</v>
      </c>
      <c r="G2367">
        <v>36244</v>
      </c>
      <c r="H2367" s="1">
        <v>45279</v>
      </c>
      <c r="I2367">
        <v>4</v>
      </c>
      <c r="J2367">
        <v>4</v>
      </c>
      <c r="K2367">
        <v>3624</v>
      </c>
      <c r="L2367">
        <v>1812</v>
      </c>
      <c r="M2367">
        <v>38056</v>
      </c>
      <c r="N2367">
        <v>0</v>
      </c>
      <c r="O2367">
        <v>39868</v>
      </c>
    </row>
    <row r="2368" spans="1:15" x14ac:dyDescent="0.35">
      <c r="A2368">
        <v>2367</v>
      </c>
      <c r="B2368" s="2" t="s">
        <v>22</v>
      </c>
      <c r="C2368" s="2" t="s">
        <v>11</v>
      </c>
      <c r="D2368">
        <v>25</v>
      </c>
      <c r="E2368" s="2" t="s">
        <v>12</v>
      </c>
      <c r="F2368" s="2" t="s">
        <v>17</v>
      </c>
      <c r="G2368">
        <v>55067</v>
      </c>
      <c r="H2368" s="1">
        <v>45066</v>
      </c>
      <c r="I2368">
        <v>12</v>
      </c>
      <c r="J2368">
        <v>2</v>
      </c>
      <c r="K2368">
        <v>5507</v>
      </c>
      <c r="L2368">
        <v>2753</v>
      </c>
      <c r="M2368">
        <v>57821</v>
      </c>
      <c r="N2368">
        <v>2753</v>
      </c>
      <c r="O2368">
        <v>63327</v>
      </c>
    </row>
    <row r="2369" spans="1:15" x14ac:dyDescent="0.35">
      <c r="A2369">
        <v>2368</v>
      </c>
      <c r="B2369" s="2" t="s">
        <v>10</v>
      </c>
      <c r="C2369" s="2" t="s">
        <v>15</v>
      </c>
      <c r="D2369">
        <v>44</v>
      </c>
      <c r="E2369" s="2" t="s">
        <v>16</v>
      </c>
      <c r="F2369" s="2" t="s">
        <v>21</v>
      </c>
      <c r="G2369">
        <v>39549</v>
      </c>
      <c r="H2369" s="1">
        <v>44573</v>
      </c>
      <c r="I2369">
        <v>5</v>
      </c>
      <c r="J2369">
        <v>1</v>
      </c>
      <c r="K2369">
        <v>3955</v>
      </c>
      <c r="L2369">
        <v>1977</v>
      </c>
      <c r="M2369">
        <v>41527</v>
      </c>
      <c r="N2369">
        <v>0</v>
      </c>
      <c r="O2369">
        <v>43504</v>
      </c>
    </row>
    <row r="2370" spans="1:15" x14ac:dyDescent="0.35">
      <c r="A2370">
        <v>2369</v>
      </c>
      <c r="B2370" s="2" t="s">
        <v>22</v>
      </c>
      <c r="C2370" s="2" t="s">
        <v>15</v>
      </c>
      <c r="D2370">
        <v>27</v>
      </c>
      <c r="E2370" s="2" t="s">
        <v>28</v>
      </c>
      <c r="F2370" s="2" t="s">
        <v>13</v>
      </c>
      <c r="G2370">
        <v>49135</v>
      </c>
      <c r="H2370" s="1">
        <v>45323</v>
      </c>
      <c r="I2370">
        <v>16</v>
      </c>
      <c r="J2370">
        <v>2</v>
      </c>
      <c r="K2370">
        <v>4914</v>
      </c>
      <c r="L2370">
        <v>2457</v>
      </c>
      <c r="M2370">
        <v>51592</v>
      </c>
      <c r="N2370">
        <v>2457</v>
      </c>
      <c r="O2370">
        <v>56506</v>
      </c>
    </row>
    <row r="2371" spans="1:15" x14ac:dyDescent="0.35">
      <c r="A2371">
        <v>2370</v>
      </c>
      <c r="B2371" s="2" t="s">
        <v>22</v>
      </c>
      <c r="C2371" s="2" t="s">
        <v>15</v>
      </c>
      <c r="D2371">
        <v>33</v>
      </c>
      <c r="E2371" s="2" t="s">
        <v>12</v>
      </c>
      <c r="F2371" s="2" t="s">
        <v>17</v>
      </c>
      <c r="G2371">
        <v>38759</v>
      </c>
      <c r="H2371" s="1">
        <v>45113</v>
      </c>
      <c r="I2371">
        <v>7</v>
      </c>
      <c r="J2371">
        <v>4</v>
      </c>
      <c r="K2371">
        <v>3876</v>
      </c>
      <c r="L2371">
        <v>1938</v>
      </c>
      <c r="M2371">
        <v>40697</v>
      </c>
      <c r="N2371">
        <v>1938</v>
      </c>
      <c r="O2371">
        <v>44573</v>
      </c>
    </row>
    <row r="2372" spans="1:15" x14ac:dyDescent="0.35">
      <c r="A2372">
        <v>2371</v>
      </c>
      <c r="B2372" s="2" t="s">
        <v>18</v>
      </c>
      <c r="C2372" s="2" t="s">
        <v>15</v>
      </c>
      <c r="D2372">
        <v>42</v>
      </c>
      <c r="E2372" s="2" t="s">
        <v>28</v>
      </c>
      <c r="F2372" s="2" t="s">
        <v>17</v>
      </c>
      <c r="G2372">
        <v>51612</v>
      </c>
      <c r="H2372" s="1">
        <v>45428</v>
      </c>
      <c r="I2372">
        <v>12</v>
      </c>
      <c r="J2372">
        <v>2</v>
      </c>
      <c r="K2372">
        <v>5161</v>
      </c>
      <c r="L2372">
        <v>2581</v>
      </c>
      <c r="M2372">
        <v>54192</v>
      </c>
      <c r="N2372">
        <v>2581</v>
      </c>
      <c r="O2372">
        <v>59354</v>
      </c>
    </row>
    <row r="2373" spans="1:15" x14ac:dyDescent="0.35">
      <c r="A2373">
        <v>2372</v>
      </c>
      <c r="B2373" s="2" t="s">
        <v>26</v>
      </c>
      <c r="C2373" s="2" t="s">
        <v>15</v>
      </c>
      <c r="D2373">
        <v>56</v>
      </c>
      <c r="E2373" s="2" t="s">
        <v>24</v>
      </c>
      <c r="F2373" s="2" t="s">
        <v>13</v>
      </c>
      <c r="G2373">
        <v>37429</v>
      </c>
      <c r="H2373" s="1">
        <v>44658</v>
      </c>
      <c r="I2373">
        <v>15</v>
      </c>
      <c r="J2373">
        <v>3</v>
      </c>
      <c r="K2373">
        <v>3743</v>
      </c>
      <c r="L2373">
        <v>1871</v>
      </c>
      <c r="M2373">
        <v>39301</v>
      </c>
      <c r="N2373">
        <v>1871</v>
      </c>
      <c r="O2373">
        <v>43043</v>
      </c>
    </row>
    <row r="2374" spans="1:15" x14ac:dyDescent="0.35">
      <c r="A2374">
        <v>2373</v>
      </c>
      <c r="B2374" s="2" t="s">
        <v>14</v>
      </c>
      <c r="C2374" s="2" t="s">
        <v>15</v>
      </c>
      <c r="D2374">
        <v>31</v>
      </c>
      <c r="E2374" s="2" t="s">
        <v>28</v>
      </c>
      <c r="F2374" s="2" t="s">
        <v>19</v>
      </c>
      <c r="G2374">
        <v>85024</v>
      </c>
      <c r="H2374" s="1">
        <v>45329</v>
      </c>
      <c r="I2374">
        <v>13</v>
      </c>
      <c r="J2374">
        <v>4</v>
      </c>
      <c r="K2374">
        <v>8502</v>
      </c>
      <c r="L2374">
        <v>4251</v>
      </c>
      <c r="M2374">
        <v>89275</v>
      </c>
      <c r="N2374">
        <v>4251</v>
      </c>
      <c r="O2374">
        <v>97777</v>
      </c>
    </row>
    <row r="2375" spans="1:15" x14ac:dyDescent="0.35">
      <c r="A2375">
        <v>2374</v>
      </c>
      <c r="B2375" s="2" t="s">
        <v>18</v>
      </c>
      <c r="C2375" s="2" t="s">
        <v>15</v>
      </c>
      <c r="D2375">
        <v>42</v>
      </c>
      <c r="E2375" s="2" t="s">
        <v>12</v>
      </c>
      <c r="F2375" s="2" t="s">
        <v>17</v>
      </c>
      <c r="G2375">
        <v>48580</v>
      </c>
      <c r="H2375" s="1">
        <v>45252</v>
      </c>
      <c r="I2375">
        <v>10</v>
      </c>
      <c r="J2375">
        <v>5</v>
      </c>
      <c r="K2375">
        <v>4858</v>
      </c>
      <c r="L2375">
        <v>2429</v>
      </c>
      <c r="M2375">
        <v>51009</v>
      </c>
      <c r="N2375">
        <v>2429</v>
      </c>
      <c r="O2375">
        <v>55867</v>
      </c>
    </row>
    <row r="2376" spans="1:15" x14ac:dyDescent="0.35">
      <c r="A2376">
        <v>2375</v>
      </c>
      <c r="B2376" s="2" t="s">
        <v>14</v>
      </c>
      <c r="C2376" s="2" t="s">
        <v>11</v>
      </c>
      <c r="D2376">
        <v>55</v>
      </c>
      <c r="E2376" s="2" t="s">
        <v>29</v>
      </c>
      <c r="F2376" s="2" t="s">
        <v>13</v>
      </c>
      <c r="G2376">
        <v>85981</v>
      </c>
      <c r="H2376" s="1">
        <v>45445</v>
      </c>
      <c r="I2376">
        <v>8</v>
      </c>
      <c r="J2376">
        <v>1</v>
      </c>
      <c r="K2376">
        <v>8598</v>
      </c>
      <c r="L2376">
        <v>4299</v>
      </c>
      <c r="M2376">
        <v>90280</v>
      </c>
      <c r="N2376">
        <v>4299</v>
      </c>
      <c r="O2376">
        <v>98878</v>
      </c>
    </row>
    <row r="2377" spans="1:15" x14ac:dyDescent="0.35">
      <c r="A2377">
        <v>2376</v>
      </c>
      <c r="B2377" s="2" t="s">
        <v>22</v>
      </c>
      <c r="C2377" s="2" t="s">
        <v>11</v>
      </c>
      <c r="D2377">
        <v>30</v>
      </c>
      <c r="E2377" s="2" t="s">
        <v>12</v>
      </c>
      <c r="F2377" s="2" t="s">
        <v>13</v>
      </c>
      <c r="G2377">
        <v>24458</v>
      </c>
      <c r="H2377" s="1">
        <v>45499</v>
      </c>
      <c r="I2377">
        <v>4</v>
      </c>
      <c r="J2377">
        <v>1</v>
      </c>
      <c r="K2377">
        <v>2446</v>
      </c>
      <c r="L2377">
        <v>1223</v>
      </c>
      <c r="M2377">
        <v>25681</v>
      </c>
      <c r="N2377">
        <v>0</v>
      </c>
      <c r="O2377">
        <v>26904</v>
      </c>
    </row>
    <row r="2378" spans="1:15" x14ac:dyDescent="0.35">
      <c r="A2378">
        <v>2377</v>
      </c>
      <c r="B2378" s="2" t="s">
        <v>20</v>
      </c>
      <c r="C2378" s="2" t="s">
        <v>15</v>
      </c>
      <c r="D2378">
        <v>29</v>
      </c>
      <c r="E2378" s="2" t="s">
        <v>16</v>
      </c>
      <c r="F2378" s="2" t="s">
        <v>21</v>
      </c>
      <c r="G2378">
        <v>74584</v>
      </c>
      <c r="H2378" s="1">
        <v>45229</v>
      </c>
      <c r="I2378">
        <v>9</v>
      </c>
      <c r="J2378">
        <v>1</v>
      </c>
      <c r="K2378">
        <v>7458</v>
      </c>
      <c r="L2378">
        <v>3729</v>
      </c>
      <c r="M2378">
        <v>78313</v>
      </c>
      <c r="N2378">
        <v>3729</v>
      </c>
      <c r="O2378">
        <v>85771</v>
      </c>
    </row>
    <row r="2379" spans="1:15" x14ac:dyDescent="0.35">
      <c r="A2379">
        <v>2378</v>
      </c>
      <c r="B2379" s="2" t="s">
        <v>23</v>
      </c>
      <c r="C2379" s="2" t="s">
        <v>11</v>
      </c>
      <c r="D2379">
        <v>35</v>
      </c>
      <c r="E2379" s="2" t="s">
        <v>28</v>
      </c>
      <c r="F2379" s="2" t="s">
        <v>17</v>
      </c>
      <c r="G2379">
        <v>61774</v>
      </c>
      <c r="H2379" s="1">
        <v>45454</v>
      </c>
      <c r="I2379">
        <v>4</v>
      </c>
      <c r="J2379">
        <v>5</v>
      </c>
      <c r="K2379">
        <v>6177</v>
      </c>
      <c r="L2379">
        <v>3089</v>
      </c>
      <c r="M2379">
        <v>64862</v>
      </c>
      <c r="N2379">
        <v>0</v>
      </c>
      <c r="O2379">
        <v>67951</v>
      </c>
    </row>
    <row r="2380" spans="1:15" x14ac:dyDescent="0.35">
      <c r="A2380">
        <v>2379</v>
      </c>
      <c r="B2380" s="2" t="s">
        <v>22</v>
      </c>
      <c r="C2380" s="2" t="s">
        <v>11</v>
      </c>
      <c r="D2380">
        <v>21</v>
      </c>
      <c r="E2380" s="2" t="s">
        <v>12</v>
      </c>
      <c r="F2380" s="2" t="s">
        <v>13</v>
      </c>
      <c r="G2380">
        <v>66939</v>
      </c>
      <c r="H2380" s="1">
        <v>45143</v>
      </c>
      <c r="I2380">
        <v>14</v>
      </c>
      <c r="J2380">
        <v>3</v>
      </c>
      <c r="K2380">
        <v>6694</v>
      </c>
      <c r="L2380">
        <v>3347</v>
      </c>
      <c r="M2380">
        <v>70286</v>
      </c>
      <c r="N2380">
        <v>3347</v>
      </c>
      <c r="O2380">
        <v>76980</v>
      </c>
    </row>
    <row r="2381" spans="1:15" x14ac:dyDescent="0.35">
      <c r="A2381">
        <v>2380</v>
      </c>
      <c r="B2381" s="2" t="s">
        <v>22</v>
      </c>
      <c r="C2381" s="2" t="s">
        <v>15</v>
      </c>
      <c r="D2381">
        <v>42</v>
      </c>
      <c r="E2381" s="2" t="s">
        <v>24</v>
      </c>
      <c r="F2381" s="2" t="s">
        <v>21</v>
      </c>
      <c r="G2381">
        <v>76398</v>
      </c>
      <c r="H2381" s="1">
        <v>44929</v>
      </c>
      <c r="I2381">
        <v>2</v>
      </c>
      <c r="J2381">
        <v>2</v>
      </c>
      <c r="K2381">
        <v>7640</v>
      </c>
      <c r="L2381">
        <v>3820</v>
      </c>
      <c r="M2381">
        <v>80218</v>
      </c>
      <c r="N2381">
        <v>0</v>
      </c>
      <c r="O2381">
        <v>84038</v>
      </c>
    </row>
    <row r="2382" spans="1:15" x14ac:dyDescent="0.35">
      <c r="A2382">
        <v>2381</v>
      </c>
      <c r="B2382" s="2" t="s">
        <v>27</v>
      </c>
      <c r="C2382" s="2" t="s">
        <v>15</v>
      </c>
      <c r="D2382">
        <v>25</v>
      </c>
      <c r="E2382" s="2" t="s">
        <v>29</v>
      </c>
      <c r="F2382" s="2" t="s">
        <v>19</v>
      </c>
      <c r="G2382">
        <v>38544</v>
      </c>
      <c r="H2382" s="1">
        <v>45149</v>
      </c>
      <c r="I2382">
        <v>5</v>
      </c>
      <c r="J2382">
        <v>2</v>
      </c>
      <c r="K2382">
        <v>3854</v>
      </c>
      <c r="L2382">
        <v>1927</v>
      </c>
      <c r="M2382">
        <v>40471</v>
      </c>
      <c r="N2382">
        <v>0</v>
      </c>
      <c r="O2382">
        <v>42398</v>
      </c>
    </row>
    <row r="2383" spans="1:15" x14ac:dyDescent="0.35">
      <c r="A2383">
        <v>2382</v>
      </c>
      <c r="B2383" s="2" t="s">
        <v>22</v>
      </c>
      <c r="C2383" s="2" t="s">
        <v>15</v>
      </c>
      <c r="D2383">
        <v>27</v>
      </c>
      <c r="E2383" s="2" t="s">
        <v>12</v>
      </c>
      <c r="F2383" s="2" t="s">
        <v>25</v>
      </c>
      <c r="G2383">
        <v>38511</v>
      </c>
      <c r="H2383" s="1">
        <v>45046</v>
      </c>
      <c r="I2383">
        <v>19</v>
      </c>
      <c r="J2383">
        <v>1</v>
      </c>
      <c r="K2383">
        <v>3851</v>
      </c>
      <c r="L2383">
        <v>1926</v>
      </c>
      <c r="M2383">
        <v>40436</v>
      </c>
      <c r="N2383">
        <v>1926</v>
      </c>
      <c r="O2383">
        <v>44288</v>
      </c>
    </row>
    <row r="2384" spans="1:15" x14ac:dyDescent="0.35">
      <c r="A2384">
        <v>2383</v>
      </c>
      <c r="B2384" s="2" t="s">
        <v>18</v>
      </c>
      <c r="C2384" s="2" t="s">
        <v>15</v>
      </c>
      <c r="D2384">
        <v>50</v>
      </c>
      <c r="E2384" s="2" t="s">
        <v>29</v>
      </c>
      <c r="F2384" s="2" t="s">
        <v>17</v>
      </c>
      <c r="G2384">
        <v>57625</v>
      </c>
      <c r="H2384" s="1">
        <v>45078</v>
      </c>
      <c r="I2384">
        <v>18</v>
      </c>
      <c r="J2384">
        <v>5</v>
      </c>
      <c r="K2384">
        <v>5762</v>
      </c>
      <c r="L2384">
        <v>2881</v>
      </c>
      <c r="M2384">
        <v>60506</v>
      </c>
      <c r="N2384">
        <v>2881</v>
      </c>
      <c r="O2384">
        <v>66268</v>
      </c>
    </row>
    <row r="2385" spans="1:15" x14ac:dyDescent="0.35">
      <c r="A2385">
        <v>2384</v>
      </c>
      <c r="B2385" s="2" t="s">
        <v>10</v>
      </c>
      <c r="C2385" s="2" t="s">
        <v>15</v>
      </c>
      <c r="D2385">
        <v>41</v>
      </c>
      <c r="E2385" s="2" t="s">
        <v>24</v>
      </c>
      <c r="F2385" s="2" t="s">
        <v>13</v>
      </c>
      <c r="G2385">
        <v>34014</v>
      </c>
      <c r="H2385" s="1">
        <v>44944</v>
      </c>
      <c r="I2385">
        <v>6</v>
      </c>
      <c r="J2385">
        <v>1</v>
      </c>
      <c r="K2385">
        <v>3401</v>
      </c>
      <c r="L2385">
        <v>1701</v>
      </c>
      <c r="M2385">
        <v>35714</v>
      </c>
      <c r="N2385">
        <v>1701</v>
      </c>
      <c r="O2385">
        <v>39116</v>
      </c>
    </row>
    <row r="2386" spans="1:15" x14ac:dyDescent="0.35">
      <c r="A2386">
        <v>2385</v>
      </c>
      <c r="B2386" s="2" t="s">
        <v>27</v>
      </c>
      <c r="C2386" s="2" t="s">
        <v>11</v>
      </c>
      <c r="D2386">
        <v>46</v>
      </c>
      <c r="E2386" s="2" t="s">
        <v>16</v>
      </c>
      <c r="F2386" s="2" t="s">
        <v>19</v>
      </c>
      <c r="G2386">
        <v>21903</v>
      </c>
      <c r="H2386" s="1">
        <v>45146</v>
      </c>
      <c r="I2386">
        <v>12</v>
      </c>
      <c r="J2386">
        <v>3</v>
      </c>
      <c r="K2386">
        <v>2190</v>
      </c>
      <c r="L2386">
        <v>1095</v>
      </c>
      <c r="M2386">
        <v>22998</v>
      </c>
      <c r="N2386">
        <v>1095</v>
      </c>
      <c r="O2386">
        <v>25188</v>
      </c>
    </row>
    <row r="2387" spans="1:15" x14ac:dyDescent="0.35">
      <c r="A2387">
        <v>2386</v>
      </c>
      <c r="B2387" s="2" t="s">
        <v>18</v>
      </c>
      <c r="C2387" s="2" t="s">
        <v>15</v>
      </c>
      <c r="D2387">
        <v>23</v>
      </c>
      <c r="E2387" s="2" t="s">
        <v>24</v>
      </c>
      <c r="F2387" s="2" t="s">
        <v>13</v>
      </c>
      <c r="G2387">
        <v>34297</v>
      </c>
      <c r="H2387" s="1">
        <v>44654</v>
      </c>
      <c r="I2387">
        <v>17</v>
      </c>
      <c r="J2387">
        <v>4</v>
      </c>
      <c r="K2387">
        <v>3430</v>
      </c>
      <c r="L2387">
        <v>1715</v>
      </c>
      <c r="M2387">
        <v>36012</v>
      </c>
      <c r="N2387">
        <v>1715</v>
      </c>
      <c r="O2387">
        <v>39442</v>
      </c>
    </row>
    <row r="2388" spans="1:15" x14ac:dyDescent="0.35">
      <c r="A2388">
        <v>2387</v>
      </c>
      <c r="B2388" s="2" t="s">
        <v>31</v>
      </c>
      <c r="C2388" s="2" t="s">
        <v>11</v>
      </c>
      <c r="D2388">
        <v>60</v>
      </c>
      <c r="E2388" s="2" t="s">
        <v>28</v>
      </c>
      <c r="F2388" s="2" t="s">
        <v>17</v>
      </c>
      <c r="G2388">
        <v>66625</v>
      </c>
      <c r="H2388" s="1">
        <v>44966</v>
      </c>
      <c r="I2388">
        <v>8</v>
      </c>
      <c r="J2388">
        <v>4</v>
      </c>
      <c r="K2388">
        <v>6662</v>
      </c>
      <c r="L2388">
        <v>3331</v>
      </c>
      <c r="M2388">
        <v>69956</v>
      </c>
      <c r="N2388">
        <v>3331</v>
      </c>
      <c r="O2388">
        <v>76618</v>
      </c>
    </row>
    <row r="2389" spans="1:15" x14ac:dyDescent="0.35">
      <c r="A2389">
        <v>2388</v>
      </c>
      <c r="B2389" s="2" t="s">
        <v>18</v>
      </c>
      <c r="C2389" s="2" t="s">
        <v>15</v>
      </c>
      <c r="D2389">
        <v>31</v>
      </c>
      <c r="E2389" s="2" t="s">
        <v>16</v>
      </c>
      <c r="F2389" s="2" t="s">
        <v>21</v>
      </c>
      <c r="G2389">
        <v>72730</v>
      </c>
      <c r="H2389" s="1">
        <v>45375</v>
      </c>
      <c r="I2389">
        <v>13</v>
      </c>
      <c r="J2389">
        <v>2</v>
      </c>
      <c r="K2389">
        <v>7273</v>
      </c>
      <c r="L2389">
        <v>3636</v>
      </c>
      <c r="M2389">
        <v>76367</v>
      </c>
      <c r="N2389">
        <v>3636</v>
      </c>
      <c r="O2389">
        <v>83639</v>
      </c>
    </row>
    <row r="2390" spans="1:15" x14ac:dyDescent="0.35">
      <c r="A2390">
        <v>2389</v>
      </c>
      <c r="B2390" s="2" t="s">
        <v>27</v>
      </c>
      <c r="C2390" s="2" t="s">
        <v>11</v>
      </c>
      <c r="D2390">
        <v>56</v>
      </c>
      <c r="E2390" s="2" t="s">
        <v>24</v>
      </c>
      <c r="F2390" s="2" t="s">
        <v>13</v>
      </c>
      <c r="G2390">
        <v>40232</v>
      </c>
      <c r="H2390" s="1">
        <v>44979</v>
      </c>
      <c r="I2390">
        <v>16</v>
      </c>
      <c r="J2390">
        <v>1</v>
      </c>
      <c r="K2390">
        <v>4023</v>
      </c>
      <c r="L2390">
        <v>2012</v>
      </c>
      <c r="M2390">
        <v>42243</v>
      </c>
      <c r="N2390">
        <v>2012</v>
      </c>
      <c r="O2390">
        <v>46267</v>
      </c>
    </row>
    <row r="2391" spans="1:15" x14ac:dyDescent="0.35">
      <c r="A2391">
        <v>2390</v>
      </c>
      <c r="B2391" s="2" t="s">
        <v>14</v>
      </c>
      <c r="C2391" s="2" t="s">
        <v>11</v>
      </c>
      <c r="D2391">
        <v>26</v>
      </c>
      <c r="E2391" s="2" t="s">
        <v>12</v>
      </c>
      <c r="F2391" s="2" t="s">
        <v>21</v>
      </c>
      <c r="G2391">
        <v>49168</v>
      </c>
      <c r="H2391" s="1">
        <v>45046</v>
      </c>
      <c r="I2391">
        <v>9</v>
      </c>
      <c r="J2391">
        <v>5</v>
      </c>
      <c r="K2391">
        <v>4917</v>
      </c>
      <c r="L2391">
        <v>2458</v>
      </c>
      <c r="M2391">
        <v>51627</v>
      </c>
      <c r="N2391">
        <v>2458</v>
      </c>
      <c r="O2391">
        <v>56543</v>
      </c>
    </row>
    <row r="2392" spans="1:15" x14ac:dyDescent="0.35">
      <c r="A2392">
        <v>2391</v>
      </c>
      <c r="B2392" s="2" t="s">
        <v>20</v>
      </c>
      <c r="C2392" s="2" t="s">
        <v>11</v>
      </c>
      <c r="D2392">
        <v>35</v>
      </c>
      <c r="E2392" s="2" t="s">
        <v>28</v>
      </c>
      <c r="F2392" s="2" t="s">
        <v>21</v>
      </c>
      <c r="G2392">
        <v>61400</v>
      </c>
      <c r="H2392" s="1">
        <v>45442</v>
      </c>
      <c r="I2392">
        <v>4</v>
      </c>
      <c r="J2392">
        <v>3</v>
      </c>
      <c r="K2392">
        <v>6140</v>
      </c>
      <c r="L2392">
        <v>3070</v>
      </c>
      <c r="M2392">
        <v>64470</v>
      </c>
      <c r="N2392">
        <v>0</v>
      </c>
      <c r="O2392">
        <v>67540</v>
      </c>
    </row>
    <row r="2393" spans="1:15" x14ac:dyDescent="0.35">
      <c r="A2393">
        <v>2392</v>
      </c>
      <c r="B2393" s="2" t="s">
        <v>18</v>
      </c>
      <c r="C2393" s="2" t="s">
        <v>15</v>
      </c>
      <c r="D2393">
        <v>59</v>
      </c>
      <c r="E2393" s="2" t="s">
        <v>16</v>
      </c>
      <c r="F2393" s="2" t="s">
        <v>21</v>
      </c>
      <c r="G2393">
        <v>61914</v>
      </c>
      <c r="H2393" s="1">
        <v>44911</v>
      </c>
      <c r="I2393">
        <v>10</v>
      </c>
      <c r="J2393">
        <v>2</v>
      </c>
      <c r="K2393">
        <v>6191</v>
      </c>
      <c r="L2393">
        <v>3096</v>
      </c>
      <c r="M2393">
        <v>65009</v>
      </c>
      <c r="N2393">
        <v>3096</v>
      </c>
      <c r="O2393">
        <v>71201</v>
      </c>
    </row>
    <row r="2394" spans="1:15" x14ac:dyDescent="0.35">
      <c r="A2394">
        <v>2393</v>
      </c>
      <c r="B2394" s="2" t="s">
        <v>27</v>
      </c>
      <c r="C2394" s="2" t="s">
        <v>15</v>
      </c>
      <c r="D2394">
        <v>23</v>
      </c>
      <c r="E2394" s="2" t="s">
        <v>29</v>
      </c>
      <c r="F2394" s="2" t="s">
        <v>25</v>
      </c>
      <c r="G2394">
        <v>40281</v>
      </c>
      <c r="H2394" s="1">
        <v>45487</v>
      </c>
      <c r="I2394">
        <v>9</v>
      </c>
      <c r="J2394">
        <v>1</v>
      </c>
      <c r="K2394">
        <v>4028</v>
      </c>
      <c r="L2394">
        <v>2014</v>
      </c>
      <c r="M2394">
        <v>42295</v>
      </c>
      <c r="N2394">
        <v>2014</v>
      </c>
      <c r="O2394">
        <v>46323</v>
      </c>
    </row>
    <row r="2395" spans="1:15" x14ac:dyDescent="0.35">
      <c r="A2395">
        <v>2394</v>
      </c>
      <c r="B2395" s="2" t="s">
        <v>18</v>
      </c>
      <c r="C2395" s="2" t="s">
        <v>11</v>
      </c>
      <c r="D2395">
        <v>51</v>
      </c>
      <c r="E2395" s="2" t="s">
        <v>29</v>
      </c>
      <c r="F2395" s="2" t="s">
        <v>13</v>
      </c>
      <c r="G2395">
        <v>68820</v>
      </c>
      <c r="H2395" s="1">
        <v>44854</v>
      </c>
      <c r="I2395">
        <v>10</v>
      </c>
      <c r="J2395">
        <v>1</v>
      </c>
      <c r="K2395">
        <v>6882</v>
      </c>
      <c r="L2395">
        <v>3441</v>
      </c>
      <c r="M2395">
        <v>72261</v>
      </c>
      <c r="N2395">
        <v>3441</v>
      </c>
      <c r="O2395">
        <v>79143</v>
      </c>
    </row>
    <row r="2396" spans="1:15" x14ac:dyDescent="0.35">
      <c r="A2396">
        <v>2395</v>
      </c>
      <c r="B2396" s="2" t="s">
        <v>23</v>
      </c>
      <c r="C2396" s="2" t="s">
        <v>11</v>
      </c>
      <c r="D2396">
        <v>44</v>
      </c>
      <c r="E2396" s="2" t="s">
        <v>29</v>
      </c>
      <c r="F2396" s="2" t="s">
        <v>13</v>
      </c>
      <c r="G2396">
        <v>81395</v>
      </c>
      <c r="H2396" s="1">
        <v>44934</v>
      </c>
      <c r="I2396">
        <v>10</v>
      </c>
      <c r="J2396">
        <v>1</v>
      </c>
      <c r="K2396">
        <v>8140</v>
      </c>
      <c r="L2396">
        <v>4070</v>
      </c>
      <c r="M2396">
        <v>85465</v>
      </c>
      <c r="N2396">
        <v>4070</v>
      </c>
      <c r="O2396">
        <v>93605</v>
      </c>
    </row>
    <row r="2397" spans="1:15" x14ac:dyDescent="0.35">
      <c r="A2397">
        <v>2396</v>
      </c>
      <c r="B2397" s="2" t="s">
        <v>22</v>
      </c>
      <c r="C2397" s="2" t="s">
        <v>11</v>
      </c>
      <c r="D2397">
        <v>49</v>
      </c>
      <c r="E2397" s="2" t="s">
        <v>29</v>
      </c>
      <c r="F2397" s="2" t="s">
        <v>25</v>
      </c>
      <c r="G2397">
        <v>90089</v>
      </c>
      <c r="H2397" s="1">
        <v>45472</v>
      </c>
      <c r="I2397">
        <v>6</v>
      </c>
      <c r="J2397">
        <v>4</v>
      </c>
      <c r="K2397">
        <v>9009</v>
      </c>
      <c r="L2397">
        <v>4504</v>
      </c>
      <c r="M2397">
        <v>94594</v>
      </c>
      <c r="N2397">
        <v>4504</v>
      </c>
      <c r="O2397">
        <v>103602</v>
      </c>
    </row>
    <row r="2398" spans="1:15" x14ac:dyDescent="0.35">
      <c r="A2398">
        <v>2397</v>
      </c>
      <c r="B2398" s="2" t="s">
        <v>27</v>
      </c>
      <c r="C2398" s="2" t="s">
        <v>15</v>
      </c>
      <c r="D2398">
        <v>55</v>
      </c>
      <c r="E2398" s="2" t="s">
        <v>16</v>
      </c>
      <c r="F2398" s="2" t="s">
        <v>17</v>
      </c>
      <c r="G2398">
        <v>75206</v>
      </c>
      <c r="H2398" s="1">
        <v>45278</v>
      </c>
      <c r="I2398">
        <v>7</v>
      </c>
      <c r="J2398">
        <v>2</v>
      </c>
      <c r="K2398">
        <v>7521</v>
      </c>
      <c r="L2398">
        <v>3760</v>
      </c>
      <c r="M2398">
        <v>78967</v>
      </c>
      <c r="N2398">
        <v>3760</v>
      </c>
      <c r="O2398">
        <v>86487</v>
      </c>
    </row>
    <row r="2399" spans="1:15" x14ac:dyDescent="0.35">
      <c r="A2399">
        <v>2398</v>
      </c>
      <c r="B2399" s="2" t="s">
        <v>14</v>
      </c>
      <c r="C2399" s="2" t="s">
        <v>15</v>
      </c>
      <c r="D2399">
        <v>40</v>
      </c>
      <c r="E2399" s="2" t="s">
        <v>29</v>
      </c>
      <c r="F2399" s="2" t="s">
        <v>13</v>
      </c>
      <c r="G2399">
        <v>53390</v>
      </c>
      <c r="H2399" s="1">
        <v>44888</v>
      </c>
      <c r="I2399">
        <v>17</v>
      </c>
      <c r="J2399">
        <v>2</v>
      </c>
      <c r="K2399">
        <v>5339</v>
      </c>
      <c r="L2399">
        <v>2670</v>
      </c>
      <c r="M2399">
        <v>56059</v>
      </c>
      <c r="N2399">
        <v>2670</v>
      </c>
      <c r="O2399">
        <v>61399</v>
      </c>
    </row>
    <row r="2400" spans="1:15" x14ac:dyDescent="0.35">
      <c r="A2400">
        <v>2399</v>
      </c>
      <c r="B2400" s="2" t="s">
        <v>22</v>
      </c>
      <c r="C2400" s="2" t="s">
        <v>15</v>
      </c>
      <c r="D2400">
        <v>36</v>
      </c>
      <c r="E2400" s="2" t="s">
        <v>16</v>
      </c>
      <c r="F2400" s="2" t="s">
        <v>25</v>
      </c>
      <c r="G2400">
        <v>37045</v>
      </c>
      <c r="H2400" s="1">
        <v>45492</v>
      </c>
      <c r="I2400">
        <v>16</v>
      </c>
      <c r="J2400">
        <v>5</v>
      </c>
      <c r="K2400">
        <v>3704</v>
      </c>
      <c r="L2400">
        <v>1852</v>
      </c>
      <c r="M2400">
        <v>38897</v>
      </c>
      <c r="N2400">
        <v>1852</v>
      </c>
      <c r="O2400">
        <v>42601</v>
      </c>
    </row>
    <row r="2401" spans="1:15" x14ac:dyDescent="0.35">
      <c r="A2401">
        <v>2400</v>
      </c>
      <c r="B2401" s="2" t="s">
        <v>27</v>
      </c>
      <c r="C2401" s="2" t="s">
        <v>11</v>
      </c>
      <c r="D2401">
        <v>41</v>
      </c>
      <c r="E2401" s="2" t="s">
        <v>16</v>
      </c>
      <c r="F2401" s="2" t="s">
        <v>21</v>
      </c>
      <c r="G2401">
        <v>65159</v>
      </c>
      <c r="H2401" s="1">
        <v>44621</v>
      </c>
      <c r="I2401">
        <v>1</v>
      </c>
      <c r="J2401">
        <v>1</v>
      </c>
      <c r="K2401">
        <v>6516</v>
      </c>
      <c r="L2401">
        <v>3258</v>
      </c>
      <c r="M2401">
        <v>68417</v>
      </c>
      <c r="N2401">
        <v>0</v>
      </c>
      <c r="O2401">
        <v>71675</v>
      </c>
    </row>
    <row r="2402" spans="1:15" x14ac:dyDescent="0.35">
      <c r="A2402">
        <v>2401</v>
      </c>
      <c r="B2402" s="2" t="s">
        <v>14</v>
      </c>
      <c r="C2402" s="2" t="s">
        <v>11</v>
      </c>
      <c r="D2402">
        <v>57</v>
      </c>
      <c r="E2402" s="2" t="s">
        <v>28</v>
      </c>
      <c r="F2402" s="2" t="s">
        <v>17</v>
      </c>
      <c r="G2402">
        <v>44983</v>
      </c>
      <c r="H2402" s="1">
        <v>44596</v>
      </c>
      <c r="I2402">
        <v>18</v>
      </c>
      <c r="J2402">
        <v>2</v>
      </c>
      <c r="K2402">
        <v>4498</v>
      </c>
      <c r="L2402">
        <v>2249</v>
      </c>
      <c r="M2402">
        <v>47232</v>
      </c>
      <c r="N2402">
        <v>2249</v>
      </c>
      <c r="O2402">
        <v>51730</v>
      </c>
    </row>
    <row r="2403" spans="1:15" x14ac:dyDescent="0.35">
      <c r="A2403">
        <v>2402</v>
      </c>
      <c r="B2403" s="2" t="s">
        <v>26</v>
      </c>
      <c r="C2403" s="2" t="s">
        <v>15</v>
      </c>
      <c r="D2403">
        <v>41</v>
      </c>
      <c r="E2403" s="2" t="s">
        <v>29</v>
      </c>
      <c r="F2403" s="2" t="s">
        <v>17</v>
      </c>
      <c r="G2403">
        <v>86560</v>
      </c>
      <c r="H2403" s="1">
        <v>44582</v>
      </c>
      <c r="I2403">
        <v>12</v>
      </c>
      <c r="J2403">
        <v>2</v>
      </c>
      <c r="K2403">
        <v>8656</v>
      </c>
      <c r="L2403">
        <v>4328</v>
      </c>
      <c r="M2403">
        <v>90888</v>
      </c>
      <c r="N2403">
        <v>4328</v>
      </c>
      <c r="O2403">
        <v>99544</v>
      </c>
    </row>
    <row r="2404" spans="1:15" x14ac:dyDescent="0.35">
      <c r="A2404">
        <v>2403</v>
      </c>
      <c r="B2404" s="2" t="s">
        <v>20</v>
      </c>
      <c r="C2404" s="2" t="s">
        <v>11</v>
      </c>
      <c r="D2404">
        <v>26</v>
      </c>
      <c r="E2404" s="2" t="s">
        <v>29</v>
      </c>
      <c r="F2404" s="2" t="s">
        <v>17</v>
      </c>
      <c r="G2404">
        <v>61167</v>
      </c>
      <c r="H2404" s="1">
        <v>44581</v>
      </c>
      <c r="I2404">
        <v>5</v>
      </c>
      <c r="J2404">
        <v>2</v>
      </c>
      <c r="K2404">
        <v>6117</v>
      </c>
      <c r="L2404">
        <v>3058</v>
      </c>
      <c r="M2404">
        <v>64226</v>
      </c>
      <c r="N2404">
        <v>0</v>
      </c>
      <c r="O2404">
        <v>67284</v>
      </c>
    </row>
    <row r="2405" spans="1:15" x14ac:dyDescent="0.35">
      <c r="A2405">
        <v>2404</v>
      </c>
      <c r="B2405" s="2" t="s">
        <v>26</v>
      </c>
      <c r="C2405" s="2" t="s">
        <v>15</v>
      </c>
      <c r="D2405">
        <v>57</v>
      </c>
      <c r="E2405" s="2" t="s">
        <v>12</v>
      </c>
      <c r="F2405" s="2" t="s">
        <v>19</v>
      </c>
      <c r="G2405">
        <v>39735</v>
      </c>
      <c r="H2405" s="1">
        <v>45399</v>
      </c>
      <c r="I2405">
        <v>14</v>
      </c>
      <c r="J2405">
        <v>5</v>
      </c>
      <c r="K2405">
        <v>3974</v>
      </c>
      <c r="L2405">
        <v>1987</v>
      </c>
      <c r="M2405">
        <v>41722</v>
      </c>
      <c r="N2405">
        <v>1987</v>
      </c>
      <c r="O2405">
        <v>45696</v>
      </c>
    </row>
    <row r="2406" spans="1:15" x14ac:dyDescent="0.35">
      <c r="A2406">
        <v>2405</v>
      </c>
      <c r="B2406" s="2" t="s">
        <v>14</v>
      </c>
      <c r="C2406" s="2" t="s">
        <v>15</v>
      </c>
      <c r="D2406">
        <v>47</v>
      </c>
      <c r="E2406" s="2" t="s">
        <v>24</v>
      </c>
      <c r="F2406" s="2" t="s">
        <v>25</v>
      </c>
      <c r="G2406">
        <v>62869</v>
      </c>
      <c r="H2406" s="1">
        <v>45045</v>
      </c>
      <c r="I2406">
        <v>14</v>
      </c>
      <c r="J2406">
        <v>5</v>
      </c>
      <c r="K2406">
        <v>6287</v>
      </c>
      <c r="L2406">
        <v>3143</v>
      </c>
      <c r="M2406">
        <v>66013</v>
      </c>
      <c r="N2406">
        <v>3143</v>
      </c>
      <c r="O2406">
        <v>72299</v>
      </c>
    </row>
    <row r="2407" spans="1:15" x14ac:dyDescent="0.35">
      <c r="A2407">
        <v>2406</v>
      </c>
      <c r="B2407" s="2" t="s">
        <v>20</v>
      </c>
      <c r="C2407" s="2" t="s">
        <v>15</v>
      </c>
      <c r="D2407">
        <v>35</v>
      </c>
      <c r="E2407" s="2" t="s">
        <v>24</v>
      </c>
      <c r="F2407" s="2" t="s">
        <v>17</v>
      </c>
      <c r="G2407">
        <v>96309</v>
      </c>
      <c r="H2407" s="1">
        <v>45217</v>
      </c>
      <c r="I2407">
        <v>14</v>
      </c>
      <c r="J2407">
        <v>3</v>
      </c>
      <c r="K2407">
        <v>9631</v>
      </c>
      <c r="L2407">
        <v>4815</v>
      </c>
      <c r="M2407">
        <v>101125</v>
      </c>
      <c r="N2407">
        <v>4815</v>
      </c>
      <c r="O2407">
        <v>110755</v>
      </c>
    </row>
    <row r="2408" spans="1:15" x14ac:dyDescent="0.35">
      <c r="A2408">
        <v>2407</v>
      </c>
      <c r="B2408" s="2" t="s">
        <v>23</v>
      </c>
      <c r="C2408" s="2" t="s">
        <v>15</v>
      </c>
      <c r="D2408">
        <v>55</v>
      </c>
      <c r="E2408" s="2" t="s">
        <v>29</v>
      </c>
      <c r="F2408" s="2" t="s">
        <v>21</v>
      </c>
      <c r="G2408">
        <v>54916</v>
      </c>
      <c r="H2408" s="1">
        <v>45148</v>
      </c>
      <c r="I2408">
        <v>6</v>
      </c>
      <c r="J2408">
        <v>3</v>
      </c>
      <c r="K2408">
        <v>5492</v>
      </c>
      <c r="L2408">
        <v>2746</v>
      </c>
      <c r="M2408">
        <v>57662</v>
      </c>
      <c r="N2408">
        <v>2746</v>
      </c>
      <c r="O2408">
        <v>63154</v>
      </c>
    </row>
    <row r="2409" spans="1:15" x14ac:dyDescent="0.35">
      <c r="A2409">
        <v>2408</v>
      </c>
      <c r="B2409" s="2" t="s">
        <v>22</v>
      </c>
      <c r="C2409" s="2" t="s">
        <v>11</v>
      </c>
      <c r="D2409">
        <v>54</v>
      </c>
      <c r="E2409" s="2" t="s">
        <v>24</v>
      </c>
      <c r="F2409" s="2" t="s">
        <v>19</v>
      </c>
      <c r="G2409">
        <v>37452</v>
      </c>
      <c r="H2409" s="1">
        <v>44803</v>
      </c>
      <c r="I2409">
        <v>4</v>
      </c>
      <c r="J2409">
        <v>2</v>
      </c>
      <c r="K2409">
        <v>3745</v>
      </c>
      <c r="L2409">
        <v>1873</v>
      </c>
      <c r="M2409">
        <v>39324</v>
      </c>
      <c r="N2409">
        <v>0</v>
      </c>
      <c r="O2409">
        <v>41197</v>
      </c>
    </row>
    <row r="2410" spans="1:15" x14ac:dyDescent="0.35">
      <c r="A2410">
        <v>2409</v>
      </c>
      <c r="B2410" s="2" t="s">
        <v>26</v>
      </c>
      <c r="C2410" s="2" t="s">
        <v>15</v>
      </c>
      <c r="D2410">
        <v>50</v>
      </c>
      <c r="E2410" s="2" t="s">
        <v>24</v>
      </c>
      <c r="F2410" s="2" t="s">
        <v>17</v>
      </c>
      <c r="G2410">
        <v>35922</v>
      </c>
      <c r="H2410" s="1">
        <v>44827</v>
      </c>
      <c r="I2410">
        <v>18</v>
      </c>
      <c r="J2410">
        <v>5</v>
      </c>
      <c r="K2410">
        <v>3592</v>
      </c>
      <c r="L2410">
        <v>1796</v>
      </c>
      <c r="M2410">
        <v>37718</v>
      </c>
      <c r="N2410">
        <v>1796</v>
      </c>
      <c r="O2410">
        <v>41310</v>
      </c>
    </row>
    <row r="2411" spans="1:15" x14ac:dyDescent="0.35">
      <c r="A2411">
        <v>2410</v>
      </c>
      <c r="B2411" s="2" t="s">
        <v>26</v>
      </c>
      <c r="C2411" s="2" t="s">
        <v>15</v>
      </c>
      <c r="D2411">
        <v>23</v>
      </c>
      <c r="E2411" s="2" t="s">
        <v>28</v>
      </c>
      <c r="F2411" s="2" t="s">
        <v>21</v>
      </c>
      <c r="G2411">
        <v>71287</v>
      </c>
      <c r="H2411" s="1">
        <v>44607</v>
      </c>
      <c r="I2411">
        <v>12</v>
      </c>
      <c r="J2411">
        <v>3</v>
      </c>
      <c r="K2411">
        <v>7129</v>
      </c>
      <c r="L2411">
        <v>3564</v>
      </c>
      <c r="M2411">
        <v>74852</v>
      </c>
      <c r="N2411">
        <v>3564</v>
      </c>
      <c r="O2411">
        <v>81980</v>
      </c>
    </row>
    <row r="2412" spans="1:15" x14ac:dyDescent="0.35">
      <c r="A2412">
        <v>2411</v>
      </c>
      <c r="B2412" s="2" t="s">
        <v>18</v>
      </c>
      <c r="C2412" s="2" t="s">
        <v>15</v>
      </c>
      <c r="D2412">
        <v>28</v>
      </c>
      <c r="E2412" s="2" t="s">
        <v>28</v>
      </c>
      <c r="F2412" s="2" t="s">
        <v>13</v>
      </c>
      <c r="G2412">
        <v>54651</v>
      </c>
      <c r="H2412" s="1">
        <v>44842</v>
      </c>
      <c r="I2412">
        <v>7</v>
      </c>
      <c r="J2412">
        <v>1</v>
      </c>
      <c r="K2412">
        <v>5465</v>
      </c>
      <c r="L2412">
        <v>2733</v>
      </c>
      <c r="M2412">
        <v>57383</v>
      </c>
      <c r="N2412">
        <v>2733</v>
      </c>
      <c r="O2412">
        <v>62849</v>
      </c>
    </row>
    <row r="2413" spans="1:15" x14ac:dyDescent="0.35">
      <c r="A2413">
        <v>2412</v>
      </c>
      <c r="B2413" s="2" t="s">
        <v>27</v>
      </c>
      <c r="C2413" s="2" t="s">
        <v>11</v>
      </c>
      <c r="D2413">
        <v>22</v>
      </c>
      <c r="E2413" s="2" t="s">
        <v>28</v>
      </c>
      <c r="F2413" s="2" t="s">
        <v>19</v>
      </c>
      <c r="G2413">
        <v>26052</v>
      </c>
      <c r="H2413" s="1">
        <v>44981</v>
      </c>
      <c r="I2413">
        <v>2</v>
      </c>
      <c r="J2413">
        <v>3</v>
      </c>
      <c r="K2413">
        <v>2605</v>
      </c>
      <c r="L2413">
        <v>1303</v>
      </c>
      <c r="M2413">
        <v>27354</v>
      </c>
      <c r="N2413">
        <v>0</v>
      </c>
      <c r="O2413">
        <v>28657</v>
      </c>
    </row>
    <row r="2414" spans="1:15" x14ac:dyDescent="0.35">
      <c r="A2414">
        <v>2413</v>
      </c>
      <c r="B2414" s="2" t="s">
        <v>26</v>
      </c>
      <c r="C2414" s="2" t="s">
        <v>15</v>
      </c>
      <c r="D2414">
        <v>35</v>
      </c>
      <c r="E2414" s="2" t="s">
        <v>29</v>
      </c>
      <c r="F2414" s="2" t="s">
        <v>17</v>
      </c>
      <c r="G2414">
        <v>94461</v>
      </c>
      <c r="H2414" s="1">
        <v>45466</v>
      </c>
      <c r="I2414">
        <v>3</v>
      </c>
      <c r="J2414">
        <v>5</v>
      </c>
      <c r="K2414">
        <v>9446</v>
      </c>
      <c r="L2414">
        <v>4723</v>
      </c>
      <c r="M2414">
        <v>99184</v>
      </c>
      <c r="N2414">
        <v>0</v>
      </c>
      <c r="O2414">
        <v>103907</v>
      </c>
    </row>
    <row r="2415" spans="1:15" x14ac:dyDescent="0.35">
      <c r="A2415">
        <v>2414</v>
      </c>
      <c r="B2415" s="2" t="s">
        <v>18</v>
      </c>
      <c r="C2415" s="2" t="s">
        <v>15</v>
      </c>
      <c r="D2415">
        <v>59</v>
      </c>
      <c r="E2415" s="2" t="s">
        <v>24</v>
      </c>
      <c r="F2415" s="2" t="s">
        <v>17</v>
      </c>
      <c r="G2415">
        <v>58849</v>
      </c>
      <c r="H2415" s="1">
        <v>44641</v>
      </c>
      <c r="I2415">
        <v>15</v>
      </c>
      <c r="J2415">
        <v>5</v>
      </c>
      <c r="K2415">
        <v>5885</v>
      </c>
      <c r="L2415">
        <v>2942</v>
      </c>
      <c r="M2415">
        <v>61792</v>
      </c>
      <c r="N2415">
        <v>2942</v>
      </c>
      <c r="O2415">
        <v>67676</v>
      </c>
    </row>
    <row r="2416" spans="1:15" x14ac:dyDescent="0.35">
      <c r="A2416">
        <v>2415</v>
      </c>
      <c r="B2416" s="2" t="s">
        <v>18</v>
      </c>
      <c r="C2416" s="2" t="s">
        <v>15</v>
      </c>
      <c r="D2416">
        <v>60</v>
      </c>
      <c r="E2416" s="2" t="s">
        <v>28</v>
      </c>
      <c r="F2416" s="2" t="s">
        <v>19</v>
      </c>
      <c r="G2416">
        <v>93573</v>
      </c>
      <c r="H2416" s="1">
        <v>45359</v>
      </c>
      <c r="I2416">
        <v>9</v>
      </c>
      <c r="J2416">
        <v>5</v>
      </c>
      <c r="K2416">
        <v>9357</v>
      </c>
      <c r="L2416">
        <v>4679</v>
      </c>
      <c r="M2416">
        <v>98251</v>
      </c>
      <c r="N2416">
        <v>4679</v>
      </c>
      <c r="O2416">
        <v>107609</v>
      </c>
    </row>
    <row r="2417" spans="1:15" x14ac:dyDescent="0.35">
      <c r="A2417">
        <v>2416</v>
      </c>
      <c r="B2417" s="2" t="s">
        <v>22</v>
      </c>
      <c r="C2417" s="2" t="s">
        <v>15</v>
      </c>
      <c r="D2417">
        <v>43</v>
      </c>
      <c r="E2417" s="2" t="s">
        <v>29</v>
      </c>
      <c r="F2417" s="2" t="s">
        <v>25</v>
      </c>
      <c r="G2417">
        <v>84473</v>
      </c>
      <c r="H2417" s="1">
        <v>44694</v>
      </c>
      <c r="I2417">
        <v>11</v>
      </c>
      <c r="J2417">
        <v>3</v>
      </c>
      <c r="K2417">
        <v>8447</v>
      </c>
      <c r="L2417">
        <v>4224</v>
      </c>
      <c r="M2417">
        <v>88696</v>
      </c>
      <c r="N2417">
        <v>4224</v>
      </c>
      <c r="O2417">
        <v>97144</v>
      </c>
    </row>
    <row r="2418" spans="1:15" x14ac:dyDescent="0.35">
      <c r="A2418">
        <v>2417</v>
      </c>
      <c r="B2418" s="2" t="s">
        <v>31</v>
      </c>
      <c r="C2418" s="2" t="s">
        <v>11</v>
      </c>
      <c r="D2418">
        <v>38</v>
      </c>
      <c r="E2418" s="2" t="s">
        <v>28</v>
      </c>
      <c r="F2418" s="2" t="s">
        <v>21</v>
      </c>
      <c r="G2418">
        <v>59101</v>
      </c>
      <c r="H2418" s="1">
        <v>44809</v>
      </c>
      <c r="I2418">
        <v>12</v>
      </c>
      <c r="J2418">
        <v>2</v>
      </c>
      <c r="K2418">
        <v>5910</v>
      </c>
      <c r="L2418">
        <v>2955</v>
      </c>
      <c r="M2418">
        <v>62056</v>
      </c>
      <c r="N2418">
        <v>2955</v>
      </c>
      <c r="O2418">
        <v>67966</v>
      </c>
    </row>
    <row r="2419" spans="1:15" x14ac:dyDescent="0.35">
      <c r="A2419">
        <v>2418</v>
      </c>
      <c r="B2419" s="2" t="s">
        <v>30</v>
      </c>
      <c r="C2419" s="2" t="s">
        <v>15</v>
      </c>
      <c r="D2419">
        <v>51</v>
      </c>
      <c r="E2419" s="2" t="s">
        <v>12</v>
      </c>
      <c r="F2419" s="2" t="s">
        <v>25</v>
      </c>
      <c r="G2419">
        <v>99305</v>
      </c>
      <c r="H2419" s="1">
        <v>44816</v>
      </c>
      <c r="I2419">
        <v>4</v>
      </c>
      <c r="J2419">
        <v>3</v>
      </c>
      <c r="K2419">
        <v>9930</v>
      </c>
      <c r="L2419">
        <v>4965</v>
      </c>
      <c r="M2419">
        <v>104270</v>
      </c>
      <c r="N2419">
        <v>0</v>
      </c>
      <c r="O2419">
        <v>109235</v>
      </c>
    </row>
    <row r="2420" spans="1:15" x14ac:dyDescent="0.35">
      <c r="A2420">
        <v>2419</v>
      </c>
      <c r="B2420" s="2" t="s">
        <v>18</v>
      </c>
      <c r="C2420" s="2" t="s">
        <v>11</v>
      </c>
      <c r="D2420">
        <v>51</v>
      </c>
      <c r="E2420" s="2" t="s">
        <v>12</v>
      </c>
      <c r="F2420" s="2" t="s">
        <v>19</v>
      </c>
      <c r="G2420">
        <v>26831</v>
      </c>
      <c r="H2420" s="1">
        <v>44722</v>
      </c>
      <c r="I2420">
        <v>4</v>
      </c>
      <c r="J2420">
        <v>3</v>
      </c>
      <c r="K2420">
        <v>2683</v>
      </c>
      <c r="L2420">
        <v>1342</v>
      </c>
      <c r="M2420">
        <v>28172</v>
      </c>
      <c r="N2420">
        <v>0</v>
      </c>
      <c r="O2420">
        <v>29514</v>
      </c>
    </row>
    <row r="2421" spans="1:15" x14ac:dyDescent="0.35">
      <c r="A2421">
        <v>2420</v>
      </c>
      <c r="B2421" s="2" t="s">
        <v>22</v>
      </c>
      <c r="C2421" s="2" t="s">
        <v>11</v>
      </c>
      <c r="D2421">
        <v>32</v>
      </c>
      <c r="E2421" s="2" t="s">
        <v>16</v>
      </c>
      <c r="F2421" s="2" t="s">
        <v>13</v>
      </c>
      <c r="G2421">
        <v>26861</v>
      </c>
      <c r="H2421" s="1">
        <v>44768</v>
      </c>
      <c r="I2421">
        <v>5</v>
      </c>
      <c r="J2421">
        <v>5</v>
      </c>
      <c r="K2421">
        <v>2686</v>
      </c>
      <c r="L2421">
        <v>1343</v>
      </c>
      <c r="M2421">
        <v>28204</v>
      </c>
      <c r="N2421">
        <v>0</v>
      </c>
      <c r="O2421">
        <v>29547</v>
      </c>
    </row>
    <row r="2422" spans="1:15" x14ac:dyDescent="0.35">
      <c r="A2422">
        <v>2421</v>
      </c>
      <c r="B2422" s="2" t="s">
        <v>26</v>
      </c>
      <c r="C2422" s="2" t="s">
        <v>11</v>
      </c>
      <c r="D2422">
        <v>28</v>
      </c>
      <c r="E2422" s="2" t="s">
        <v>29</v>
      </c>
      <c r="F2422" s="2" t="s">
        <v>21</v>
      </c>
      <c r="G2422">
        <v>56999</v>
      </c>
      <c r="H2422" s="1">
        <v>45508</v>
      </c>
      <c r="I2422">
        <v>3</v>
      </c>
      <c r="J2422">
        <v>3</v>
      </c>
      <c r="K2422">
        <v>5700</v>
      </c>
      <c r="L2422">
        <v>2850</v>
      </c>
      <c r="M2422">
        <v>59849</v>
      </c>
      <c r="N2422">
        <v>0</v>
      </c>
      <c r="O2422">
        <v>62699</v>
      </c>
    </row>
    <row r="2423" spans="1:15" x14ac:dyDescent="0.35">
      <c r="A2423">
        <v>2422</v>
      </c>
      <c r="B2423" s="2" t="s">
        <v>10</v>
      </c>
      <c r="C2423" s="2" t="s">
        <v>11</v>
      </c>
      <c r="D2423">
        <v>52</v>
      </c>
      <c r="E2423" s="2" t="s">
        <v>24</v>
      </c>
      <c r="F2423" s="2" t="s">
        <v>13</v>
      </c>
      <c r="G2423">
        <v>50234</v>
      </c>
      <c r="H2423" s="1">
        <v>45372</v>
      </c>
      <c r="I2423">
        <v>16</v>
      </c>
      <c r="J2423">
        <v>1</v>
      </c>
      <c r="K2423">
        <v>5023</v>
      </c>
      <c r="L2423">
        <v>2512</v>
      </c>
      <c r="M2423">
        <v>52745</v>
      </c>
      <c r="N2423">
        <v>2512</v>
      </c>
      <c r="O2423">
        <v>57769</v>
      </c>
    </row>
    <row r="2424" spans="1:15" x14ac:dyDescent="0.35">
      <c r="A2424">
        <v>2423</v>
      </c>
      <c r="B2424" s="2" t="s">
        <v>31</v>
      </c>
      <c r="C2424" s="2" t="s">
        <v>15</v>
      </c>
      <c r="D2424">
        <v>25</v>
      </c>
      <c r="E2424" s="2" t="s">
        <v>24</v>
      </c>
      <c r="F2424" s="2" t="s">
        <v>19</v>
      </c>
      <c r="G2424">
        <v>22352</v>
      </c>
      <c r="H2424" s="1">
        <v>44904</v>
      </c>
      <c r="I2424">
        <v>4</v>
      </c>
      <c r="J2424">
        <v>3</v>
      </c>
      <c r="K2424">
        <v>2235</v>
      </c>
      <c r="L2424">
        <v>1118</v>
      </c>
      <c r="M2424">
        <v>23469</v>
      </c>
      <c r="N2424">
        <v>0</v>
      </c>
      <c r="O2424">
        <v>24587</v>
      </c>
    </row>
    <row r="2425" spans="1:15" x14ac:dyDescent="0.35">
      <c r="A2425">
        <v>2424</v>
      </c>
      <c r="B2425" s="2" t="s">
        <v>18</v>
      </c>
      <c r="C2425" s="2" t="s">
        <v>11</v>
      </c>
      <c r="D2425">
        <v>23</v>
      </c>
      <c r="E2425" s="2" t="s">
        <v>29</v>
      </c>
      <c r="F2425" s="2" t="s">
        <v>13</v>
      </c>
      <c r="G2425">
        <v>52921</v>
      </c>
      <c r="H2425" s="1">
        <v>45513</v>
      </c>
      <c r="I2425">
        <v>15</v>
      </c>
      <c r="J2425">
        <v>1</v>
      </c>
      <c r="K2425">
        <v>5292</v>
      </c>
      <c r="L2425">
        <v>2646</v>
      </c>
      <c r="M2425">
        <v>55567</v>
      </c>
      <c r="N2425">
        <v>2646</v>
      </c>
      <c r="O2425">
        <v>60859</v>
      </c>
    </row>
    <row r="2426" spans="1:15" x14ac:dyDescent="0.35">
      <c r="A2426">
        <v>2425</v>
      </c>
      <c r="B2426" s="2" t="s">
        <v>31</v>
      </c>
      <c r="C2426" s="2" t="s">
        <v>11</v>
      </c>
      <c r="D2426">
        <v>48</v>
      </c>
      <c r="E2426" s="2" t="s">
        <v>29</v>
      </c>
      <c r="F2426" s="2" t="s">
        <v>21</v>
      </c>
      <c r="G2426">
        <v>40804</v>
      </c>
      <c r="H2426" s="1">
        <v>44938</v>
      </c>
      <c r="I2426">
        <v>20</v>
      </c>
      <c r="J2426">
        <v>5</v>
      </c>
      <c r="K2426">
        <v>4080</v>
      </c>
      <c r="L2426">
        <v>2040</v>
      </c>
      <c r="M2426">
        <v>42844</v>
      </c>
      <c r="N2426">
        <v>2040</v>
      </c>
      <c r="O2426">
        <v>46924</v>
      </c>
    </row>
    <row r="2427" spans="1:15" x14ac:dyDescent="0.35">
      <c r="A2427">
        <v>2426</v>
      </c>
      <c r="B2427" s="2" t="s">
        <v>27</v>
      </c>
      <c r="C2427" s="2" t="s">
        <v>15</v>
      </c>
      <c r="D2427">
        <v>37</v>
      </c>
      <c r="E2427" s="2" t="s">
        <v>29</v>
      </c>
      <c r="F2427" s="2" t="s">
        <v>13</v>
      </c>
      <c r="G2427">
        <v>69340</v>
      </c>
      <c r="H2427" s="1">
        <v>45170</v>
      </c>
      <c r="I2427">
        <v>6</v>
      </c>
      <c r="J2427">
        <v>1</v>
      </c>
      <c r="K2427">
        <v>6934</v>
      </c>
      <c r="L2427">
        <v>3467</v>
      </c>
      <c r="M2427">
        <v>72807</v>
      </c>
      <c r="N2427">
        <v>3467</v>
      </c>
      <c r="O2427">
        <v>79741</v>
      </c>
    </row>
    <row r="2428" spans="1:15" x14ac:dyDescent="0.35">
      <c r="A2428">
        <v>2427</v>
      </c>
      <c r="B2428" s="2" t="s">
        <v>18</v>
      </c>
      <c r="C2428" s="2" t="s">
        <v>15</v>
      </c>
      <c r="D2428">
        <v>59</v>
      </c>
      <c r="E2428" s="2" t="s">
        <v>16</v>
      </c>
      <c r="F2428" s="2" t="s">
        <v>13</v>
      </c>
      <c r="G2428">
        <v>30054</v>
      </c>
      <c r="H2428" s="1">
        <v>45487</v>
      </c>
      <c r="I2428">
        <v>8</v>
      </c>
      <c r="J2428">
        <v>5</v>
      </c>
      <c r="K2428">
        <v>3005</v>
      </c>
      <c r="L2428">
        <v>1503</v>
      </c>
      <c r="M2428">
        <v>31556</v>
      </c>
      <c r="N2428">
        <v>1503</v>
      </c>
      <c r="O2428">
        <v>34562</v>
      </c>
    </row>
    <row r="2429" spans="1:15" x14ac:dyDescent="0.35">
      <c r="A2429">
        <v>2428</v>
      </c>
      <c r="B2429" s="2" t="s">
        <v>14</v>
      </c>
      <c r="C2429" s="2" t="s">
        <v>15</v>
      </c>
      <c r="D2429">
        <v>21</v>
      </c>
      <c r="E2429" s="2" t="s">
        <v>28</v>
      </c>
      <c r="F2429" s="2" t="s">
        <v>21</v>
      </c>
      <c r="G2429">
        <v>75033</v>
      </c>
      <c r="H2429" s="1">
        <v>44699</v>
      </c>
      <c r="I2429">
        <v>14</v>
      </c>
      <c r="J2429">
        <v>1</v>
      </c>
      <c r="K2429">
        <v>7503</v>
      </c>
      <c r="L2429">
        <v>3752</v>
      </c>
      <c r="M2429">
        <v>78784</v>
      </c>
      <c r="N2429">
        <v>3752</v>
      </c>
      <c r="O2429">
        <v>86288</v>
      </c>
    </row>
    <row r="2430" spans="1:15" x14ac:dyDescent="0.35">
      <c r="A2430">
        <v>2429</v>
      </c>
      <c r="B2430" s="2" t="s">
        <v>26</v>
      </c>
      <c r="C2430" s="2" t="s">
        <v>11</v>
      </c>
      <c r="D2430">
        <v>54</v>
      </c>
      <c r="E2430" s="2" t="s">
        <v>28</v>
      </c>
      <c r="F2430" s="2" t="s">
        <v>25</v>
      </c>
      <c r="G2430">
        <v>74441</v>
      </c>
      <c r="H2430" s="1">
        <v>45557</v>
      </c>
      <c r="I2430">
        <v>5</v>
      </c>
      <c r="J2430">
        <v>2</v>
      </c>
      <c r="K2430">
        <v>7444</v>
      </c>
      <c r="L2430">
        <v>3722</v>
      </c>
      <c r="M2430">
        <v>78163</v>
      </c>
      <c r="N2430">
        <v>0</v>
      </c>
      <c r="O2430">
        <v>81885</v>
      </c>
    </row>
    <row r="2431" spans="1:15" x14ac:dyDescent="0.35">
      <c r="A2431">
        <v>2430</v>
      </c>
      <c r="B2431" s="2" t="s">
        <v>14</v>
      </c>
      <c r="C2431" s="2" t="s">
        <v>11</v>
      </c>
      <c r="D2431">
        <v>32</v>
      </c>
      <c r="E2431" s="2" t="s">
        <v>28</v>
      </c>
      <c r="F2431" s="2" t="s">
        <v>21</v>
      </c>
      <c r="G2431">
        <v>82651</v>
      </c>
      <c r="H2431" s="1">
        <v>45231</v>
      </c>
      <c r="I2431">
        <v>15</v>
      </c>
      <c r="J2431">
        <v>1</v>
      </c>
      <c r="K2431">
        <v>8265</v>
      </c>
      <c r="L2431">
        <v>4133</v>
      </c>
      <c r="M2431">
        <v>86783</v>
      </c>
      <c r="N2431">
        <v>4133</v>
      </c>
      <c r="O2431">
        <v>95049</v>
      </c>
    </row>
    <row r="2432" spans="1:15" x14ac:dyDescent="0.35">
      <c r="A2432">
        <v>2431</v>
      </c>
      <c r="B2432" s="2" t="s">
        <v>30</v>
      </c>
      <c r="C2432" s="2" t="s">
        <v>15</v>
      </c>
      <c r="D2432">
        <v>25</v>
      </c>
      <c r="E2432" s="2" t="s">
        <v>12</v>
      </c>
      <c r="F2432" s="2" t="s">
        <v>21</v>
      </c>
      <c r="G2432">
        <v>53305</v>
      </c>
      <c r="H2432" s="1">
        <v>44702</v>
      </c>
      <c r="I2432">
        <v>14</v>
      </c>
      <c r="J2432">
        <v>2</v>
      </c>
      <c r="K2432">
        <v>5330</v>
      </c>
      <c r="L2432">
        <v>2665</v>
      </c>
      <c r="M2432">
        <v>55970</v>
      </c>
      <c r="N2432">
        <v>2665</v>
      </c>
      <c r="O2432">
        <v>61300</v>
      </c>
    </row>
    <row r="2433" spans="1:15" x14ac:dyDescent="0.35">
      <c r="A2433">
        <v>2432</v>
      </c>
      <c r="B2433" s="2" t="s">
        <v>27</v>
      </c>
      <c r="C2433" s="2" t="s">
        <v>15</v>
      </c>
      <c r="D2433">
        <v>45</v>
      </c>
      <c r="E2433" s="2" t="s">
        <v>29</v>
      </c>
      <c r="F2433" s="2" t="s">
        <v>21</v>
      </c>
      <c r="G2433">
        <v>25577</v>
      </c>
      <c r="H2433" s="1">
        <v>45408</v>
      </c>
      <c r="I2433">
        <v>7</v>
      </c>
      <c r="J2433">
        <v>3</v>
      </c>
      <c r="K2433">
        <v>2558</v>
      </c>
      <c r="L2433">
        <v>1279</v>
      </c>
      <c r="M2433">
        <v>26856</v>
      </c>
      <c r="N2433">
        <v>1279</v>
      </c>
      <c r="O2433">
        <v>29414</v>
      </c>
    </row>
    <row r="2434" spans="1:15" x14ac:dyDescent="0.35">
      <c r="A2434">
        <v>2433</v>
      </c>
      <c r="B2434" s="2" t="s">
        <v>23</v>
      </c>
      <c r="C2434" s="2" t="s">
        <v>11</v>
      </c>
      <c r="D2434">
        <v>36</v>
      </c>
      <c r="E2434" s="2" t="s">
        <v>12</v>
      </c>
      <c r="F2434" s="2" t="s">
        <v>19</v>
      </c>
      <c r="G2434">
        <v>68091</v>
      </c>
      <c r="H2434" s="1">
        <v>44862</v>
      </c>
      <c r="I2434">
        <v>17</v>
      </c>
      <c r="J2434">
        <v>1</v>
      </c>
      <c r="K2434">
        <v>6809</v>
      </c>
      <c r="L2434">
        <v>3405</v>
      </c>
      <c r="M2434">
        <v>71495</v>
      </c>
      <c r="N2434">
        <v>3405</v>
      </c>
      <c r="O2434">
        <v>78305</v>
      </c>
    </row>
    <row r="2435" spans="1:15" x14ac:dyDescent="0.35">
      <c r="A2435">
        <v>2434</v>
      </c>
      <c r="B2435" s="2" t="s">
        <v>20</v>
      </c>
      <c r="C2435" s="2" t="s">
        <v>11</v>
      </c>
      <c r="D2435">
        <v>32</v>
      </c>
      <c r="E2435" s="2" t="s">
        <v>16</v>
      </c>
      <c r="F2435" s="2" t="s">
        <v>17</v>
      </c>
      <c r="G2435">
        <v>54952</v>
      </c>
      <c r="H2435" s="1">
        <v>45159</v>
      </c>
      <c r="I2435">
        <v>2</v>
      </c>
      <c r="J2435">
        <v>2</v>
      </c>
      <c r="K2435">
        <v>5495</v>
      </c>
      <c r="L2435">
        <v>2748</v>
      </c>
      <c r="M2435">
        <v>57699</v>
      </c>
      <c r="N2435">
        <v>0</v>
      </c>
      <c r="O2435">
        <v>60447</v>
      </c>
    </row>
    <row r="2436" spans="1:15" x14ac:dyDescent="0.35">
      <c r="A2436">
        <v>2435</v>
      </c>
      <c r="B2436" s="2" t="s">
        <v>20</v>
      </c>
      <c r="C2436" s="2" t="s">
        <v>15</v>
      </c>
      <c r="D2436">
        <v>53</v>
      </c>
      <c r="E2436" s="2" t="s">
        <v>12</v>
      </c>
      <c r="F2436" s="2" t="s">
        <v>13</v>
      </c>
      <c r="G2436">
        <v>44783</v>
      </c>
      <c r="H2436" s="1">
        <v>45500</v>
      </c>
      <c r="I2436">
        <v>1</v>
      </c>
      <c r="J2436">
        <v>3</v>
      </c>
      <c r="K2436">
        <v>4478</v>
      </c>
      <c r="L2436">
        <v>2239</v>
      </c>
      <c r="M2436">
        <v>47022</v>
      </c>
      <c r="N2436">
        <v>0</v>
      </c>
      <c r="O2436">
        <v>49261</v>
      </c>
    </row>
    <row r="2437" spans="1:15" x14ac:dyDescent="0.35">
      <c r="A2437">
        <v>2436</v>
      </c>
      <c r="B2437" s="2" t="s">
        <v>30</v>
      </c>
      <c r="C2437" s="2" t="s">
        <v>11</v>
      </c>
      <c r="D2437">
        <v>60</v>
      </c>
      <c r="E2437" s="2" t="s">
        <v>24</v>
      </c>
      <c r="F2437" s="2" t="s">
        <v>19</v>
      </c>
      <c r="G2437">
        <v>72089</v>
      </c>
      <c r="H2437" s="1">
        <v>45411</v>
      </c>
      <c r="I2437">
        <v>1</v>
      </c>
      <c r="J2437">
        <v>4</v>
      </c>
      <c r="K2437">
        <v>7209</v>
      </c>
      <c r="L2437">
        <v>3604</v>
      </c>
      <c r="M2437">
        <v>75694</v>
      </c>
      <c r="N2437">
        <v>0</v>
      </c>
      <c r="O2437">
        <v>79298</v>
      </c>
    </row>
    <row r="2438" spans="1:15" x14ac:dyDescent="0.35">
      <c r="A2438">
        <v>2437</v>
      </c>
      <c r="B2438" s="2" t="s">
        <v>10</v>
      </c>
      <c r="C2438" s="2" t="s">
        <v>11</v>
      </c>
      <c r="D2438">
        <v>35</v>
      </c>
      <c r="E2438" s="2" t="s">
        <v>28</v>
      </c>
      <c r="F2438" s="2" t="s">
        <v>17</v>
      </c>
      <c r="G2438">
        <v>45582</v>
      </c>
      <c r="H2438" s="1">
        <v>45289</v>
      </c>
      <c r="I2438">
        <v>11</v>
      </c>
      <c r="J2438">
        <v>4</v>
      </c>
      <c r="K2438">
        <v>4558</v>
      </c>
      <c r="L2438">
        <v>2279</v>
      </c>
      <c r="M2438">
        <v>47861</v>
      </c>
      <c r="N2438">
        <v>2279</v>
      </c>
      <c r="O2438">
        <v>52419</v>
      </c>
    </row>
    <row r="2439" spans="1:15" x14ac:dyDescent="0.35">
      <c r="A2439">
        <v>2438</v>
      </c>
      <c r="B2439" s="2" t="s">
        <v>26</v>
      </c>
      <c r="C2439" s="2" t="s">
        <v>11</v>
      </c>
      <c r="D2439">
        <v>45</v>
      </c>
      <c r="E2439" s="2" t="s">
        <v>29</v>
      </c>
      <c r="F2439" s="2" t="s">
        <v>19</v>
      </c>
      <c r="G2439">
        <v>75891</v>
      </c>
      <c r="H2439" s="1">
        <v>45161</v>
      </c>
      <c r="I2439">
        <v>4</v>
      </c>
      <c r="J2439">
        <v>2</v>
      </c>
      <c r="K2439">
        <v>7589</v>
      </c>
      <c r="L2439">
        <v>3795</v>
      </c>
      <c r="M2439">
        <v>79685</v>
      </c>
      <c r="N2439">
        <v>0</v>
      </c>
      <c r="O2439">
        <v>83480</v>
      </c>
    </row>
    <row r="2440" spans="1:15" x14ac:dyDescent="0.35">
      <c r="A2440">
        <v>2439</v>
      </c>
      <c r="B2440" s="2" t="s">
        <v>18</v>
      </c>
      <c r="C2440" s="2" t="s">
        <v>15</v>
      </c>
      <c r="D2440">
        <v>34</v>
      </c>
      <c r="E2440" s="2" t="s">
        <v>28</v>
      </c>
      <c r="F2440" s="2" t="s">
        <v>17</v>
      </c>
      <c r="G2440">
        <v>34259</v>
      </c>
      <c r="H2440" s="1">
        <v>44903</v>
      </c>
      <c r="I2440">
        <v>11</v>
      </c>
      <c r="J2440">
        <v>3</v>
      </c>
      <c r="K2440">
        <v>3426</v>
      </c>
      <c r="L2440">
        <v>1713</v>
      </c>
      <c r="M2440">
        <v>35972</v>
      </c>
      <c r="N2440">
        <v>1713</v>
      </c>
      <c r="O2440">
        <v>39398</v>
      </c>
    </row>
    <row r="2441" spans="1:15" x14ac:dyDescent="0.35">
      <c r="A2441">
        <v>2440</v>
      </c>
      <c r="B2441" s="2" t="s">
        <v>20</v>
      </c>
      <c r="C2441" s="2" t="s">
        <v>15</v>
      </c>
      <c r="D2441">
        <v>52</v>
      </c>
      <c r="E2441" s="2" t="s">
        <v>16</v>
      </c>
      <c r="F2441" s="2" t="s">
        <v>13</v>
      </c>
      <c r="G2441">
        <v>25878</v>
      </c>
      <c r="H2441" s="1">
        <v>45359</v>
      </c>
      <c r="I2441">
        <v>11</v>
      </c>
      <c r="J2441">
        <v>4</v>
      </c>
      <c r="K2441">
        <v>2588</v>
      </c>
      <c r="L2441">
        <v>1294</v>
      </c>
      <c r="M2441">
        <v>27172</v>
      </c>
      <c r="N2441">
        <v>1294</v>
      </c>
      <c r="O2441">
        <v>29760</v>
      </c>
    </row>
    <row r="2442" spans="1:15" x14ac:dyDescent="0.35">
      <c r="A2442">
        <v>2441</v>
      </c>
      <c r="B2442" s="2" t="s">
        <v>10</v>
      </c>
      <c r="C2442" s="2" t="s">
        <v>15</v>
      </c>
      <c r="D2442">
        <v>24</v>
      </c>
      <c r="E2442" s="2" t="s">
        <v>16</v>
      </c>
      <c r="F2442" s="2" t="s">
        <v>17</v>
      </c>
      <c r="G2442">
        <v>43323</v>
      </c>
      <c r="H2442" s="1">
        <v>45370</v>
      </c>
      <c r="I2442">
        <v>3</v>
      </c>
      <c r="J2442">
        <v>1</v>
      </c>
      <c r="K2442">
        <v>4332</v>
      </c>
      <c r="L2442">
        <v>2166</v>
      </c>
      <c r="M2442">
        <v>45489</v>
      </c>
      <c r="N2442">
        <v>0</v>
      </c>
      <c r="O2442">
        <v>47655</v>
      </c>
    </row>
    <row r="2443" spans="1:15" x14ac:dyDescent="0.35">
      <c r="A2443">
        <v>2442</v>
      </c>
      <c r="B2443" s="2" t="s">
        <v>26</v>
      </c>
      <c r="C2443" s="2" t="s">
        <v>11</v>
      </c>
      <c r="D2443">
        <v>50</v>
      </c>
      <c r="E2443" s="2" t="s">
        <v>12</v>
      </c>
      <c r="F2443" s="2" t="s">
        <v>21</v>
      </c>
      <c r="G2443">
        <v>26574</v>
      </c>
      <c r="H2443" s="1">
        <v>45146</v>
      </c>
      <c r="I2443">
        <v>6</v>
      </c>
      <c r="J2443">
        <v>1</v>
      </c>
      <c r="K2443">
        <v>2657</v>
      </c>
      <c r="L2443">
        <v>1329</v>
      </c>
      <c r="M2443">
        <v>27902</v>
      </c>
      <c r="N2443">
        <v>1329</v>
      </c>
      <c r="O2443">
        <v>30560</v>
      </c>
    </row>
    <row r="2444" spans="1:15" x14ac:dyDescent="0.35">
      <c r="A2444">
        <v>2443</v>
      </c>
      <c r="B2444" s="2" t="s">
        <v>31</v>
      </c>
      <c r="C2444" s="2" t="s">
        <v>11</v>
      </c>
      <c r="D2444">
        <v>36</v>
      </c>
      <c r="E2444" s="2" t="s">
        <v>12</v>
      </c>
      <c r="F2444" s="2" t="s">
        <v>21</v>
      </c>
      <c r="G2444">
        <v>32207</v>
      </c>
      <c r="H2444" s="1">
        <v>45160</v>
      </c>
      <c r="I2444">
        <v>1</v>
      </c>
      <c r="J2444">
        <v>3</v>
      </c>
      <c r="K2444">
        <v>3221</v>
      </c>
      <c r="L2444">
        <v>1610</v>
      </c>
      <c r="M2444">
        <v>33818</v>
      </c>
      <c r="N2444">
        <v>0</v>
      </c>
      <c r="O2444">
        <v>35428</v>
      </c>
    </row>
    <row r="2445" spans="1:15" x14ac:dyDescent="0.35">
      <c r="A2445">
        <v>2444</v>
      </c>
      <c r="B2445" s="2" t="s">
        <v>10</v>
      </c>
      <c r="C2445" s="2" t="s">
        <v>11</v>
      </c>
      <c r="D2445">
        <v>48</v>
      </c>
      <c r="E2445" s="2" t="s">
        <v>24</v>
      </c>
      <c r="F2445" s="2" t="s">
        <v>17</v>
      </c>
      <c r="G2445">
        <v>77213</v>
      </c>
      <c r="H2445" s="1">
        <v>45307</v>
      </c>
      <c r="I2445">
        <v>6</v>
      </c>
      <c r="J2445">
        <v>1</v>
      </c>
      <c r="K2445">
        <v>7721</v>
      </c>
      <c r="L2445">
        <v>3861</v>
      </c>
      <c r="M2445">
        <v>81073</v>
      </c>
      <c r="N2445">
        <v>3861</v>
      </c>
      <c r="O2445">
        <v>88795</v>
      </c>
    </row>
    <row r="2446" spans="1:15" x14ac:dyDescent="0.35">
      <c r="A2446">
        <v>2445</v>
      </c>
      <c r="B2446" s="2" t="s">
        <v>31</v>
      </c>
      <c r="C2446" s="2" t="s">
        <v>15</v>
      </c>
      <c r="D2446">
        <v>39</v>
      </c>
      <c r="E2446" s="2" t="s">
        <v>12</v>
      </c>
      <c r="F2446" s="2" t="s">
        <v>25</v>
      </c>
      <c r="G2446">
        <v>84923</v>
      </c>
      <c r="H2446" s="1">
        <v>45484</v>
      </c>
      <c r="I2446">
        <v>1</v>
      </c>
      <c r="J2446">
        <v>2</v>
      </c>
      <c r="K2446">
        <v>8492</v>
      </c>
      <c r="L2446">
        <v>4246</v>
      </c>
      <c r="M2446">
        <v>89169</v>
      </c>
      <c r="N2446">
        <v>0</v>
      </c>
      <c r="O2446">
        <v>93415</v>
      </c>
    </row>
    <row r="2447" spans="1:15" x14ac:dyDescent="0.35">
      <c r="A2447">
        <v>2446</v>
      </c>
      <c r="B2447" s="2" t="s">
        <v>14</v>
      </c>
      <c r="C2447" s="2" t="s">
        <v>11</v>
      </c>
      <c r="D2447">
        <v>26</v>
      </c>
      <c r="E2447" s="2" t="s">
        <v>16</v>
      </c>
      <c r="F2447" s="2" t="s">
        <v>17</v>
      </c>
      <c r="G2447">
        <v>45832</v>
      </c>
      <c r="H2447" s="1">
        <v>45341</v>
      </c>
      <c r="I2447">
        <v>16</v>
      </c>
      <c r="J2447">
        <v>1</v>
      </c>
      <c r="K2447">
        <v>4583</v>
      </c>
      <c r="L2447">
        <v>2292</v>
      </c>
      <c r="M2447">
        <v>48123</v>
      </c>
      <c r="N2447">
        <v>2292</v>
      </c>
      <c r="O2447">
        <v>52707</v>
      </c>
    </row>
    <row r="2448" spans="1:15" x14ac:dyDescent="0.35">
      <c r="A2448">
        <v>2447</v>
      </c>
      <c r="B2448" s="2" t="s">
        <v>23</v>
      </c>
      <c r="C2448" s="2" t="s">
        <v>15</v>
      </c>
      <c r="D2448">
        <v>50</v>
      </c>
      <c r="E2448" s="2" t="s">
        <v>28</v>
      </c>
      <c r="F2448" s="2" t="s">
        <v>17</v>
      </c>
      <c r="G2448">
        <v>62781</v>
      </c>
      <c r="H2448" s="1">
        <v>44833</v>
      </c>
      <c r="I2448">
        <v>15</v>
      </c>
      <c r="J2448">
        <v>2</v>
      </c>
      <c r="K2448">
        <v>6278</v>
      </c>
      <c r="L2448">
        <v>3139</v>
      </c>
      <c r="M2448">
        <v>65920</v>
      </c>
      <c r="N2448">
        <v>3139</v>
      </c>
      <c r="O2448">
        <v>72198</v>
      </c>
    </row>
    <row r="2449" spans="1:15" x14ac:dyDescent="0.35">
      <c r="A2449">
        <v>2448</v>
      </c>
      <c r="B2449" s="2" t="s">
        <v>20</v>
      </c>
      <c r="C2449" s="2" t="s">
        <v>15</v>
      </c>
      <c r="D2449">
        <v>32</v>
      </c>
      <c r="E2449" s="2" t="s">
        <v>28</v>
      </c>
      <c r="F2449" s="2" t="s">
        <v>19</v>
      </c>
      <c r="G2449">
        <v>54996</v>
      </c>
      <c r="H2449" s="1">
        <v>44632</v>
      </c>
      <c r="I2449">
        <v>12</v>
      </c>
      <c r="J2449">
        <v>4</v>
      </c>
      <c r="K2449">
        <v>5500</v>
      </c>
      <c r="L2449">
        <v>2750</v>
      </c>
      <c r="M2449">
        <v>57746</v>
      </c>
      <c r="N2449">
        <v>2750</v>
      </c>
      <c r="O2449">
        <v>63246</v>
      </c>
    </row>
    <row r="2450" spans="1:15" x14ac:dyDescent="0.35">
      <c r="A2450">
        <v>2449</v>
      </c>
      <c r="B2450" s="2" t="s">
        <v>22</v>
      </c>
      <c r="C2450" s="2" t="s">
        <v>15</v>
      </c>
      <c r="D2450">
        <v>45</v>
      </c>
      <c r="E2450" s="2" t="s">
        <v>29</v>
      </c>
      <c r="F2450" s="2" t="s">
        <v>17</v>
      </c>
      <c r="G2450">
        <v>96969</v>
      </c>
      <c r="H2450" s="1">
        <v>44892</v>
      </c>
      <c r="I2450">
        <v>18</v>
      </c>
      <c r="J2450">
        <v>1</v>
      </c>
      <c r="K2450">
        <v>9697</v>
      </c>
      <c r="L2450">
        <v>4848</v>
      </c>
      <c r="M2450">
        <v>101818</v>
      </c>
      <c r="N2450">
        <v>4848</v>
      </c>
      <c r="O2450">
        <v>111514</v>
      </c>
    </row>
    <row r="2451" spans="1:15" x14ac:dyDescent="0.35">
      <c r="A2451">
        <v>2450</v>
      </c>
      <c r="B2451" s="2" t="s">
        <v>14</v>
      </c>
      <c r="C2451" s="2" t="s">
        <v>11</v>
      </c>
      <c r="D2451">
        <v>24</v>
      </c>
      <c r="E2451" s="2" t="s">
        <v>12</v>
      </c>
      <c r="F2451" s="2" t="s">
        <v>21</v>
      </c>
      <c r="G2451">
        <v>59242</v>
      </c>
      <c r="H2451" s="1">
        <v>45054</v>
      </c>
      <c r="I2451">
        <v>16</v>
      </c>
      <c r="J2451">
        <v>1</v>
      </c>
      <c r="K2451">
        <v>5924</v>
      </c>
      <c r="L2451">
        <v>2962</v>
      </c>
      <c r="M2451">
        <v>62204</v>
      </c>
      <c r="N2451">
        <v>2962</v>
      </c>
      <c r="O2451">
        <v>68128</v>
      </c>
    </row>
    <row r="2452" spans="1:15" x14ac:dyDescent="0.35">
      <c r="A2452">
        <v>2451</v>
      </c>
      <c r="B2452" s="2" t="s">
        <v>14</v>
      </c>
      <c r="C2452" s="2" t="s">
        <v>15</v>
      </c>
      <c r="D2452">
        <v>22</v>
      </c>
      <c r="E2452" s="2" t="s">
        <v>16</v>
      </c>
      <c r="F2452" s="2" t="s">
        <v>21</v>
      </c>
      <c r="G2452">
        <v>58326</v>
      </c>
      <c r="H2452" s="1">
        <v>45464</v>
      </c>
      <c r="I2452">
        <v>11</v>
      </c>
      <c r="J2452">
        <v>2</v>
      </c>
      <c r="K2452">
        <v>5833</v>
      </c>
      <c r="L2452">
        <v>2916</v>
      </c>
      <c r="M2452">
        <v>61243</v>
      </c>
      <c r="N2452">
        <v>2916</v>
      </c>
      <c r="O2452">
        <v>67075</v>
      </c>
    </row>
    <row r="2453" spans="1:15" x14ac:dyDescent="0.35">
      <c r="A2453">
        <v>2452</v>
      </c>
      <c r="B2453" s="2" t="s">
        <v>30</v>
      </c>
      <c r="C2453" s="2" t="s">
        <v>11</v>
      </c>
      <c r="D2453">
        <v>45</v>
      </c>
      <c r="E2453" s="2" t="s">
        <v>12</v>
      </c>
      <c r="F2453" s="2" t="s">
        <v>17</v>
      </c>
      <c r="G2453">
        <v>78158</v>
      </c>
      <c r="H2453" s="1">
        <v>44956</v>
      </c>
      <c r="I2453">
        <v>13</v>
      </c>
      <c r="J2453">
        <v>1</v>
      </c>
      <c r="K2453">
        <v>7816</v>
      </c>
      <c r="L2453">
        <v>3908</v>
      </c>
      <c r="M2453">
        <v>82066</v>
      </c>
      <c r="N2453">
        <v>3908</v>
      </c>
      <c r="O2453">
        <v>89882</v>
      </c>
    </row>
    <row r="2454" spans="1:15" x14ac:dyDescent="0.35">
      <c r="A2454">
        <v>2453</v>
      </c>
      <c r="B2454" s="2" t="s">
        <v>10</v>
      </c>
      <c r="C2454" s="2" t="s">
        <v>11</v>
      </c>
      <c r="D2454">
        <v>40</v>
      </c>
      <c r="E2454" s="2" t="s">
        <v>24</v>
      </c>
      <c r="F2454" s="2" t="s">
        <v>13</v>
      </c>
      <c r="G2454">
        <v>61970</v>
      </c>
      <c r="H2454" s="1">
        <v>44698</v>
      </c>
      <c r="I2454">
        <v>9</v>
      </c>
      <c r="J2454">
        <v>5</v>
      </c>
      <c r="K2454">
        <v>6197</v>
      </c>
      <c r="L2454">
        <v>3098</v>
      </c>
      <c r="M2454">
        <v>65069</v>
      </c>
      <c r="N2454">
        <v>3098</v>
      </c>
      <c r="O2454">
        <v>71265</v>
      </c>
    </row>
    <row r="2455" spans="1:15" x14ac:dyDescent="0.35">
      <c r="A2455">
        <v>2454</v>
      </c>
      <c r="B2455" s="2" t="s">
        <v>14</v>
      </c>
      <c r="C2455" s="2" t="s">
        <v>15</v>
      </c>
      <c r="D2455">
        <v>42</v>
      </c>
      <c r="E2455" s="2" t="s">
        <v>29</v>
      </c>
      <c r="F2455" s="2" t="s">
        <v>13</v>
      </c>
      <c r="G2455">
        <v>92306</v>
      </c>
      <c r="H2455" s="1">
        <v>44812</v>
      </c>
      <c r="I2455">
        <v>12</v>
      </c>
      <c r="J2455">
        <v>4</v>
      </c>
      <c r="K2455">
        <v>9231</v>
      </c>
      <c r="L2455">
        <v>4615</v>
      </c>
      <c r="M2455">
        <v>96922</v>
      </c>
      <c r="N2455">
        <v>4615</v>
      </c>
      <c r="O2455">
        <v>106152</v>
      </c>
    </row>
    <row r="2456" spans="1:15" x14ac:dyDescent="0.35">
      <c r="A2456">
        <v>2455</v>
      </c>
      <c r="B2456" s="2" t="s">
        <v>31</v>
      </c>
      <c r="C2456" s="2" t="s">
        <v>11</v>
      </c>
      <c r="D2456">
        <v>45</v>
      </c>
      <c r="E2456" s="2" t="s">
        <v>12</v>
      </c>
      <c r="F2456" s="2" t="s">
        <v>25</v>
      </c>
      <c r="G2456">
        <v>68606</v>
      </c>
      <c r="H2456" s="1">
        <v>45271</v>
      </c>
      <c r="I2456">
        <v>4</v>
      </c>
      <c r="J2456">
        <v>1</v>
      </c>
      <c r="K2456">
        <v>6861</v>
      </c>
      <c r="L2456">
        <v>3430</v>
      </c>
      <c r="M2456">
        <v>72037</v>
      </c>
      <c r="N2456">
        <v>0</v>
      </c>
      <c r="O2456">
        <v>75467</v>
      </c>
    </row>
    <row r="2457" spans="1:15" x14ac:dyDescent="0.35">
      <c r="A2457">
        <v>2456</v>
      </c>
      <c r="B2457" s="2" t="s">
        <v>31</v>
      </c>
      <c r="C2457" s="2" t="s">
        <v>11</v>
      </c>
      <c r="D2457">
        <v>46</v>
      </c>
      <c r="E2457" s="2" t="s">
        <v>28</v>
      </c>
      <c r="F2457" s="2" t="s">
        <v>17</v>
      </c>
      <c r="G2457">
        <v>54602</v>
      </c>
      <c r="H2457" s="1">
        <v>44676</v>
      </c>
      <c r="I2457">
        <v>2</v>
      </c>
      <c r="J2457">
        <v>1</v>
      </c>
      <c r="K2457">
        <v>5460</v>
      </c>
      <c r="L2457">
        <v>2730</v>
      </c>
      <c r="M2457">
        <v>57332</v>
      </c>
      <c r="N2457">
        <v>0</v>
      </c>
      <c r="O2457">
        <v>60062</v>
      </c>
    </row>
    <row r="2458" spans="1:15" x14ac:dyDescent="0.35">
      <c r="A2458">
        <v>2457</v>
      </c>
      <c r="B2458" s="2" t="s">
        <v>30</v>
      </c>
      <c r="C2458" s="2" t="s">
        <v>15</v>
      </c>
      <c r="D2458">
        <v>40</v>
      </c>
      <c r="E2458" s="2" t="s">
        <v>12</v>
      </c>
      <c r="F2458" s="2" t="s">
        <v>25</v>
      </c>
      <c r="G2458">
        <v>64149</v>
      </c>
      <c r="H2458" s="1">
        <v>45354</v>
      </c>
      <c r="I2458">
        <v>20</v>
      </c>
      <c r="J2458">
        <v>1</v>
      </c>
      <c r="K2458">
        <v>6415</v>
      </c>
      <c r="L2458">
        <v>3207</v>
      </c>
      <c r="M2458">
        <v>67357</v>
      </c>
      <c r="N2458">
        <v>3207</v>
      </c>
      <c r="O2458">
        <v>73771</v>
      </c>
    </row>
    <row r="2459" spans="1:15" x14ac:dyDescent="0.35">
      <c r="A2459">
        <v>2458</v>
      </c>
      <c r="B2459" s="2" t="s">
        <v>14</v>
      </c>
      <c r="C2459" s="2" t="s">
        <v>11</v>
      </c>
      <c r="D2459">
        <v>24</v>
      </c>
      <c r="E2459" s="2" t="s">
        <v>16</v>
      </c>
      <c r="F2459" s="2" t="s">
        <v>19</v>
      </c>
      <c r="G2459">
        <v>65016</v>
      </c>
      <c r="H2459" s="1">
        <v>45206</v>
      </c>
      <c r="I2459">
        <v>15</v>
      </c>
      <c r="J2459">
        <v>1</v>
      </c>
      <c r="K2459">
        <v>6502</v>
      </c>
      <c r="L2459">
        <v>3251</v>
      </c>
      <c r="M2459">
        <v>68267</v>
      </c>
      <c r="N2459">
        <v>3251</v>
      </c>
      <c r="O2459">
        <v>74769</v>
      </c>
    </row>
    <row r="2460" spans="1:15" x14ac:dyDescent="0.35">
      <c r="A2460">
        <v>2459</v>
      </c>
      <c r="B2460" s="2" t="s">
        <v>30</v>
      </c>
      <c r="C2460" s="2" t="s">
        <v>15</v>
      </c>
      <c r="D2460">
        <v>37</v>
      </c>
      <c r="E2460" s="2" t="s">
        <v>16</v>
      </c>
      <c r="F2460" s="2" t="s">
        <v>21</v>
      </c>
      <c r="G2460">
        <v>46435</v>
      </c>
      <c r="H2460" s="1">
        <v>45047</v>
      </c>
      <c r="I2460">
        <v>1</v>
      </c>
      <c r="J2460">
        <v>1</v>
      </c>
      <c r="K2460">
        <v>4644</v>
      </c>
      <c r="L2460">
        <v>2322</v>
      </c>
      <c r="M2460">
        <v>48757</v>
      </c>
      <c r="N2460">
        <v>0</v>
      </c>
      <c r="O2460">
        <v>51079</v>
      </c>
    </row>
    <row r="2461" spans="1:15" x14ac:dyDescent="0.35">
      <c r="A2461">
        <v>2460</v>
      </c>
      <c r="B2461" s="2" t="s">
        <v>30</v>
      </c>
      <c r="C2461" s="2" t="s">
        <v>11</v>
      </c>
      <c r="D2461">
        <v>52</v>
      </c>
      <c r="E2461" s="2" t="s">
        <v>12</v>
      </c>
      <c r="F2461" s="2" t="s">
        <v>21</v>
      </c>
      <c r="G2461">
        <v>47363</v>
      </c>
      <c r="H2461" s="1">
        <v>44694</v>
      </c>
      <c r="I2461">
        <v>14</v>
      </c>
      <c r="J2461">
        <v>3</v>
      </c>
      <c r="K2461">
        <v>4736</v>
      </c>
      <c r="L2461">
        <v>2368</v>
      </c>
      <c r="M2461">
        <v>49731</v>
      </c>
      <c r="N2461">
        <v>2368</v>
      </c>
      <c r="O2461">
        <v>54467</v>
      </c>
    </row>
    <row r="2462" spans="1:15" x14ac:dyDescent="0.35">
      <c r="A2462">
        <v>2461</v>
      </c>
      <c r="B2462" s="2" t="s">
        <v>27</v>
      </c>
      <c r="C2462" s="2" t="s">
        <v>11</v>
      </c>
      <c r="D2462">
        <v>34</v>
      </c>
      <c r="E2462" s="2" t="s">
        <v>28</v>
      </c>
      <c r="F2462" s="2" t="s">
        <v>25</v>
      </c>
      <c r="G2462">
        <v>29469</v>
      </c>
      <c r="H2462" s="1">
        <v>45372</v>
      </c>
      <c r="I2462">
        <v>1</v>
      </c>
      <c r="J2462">
        <v>4</v>
      </c>
      <c r="K2462">
        <v>2947</v>
      </c>
      <c r="L2462">
        <v>1473</v>
      </c>
      <c r="M2462">
        <v>30943</v>
      </c>
      <c r="N2462">
        <v>0</v>
      </c>
      <c r="O2462">
        <v>32416</v>
      </c>
    </row>
    <row r="2463" spans="1:15" x14ac:dyDescent="0.35">
      <c r="A2463">
        <v>2462</v>
      </c>
      <c r="B2463" s="2" t="s">
        <v>22</v>
      </c>
      <c r="C2463" s="2" t="s">
        <v>15</v>
      </c>
      <c r="D2463">
        <v>60</v>
      </c>
      <c r="E2463" s="2" t="s">
        <v>12</v>
      </c>
      <c r="F2463" s="2" t="s">
        <v>25</v>
      </c>
      <c r="G2463">
        <v>76502</v>
      </c>
      <c r="H2463" s="1">
        <v>45525</v>
      </c>
      <c r="I2463">
        <v>17</v>
      </c>
      <c r="J2463">
        <v>4</v>
      </c>
      <c r="K2463">
        <v>7650</v>
      </c>
      <c r="L2463">
        <v>3825</v>
      </c>
      <c r="M2463">
        <v>80327</v>
      </c>
      <c r="N2463">
        <v>3825</v>
      </c>
      <c r="O2463">
        <v>87977</v>
      </c>
    </row>
    <row r="2464" spans="1:15" x14ac:dyDescent="0.35">
      <c r="A2464">
        <v>2463</v>
      </c>
      <c r="B2464" s="2" t="s">
        <v>23</v>
      </c>
      <c r="C2464" s="2" t="s">
        <v>15</v>
      </c>
      <c r="D2464">
        <v>47</v>
      </c>
      <c r="E2464" s="2" t="s">
        <v>12</v>
      </c>
      <c r="F2464" s="2" t="s">
        <v>13</v>
      </c>
      <c r="G2464">
        <v>25458</v>
      </c>
      <c r="H2464" s="1">
        <v>45161</v>
      </c>
      <c r="I2464">
        <v>19</v>
      </c>
      <c r="J2464">
        <v>2</v>
      </c>
      <c r="K2464">
        <v>2546</v>
      </c>
      <c r="L2464">
        <v>1273</v>
      </c>
      <c r="M2464">
        <v>26731</v>
      </c>
      <c r="N2464">
        <v>1273</v>
      </c>
      <c r="O2464">
        <v>29277</v>
      </c>
    </row>
    <row r="2465" spans="1:15" x14ac:dyDescent="0.35">
      <c r="A2465">
        <v>2464</v>
      </c>
      <c r="B2465" s="2" t="s">
        <v>23</v>
      </c>
      <c r="C2465" s="2" t="s">
        <v>11</v>
      </c>
      <c r="D2465">
        <v>51</v>
      </c>
      <c r="E2465" s="2" t="s">
        <v>28</v>
      </c>
      <c r="F2465" s="2" t="s">
        <v>17</v>
      </c>
      <c r="G2465">
        <v>23583</v>
      </c>
      <c r="H2465" s="1">
        <v>44778</v>
      </c>
      <c r="I2465">
        <v>18</v>
      </c>
      <c r="J2465">
        <v>5</v>
      </c>
      <c r="K2465">
        <v>2358</v>
      </c>
      <c r="L2465">
        <v>1179</v>
      </c>
      <c r="M2465">
        <v>24762</v>
      </c>
      <c r="N2465">
        <v>1179</v>
      </c>
      <c r="O2465">
        <v>27120</v>
      </c>
    </row>
    <row r="2466" spans="1:15" x14ac:dyDescent="0.35">
      <c r="A2466">
        <v>2465</v>
      </c>
      <c r="B2466" s="2" t="s">
        <v>22</v>
      </c>
      <c r="C2466" s="2" t="s">
        <v>11</v>
      </c>
      <c r="D2466">
        <v>33</v>
      </c>
      <c r="E2466" s="2" t="s">
        <v>29</v>
      </c>
      <c r="F2466" s="2" t="s">
        <v>17</v>
      </c>
      <c r="G2466">
        <v>26377</v>
      </c>
      <c r="H2466" s="1">
        <v>44710</v>
      </c>
      <c r="I2466">
        <v>14</v>
      </c>
      <c r="J2466">
        <v>3</v>
      </c>
      <c r="K2466">
        <v>2638</v>
      </c>
      <c r="L2466">
        <v>1319</v>
      </c>
      <c r="M2466">
        <v>27696</v>
      </c>
      <c r="N2466">
        <v>1319</v>
      </c>
      <c r="O2466">
        <v>30334</v>
      </c>
    </row>
    <row r="2467" spans="1:15" x14ac:dyDescent="0.35">
      <c r="A2467">
        <v>2466</v>
      </c>
      <c r="B2467" s="2" t="s">
        <v>14</v>
      </c>
      <c r="C2467" s="2" t="s">
        <v>15</v>
      </c>
      <c r="D2467">
        <v>23</v>
      </c>
      <c r="E2467" s="2" t="s">
        <v>12</v>
      </c>
      <c r="F2467" s="2" t="s">
        <v>17</v>
      </c>
      <c r="G2467">
        <v>30024</v>
      </c>
      <c r="H2467" s="1">
        <v>45379</v>
      </c>
      <c r="I2467">
        <v>13</v>
      </c>
      <c r="J2467">
        <v>4</v>
      </c>
      <c r="K2467">
        <v>3002</v>
      </c>
      <c r="L2467">
        <v>1501</v>
      </c>
      <c r="M2467">
        <v>31525</v>
      </c>
      <c r="N2467">
        <v>1501</v>
      </c>
      <c r="O2467">
        <v>34527</v>
      </c>
    </row>
    <row r="2468" spans="1:15" x14ac:dyDescent="0.35">
      <c r="A2468">
        <v>2467</v>
      </c>
      <c r="B2468" s="2" t="s">
        <v>14</v>
      </c>
      <c r="C2468" s="2" t="s">
        <v>15</v>
      </c>
      <c r="D2468">
        <v>27</v>
      </c>
      <c r="E2468" s="2" t="s">
        <v>16</v>
      </c>
      <c r="F2468" s="2" t="s">
        <v>13</v>
      </c>
      <c r="G2468">
        <v>68043</v>
      </c>
      <c r="H2468" s="1">
        <v>45128</v>
      </c>
      <c r="I2468">
        <v>5</v>
      </c>
      <c r="J2468">
        <v>4</v>
      </c>
      <c r="K2468">
        <v>6804</v>
      </c>
      <c r="L2468">
        <v>3402</v>
      </c>
      <c r="M2468">
        <v>71445</v>
      </c>
      <c r="N2468">
        <v>0</v>
      </c>
      <c r="O2468">
        <v>74847</v>
      </c>
    </row>
    <row r="2469" spans="1:15" x14ac:dyDescent="0.35">
      <c r="A2469">
        <v>2468</v>
      </c>
      <c r="B2469" s="2" t="s">
        <v>18</v>
      </c>
      <c r="C2469" s="2" t="s">
        <v>11</v>
      </c>
      <c r="D2469">
        <v>51</v>
      </c>
      <c r="E2469" s="2" t="s">
        <v>16</v>
      </c>
      <c r="F2469" s="2" t="s">
        <v>21</v>
      </c>
      <c r="G2469">
        <v>83068</v>
      </c>
      <c r="H2469" s="1">
        <v>45179</v>
      </c>
      <c r="I2469">
        <v>20</v>
      </c>
      <c r="J2469">
        <v>2</v>
      </c>
      <c r="K2469">
        <v>8307</v>
      </c>
      <c r="L2469">
        <v>4153</v>
      </c>
      <c r="M2469">
        <v>87222</v>
      </c>
      <c r="N2469">
        <v>4153</v>
      </c>
      <c r="O2469">
        <v>95528</v>
      </c>
    </row>
    <row r="2470" spans="1:15" x14ac:dyDescent="0.35">
      <c r="A2470">
        <v>2469</v>
      </c>
      <c r="B2470" s="2" t="s">
        <v>31</v>
      </c>
      <c r="C2470" s="2" t="s">
        <v>11</v>
      </c>
      <c r="D2470">
        <v>27</v>
      </c>
      <c r="E2470" s="2" t="s">
        <v>29</v>
      </c>
      <c r="F2470" s="2" t="s">
        <v>17</v>
      </c>
      <c r="G2470">
        <v>89443</v>
      </c>
      <c r="H2470" s="1">
        <v>45117</v>
      </c>
      <c r="I2470">
        <v>3</v>
      </c>
      <c r="J2470">
        <v>4</v>
      </c>
      <c r="K2470">
        <v>8944</v>
      </c>
      <c r="L2470">
        <v>4472</v>
      </c>
      <c r="M2470">
        <v>93915</v>
      </c>
      <c r="N2470">
        <v>0</v>
      </c>
      <c r="O2470">
        <v>98387</v>
      </c>
    </row>
    <row r="2471" spans="1:15" x14ac:dyDescent="0.35">
      <c r="A2471">
        <v>2470</v>
      </c>
      <c r="B2471" s="2" t="s">
        <v>30</v>
      </c>
      <c r="C2471" s="2" t="s">
        <v>15</v>
      </c>
      <c r="D2471">
        <v>54</v>
      </c>
      <c r="E2471" s="2" t="s">
        <v>28</v>
      </c>
      <c r="F2471" s="2" t="s">
        <v>13</v>
      </c>
      <c r="G2471">
        <v>92586</v>
      </c>
      <c r="H2471" s="1">
        <v>44689</v>
      </c>
      <c r="I2471">
        <v>18</v>
      </c>
      <c r="J2471">
        <v>4</v>
      </c>
      <c r="K2471">
        <v>9259</v>
      </c>
      <c r="L2471">
        <v>4629</v>
      </c>
      <c r="M2471">
        <v>97216</v>
      </c>
      <c r="N2471">
        <v>4629</v>
      </c>
      <c r="O2471">
        <v>106474</v>
      </c>
    </row>
    <row r="2472" spans="1:15" x14ac:dyDescent="0.35">
      <c r="A2472">
        <v>2471</v>
      </c>
      <c r="B2472" s="2" t="s">
        <v>23</v>
      </c>
      <c r="C2472" s="2" t="s">
        <v>11</v>
      </c>
      <c r="D2472">
        <v>44</v>
      </c>
      <c r="E2472" s="2" t="s">
        <v>28</v>
      </c>
      <c r="F2472" s="2" t="s">
        <v>25</v>
      </c>
      <c r="G2472">
        <v>52631</v>
      </c>
      <c r="H2472" s="1">
        <v>45224</v>
      </c>
      <c r="I2472">
        <v>6</v>
      </c>
      <c r="J2472">
        <v>5</v>
      </c>
      <c r="K2472">
        <v>5263</v>
      </c>
      <c r="L2472">
        <v>2632</v>
      </c>
      <c r="M2472">
        <v>55262</v>
      </c>
      <c r="N2472">
        <v>2632</v>
      </c>
      <c r="O2472">
        <v>60526</v>
      </c>
    </row>
    <row r="2473" spans="1:15" x14ac:dyDescent="0.35">
      <c r="A2473">
        <v>2472</v>
      </c>
      <c r="B2473" s="2" t="s">
        <v>14</v>
      </c>
      <c r="C2473" s="2" t="s">
        <v>11</v>
      </c>
      <c r="D2473">
        <v>47</v>
      </c>
      <c r="E2473" s="2" t="s">
        <v>16</v>
      </c>
      <c r="F2473" s="2" t="s">
        <v>25</v>
      </c>
      <c r="G2473">
        <v>93915</v>
      </c>
      <c r="H2473" s="1">
        <v>45156</v>
      </c>
      <c r="I2473">
        <v>15</v>
      </c>
      <c r="J2473">
        <v>4</v>
      </c>
      <c r="K2473">
        <v>9392</v>
      </c>
      <c r="L2473">
        <v>4696</v>
      </c>
      <c r="M2473">
        <v>98611</v>
      </c>
      <c r="N2473">
        <v>4696</v>
      </c>
      <c r="O2473">
        <v>108003</v>
      </c>
    </row>
    <row r="2474" spans="1:15" x14ac:dyDescent="0.35">
      <c r="A2474">
        <v>2473</v>
      </c>
      <c r="B2474" s="2" t="s">
        <v>23</v>
      </c>
      <c r="C2474" s="2" t="s">
        <v>15</v>
      </c>
      <c r="D2474">
        <v>40</v>
      </c>
      <c r="E2474" s="2" t="s">
        <v>12</v>
      </c>
      <c r="F2474" s="2" t="s">
        <v>19</v>
      </c>
      <c r="G2474">
        <v>47512</v>
      </c>
      <c r="H2474" s="1">
        <v>44810</v>
      </c>
      <c r="I2474">
        <v>15</v>
      </c>
      <c r="J2474">
        <v>4</v>
      </c>
      <c r="K2474">
        <v>4751</v>
      </c>
      <c r="L2474">
        <v>2376</v>
      </c>
      <c r="M2474">
        <v>49887</v>
      </c>
      <c r="N2474">
        <v>2376</v>
      </c>
      <c r="O2474">
        <v>54639</v>
      </c>
    </row>
    <row r="2475" spans="1:15" x14ac:dyDescent="0.35">
      <c r="A2475">
        <v>2474</v>
      </c>
      <c r="B2475" s="2" t="s">
        <v>31</v>
      </c>
      <c r="C2475" s="2" t="s">
        <v>11</v>
      </c>
      <c r="D2475">
        <v>43</v>
      </c>
      <c r="E2475" s="2" t="s">
        <v>28</v>
      </c>
      <c r="F2475" s="2" t="s">
        <v>25</v>
      </c>
      <c r="G2475">
        <v>38840</v>
      </c>
      <c r="H2475" s="1">
        <v>45006</v>
      </c>
      <c r="I2475">
        <v>7</v>
      </c>
      <c r="J2475">
        <v>2</v>
      </c>
      <c r="K2475">
        <v>3884</v>
      </c>
      <c r="L2475">
        <v>1942</v>
      </c>
      <c r="M2475">
        <v>40782</v>
      </c>
      <c r="N2475">
        <v>1942</v>
      </c>
      <c r="O2475">
        <v>44666</v>
      </c>
    </row>
    <row r="2476" spans="1:15" x14ac:dyDescent="0.35">
      <c r="A2476">
        <v>2475</v>
      </c>
      <c r="B2476" s="2" t="s">
        <v>27</v>
      </c>
      <c r="C2476" s="2" t="s">
        <v>11</v>
      </c>
      <c r="D2476">
        <v>26</v>
      </c>
      <c r="E2476" s="2" t="s">
        <v>24</v>
      </c>
      <c r="F2476" s="2" t="s">
        <v>13</v>
      </c>
      <c r="G2476">
        <v>25838</v>
      </c>
      <c r="H2476" s="1">
        <v>45211</v>
      </c>
      <c r="I2476">
        <v>4</v>
      </c>
      <c r="J2476">
        <v>1</v>
      </c>
      <c r="K2476">
        <v>2584</v>
      </c>
      <c r="L2476">
        <v>1292</v>
      </c>
      <c r="M2476">
        <v>27130</v>
      </c>
      <c r="N2476">
        <v>0</v>
      </c>
      <c r="O2476">
        <v>28422</v>
      </c>
    </row>
    <row r="2477" spans="1:15" x14ac:dyDescent="0.35">
      <c r="A2477">
        <v>2476</v>
      </c>
      <c r="B2477" s="2" t="s">
        <v>27</v>
      </c>
      <c r="C2477" s="2" t="s">
        <v>11</v>
      </c>
      <c r="D2477">
        <v>36</v>
      </c>
      <c r="E2477" s="2" t="s">
        <v>28</v>
      </c>
      <c r="F2477" s="2" t="s">
        <v>19</v>
      </c>
      <c r="G2477">
        <v>70919</v>
      </c>
      <c r="H2477" s="1">
        <v>44818</v>
      </c>
      <c r="I2477">
        <v>15</v>
      </c>
      <c r="J2477">
        <v>2</v>
      </c>
      <c r="K2477">
        <v>7092</v>
      </c>
      <c r="L2477">
        <v>3546</v>
      </c>
      <c r="M2477">
        <v>74465</v>
      </c>
      <c r="N2477">
        <v>3546</v>
      </c>
      <c r="O2477">
        <v>81557</v>
      </c>
    </row>
    <row r="2478" spans="1:15" x14ac:dyDescent="0.35">
      <c r="A2478">
        <v>2477</v>
      </c>
      <c r="B2478" s="2" t="s">
        <v>10</v>
      </c>
      <c r="C2478" s="2" t="s">
        <v>11</v>
      </c>
      <c r="D2478">
        <v>37</v>
      </c>
      <c r="E2478" s="2" t="s">
        <v>24</v>
      </c>
      <c r="F2478" s="2" t="s">
        <v>19</v>
      </c>
      <c r="G2478">
        <v>22633</v>
      </c>
      <c r="H2478" s="1">
        <v>44793</v>
      </c>
      <c r="I2478">
        <v>6</v>
      </c>
      <c r="J2478">
        <v>3</v>
      </c>
      <c r="K2478">
        <v>2263</v>
      </c>
      <c r="L2478">
        <v>1132</v>
      </c>
      <c r="M2478">
        <v>23764</v>
      </c>
      <c r="N2478">
        <v>1132</v>
      </c>
      <c r="O2478">
        <v>26028</v>
      </c>
    </row>
    <row r="2479" spans="1:15" x14ac:dyDescent="0.35">
      <c r="A2479">
        <v>2478</v>
      </c>
      <c r="B2479" s="2" t="s">
        <v>20</v>
      </c>
      <c r="C2479" s="2" t="s">
        <v>11</v>
      </c>
      <c r="D2479">
        <v>23</v>
      </c>
      <c r="E2479" s="2" t="s">
        <v>12</v>
      </c>
      <c r="F2479" s="2" t="s">
        <v>13</v>
      </c>
      <c r="G2479">
        <v>99643</v>
      </c>
      <c r="H2479" s="1">
        <v>45372</v>
      </c>
      <c r="I2479">
        <v>10</v>
      </c>
      <c r="J2479">
        <v>5</v>
      </c>
      <c r="K2479">
        <v>9964</v>
      </c>
      <c r="L2479">
        <v>4982</v>
      </c>
      <c r="M2479">
        <v>104625</v>
      </c>
      <c r="N2479">
        <v>4982</v>
      </c>
      <c r="O2479">
        <v>114589</v>
      </c>
    </row>
    <row r="2480" spans="1:15" x14ac:dyDescent="0.35">
      <c r="A2480">
        <v>2479</v>
      </c>
      <c r="B2480" s="2" t="s">
        <v>26</v>
      </c>
      <c r="C2480" s="2" t="s">
        <v>15</v>
      </c>
      <c r="D2480">
        <v>53</v>
      </c>
      <c r="E2480" s="2" t="s">
        <v>29</v>
      </c>
      <c r="F2480" s="2" t="s">
        <v>21</v>
      </c>
      <c r="G2480">
        <v>98761</v>
      </c>
      <c r="H2480" s="1">
        <v>45496</v>
      </c>
      <c r="I2480">
        <v>13</v>
      </c>
      <c r="J2480">
        <v>1</v>
      </c>
      <c r="K2480">
        <v>9876</v>
      </c>
      <c r="L2480">
        <v>4938</v>
      </c>
      <c r="M2480">
        <v>103699</v>
      </c>
      <c r="N2480">
        <v>4938</v>
      </c>
      <c r="O2480">
        <v>113575</v>
      </c>
    </row>
    <row r="2481" spans="1:15" x14ac:dyDescent="0.35">
      <c r="A2481">
        <v>2480</v>
      </c>
      <c r="B2481" s="2" t="s">
        <v>30</v>
      </c>
      <c r="C2481" s="2" t="s">
        <v>11</v>
      </c>
      <c r="D2481">
        <v>57</v>
      </c>
      <c r="E2481" s="2" t="s">
        <v>29</v>
      </c>
      <c r="F2481" s="2" t="s">
        <v>25</v>
      </c>
      <c r="G2481">
        <v>28003</v>
      </c>
      <c r="H2481" s="1">
        <v>44854</v>
      </c>
      <c r="I2481">
        <v>4</v>
      </c>
      <c r="J2481">
        <v>3</v>
      </c>
      <c r="K2481">
        <v>2800</v>
      </c>
      <c r="L2481">
        <v>1400</v>
      </c>
      <c r="M2481">
        <v>29403</v>
      </c>
      <c r="N2481">
        <v>0</v>
      </c>
      <c r="O2481">
        <v>30803</v>
      </c>
    </row>
    <row r="2482" spans="1:15" x14ac:dyDescent="0.35">
      <c r="A2482">
        <v>2481</v>
      </c>
      <c r="B2482" s="2" t="s">
        <v>18</v>
      </c>
      <c r="C2482" s="2" t="s">
        <v>11</v>
      </c>
      <c r="D2482">
        <v>32</v>
      </c>
      <c r="E2482" s="2" t="s">
        <v>24</v>
      </c>
      <c r="F2482" s="2" t="s">
        <v>25</v>
      </c>
      <c r="G2482">
        <v>65830</v>
      </c>
      <c r="H2482" s="1">
        <v>44666</v>
      </c>
      <c r="I2482">
        <v>10</v>
      </c>
      <c r="J2482">
        <v>1</v>
      </c>
      <c r="K2482">
        <v>6583</v>
      </c>
      <c r="L2482">
        <v>3292</v>
      </c>
      <c r="M2482">
        <v>69121</v>
      </c>
      <c r="N2482">
        <v>3292</v>
      </c>
      <c r="O2482">
        <v>75705</v>
      </c>
    </row>
    <row r="2483" spans="1:15" x14ac:dyDescent="0.35">
      <c r="A2483">
        <v>2482</v>
      </c>
      <c r="B2483" s="2" t="s">
        <v>10</v>
      </c>
      <c r="C2483" s="2" t="s">
        <v>11</v>
      </c>
      <c r="D2483">
        <v>22</v>
      </c>
      <c r="E2483" s="2" t="s">
        <v>24</v>
      </c>
      <c r="F2483" s="2" t="s">
        <v>25</v>
      </c>
      <c r="G2483">
        <v>80938</v>
      </c>
      <c r="H2483" s="1">
        <v>44582</v>
      </c>
      <c r="I2483">
        <v>4</v>
      </c>
      <c r="J2483">
        <v>4</v>
      </c>
      <c r="K2483">
        <v>8094</v>
      </c>
      <c r="L2483">
        <v>4047</v>
      </c>
      <c r="M2483">
        <v>84985</v>
      </c>
      <c r="N2483">
        <v>0</v>
      </c>
      <c r="O2483">
        <v>89032</v>
      </c>
    </row>
    <row r="2484" spans="1:15" x14ac:dyDescent="0.35">
      <c r="A2484">
        <v>2483</v>
      </c>
      <c r="B2484" s="2" t="s">
        <v>18</v>
      </c>
      <c r="C2484" s="2" t="s">
        <v>11</v>
      </c>
      <c r="D2484">
        <v>38</v>
      </c>
      <c r="E2484" s="2" t="s">
        <v>24</v>
      </c>
      <c r="F2484" s="2" t="s">
        <v>17</v>
      </c>
      <c r="G2484">
        <v>82497</v>
      </c>
      <c r="H2484" s="1">
        <v>44877</v>
      </c>
      <c r="I2484">
        <v>8</v>
      </c>
      <c r="J2484">
        <v>5</v>
      </c>
      <c r="K2484">
        <v>8250</v>
      </c>
      <c r="L2484">
        <v>4125</v>
      </c>
      <c r="M2484">
        <v>86622</v>
      </c>
      <c r="N2484">
        <v>4125</v>
      </c>
      <c r="O2484">
        <v>94872</v>
      </c>
    </row>
    <row r="2485" spans="1:15" x14ac:dyDescent="0.35">
      <c r="A2485">
        <v>2484</v>
      </c>
      <c r="B2485" s="2" t="s">
        <v>26</v>
      </c>
      <c r="C2485" s="2" t="s">
        <v>15</v>
      </c>
      <c r="D2485">
        <v>27</v>
      </c>
      <c r="E2485" s="2" t="s">
        <v>28</v>
      </c>
      <c r="F2485" s="2" t="s">
        <v>19</v>
      </c>
      <c r="G2485">
        <v>35058</v>
      </c>
      <c r="H2485" s="1">
        <v>45440</v>
      </c>
      <c r="I2485">
        <v>2</v>
      </c>
      <c r="J2485">
        <v>3</v>
      </c>
      <c r="K2485">
        <v>3506</v>
      </c>
      <c r="L2485">
        <v>1753</v>
      </c>
      <c r="M2485">
        <v>36811</v>
      </c>
      <c r="N2485">
        <v>0</v>
      </c>
      <c r="O2485">
        <v>38564</v>
      </c>
    </row>
    <row r="2486" spans="1:15" x14ac:dyDescent="0.35">
      <c r="A2486">
        <v>2485</v>
      </c>
      <c r="B2486" s="2" t="s">
        <v>22</v>
      </c>
      <c r="C2486" s="2" t="s">
        <v>11</v>
      </c>
      <c r="D2486">
        <v>36</v>
      </c>
      <c r="E2486" s="2" t="s">
        <v>29</v>
      </c>
      <c r="F2486" s="2" t="s">
        <v>13</v>
      </c>
      <c r="G2486">
        <v>58806</v>
      </c>
      <c r="H2486" s="1">
        <v>44925</v>
      </c>
      <c r="I2486">
        <v>3</v>
      </c>
      <c r="J2486">
        <v>2</v>
      </c>
      <c r="K2486">
        <v>5881</v>
      </c>
      <c r="L2486">
        <v>2940</v>
      </c>
      <c r="M2486">
        <v>61747</v>
      </c>
      <c r="N2486">
        <v>0</v>
      </c>
      <c r="O2486">
        <v>64687</v>
      </c>
    </row>
    <row r="2487" spans="1:15" x14ac:dyDescent="0.35">
      <c r="A2487">
        <v>2486</v>
      </c>
      <c r="B2487" s="2" t="s">
        <v>23</v>
      </c>
      <c r="C2487" s="2" t="s">
        <v>15</v>
      </c>
      <c r="D2487">
        <v>35</v>
      </c>
      <c r="E2487" s="2" t="s">
        <v>12</v>
      </c>
      <c r="F2487" s="2" t="s">
        <v>21</v>
      </c>
      <c r="G2487">
        <v>58054</v>
      </c>
      <c r="H2487" s="1">
        <v>45351</v>
      </c>
      <c r="I2487">
        <v>1</v>
      </c>
      <c r="J2487">
        <v>5</v>
      </c>
      <c r="K2487">
        <v>5805</v>
      </c>
      <c r="L2487">
        <v>2903</v>
      </c>
      <c r="M2487">
        <v>60956</v>
      </c>
      <c r="N2487">
        <v>0</v>
      </c>
      <c r="O2487">
        <v>63859</v>
      </c>
    </row>
    <row r="2488" spans="1:15" x14ac:dyDescent="0.35">
      <c r="A2488">
        <v>2487</v>
      </c>
      <c r="B2488" s="2" t="s">
        <v>18</v>
      </c>
      <c r="C2488" s="2" t="s">
        <v>11</v>
      </c>
      <c r="D2488">
        <v>39</v>
      </c>
      <c r="E2488" s="2" t="s">
        <v>16</v>
      </c>
      <c r="F2488" s="2" t="s">
        <v>19</v>
      </c>
      <c r="G2488">
        <v>96868</v>
      </c>
      <c r="H2488" s="1">
        <v>44656</v>
      </c>
      <c r="I2488">
        <v>5</v>
      </c>
      <c r="J2488">
        <v>3</v>
      </c>
      <c r="K2488">
        <v>9687</v>
      </c>
      <c r="L2488">
        <v>4843</v>
      </c>
      <c r="M2488">
        <v>101712</v>
      </c>
      <c r="N2488">
        <v>0</v>
      </c>
      <c r="O2488">
        <v>106555</v>
      </c>
    </row>
    <row r="2489" spans="1:15" x14ac:dyDescent="0.35">
      <c r="A2489">
        <v>2488</v>
      </c>
      <c r="B2489" s="2" t="s">
        <v>26</v>
      </c>
      <c r="C2489" s="2" t="s">
        <v>11</v>
      </c>
      <c r="D2489">
        <v>36</v>
      </c>
      <c r="E2489" s="2" t="s">
        <v>12</v>
      </c>
      <c r="F2489" s="2" t="s">
        <v>21</v>
      </c>
      <c r="G2489">
        <v>75891</v>
      </c>
      <c r="H2489" s="1">
        <v>44931</v>
      </c>
      <c r="I2489">
        <v>8</v>
      </c>
      <c r="J2489">
        <v>3</v>
      </c>
      <c r="K2489">
        <v>7589</v>
      </c>
      <c r="L2489">
        <v>3795</v>
      </c>
      <c r="M2489">
        <v>79685</v>
      </c>
      <c r="N2489">
        <v>3795</v>
      </c>
      <c r="O2489">
        <v>87275</v>
      </c>
    </row>
    <row r="2490" spans="1:15" x14ac:dyDescent="0.35">
      <c r="A2490">
        <v>2489</v>
      </c>
      <c r="B2490" s="2" t="s">
        <v>10</v>
      </c>
      <c r="C2490" s="2" t="s">
        <v>15</v>
      </c>
      <c r="D2490">
        <v>28</v>
      </c>
      <c r="E2490" s="2" t="s">
        <v>12</v>
      </c>
      <c r="F2490" s="2" t="s">
        <v>19</v>
      </c>
      <c r="G2490">
        <v>53049</v>
      </c>
      <c r="H2490" s="1">
        <v>45292</v>
      </c>
      <c r="I2490">
        <v>6</v>
      </c>
      <c r="J2490">
        <v>4</v>
      </c>
      <c r="K2490">
        <v>5305</v>
      </c>
      <c r="L2490">
        <v>2652</v>
      </c>
      <c r="M2490">
        <v>55702</v>
      </c>
      <c r="N2490">
        <v>2652</v>
      </c>
      <c r="O2490">
        <v>61006</v>
      </c>
    </row>
    <row r="2491" spans="1:15" x14ac:dyDescent="0.35">
      <c r="A2491">
        <v>2490</v>
      </c>
      <c r="B2491" s="2" t="s">
        <v>26</v>
      </c>
      <c r="C2491" s="2" t="s">
        <v>11</v>
      </c>
      <c r="D2491">
        <v>28</v>
      </c>
      <c r="E2491" s="2" t="s">
        <v>24</v>
      </c>
      <c r="F2491" s="2" t="s">
        <v>17</v>
      </c>
      <c r="G2491">
        <v>49768</v>
      </c>
      <c r="H2491" s="1">
        <v>45132</v>
      </c>
      <c r="I2491">
        <v>3</v>
      </c>
      <c r="J2491">
        <v>3</v>
      </c>
      <c r="K2491">
        <v>4977</v>
      </c>
      <c r="L2491">
        <v>2488</v>
      </c>
      <c r="M2491">
        <v>52257</v>
      </c>
      <c r="N2491">
        <v>0</v>
      </c>
      <c r="O2491">
        <v>54745</v>
      </c>
    </row>
    <row r="2492" spans="1:15" x14ac:dyDescent="0.35">
      <c r="A2492">
        <v>2491</v>
      </c>
      <c r="B2492" s="2" t="s">
        <v>27</v>
      </c>
      <c r="C2492" s="2" t="s">
        <v>15</v>
      </c>
      <c r="D2492">
        <v>42</v>
      </c>
      <c r="E2492" s="2" t="s">
        <v>29</v>
      </c>
      <c r="F2492" s="2" t="s">
        <v>19</v>
      </c>
      <c r="G2492">
        <v>28831</v>
      </c>
      <c r="H2492" s="1">
        <v>44637</v>
      </c>
      <c r="I2492">
        <v>11</v>
      </c>
      <c r="J2492">
        <v>1</v>
      </c>
      <c r="K2492">
        <v>2883</v>
      </c>
      <c r="L2492">
        <v>1442</v>
      </c>
      <c r="M2492">
        <v>30272</v>
      </c>
      <c r="N2492">
        <v>1442</v>
      </c>
      <c r="O2492">
        <v>33156</v>
      </c>
    </row>
    <row r="2493" spans="1:15" x14ac:dyDescent="0.35">
      <c r="A2493">
        <v>2492</v>
      </c>
      <c r="B2493" s="2" t="s">
        <v>26</v>
      </c>
      <c r="C2493" s="2" t="s">
        <v>11</v>
      </c>
      <c r="D2493">
        <v>25</v>
      </c>
      <c r="E2493" s="2" t="s">
        <v>12</v>
      </c>
      <c r="F2493" s="2" t="s">
        <v>21</v>
      </c>
      <c r="G2493">
        <v>94322</v>
      </c>
      <c r="H2493" s="1">
        <v>45423</v>
      </c>
      <c r="I2493">
        <v>8</v>
      </c>
      <c r="J2493">
        <v>2</v>
      </c>
      <c r="K2493">
        <v>9432</v>
      </c>
      <c r="L2493">
        <v>4716</v>
      </c>
      <c r="M2493">
        <v>99038</v>
      </c>
      <c r="N2493">
        <v>4716</v>
      </c>
      <c r="O2493">
        <v>108470</v>
      </c>
    </row>
    <row r="2494" spans="1:15" x14ac:dyDescent="0.35">
      <c r="A2494">
        <v>2493</v>
      </c>
      <c r="B2494" s="2" t="s">
        <v>23</v>
      </c>
      <c r="C2494" s="2" t="s">
        <v>11</v>
      </c>
      <c r="D2494">
        <v>49</v>
      </c>
      <c r="E2494" s="2" t="s">
        <v>29</v>
      </c>
      <c r="F2494" s="2" t="s">
        <v>19</v>
      </c>
      <c r="G2494">
        <v>82745</v>
      </c>
      <c r="H2494" s="1">
        <v>45196</v>
      </c>
      <c r="I2494">
        <v>4</v>
      </c>
      <c r="J2494">
        <v>4</v>
      </c>
      <c r="K2494">
        <v>8274</v>
      </c>
      <c r="L2494">
        <v>4137</v>
      </c>
      <c r="M2494">
        <v>86882</v>
      </c>
      <c r="N2494">
        <v>0</v>
      </c>
      <c r="O2494">
        <v>91019</v>
      </c>
    </row>
    <row r="2495" spans="1:15" x14ac:dyDescent="0.35">
      <c r="A2495">
        <v>2494</v>
      </c>
      <c r="B2495" s="2" t="s">
        <v>14</v>
      </c>
      <c r="C2495" s="2" t="s">
        <v>11</v>
      </c>
      <c r="D2495">
        <v>55</v>
      </c>
      <c r="E2495" s="2" t="s">
        <v>12</v>
      </c>
      <c r="F2495" s="2" t="s">
        <v>25</v>
      </c>
      <c r="G2495">
        <v>38719</v>
      </c>
      <c r="H2495" s="1">
        <v>45172</v>
      </c>
      <c r="I2495">
        <v>9</v>
      </c>
      <c r="J2495">
        <v>2</v>
      </c>
      <c r="K2495">
        <v>3872</v>
      </c>
      <c r="L2495">
        <v>1936</v>
      </c>
      <c r="M2495">
        <v>40655</v>
      </c>
      <c r="N2495">
        <v>1936</v>
      </c>
      <c r="O2495">
        <v>44527</v>
      </c>
    </row>
    <row r="2496" spans="1:15" x14ac:dyDescent="0.35">
      <c r="A2496">
        <v>2495</v>
      </c>
      <c r="B2496" s="2" t="s">
        <v>22</v>
      </c>
      <c r="C2496" s="2" t="s">
        <v>11</v>
      </c>
      <c r="D2496">
        <v>42</v>
      </c>
      <c r="E2496" s="2" t="s">
        <v>16</v>
      </c>
      <c r="F2496" s="2" t="s">
        <v>19</v>
      </c>
      <c r="G2496">
        <v>26246</v>
      </c>
      <c r="H2496" s="1">
        <v>44645</v>
      </c>
      <c r="I2496">
        <v>20</v>
      </c>
      <c r="J2496">
        <v>4</v>
      </c>
      <c r="K2496">
        <v>2625</v>
      </c>
      <c r="L2496">
        <v>1312</v>
      </c>
      <c r="M2496">
        <v>27559</v>
      </c>
      <c r="N2496">
        <v>1312</v>
      </c>
      <c r="O2496">
        <v>30183</v>
      </c>
    </row>
    <row r="2497" spans="1:15" x14ac:dyDescent="0.35">
      <c r="A2497">
        <v>2496</v>
      </c>
      <c r="B2497" s="2" t="s">
        <v>10</v>
      </c>
      <c r="C2497" s="2" t="s">
        <v>15</v>
      </c>
      <c r="D2497">
        <v>32</v>
      </c>
      <c r="E2497" s="2" t="s">
        <v>24</v>
      </c>
      <c r="F2497" s="2" t="s">
        <v>17</v>
      </c>
      <c r="G2497">
        <v>34343</v>
      </c>
      <c r="H2497" s="1">
        <v>44628</v>
      </c>
      <c r="I2497">
        <v>20</v>
      </c>
      <c r="J2497">
        <v>1</v>
      </c>
      <c r="K2497">
        <v>3434</v>
      </c>
      <c r="L2497">
        <v>1717</v>
      </c>
      <c r="M2497">
        <v>36060</v>
      </c>
      <c r="N2497">
        <v>1717</v>
      </c>
      <c r="O2497">
        <v>39494</v>
      </c>
    </row>
    <row r="2498" spans="1:15" x14ac:dyDescent="0.35">
      <c r="A2498">
        <v>2497</v>
      </c>
      <c r="B2498" s="2" t="s">
        <v>31</v>
      </c>
      <c r="C2498" s="2" t="s">
        <v>15</v>
      </c>
      <c r="D2498">
        <v>45</v>
      </c>
      <c r="E2498" s="2" t="s">
        <v>16</v>
      </c>
      <c r="F2498" s="2" t="s">
        <v>17</v>
      </c>
      <c r="G2498">
        <v>85817</v>
      </c>
      <c r="H2498" s="1">
        <v>44988</v>
      </c>
      <c r="I2498">
        <v>20</v>
      </c>
      <c r="J2498">
        <v>5</v>
      </c>
      <c r="K2498">
        <v>8582</v>
      </c>
      <c r="L2498">
        <v>4291</v>
      </c>
      <c r="M2498">
        <v>90108</v>
      </c>
      <c r="N2498">
        <v>4291</v>
      </c>
      <c r="O2498">
        <v>98690</v>
      </c>
    </row>
    <row r="2499" spans="1:15" x14ac:dyDescent="0.35">
      <c r="A2499">
        <v>2498</v>
      </c>
      <c r="B2499" s="2" t="s">
        <v>26</v>
      </c>
      <c r="C2499" s="2" t="s">
        <v>11</v>
      </c>
      <c r="D2499">
        <v>45</v>
      </c>
      <c r="E2499" s="2" t="s">
        <v>24</v>
      </c>
      <c r="F2499" s="2" t="s">
        <v>21</v>
      </c>
      <c r="G2499">
        <v>30770</v>
      </c>
      <c r="H2499" s="1">
        <v>45492</v>
      </c>
      <c r="I2499">
        <v>18</v>
      </c>
      <c r="J2499">
        <v>2</v>
      </c>
      <c r="K2499">
        <v>3077</v>
      </c>
      <c r="L2499">
        <v>1538</v>
      </c>
      <c r="M2499">
        <v>32309</v>
      </c>
      <c r="N2499">
        <v>1538</v>
      </c>
      <c r="O2499">
        <v>35385</v>
      </c>
    </row>
    <row r="2500" spans="1:15" x14ac:dyDescent="0.35">
      <c r="A2500">
        <v>2499</v>
      </c>
      <c r="B2500" s="2" t="s">
        <v>23</v>
      </c>
      <c r="C2500" s="2" t="s">
        <v>11</v>
      </c>
      <c r="D2500">
        <v>47</v>
      </c>
      <c r="E2500" s="2" t="s">
        <v>29</v>
      </c>
      <c r="F2500" s="2" t="s">
        <v>17</v>
      </c>
      <c r="G2500">
        <v>66458</v>
      </c>
      <c r="H2500" s="1">
        <v>45111</v>
      </c>
      <c r="I2500">
        <v>5</v>
      </c>
      <c r="J2500">
        <v>3</v>
      </c>
      <c r="K2500">
        <v>6646</v>
      </c>
      <c r="L2500">
        <v>3323</v>
      </c>
      <c r="M2500">
        <v>69781</v>
      </c>
      <c r="N2500">
        <v>0</v>
      </c>
      <c r="O2500">
        <v>73104</v>
      </c>
    </row>
    <row r="2501" spans="1:15" x14ac:dyDescent="0.35">
      <c r="A2501">
        <v>2500</v>
      </c>
      <c r="B2501" s="2" t="s">
        <v>10</v>
      </c>
      <c r="C2501" s="2" t="s">
        <v>11</v>
      </c>
      <c r="D2501">
        <v>48</v>
      </c>
      <c r="E2501" s="2" t="s">
        <v>16</v>
      </c>
      <c r="F2501" s="2" t="s">
        <v>19</v>
      </c>
      <c r="G2501">
        <v>99334</v>
      </c>
      <c r="H2501" s="1">
        <v>44772</v>
      </c>
      <c r="I2501">
        <v>1</v>
      </c>
      <c r="J2501">
        <v>1</v>
      </c>
      <c r="K2501">
        <v>9933</v>
      </c>
      <c r="L2501">
        <v>4967</v>
      </c>
      <c r="M2501">
        <v>104300</v>
      </c>
      <c r="N2501">
        <v>0</v>
      </c>
      <c r="O2501">
        <v>109267</v>
      </c>
    </row>
    <row r="2502" spans="1:15" x14ac:dyDescent="0.35">
      <c r="A2502">
        <v>2501</v>
      </c>
      <c r="B2502" s="2" t="s">
        <v>18</v>
      </c>
      <c r="C2502" s="2" t="s">
        <v>11</v>
      </c>
      <c r="D2502">
        <v>51</v>
      </c>
      <c r="E2502" s="2" t="s">
        <v>28</v>
      </c>
      <c r="F2502" s="2" t="s">
        <v>13</v>
      </c>
      <c r="G2502">
        <v>63288</v>
      </c>
      <c r="H2502" s="1">
        <v>45300</v>
      </c>
      <c r="I2502">
        <v>3</v>
      </c>
      <c r="J2502">
        <v>5</v>
      </c>
      <c r="K2502">
        <v>6329</v>
      </c>
      <c r="L2502">
        <v>3164</v>
      </c>
      <c r="M2502">
        <v>66453</v>
      </c>
      <c r="N2502">
        <v>0</v>
      </c>
      <c r="O2502">
        <v>69617</v>
      </c>
    </row>
    <row r="2503" spans="1:15" x14ac:dyDescent="0.35">
      <c r="A2503">
        <v>2502</v>
      </c>
      <c r="B2503" s="2" t="s">
        <v>30</v>
      </c>
      <c r="C2503" s="2" t="s">
        <v>15</v>
      </c>
      <c r="D2503">
        <v>26</v>
      </c>
      <c r="E2503" s="2" t="s">
        <v>12</v>
      </c>
      <c r="F2503" s="2" t="s">
        <v>13</v>
      </c>
      <c r="G2503">
        <v>34477</v>
      </c>
      <c r="H2503" s="1">
        <v>45428</v>
      </c>
      <c r="I2503">
        <v>8</v>
      </c>
      <c r="J2503">
        <v>1</v>
      </c>
      <c r="K2503">
        <v>3448</v>
      </c>
      <c r="L2503">
        <v>1724</v>
      </c>
      <c r="M2503">
        <v>36201</v>
      </c>
      <c r="N2503">
        <v>1724</v>
      </c>
      <c r="O2503">
        <v>39649</v>
      </c>
    </row>
    <row r="2504" spans="1:15" x14ac:dyDescent="0.35">
      <c r="A2504">
        <v>2503</v>
      </c>
      <c r="B2504" s="2" t="s">
        <v>14</v>
      </c>
      <c r="C2504" s="2" t="s">
        <v>11</v>
      </c>
      <c r="D2504">
        <v>43</v>
      </c>
      <c r="E2504" s="2" t="s">
        <v>16</v>
      </c>
      <c r="F2504" s="2" t="s">
        <v>21</v>
      </c>
      <c r="G2504">
        <v>70921</v>
      </c>
      <c r="H2504" s="1">
        <v>44705</v>
      </c>
      <c r="I2504">
        <v>18</v>
      </c>
      <c r="J2504">
        <v>1</v>
      </c>
      <c r="K2504">
        <v>7092</v>
      </c>
      <c r="L2504">
        <v>3546</v>
      </c>
      <c r="M2504">
        <v>74467</v>
      </c>
      <c r="N2504">
        <v>3546</v>
      </c>
      <c r="O2504">
        <v>81559</v>
      </c>
    </row>
    <row r="2505" spans="1:15" x14ac:dyDescent="0.35">
      <c r="A2505">
        <v>2504</v>
      </c>
      <c r="B2505" s="2" t="s">
        <v>27</v>
      </c>
      <c r="C2505" s="2" t="s">
        <v>15</v>
      </c>
      <c r="D2505">
        <v>59</v>
      </c>
      <c r="E2505" s="2" t="s">
        <v>29</v>
      </c>
      <c r="F2505" s="2" t="s">
        <v>19</v>
      </c>
      <c r="G2505">
        <v>96177</v>
      </c>
      <c r="H2505" s="1">
        <v>44618</v>
      </c>
      <c r="I2505">
        <v>1</v>
      </c>
      <c r="J2505">
        <v>2</v>
      </c>
      <c r="K2505">
        <v>9618</v>
      </c>
      <c r="L2505">
        <v>4809</v>
      </c>
      <c r="M2505">
        <v>100986</v>
      </c>
      <c r="N2505">
        <v>0</v>
      </c>
      <c r="O2505">
        <v>105795</v>
      </c>
    </row>
    <row r="2506" spans="1:15" x14ac:dyDescent="0.35">
      <c r="A2506">
        <v>2505</v>
      </c>
      <c r="B2506" s="2" t="s">
        <v>10</v>
      </c>
      <c r="C2506" s="2" t="s">
        <v>15</v>
      </c>
      <c r="D2506">
        <v>36</v>
      </c>
      <c r="E2506" s="2" t="s">
        <v>16</v>
      </c>
      <c r="F2506" s="2" t="s">
        <v>13</v>
      </c>
      <c r="G2506">
        <v>93568</v>
      </c>
      <c r="H2506" s="1">
        <v>44761</v>
      </c>
      <c r="I2506">
        <v>16</v>
      </c>
      <c r="J2506">
        <v>5</v>
      </c>
      <c r="K2506">
        <v>9357</v>
      </c>
      <c r="L2506">
        <v>4678</v>
      </c>
      <c r="M2506">
        <v>98247</v>
      </c>
      <c r="N2506">
        <v>4678</v>
      </c>
      <c r="O2506">
        <v>107603</v>
      </c>
    </row>
    <row r="2507" spans="1:15" x14ac:dyDescent="0.35">
      <c r="A2507">
        <v>2506</v>
      </c>
      <c r="B2507" s="2" t="s">
        <v>10</v>
      </c>
      <c r="C2507" s="2" t="s">
        <v>11</v>
      </c>
      <c r="D2507">
        <v>40</v>
      </c>
      <c r="E2507" s="2" t="s">
        <v>16</v>
      </c>
      <c r="F2507" s="2" t="s">
        <v>17</v>
      </c>
      <c r="G2507">
        <v>60027</v>
      </c>
      <c r="H2507" s="1">
        <v>45148</v>
      </c>
      <c r="I2507">
        <v>7</v>
      </c>
      <c r="J2507">
        <v>2</v>
      </c>
      <c r="K2507">
        <v>6003</v>
      </c>
      <c r="L2507">
        <v>3001</v>
      </c>
      <c r="M2507">
        <v>63029</v>
      </c>
      <c r="N2507">
        <v>3001</v>
      </c>
      <c r="O2507">
        <v>69031</v>
      </c>
    </row>
    <row r="2508" spans="1:15" x14ac:dyDescent="0.35">
      <c r="A2508">
        <v>2507</v>
      </c>
      <c r="B2508" s="2" t="s">
        <v>20</v>
      </c>
      <c r="C2508" s="2" t="s">
        <v>15</v>
      </c>
      <c r="D2508">
        <v>25</v>
      </c>
      <c r="E2508" s="2" t="s">
        <v>29</v>
      </c>
      <c r="F2508" s="2" t="s">
        <v>13</v>
      </c>
      <c r="G2508">
        <v>36195</v>
      </c>
      <c r="H2508" s="1">
        <v>45256</v>
      </c>
      <c r="I2508">
        <v>20</v>
      </c>
      <c r="J2508">
        <v>4</v>
      </c>
      <c r="K2508">
        <v>3620</v>
      </c>
      <c r="L2508">
        <v>1810</v>
      </c>
      <c r="M2508">
        <v>38005</v>
      </c>
      <c r="N2508">
        <v>1810</v>
      </c>
      <c r="O2508">
        <v>41625</v>
      </c>
    </row>
    <row r="2509" spans="1:15" x14ac:dyDescent="0.35">
      <c r="A2509">
        <v>2508</v>
      </c>
      <c r="B2509" s="2" t="s">
        <v>14</v>
      </c>
      <c r="C2509" s="2" t="s">
        <v>15</v>
      </c>
      <c r="D2509">
        <v>52</v>
      </c>
      <c r="E2509" s="2" t="s">
        <v>12</v>
      </c>
      <c r="F2509" s="2" t="s">
        <v>17</v>
      </c>
      <c r="G2509">
        <v>56470</v>
      </c>
      <c r="H2509" s="1">
        <v>44807</v>
      </c>
      <c r="I2509">
        <v>14</v>
      </c>
      <c r="J2509">
        <v>3</v>
      </c>
      <c r="K2509">
        <v>5647</v>
      </c>
      <c r="L2509">
        <v>2824</v>
      </c>
      <c r="M2509">
        <v>59293</v>
      </c>
      <c r="N2509">
        <v>2824</v>
      </c>
      <c r="O2509">
        <v>64941</v>
      </c>
    </row>
    <row r="2510" spans="1:15" x14ac:dyDescent="0.35">
      <c r="A2510">
        <v>2509</v>
      </c>
      <c r="B2510" s="2" t="s">
        <v>27</v>
      </c>
      <c r="C2510" s="2" t="s">
        <v>11</v>
      </c>
      <c r="D2510">
        <v>38</v>
      </c>
      <c r="E2510" s="2" t="s">
        <v>12</v>
      </c>
      <c r="F2510" s="2" t="s">
        <v>19</v>
      </c>
      <c r="G2510">
        <v>58868</v>
      </c>
      <c r="H2510" s="1">
        <v>45550</v>
      </c>
      <c r="I2510">
        <v>9</v>
      </c>
      <c r="J2510">
        <v>5</v>
      </c>
      <c r="K2510">
        <v>5887</v>
      </c>
      <c r="L2510">
        <v>2943</v>
      </c>
      <c r="M2510">
        <v>61812</v>
      </c>
      <c r="N2510">
        <v>2943</v>
      </c>
      <c r="O2510">
        <v>67698</v>
      </c>
    </row>
    <row r="2511" spans="1:15" x14ac:dyDescent="0.35">
      <c r="A2511">
        <v>2510</v>
      </c>
      <c r="B2511" s="2" t="s">
        <v>14</v>
      </c>
      <c r="C2511" s="2" t="s">
        <v>11</v>
      </c>
      <c r="D2511">
        <v>21</v>
      </c>
      <c r="E2511" s="2" t="s">
        <v>16</v>
      </c>
      <c r="F2511" s="2" t="s">
        <v>19</v>
      </c>
      <c r="G2511">
        <v>66620</v>
      </c>
      <c r="H2511" s="1">
        <v>45362</v>
      </c>
      <c r="I2511">
        <v>10</v>
      </c>
      <c r="J2511">
        <v>4</v>
      </c>
      <c r="K2511">
        <v>6662</v>
      </c>
      <c r="L2511">
        <v>3331</v>
      </c>
      <c r="M2511">
        <v>69951</v>
      </c>
      <c r="N2511">
        <v>3331</v>
      </c>
      <c r="O2511">
        <v>76613</v>
      </c>
    </row>
    <row r="2512" spans="1:15" x14ac:dyDescent="0.35">
      <c r="A2512">
        <v>2511</v>
      </c>
      <c r="B2512" s="2" t="s">
        <v>23</v>
      </c>
      <c r="C2512" s="2" t="s">
        <v>11</v>
      </c>
      <c r="D2512">
        <v>22</v>
      </c>
      <c r="E2512" s="2" t="s">
        <v>24</v>
      </c>
      <c r="F2512" s="2" t="s">
        <v>21</v>
      </c>
      <c r="G2512">
        <v>50544</v>
      </c>
      <c r="H2512" s="1">
        <v>45341</v>
      </c>
      <c r="I2512">
        <v>12</v>
      </c>
      <c r="J2512">
        <v>4</v>
      </c>
      <c r="K2512">
        <v>5054</v>
      </c>
      <c r="L2512">
        <v>2527</v>
      </c>
      <c r="M2512">
        <v>53071</v>
      </c>
      <c r="N2512">
        <v>2527</v>
      </c>
      <c r="O2512">
        <v>58125</v>
      </c>
    </row>
    <row r="2513" spans="1:15" x14ac:dyDescent="0.35">
      <c r="A2513">
        <v>2512</v>
      </c>
      <c r="B2513" s="2" t="s">
        <v>22</v>
      </c>
      <c r="C2513" s="2" t="s">
        <v>11</v>
      </c>
      <c r="D2513">
        <v>25</v>
      </c>
      <c r="E2513" s="2" t="s">
        <v>16</v>
      </c>
      <c r="F2513" s="2" t="s">
        <v>19</v>
      </c>
      <c r="G2513">
        <v>38243</v>
      </c>
      <c r="H2513" s="1">
        <v>44809</v>
      </c>
      <c r="I2513">
        <v>14</v>
      </c>
      <c r="J2513">
        <v>2</v>
      </c>
      <c r="K2513">
        <v>3824</v>
      </c>
      <c r="L2513">
        <v>1912</v>
      </c>
      <c r="M2513">
        <v>40155</v>
      </c>
      <c r="N2513">
        <v>1912</v>
      </c>
      <c r="O2513">
        <v>43979</v>
      </c>
    </row>
    <row r="2514" spans="1:15" x14ac:dyDescent="0.35">
      <c r="A2514">
        <v>2513</v>
      </c>
      <c r="B2514" s="2" t="s">
        <v>26</v>
      </c>
      <c r="C2514" s="2" t="s">
        <v>15</v>
      </c>
      <c r="D2514">
        <v>46</v>
      </c>
      <c r="E2514" s="2" t="s">
        <v>28</v>
      </c>
      <c r="F2514" s="2" t="s">
        <v>19</v>
      </c>
      <c r="G2514">
        <v>36500</v>
      </c>
      <c r="H2514" s="1">
        <v>45105</v>
      </c>
      <c r="I2514">
        <v>3</v>
      </c>
      <c r="J2514">
        <v>4</v>
      </c>
      <c r="K2514">
        <v>3650</v>
      </c>
      <c r="L2514">
        <v>1825</v>
      </c>
      <c r="M2514">
        <v>38325</v>
      </c>
      <c r="N2514">
        <v>0</v>
      </c>
      <c r="O2514">
        <v>40150</v>
      </c>
    </row>
    <row r="2515" spans="1:15" x14ac:dyDescent="0.35">
      <c r="A2515">
        <v>2514</v>
      </c>
      <c r="B2515" s="2" t="s">
        <v>26</v>
      </c>
      <c r="C2515" s="2" t="s">
        <v>15</v>
      </c>
      <c r="D2515">
        <v>47</v>
      </c>
      <c r="E2515" s="2" t="s">
        <v>29</v>
      </c>
      <c r="F2515" s="2" t="s">
        <v>19</v>
      </c>
      <c r="G2515">
        <v>37567</v>
      </c>
      <c r="H2515" s="1">
        <v>45482</v>
      </c>
      <c r="I2515">
        <v>1</v>
      </c>
      <c r="J2515">
        <v>5</v>
      </c>
      <c r="K2515">
        <v>3757</v>
      </c>
      <c r="L2515">
        <v>1878</v>
      </c>
      <c r="M2515">
        <v>39446</v>
      </c>
      <c r="N2515">
        <v>0</v>
      </c>
      <c r="O2515">
        <v>41324</v>
      </c>
    </row>
    <row r="2516" spans="1:15" x14ac:dyDescent="0.35">
      <c r="A2516">
        <v>2515</v>
      </c>
      <c r="B2516" s="2" t="s">
        <v>23</v>
      </c>
      <c r="C2516" s="2" t="s">
        <v>11</v>
      </c>
      <c r="D2516">
        <v>27</v>
      </c>
      <c r="E2516" s="2" t="s">
        <v>16</v>
      </c>
      <c r="F2516" s="2" t="s">
        <v>17</v>
      </c>
      <c r="G2516">
        <v>85637</v>
      </c>
      <c r="H2516" s="1">
        <v>45093</v>
      </c>
      <c r="I2516">
        <v>15</v>
      </c>
      <c r="J2516">
        <v>5</v>
      </c>
      <c r="K2516">
        <v>8564</v>
      </c>
      <c r="L2516">
        <v>4282</v>
      </c>
      <c r="M2516">
        <v>89919</v>
      </c>
      <c r="N2516">
        <v>4282</v>
      </c>
      <c r="O2516">
        <v>98483</v>
      </c>
    </row>
    <row r="2517" spans="1:15" x14ac:dyDescent="0.35">
      <c r="A2517">
        <v>2516</v>
      </c>
      <c r="B2517" s="2" t="s">
        <v>27</v>
      </c>
      <c r="C2517" s="2" t="s">
        <v>15</v>
      </c>
      <c r="D2517">
        <v>34</v>
      </c>
      <c r="E2517" s="2" t="s">
        <v>24</v>
      </c>
      <c r="F2517" s="2" t="s">
        <v>13</v>
      </c>
      <c r="G2517">
        <v>96416</v>
      </c>
      <c r="H2517" s="1">
        <v>45192</v>
      </c>
      <c r="I2517">
        <v>13</v>
      </c>
      <c r="J2517">
        <v>1</v>
      </c>
      <c r="K2517">
        <v>9642</v>
      </c>
      <c r="L2517">
        <v>4821</v>
      </c>
      <c r="M2517">
        <v>101237</v>
      </c>
      <c r="N2517">
        <v>4821</v>
      </c>
      <c r="O2517">
        <v>110879</v>
      </c>
    </row>
    <row r="2518" spans="1:15" x14ac:dyDescent="0.35">
      <c r="A2518">
        <v>2517</v>
      </c>
      <c r="B2518" s="2" t="s">
        <v>26</v>
      </c>
      <c r="C2518" s="2" t="s">
        <v>15</v>
      </c>
      <c r="D2518">
        <v>33</v>
      </c>
      <c r="E2518" s="2" t="s">
        <v>28</v>
      </c>
      <c r="F2518" s="2" t="s">
        <v>19</v>
      </c>
      <c r="G2518">
        <v>36458</v>
      </c>
      <c r="H2518" s="1">
        <v>44929</v>
      </c>
      <c r="I2518">
        <v>13</v>
      </c>
      <c r="J2518">
        <v>2</v>
      </c>
      <c r="K2518">
        <v>3646</v>
      </c>
      <c r="L2518">
        <v>1823</v>
      </c>
      <c r="M2518">
        <v>38281</v>
      </c>
      <c r="N2518">
        <v>1823</v>
      </c>
      <c r="O2518">
        <v>41927</v>
      </c>
    </row>
    <row r="2519" spans="1:15" x14ac:dyDescent="0.35">
      <c r="A2519">
        <v>2518</v>
      </c>
      <c r="B2519" s="2" t="s">
        <v>31</v>
      </c>
      <c r="C2519" s="2" t="s">
        <v>11</v>
      </c>
      <c r="D2519">
        <v>39</v>
      </c>
      <c r="E2519" s="2" t="s">
        <v>28</v>
      </c>
      <c r="F2519" s="2" t="s">
        <v>17</v>
      </c>
      <c r="G2519">
        <v>83151</v>
      </c>
      <c r="H2519" s="1">
        <v>45389</v>
      </c>
      <c r="I2519">
        <v>1</v>
      </c>
      <c r="J2519">
        <v>1</v>
      </c>
      <c r="K2519">
        <v>8315</v>
      </c>
      <c r="L2519">
        <v>4158</v>
      </c>
      <c r="M2519">
        <v>87308</v>
      </c>
      <c r="N2519">
        <v>0</v>
      </c>
      <c r="O2519">
        <v>91466</v>
      </c>
    </row>
    <row r="2520" spans="1:15" x14ac:dyDescent="0.35">
      <c r="A2520">
        <v>2519</v>
      </c>
      <c r="B2520" s="2" t="s">
        <v>22</v>
      </c>
      <c r="C2520" s="2" t="s">
        <v>11</v>
      </c>
      <c r="D2520">
        <v>51</v>
      </c>
      <c r="E2520" s="2" t="s">
        <v>16</v>
      </c>
      <c r="F2520" s="2" t="s">
        <v>19</v>
      </c>
      <c r="G2520">
        <v>95310</v>
      </c>
      <c r="H2520" s="1">
        <v>45236</v>
      </c>
      <c r="I2520">
        <v>19</v>
      </c>
      <c r="J2520">
        <v>5</v>
      </c>
      <c r="K2520">
        <v>9531</v>
      </c>
      <c r="L2520">
        <v>4766</v>
      </c>
      <c r="M2520">
        <v>100075</v>
      </c>
      <c r="N2520">
        <v>4766</v>
      </c>
      <c r="O2520">
        <v>109607</v>
      </c>
    </row>
    <row r="2521" spans="1:15" x14ac:dyDescent="0.35">
      <c r="A2521">
        <v>2520</v>
      </c>
      <c r="B2521" s="2" t="s">
        <v>10</v>
      </c>
      <c r="C2521" s="2" t="s">
        <v>11</v>
      </c>
      <c r="D2521">
        <v>36</v>
      </c>
      <c r="E2521" s="2" t="s">
        <v>16</v>
      </c>
      <c r="F2521" s="2" t="s">
        <v>21</v>
      </c>
      <c r="G2521">
        <v>71338</v>
      </c>
      <c r="H2521" s="1">
        <v>44738</v>
      </c>
      <c r="I2521">
        <v>6</v>
      </c>
      <c r="J2521">
        <v>5</v>
      </c>
      <c r="K2521">
        <v>7134</v>
      </c>
      <c r="L2521">
        <v>3567</v>
      </c>
      <c r="M2521">
        <v>74905</v>
      </c>
      <c r="N2521">
        <v>3567</v>
      </c>
      <c r="O2521">
        <v>82039</v>
      </c>
    </row>
    <row r="2522" spans="1:15" x14ac:dyDescent="0.35">
      <c r="A2522">
        <v>2521</v>
      </c>
      <c r="B2522" s="2" t="s">
        <v>23</v>
      </c>
      <c r="C2522" s="2" t="s">
        <v>11</v>
      </c>
      <c r="D2522">
        <v>29</v>
      </c>
      <c r="E2522" s="2" t="s">
        <v>16</v>
      </c>
      <c r="F2522" s="2" t="s">
        <v>25</v>
      </c>
      <c r="G2522">
        <v>25421</v>
      </c>
      <c r="H2522" s="1">
        <v>45536</v>
      </c>
      <c r="I2522">
        <v>13</v>
      </c>
      <c r="J2522">
        <v>3</v>
      </c>
      <c r="K2522">
        <v>2542</v>
      </c>
      <c r="L2522">
        <v>1271</v>
      </c>
      <c r="M2522">
        <v>26692</v>
      </c>
      <c r="N2522">
        <v>1271</v>
      </c>
      <c r="O2522">
        <v>29234</v>
      </c>
    </row>
    <row r="2523" spans="1:15" x14ac:dyDescent="0.35">
      <c r="A2523">
        <v>2522</v>
      </c>
      <c r="B2523" s="2" t="s">
        <v>27</v>
      </c>
      <c r="C2523" s="2" t="s">
        <v>11</v>
      </c>
      <c r="D2523">
        <v>58</v>
      </c>
      <c r="E2523" s="2" t="s">
        <v>24</v>
      </c>
      <c r="F2523" s="2" t="s">
        <v>19</v>
      </c>
      <c r="G2523">
        <v>61762</v>
      </c>
      <c r="H2523" s="1">
        <v>45040</v>
      </c>
      <c r="I2523">
        <v>11</v>
      </c>
      <c r="J2523">
        <v>1</v>
      </c>
      <c r="K2523">
        <v>6176</v>
      </c>
      <c r="L2523">
        <v>3088</v>
      </c>
      <c r="M2523">
        <v>64850</v>
      </c>
      <c r="N2523">
        <v>3088</v>
      </c>
      <c r="O2523">
        <v>71026</v>
      </c>
    </row>
    <row r="2524" spans="1:15" x14ac:dyDescent="0.35">
      <c r="A2524">
        <v>2523</v>
      </c>
      <c r="B2524" s="2" t="s">
        <v>14</v>
      </c>
      <c r="C2524" s="2" t="s">
        <v>15</v>
      </c>
      <c r="D2524">
        <v>43</v>
      </c>
      <c r="E2524" s="2" t="s">
        <v>28</v>
      </c>
      <c r="F2524" s="2" t="s">
        <v>25</v>
      </c>
      <c r="G2524">
        <v>37181</v>
      </c>
      <c r="H2524" s="1">
        <v>44977</v>
      </c>
      <c r="I2524">
        <v>16</v>
      </c>
      <c r="J2524">
        <v>3</v>
      </c>
      <c r="K2524">
        <v>3718</v>
      </c>
      <c r="L2524">
        <v>1859</v>
      </c>
      <c r="M2524">
        <v>39040</v>
      </c>
      <c r="N2524">
        <v>1859</v>
      </c>
      <c r="O2524">
        <v>42758</v>
      </c>
    </row>
    <row r="2525" spans="1:15" x14ac:dyDescent="0.35">
      <c r="A2525">
        <v>2524</v>
      </c>
      <c r="B2525" s="2" t="s">
        <v>14</v>
      </c>
      <c r="C2525" s="2" t="s">
        <v>15</v>
      </c>
      <c r="D2525">
        <v>29</v>
      </c>
      <c r="E2525" s="2" t="s">
        <v>16</v>
      </c>
      <c r="F2525" s="2" t="s">
        <v>13</v>
      </c>
      <c r="G2525">
        <v>49871</v>
      </c>
      <c r="H2525" s="1">
        <v>45316</v>
      </c>
      <c r="I2525">
        <v>12</v>
      </c>
      <c r="J2525">
        <v>4</v>
      </c>
      <c r="K2525">
        <v>4987</v>
      </c>
      <c r="L2525">
        <v>2494</v>
      </c>
      <c r="M2525">
        <v>52364</v>
      </c>
      <c r="N2525">
        <v>2494</v>
      </c>
      <c r="O2525">
        <v>57352</v>
      </c>
    </row>
    <row r="2526" spans="1:15" x14ac:dyDescent="0.35">
      <c r="A2526">
        <v>2525</v>
      </c>
      <c r="B2526" s="2" t="s">
        <v>30</v>
      </c>
      <c r="C2526" s="2" t="s">
        <v>11</v>
      </c>
      <c r="D2526">
        <v>32</v>
      </c>
      <c r="E2526" s="2" t="s">
        <v>28</v>
      </c>
      <c r="F2526" s="2" t="s">
        <v>21</v>
      </c>
      <c r="G2526">
        <v>22489</v>
      </c>
      <c r="H2526" s="1">
        <v>45167</v>
      </c>
      <c r="I2526">
        <v>9</v>
      </c>
      <c r="J2526">
        <v>5</v>
      </c>
      <c r="K2526">
        <v>2249</v>
      </c>
      <c r="L2526">
        <v>1124</v>
      </c>
      <c r="M2526">
        <v>23614</v>
      </c>
      <c r="N2526">
        <v>1124</v>
      </c>
      <c r="O2526">
        <v>25862</v>
      </c>
    </row>
    <row r="2527" spans="1:15" x14ac:dyDescent="0.35">
      <c r="A2527">
        <v>2526</v>
      </c>
      <c r="B2527" s="2" t="s">
        <v>10</v>
      </c>
      <c r="C2527" s="2" t="s">
        <v>11</v>
      </c>
      <c r="D2527">
        <v>24</v>
      </c>
      <c r="E2527" s="2" t="s">
        <v>29</v>
      </c>
      <c r="F2527" s="2" t="s">
        <v>19</v>
      </c>
      <c r="G2527">
        <v>31765</v>
      </c>
      <c r="H2527" s="1">
        <v>45020</v>
      </c>
      <c r="I2527">
        <v>16</v>
      </c>
      <c r="J2527">
        <v>3</v>
      </c>
      <c r="K2527">
        <v>3176</v>
      </c>
      <c r="L2527">
        <v>1588</v>
      </c>
      <c r="M2527">
        <v>33353</v>
      </c>
      <c r="N2527">
        <v>1588</v>
      </c>
      <c r="O2527">
        <v>36529</v>
      </c>
    </row>
    <row r="2528" spans="1:15" x14ac:dyDescent="0.35">
      <c r="A2528">
        <v>2527</v>
      </c>
      <c r="B2528" s="2" t="s">
        <v>23</v>
      </c>
      <c r="C2528" s="2" t="s">
        <v>11</v>
      </c>
      <c r="D2528">
        <v>53</v>
      </c>
      <c r="E2528" s="2" t="s">
        <v>24</v>
      </c>
      <c r="F2528" s="2" t="s">
        <v>25</v>
      </c>
      <c r="G2528">
        <v>66067</v>
      </c>
      <c r="H2528" s="1">
        <v>44953</v>
      </c>
      <c r="I2528">
        <v>18</v>
      </c>
      <c r="J2528">
        <v>2</v>
      </c>
      <c r="K2528">
        <v>6607</v>
      </c>
      <c r="L2528">
        <v>3303</v>
      </c>
      <c r="M2528">
        <v>69371</v>
      </c>
      <c r="N2528">
        <v>3303</v>
      </c>
      <c r="O2528">
        <v>75977</v>
      </c>
    </row>
    <row r="2529" spans="1:15" x14ac:dyDescent="0.35">
      <c r="A2529">
        <v>2528</v>
      </c>
      <c r="B2529" s="2" t="s">
        <v>14</v>
      </c>
      <c r="C2529" s="2" t="s">
        <v>11</v>
      </c>
      <c r="D2529">
        <v>35</v>
      </c>
      <c r="E2529" s="2" t="s">
        <v>29</v>
      </c>
      <c r="F2529" s="2" t="s">
        <v>19</v>
      </c>
      <c r="G2529">
        <v>71831</v>
      </c>
      <c r="H2529" s="1">
        <v>45004</v>
      </c>
      <c r="I2529">
        <v>4</v>
      </c>
      <c r="J2529">
        <v>3</v>
      </c>
      <c r="K2529">
        <v>7183</v>
      </c>
      <c r="L2529">
        <v>3592</v>
      </c>
      <c r="M2529">
        <v>75422</v>
      </c>
      <c r="N2529">
        <v>0</v>
      </c>
      <c r="O2529">
        <v>79014</v>
      </c>
    </row>
    <row r="2530" spans="1:15" x14ac:dyDescent="0.35">
      <c r="A2530">
        <v>2529</v>
      </c>
      <c r="B2530" s="2" t="s">
        <v>10</v>
      </c>
      <c r="C2530" s="2" t="s">
        <v>11</v>
      </c>
      <c r="D2530">
        <v>32</v>
      </c>
      <c r="E2530" s="2" t="s">
        <v>24</v>
      </c>
      <c r="F2530" s="2" t="s">
        <v>17</v>
      </c>
      <c r="G2530">
        <v>71943</v>
      </c>
      <c r="H2530" s="1">
        <v>45225</v>
      </c>
      <c r="I2530">
        <v>19</v>
      </c>
      <c r="J2530">
        <v>5</v>
      </c>
      <c r="K2530">
        <v>7194</v>
      </c>
      <c r="L2530">
        <v>3597</v>
      </c>
      <c r="M2530">
        <v>75540</v>
      </c>
      <c r="N2530">
        <v>3597</v>
      </c>
      <c r="O2530">
        <v>82734</v>
      </c>
    </row>
    <row r="2531" spans="1:15" x14ac:dyDescent="0.35">
      <c r="A2531">
        <v>2530</v>
      </c>
      <c r="B2531" s="2" t="s">
        <v>18</v>
      </c>
      <c r="C2531" s="2" t="s">
        <v>11</v>
      </c>
      <c r="D2531">
        <v>45</v>
      </c>
      <c r="E2531" s="2" t="s">
        <v>29</v>
      </c>
      <c r="F2531" s="2" t="s">
        <v>13</v>
      </c>
      <c r="G2531">
        <v>23127</v>
      </c>
      <c r="H2531" s="1">
        <v>45328</v>
      </c>
      <c r="I2531">
        <v>14</v>
      </c>
      <c r="J2531">
        <v>3</v>
      </c>
      <c r="K2531">
        <v>2313</v>
      </c>
      <c r="L2531">
        <v>1156</v>
      </c>
      <c r="M2531">
        <v>24284</v>
      </c>
      <c r="N2531">
        <v>1156</v>
      </c>
      <c r="O2531">
        <v>26596</v>
      </c>
    </row>
    <row r="2532" spans="1:15" x14ac:dyDescent="0.35">
      <c r="A2532">
        <v>2531</v>
      </c>
      <c r="B2532" s="2" t="s">
        <v>20</v>
      </c>
      <c r="C2532" s="2" t="s">
        <v>11</v>
      </c>
      <c r="D2532">
        <v>34</v>
      </c>
      <c r="E2532" s="2" t="s">
        <v>16</v>
      </c>
      <c r="F2532" s="2" t="s">
        <v>19</v>
      </c>
      <c r="G2532">
        <v>76279</v>
      </c>
      <c r="H2532" s="1">
        <v>45199</v>
      </c>
      <c r="I2532">
        <v>13</v>
      </c>
      <c r="J2532">
        <v>3</v>
      </c>
      <c r="K2532">
        <v>7628</v>
      </c>
      <c r="L2532">
        <v>3814</v>
      </c>
      <c r="M2532">
        <v>80093</v>
      </c>
      <c r="N2532">
        <v>3814</v>
      </c>
      <c r="O2532">
        <v>87721</v>
      </c>
    </row>
    <row r="2533" spans="1:15" x14ac:dyDescent="0.35">
      <c r="A2533">
        <v>2532</v>
      </c>
      <c r="B2533" s="2" t="s">
        <v>20</v>
      </c>
      <c r="C2533" s="2" t="s">
        <v>15</v>
      </c>
      <c r="D2533">
        <v>37</v>
      </c>
      <c r="E2533" s="2" t="s">
        <v>24</v>
      </c>
      <c r="F2533" s="2" t="s">
        <v>17</v>
      </c>
      <c r="G2533">
        <v>64654</v>
      </c>
      <c r="H2533" s="1">
        <v>45405</v>
      </c>
      <c r="I2533">
        <v>7</v>
      </c>
      <c r="J2533">
        <v>3</v>
      </c>
      <c r="K2533">
        <v>6465</v>
      </c>
      <c r="L2533">
        <v>3233</v>
      </c>
      <c r="M2533">
        <v>67886</v>
      </c>
      <c r="N2533">
        <v>3233</v>
      </c>
      <c r="O2533">
        <v>74352</v>
      </c>
    </row>
    <row r="2534" spans="1:15" x14ac:dyDescent="0.35">
      <c r="A2534">
        <v>2533</v>
      </c>
      <c r="B2534" s="2" t="s">
        <v>30</v>
      </c>
      <c r="C2534" s="2" t="s">
        <v>15</v>
      </c>
      <c r="D2534">
        <v>53</v>
      </c>
      <c r="E2534" s="2" t="s">
        <v>28</v>
      </c>
      <c r="F2534" s="2" t="s">
        <v>19</v>
      </c>
      <c r="G2534">
        <v>20338</v>
      </c>
      <c r="H2534" s="1">
        <v>44585</v>
      </c>
      <c r="I2534">
        <v>12</v>
      </c>
      <c r="J2534">
        <v>2</v>
      </c>
      <c r="K2534">
        <v>2034</v>
      </c>
      <c r="L2534">
        <v>1017</v>
      </c>
      <c r="M2534">
        <v>21355</v>
      </c>
      <c r="N2534">
        <v>1017</v>
      </c>
      <c r="O2534">
        <v>23389</v>
      </c>
    </row>
    <row r="2535" spans="1:15" x14ac:dyDescent="0.35">
      <c r="A2535">
        <v>2534</v>
      </c>
      <c r="B2535" s="2" t="s">
        <v>31</v>
      </c>
      <c r="C2535" s="2" t="s">
        <v>11</v>
      </c>
      <c r="D2535">
        <v>51</v>
      </c>
      <c r="E2535" s="2" t="s">
        <v>28</v>
      </c>
      <c r="F2535" s="2" t="s">
        <v>17</v>
      </c>
      <c r="G2535">
        <v>38930</v>
      </c>
      <c r="H2535" s="1">
        <v>44857</v>
      </c>
      <c r="I2535">
        <v>17</v>
      </c>
      <c r="J2535">
        <v>3</v>
      </c>
      <c r="K2535">
        <v>3893</v>
      </c>
      <c r="L2535">
        <v>1946</v>
      </c>
      <c r="M2535">
        <v>40877</v>
      </c>
      <c r="N2535">
        <v>1946</v>
      </c>
      <c r="O2535">
        <v>44769</v>
      </c>
    </row>
    <row r="2536" spans="1:15" x14ac:dyDescent="0.35">
      <c r="A2536">
        <v>2535</v>
      </c>
      <c r="B2536" s="2" t="s">
        <v>26</v>
      </c>
      <c r="C2536" s="2" t="s">
        <v>15</v>
      </c>
      <c r="D2536">
        <v>54</v>
      </c>
      <c r="E2536" s="2" t="s">
        <v>16</v>
      </c>
      <c r="F2536" s="2" t="s">
        <v>21</v>
      </c>
      <c r="G2536">
        <v>94502</v>
      </c>
      <c r="H2536" s="1">
        <v>44702</v>
      </c>
      <c r="I2536">
        <v>5</v>
      </c>
      <c r="J2536">
        <v>5</v>
      </c>
      <c r="K2536">
        <v>9450</v>
      </c>
      <c r="L2536">
        <v>4725</v>
      </c>
      <c r="M2536">
        <v>99227</v>
      </c>
      <c r="N2536">
        <v>0</v>
      </c>
      <c r="O2536">
        <v>103952</v>
      </c>
    </row>
    <row r="2537" spans="1:15" x14ac:dyDescent="0.35">
      <c r="A2537">
        <v>2536</v>
      </c>
      <c r="B2537" s="2" t="s">
        <v>31</v>
      </c>
      <c r="C2537" s="2" t="s">
        <v>11</v>
      </c>
      <c r="D2537">
        <v>37</v>
      </c>
      <c r="E2537" s="2" t="s">
        <v>24</v>
      </c>
      <c r="F2537" s="2" t="s">
        <v>17</v>
      </c>
      <c r="G2537">
        <v>73898</v>
      </c>
      <c r="H2537" s="1">
        <v>45478</v>
      </c>
      <c r="I2537">
        <v>1</v>
      </c>
      <c r="J2537">
        <v>3</v>
      </c>
      <c r="K2537">
        <v>7390</v>
      </c>
      <c r="L2537">
        <v>3695</v>
      </c>
      <c r="M2537">
        <v>77593</v>
      </c>
      <c r="N2537">
        <v>0</v>
      </c>
      <c r="O2537">
        <v>81288</v>
      </c>
    </row>
    <row r="2538" spans="1:15" x14ac:dyDescent="0.35">
      <c r="A2538">
        <v>2537</v>
      </c>
      <c r="B2538" s="2" t="s">
        <v>22</v>
      </c>
      <c r="C2538" s="2" t="s">
        <v>11</v>
      </c>
      <c r="D2538">
        <v>49</v>
      </c>
      <c r="E2538" s="2" t="s">
        <v>12</v>
      </c>
      <c r="F2538" s="2" t="s">
        <v>21</v>
      </c>
      <c r="G2538">
        <v>49086</v>
      </c>
      <c r="H2538" s="1">
        <v>44783</v>
      </c>
      <c r="I2538">
        <v>13</v>
      </c>
      <c r="J2538">
        <v>2</v>
      </c>
      <c r="K2538">
        <v>4909</v>
      </c>
      <c r="L2538">
        <v>2454</v>
      </c>
      <c r="M2538">
        <v>51541</v>
      </c>
      <c r="N2538">
        <v>2454</v>
      </c>
      <c r="O2538">
        <v>56449</v>
      </c>
    </row>
    <row r="2539" spans="1:15" x14ac:dyDescent="0.35">
      <c r="A2539">
        <v>2538</v>
      </c>
      <c r="B2539" s="2" t="s">
        <v>14</v>
      </c>
      <c r="C2539" s="2" t="s">
        <v>11</v>
      </c>
      <c r="D2539">
        <v>57</v>
      </c>
      <c r="E2539" s="2" t="s">
        <v>16</v>
      </c>
      <c r="F2539" s="2" t="s">
        <v>13</v>
      </c>
      <c r="G2539">
        <v>24213</v>
      </c>
      <c r="H2539" s="1">
        <v>44997</v>
      </c>
      <c r="I2539">
        <v>2</v>
      </c>
      <c r="J2539">
        <v>4</v>
      </c>
      <c r="K2539">
        <v>2421</v>
      </c>
      <c r="L2539">
        <v>1211</v>
      </c>
      <c r="M2539">
        <v>25423</v>
      </c>
      <c r="N2539">
        <v>0</v>
      </c>
      <c r="O2539">
        <v>26634</v>
      </c>
    </row>
    <row r="2540" spans="1:15" x14ac:dyDescent="0.35">
      <c r="A2540">
        <v>2539</v>
      </c>
      <c r="B2540" s="2" t="s">
        <v>26</v>
      </c>
      <c r="C2540" s="2" t="s">
        <v>15</v>
      </c>
      <c r="D2540">
        <v>49</v>
      </c>
      <c r="E2540" s="2" t="s">
        <v>24</v>
      </c>
      <c r="F2540" s="2" t="s">
        <v>21</v>
      </c>
      <c r="G2540">
        <v>47187</v>
      </c>
      <c r="H2540" s="1">
        <v>44924</v>
      </c>
      <c r="I2540">
        <v>8</v>
      </c>
      <c r="J2540">
        <v>1</v>
      </c>
      <c r="K2540">
        <v>4719</v>
      </c>
      <c r="L2540">
        <v>2359</v>
      </c>
      <c r="M2540">
        <v>49547</v>
      </c>
      <c r="N2540">
        <v>2359</v>
      </c>
      <c r="O2540">
        <v>54265</v>
      </c>
    </row>
    <row r="2541" spans="1:15" x14ac:dyDescent="0.35">
      <c r="A2541">
        <v>2540</v>
      </c>
      <c r="B2541" s="2" t="s">
        <v>22</v>
      </c>
      <c r="C2541" s="2" t="s">
        <v>11</v>
      </c>
      <c r="D2541">
        <v>47</v>
      </c>
      <c r="E2541" s="2" t="s">
        <v>24</v>
      </c>
      <c r="F2541" s="2" t="s">
        <v>19</v>
      </c>
      <c r="G2541">
        <v>67577</v>
      </c>
      <c r="H2541" s="1">
        <v>44598</v>
      </c>
      <c r="I2541">
        <v>1</v>
      </c>
      <c r="J2541">
        <v>3</v>
      </c>
      <c r="K2541">
        <v>6758</v>
      </c>
      <c r="L2541">
        <v>3379</v>
      </c>
      <c r="M2541">
        <v>70956</v>
      </c>
      <c r="N2541">
        <v>0</v>
      </c>
      <c r="O2541">
        <v>74335</v>
      </c>
    </row>
    <row r="2542" spans="1:15" x14ac:dyDescent="0.35">
      <c r="A2542">
        <v>2541</v>
      </c>
      <c r="B2542" s="2" t="s">
        <v>27</v>
      </c>
      <c r="C2542" s="2" t="s">
        <v>15</v>
      </c>
      <c r="D2542">
        <v>60</v>
      </c>
      <c r="E2542" s="2" t="s">
        <v>16</v>
      </c>
      <c r="F2542" s="2" t="s">
        <v>19</v>
      </c>
      <c r="G2542">
        <v>65189</v>
      </c>
      <c r="H2542" s="1">
        <v>45224</v>
      </c>
      <c r="I2542">
        <v>4</v>
      </c>
      <c r="J2542">
        <v>2</v>
      </c>
      <c r="K2542">
        <v>6519</v>
      </c>
      <c r="L2542">
        <v>3259</v>
      </c>
      <c r="M2542">
        <v>68449</v>
      </c>
      <c r="N2542">
        <v>0</v>
      </c>
      <c r="O2542">
        <v>71708</v>
      </c>
    </row>
    <row r="2543" spans="1:15" x14ac:dyDescent="0.35">
      <c r="A2543">
        <v>2542</v>
      </c>
      <c r="B2543" s="2" t="s">
        <v>23</v>
      </c>
      <c r="C2543" s="2" t="s">
        <v>11</v>
      </c>
      <c r="D2543">
        <v>36</v>
      </c>
      <c r="E2543" s="2" t="s">
        <v>28</v>
      </c>
      <c r="F2543" s="2" t="s">
        <v>25</v>
      </c>
      <c r="G2543">
        <v>34441</v>
      </c>
      <c r="H2543" s="1">
        <v>44900</v>
      </c>
      <c r="I2543">
        <v>17</v>
      </c>
      <c r="J2543">
        <v>1</v>
      </c>
      <c r="K2543">
        <v>3444</v>
      </c>
      <c r="L2543">
        <v>1722</v>
      </c>
      <c r="M2543">
        <v>36163</v>
      </c>
      <c r="N2543">
        <v>1722</v>
      </c>
      <c r="O2543">
        <v>39607</v>
      </c>
    </row>
    <row r="2544" spans="1:15" x14ac:dyDescent="0.35">
      <c r="A2544">
        <v>2543</v>
      </c>
      <c r="B2544" s="2" t="s">
        <v>30</v>
      </c>
      <c r="C2544" s="2" t="s">
        <v>11</v>
      </c>
      <c r="D2544">
        <v>23</v>
      </c>
      <c r="E2544" s="2" t="s">
        <v>28</v>
      </c>
      <c r="F2544" s="2" t="s">
        <v>17</v>
      </c>
      <c r="G2544">
        <v>56867</v>
      </c>
      <c r="H2544" s="1">
        <v>45245</v>
      </c>
      <c r="I2544">
        <v>3</v>
      </c>
      <c r="J2544">
        <v>5</v>
      </c>
      <c r="K2544">
        <v>5687</v>
      </c>
      <c r="L2544">
        <v>2843</v>
      </c>
      <c r="M2544">
        <v>59711</v>
      </c>
      <c r="N2544">
        <v>0</v>
      </c>
      <c r="O2544">
        <v>62554</v>
      </c>
    </row>
    <row r="2545" spans="1:15" x14ac:dyDescent="0.35">
      <c r="A2545">
        <v>2544</v>
      </c>
      <c r="B2545" s="2" t="s">
        <v>14</v>
      </c>
      <c r="C2545" s="2" t="s">
        <v>11</v>
      </c>
      <c r="D2545">
        <v>52</v>
      </c>
      <c r="E2545" s="2" t="s">
        <v>16</v>
      </c>
      <c r="F2545" s="2" t="s">
        <v>21</v>
      </c>
      <c r="G2545">
        <v>82143</v>
      </c>
      <c r="H2545" s="1">
        <v>44965</v>
      </c>
      <c r="I2545">
        <v>4</v>
      </c>
      <c r="J2545">
        <v>5</v>
      </c>
      <c r="K2545">
        <v>8214</v>
      </c>
      <c r="L2545">
        <v>4107</v>
      </c>
      <c r="M2545">
        <v>86250</v>
      </c>
      <c r="N2545">
        <v>0</v>
      </c>
      <c r="O2545">
        <v>90357</v>
      </c>
    </row>
    <row r="2546" spans="1:15" x14ac:dyDescent="0.35">
      <c r="A2546">
        <v>2545</v>
      </c>
      <c r="B2546" s="2" t="s">
        <v>20</v>
      </c>
      <c r="C2546" s="2" t="s">
        <v>15</v>
      </c>
      <c r="D2546">
        <v>21</v>
      </c>
      <c r="E2546" s="2" t="s">
        <v>12</v>
      </c>
      <c r="F2546" s="2" t="s">
        <v>13</v>
      </c>
      <c r="G2546">
        <v>36899</v>
      </c>
      <c r="H2546" s="1">
        <v>45021</v>
      </c>
      <c r="I2546">
        <v>1</v>
      </c>
      <c r="J2546">
        <v>5</v>
      </c>
      <c r="K2546">
        <v>3690</v>
      </c>
      <c r="L2546">
        <v>1845</v>
      </c>
      <c r="M2546">
        <v>38744</v>
      </c>
      <c r="N2546">
        <v>0</v>
      </c>
      <c r="O2546">
        <v>40589</v>
      </c>
    </row>
    <row r="2547" spans="1:15" x14ac:dyDescent="0.35">
      <c r="A2547">
        <v>2546</v>
      </c>
      <c r="B2547" s="2" t="s">
        <v>23</v>
      </c>
      <c r="C2547" s="2" t="s">
        <v>15</v>
      </c>
      <c r="D2547">
        <v>38</v>
      </c>
      <c r="E2547" s="2" t="s">
        <v>28</v>
      </c>
      <c r="F2547" s="2" t="s">
        <v>17</v>
      </c>
      <c r="G2547">
        <v>30347</v>
      </c>
      <c r="H2547" s="1">
        <v>44745</v>
      </c>
      <c r="I2547">
        <v>6</v>
      </c>
      <c r="J2547">
        <v>1</v>
      </c>
      <c r="K2547">
        <v>3035</v>
      </c>
      <c r="L2547">
        <v>1517</v>
      </c>
      <c r="M2547">
        <v>31865</v>
      </c>
      <c r="N2547">
        <v>1517</v>
      </c>
      <c r="O2547">
        <v>34899</v>
      </c>
    </row>
    <row r="2548" spans="1:15" x14ac:dyDescent="0.35">
      <c r="A2548">
        <v>2547</v>
      </c>
      <c r="B2548" s="2" t="s">
        <v>27</v>
      </c>
      <c r="C2548" s="2" t="s">
        <v>15</v>
      </c>
      <c r="D2548">
        <v>37</v>
      </c>
      <c r="E2548" s="2" t="s">
        <v>16</v>
      </c>
      <c r="F2548" s="2" t="s">
        <v>17</v>
      </c>
      <c r="G2548">
        <v>20338</v>
      </c>
      <c r="H2548" s="1">
        <v>44801</v>
      </c>
      <c r="I2548">
        <v>13</v>
      </c>
      <c r="J2548">
        <v>1</v>
      </c>
      <c r="K2548">
        <v>2034</v>
      </c>
      <c r="L2548">
        <v>1017</v>
      </c>
      <c r="M2548">
        <v>21355</v>
      </c>
      <c r="N2548">
        <v>1017</v>
      </c>
      <c r="O2548">
        <v>23389</v>
      </c>
    </row>
    <row r="2549" spans="1:15" x14ac:dyDescent="0.35">
      <c r="A2549">
        <v>2548</v>
      </c>
      <c r="B2549" s="2" t="s">
        <v>18</v>
      </c>
      <c r="C2549" s="2" t="s">
        <v>15</v>
      </c>
      <c r="D2549">
        <v>49</v>
      </c>
      <c r="E2549" s="2" t="s">
        <v>28</v>
      </c>
      <c r="F2549" s="2" t="s">
        <v>25</v>
      </c>
      <c r="G2549">
        <v>80708</v>
      </c>
      <c r="H2549" s="1">
        <v>44952</v>
      </c>
      <c r="I2549">
        <v>14</v>
      </c>
      <c r="J2549">
        <v>3</v>
      </c>
      <c r="K2549">
        <v>8071</v>
      </c>
      <c r="L2549">
        <v>4035</v>
      </c>
      <c r="M2549">
        <v>84744</v>
      </c>
      <c r="N2549">
        <v>4035</v>
      </c>
      <c r="O2549">
        <v>92814</v>
      </c>
    </row>
    <row r="2550" spans="1:15" x14ac:dyDescent="0.35">
      <c r="A2550">
        <v>2549</v>
      </c>
      <c r="B2550" s="2" t="s">
        <v>14</v>
      </c>
      <c r="C2550" s="2" t="s">
        <v>15</v>
      </c>
      <c r="D2550">
        <v>25</v>
      </c>
      <c r="E2550" s="2" t="s">
        <v>24</v>
      </c>
      <c r="F2550" s="2" t="s">
        <v>25</v>
      </c>
      <c r="G2550">
        <v>92745</v>
      </c>
      <c r="H2550" s="1">
        <v>45540</v>
      </c>
      <c r="I2550">
        <v>7</v>
      </c>
      <c r="J2550">
        <v>1</v>
      </c>
      <c r="K2550">
        <v>9274</v>
      </c>
      <c r="L2550">
        <v>4637</v>
      </c>
      <c r="M2550">
        <v>97382</v>
      </c>
      <c r="N2550">
        <v>4637</v>
      </c>
      <c r="O2550">
        <v>106656</v>
      </c>
    </row>
    <row r="2551" spans="1:15" x14ac:dyDescent="0.35">
      <c r="A2551">
        <v>2550</v>
      </c>
      <c r="B2551" s="2" t="s">
        <v>14</v>
      </c>
      <c r="C2551" s="2" t="s">
        <v>11</v>
      </c>
      <c r="D2551">
        <v>53</v>
      </c>
      <c r="E2551" s="2" t="s">
        <v>29</v>
      </c>
      <c r="F2551" s="2" t="s">
        <v>21</v>
      </c>
      <c r="G2551">
        <v>23166</v>
      </c>
      <c r="H2551" s="1">
        <v>45273</v>
      </c>
      <c r="I2551">
        <v>17</v>
      </c>
      <c r="J2551">
        <v>5</v>
      </c>
      <c r="K2551">
        <v>2317</v>
      </c>
      <c r="L2551">
        <v>1158</v>
      </c>
      <c r="M2551">
        <v>24325</v>
      </c>
      <c r="N2551">
        <v>1158</v>
      </c>
      <c r="O2551">
        <v>26641</v>
      </c>
    </row>
    <row r="2552" spans="1:15" x14ac:dyDescent="0.35">
      <c r="A2552">
        <v>2551</v>
      </c>
      <c r="B2552" s="2" t="s">
        <v>27</v>
      </c>
      <c r="C2552" s="2" t="s">
        <v>15</v>
      </c>
      <c r="D2552">
        <v>44</v>
      </c>
      <c r="E2552" s="2" t="s">
        <v>24</v>
      </c>
      <c r="F2552" s="2" t="s">
        <v>13</v>
      </c>
      <c r="G2552">
        <v>44792</v>
      </c>
      <c r="H2552" s="1">
        <v>45398</v>
      </c>
      <c r="I2552">
        <v>10</v>
      </c>
      <c r="J2552">
        <v>5</v>
      </c>
      <c r="K2552">
        <v>4479</v>
      </c>
      <c r="L2552">
        <v>2240</v>
      </c>
      <c r="M2552">
        <v>47031</v>
      </c>
      <c r="N2552">
        <v>2240</v>
      </c>
      <c r="O2552">
        <v>51511</v>
      </c>
    </row>
    <row r="2553" spans="1:15" x14ac:dyDescent="0.35">
      <c r="A2553">
        <v>2552</v>
      </c>
      <c r="B2553" s="2" t="s">
        <v>18</v>
      </c>
      <c r="C2553" s="2" t="s">
        <v>11</v>
      </c>
      <c r="D2553">
        <v>57</v>
      </c>
      <c r="E2553" s="2" t="s">
        <v>28</v>
      </c>
      <c r="F2553" s="2" t="s">
        <v>25</v>
      </c>
      <c r="G2553">
        <v>80323</v>
      </c>
      <c r="H2553" s="1">
        <v>45354</v>
      </c>
      <c r="I2553">
        <v>18</v>
      </c>
      <c r="J2553">
        <v>4</v>
      </c>
      <c r="K2553">
        <v>8032</v>
      </c>
      <c r="L2553">
        <v>4016</v>
      </c>
      <c r="M2553">
        <v>84339</v>
      </c>
      <c r="N2553">
        <v>4016</v>
      </c>
      <c r="O2553">
        <v>92371</v>
      </c>
    </row>
    <row r="2554" spans="1:15" x14ac:dyDescent="0.35">
      <c r="A2554">
        <v>2553</v>
      </c>
      <c r="B2554" s="2" t="s">
        <v>23</v>
      </c>
      <c r="C2554" s="2" t="s">
        <v>15</v>
      </c>
      <c r="D2554">
        <v>42</v>
      </c>
      <c r="E2554" s="2" t="s">
        <v>16</v>
      </c>
      <c r="F2554" s="2" t="s">
        <v>13</v>
      </c>
      <c r="G2554">
        <v>83644</v>
      </c>
      <c r="H2554" s="1">
        <v>45102</v>
      </c>
      <c r="I2554">
        <v>14</v>
      </c>
      <c r="J2554">
        <v>2</v>
      </c>
      <c r="K2554">
        <v>8364</v>
      </c>
      <c r="L2554">
        <v>4182</v>
      </c>
      <c r="M2554">
        <v>87826</v>
      </c>
      <c r="N2554">
        <v>4182</v>
      </c>
      <c r="O2554">
        <v>96190</v>
      </c>
    </row>
    <row r="2555" spans="1:15" x14ac:dyDescent="0.35">
      <c r="A2555">
        <v>2554</v>
      </c>
      <c r="B2555" s="2" t="s">
        <v>31</v>
      </c>
      <c r="C2555" s="2" t="s">
        <v>15</v>
      </c>
      <c r="D2555">
        <v>44</v>
      </c>
      <c r="E2555" s="2" t="s">
        <v>16</v>
      </c>
      <c r="F2555" s="2" t="s">
        <v>19</v>
      </c>
      <c r="G2555">
        <v>70827</v>
      </c>
      <c r="H2555" s="1">
        <v>44907</v>
      </c>
      <c r="I2555">
        <v>8</v>
      </c>
      <c r="J2555">
        <v>4</v>
      </c>
      <c r="K2555">
        <v>7083</v>
      </c>
      <c r="L2555">
        <v>3541</v>
      </c>
      <c r="M2555">
        <v>74369</v>
      </c>
      <c r="N2555">
        <v>3541</v>
      </c>
      <c r="O2555">
        <v>81451</v>
      </c>
    </row>
    <row r="2556" spans="1:15" x14ac:dyDescent="0.35">
      <c r="A2556">
        <v>2555</v>
      </c>
      <c r="B2556" s="2" t="s">
        <v>22</v>
      </c>
      <c r="C2556" s="2" t="s">
        <v>15</v>
      </c>
      <c r="D2556">
        <v>22</v>
      </c>
      <c r="E2556" s="2" t="s">
        <v>16</v>
      </c>
      <c r="F2556" s="2" t="s">
        <v>17</v>
      </c>
      <c r="G2556">
        <v>42563</v>
      </c>
      <c r="H2556" s="1">
        <v>45051</v>
      </c>
      <c r="I2556">
        <v>2</v>
      </c>
      <c r="J2556">
        <v>3</v>
      </c>
      <c r="K2556">
        <v>4256</v>
      </c>
      <c r="L2556">
        <v>2128</v>
      </c>
      <c r="M2556">
        <v>44691</v>
      </c>
      <c r="N2556">
        <v>0</v>
      </c>
      <c r="O2556">
        <v>46819</v>
      </c>
    </row>
    <row r="2557" spans="1:15" x14ac:dyDescent="0.35">
      <c r="A2557">
        <v>2556</v>
      </c>
      <c r="B2557" s="2" t="s">
        <v>31</v>
      </c>
      <c r="C2557" s="2" t="s">
        <v>11</v>
      </c>
      <c r="D2557">
        <v>57</v>
      </c>
      <c r="E2557" s="2" t="s">
        <v>24</v>
      </c>
      <c r="F2557" s="2" t="s">
        <v>17</v>
      </c>
      <c r="G2557">
        <v>70575</v>
      </c>
      <c r="H2557" s="1">
        <v>44890</v>
      </c>
      <c r="I2557">
        <v>14</v>
      </c>
      <c r="J2557">
        <v>1</v>
      </c>
      <c r="K2557">
        <v>7058</v>
      </c>
      <c r="L2557">
        <v>3529</v>
      </c>
      <c r="M2557">
        <v>74104</v>
      </c>
      <c r="N2557">
        <v>3529</v>
      </c>
      <c r="O2557">
        <v>81162</v>
      </c>
    </row>
    <row r="2558" spans="1:15" x14ac:dyDescent="0.35">
      <c r="A2558">
        <v>2557</v>
      </c>
      <c r="B2558" s="2" t="s">
        <v>20</v>
      </c>
      <c r="C2558" s="2" t="s">
        <v>11</v>
      </c>
      <c r="D2558">
        <v>53</v>
      </c>
      <c r="E2558" s="2" t="s">
        <v>28</v>
      </c>
      <c r="F2558" s="2" t="s">
        <v>25</v>
      </c>
      <c r="G2558">
        <v>49984</v>
      </c>
      <c r="H2558" s="1">
        <v>45093</v>
      </c>
      <c r="I2558">
        <v>7</v>
      </c>
      <c r="J2558">
        <v>2</v>
      </c>
      <c r="K2558">
        <v>4998</v>
      </c>
      <c r="L2558">
        <v>2499</v>
      </c>
      <c r="M2558">
        <v>52483</v>
      </c>
      <c r="N2558">
        <v>2499</v>
      </c>
      <c r="O2558">
        <v>57481</v>
      </c>
    </row>
    <row r="2559" spans="1:15" x14ac:dyDescent="0.35">
      <c r="A2559">
        <v>2558</v>
      </c>
      <c r="B2559" s="2" t="s">
        <v>30</v>
      </c>
      <c r="C2559" s="2" t="s">
        <v>11</v>
      </c>
      <c r="D2559">
        <v>43</v>
      </c>
      <c r="E2559" s="2" t="s">
        <v>29</v>
      </c>
      <c r="F2559" s="2" t="s">
        <v>25</v>
      </c>
      <c r="G2559">
        <v>68266</v>
      </c>
      <c r="H2559" s="1">
        <v>45303</v>
      </c>
      <c r="I2559">
        <v>17</v>
      </c>
      <c r="J2559">
        <v>5</v>
      </c>
      <c r="K2559">
        <v>6827</v>
      </c>
      <c r="L2559">
        <v>3413</v>
      </c>
      <c r="M2559">
        <v>71680</v>
      </c>
      <c r="N2559">
        <v>3413</v>
      </c>
      <c r="O2559">
        <v>78506</v>
      </c>
    </row>
    <row r="2560" spans="1:15" x14ac:dyDescent="0.35">
      <c r="A2560">
        <v>2559</v>
      </c>
      <c r="B2560" s="2" t="s">
        <v>14</v>
      </c>
      <c r="C2560" s="2" t="s">
        <v>11</v>
      </c>
      <c r="D2560">
        <v>58</v>
      </c>
      <c r="E2560" s="2" t="s">
        <v>28</v>
      </c>
      <c r="F2560" s="2" t="s">
        <v>25</v>
      </c>
      <c r="G2560">
        <v>92709</v>
      </c>
      <c r="H2560" s="1">
        <v>45295</v>
      </c>
      <c r="I2560">
        <v>2</v>
      </c>
      <c r="J2560">
        <v>5</v>
      </c>
      <c r="K2560">
        <v>9271</v>
      </c>
      <c r="L2560">
        <v>4635</v>
      </c>
      <c r="M2560">
        <v>97345</v>
      </c>
      <c r="N2560">
        <v>0</v>
      </c>
      <c r="O2560">
        <v>101980</v>
      </c>
    </row>
    <row r="2561" spans="1:15" x14ac:dyDescent="0.35">
      <c r="A2561">
        <v>2560</v>
      </c>
      <c r="B2561" s="2" t="s">
        <v>14</v>
      </c>
      <c r="C2561" s="2" t="s">
        <v>15</v>
      </c>
      <c r="D2561">
        <v>48</v>
      </c>
      <c r="E2561" s="2" t="s">
        <v>24</v>
      </c>
      <c r="F2561" s="2" t="s">
        <v>13</v>
      </c>
      <c r="G2561">
        <v>59579</v>
      </c>
      <c r="H2561" s="1">
        <v>45221</v>
      </c>
      <c r="I2561">
        <v>11</v>
      </c>
      <c r="J2561">
        <v>1</v>
      </c>
      <c r="K2561">
        <v>5958</v>
      </c>
      <c r="L2561">
        <v>2979</v>
      </c>
      <c r="M2561">
        <v>62558</v>
      </c>
      <c r="N2561">
        <v>2979</v>
      </c>
      <c r="O2561">
        <v>68516</v>
      </c>
    </row>
    <row r="2562" spans="1:15" x14ac:dyDescent="0.35">
      <c r="A2562">
        <v>2561</v>
      </c>
      <c r="B2562" s="2" t="s">
        <v>27</v>
      </c>
      <c r="C2562" s="2" t="s">
        <v>15</v>
      </c>
      <c r="D2562">
        <v>60</v>
      </c>
      <c r="E2562" s="2" t="s">
        <v>12</v>
      </c>
      <c r="F2562" s="2" t="s">
        <v>21</v>
      </c>
      <c r="G2562">
        <v>84954</v>
      </c>
      <c r="H2562" s="1">
        <v>44813</v>
      </c>
      <c r="I2562">
        <v>2</v>
      </c>
      <c r="J2562">
        <v>5</v>
      </c>
      <c r="K2562">
        <v>8495</v>
      </c>
      <c r="L2562">
        <v>4248</v>
      </c>
      <c r="M2562">
        <v>89201</v>
      </c>
      <c r="N2562">
        <v>0</v>
      </c>
      <c r="O2562">
        <v>93449</v>
      </c>
    </row>
    <row r="2563" spans="1:15" x14ac:dyDescent="0.35">
      <c r="A2563">
        <v>2562</v>
      </c>
      <c r="B2563" s="2" t="s">
        <v>22</v>
      </c>
      <c r="C2563" s="2" t="s">
        <v>15</v>
      </c>
      <c r="D2563">
        <v>52</v>
      </c>
      <c r="E2563" s="2" t="s">
        <v>16</v>
      </c>
      <c r="F2563" s="2" t="s">
        <v>25</v>
      </c>
      <c r="G2563">
        <v>70872</v>
      </c>
      <c r="H2563" s="1">
        <v>45064</v>
      </c>
      <c r="I2563">
        <v>10</v>
      </c>
      <c r="J2563">
        <v>1</v>
      </c>
      <c r="K2563">
        <v>7087</v>
      </c>
      <c r="L2563">
        <v>3544</v>
      </c>
      <c r="M2563">
        <v>74415</v>
      </c>
      <c r="N2563">
        <v>3544</v>
      </c>
      <c r="O2563">
        <v>81503</v>
      </c>
    </row>
    <row r="2564" spans="1:15" x14ac:dyDescent="0.35">
      <c r="A2564">
        <v>2563</v>
      </c>
      <c r="B2564" s="2" t="s">
        <v>26</v>
      </c>
      <c r="C2564" s="2" t="s">
        <v>15</v>
      </c>
      <c r="D2564">
        <v>28</v>
      </c>
      <c r="E2564" s="2" t="s">
        <v>24</v>
      </c>
      <c r="F2564" s="2" t="s">
        <v>17</v>
      </c>
      <c r="G2564">
        <v>61898</v>
      </c>
      <c r="H2564" s="1">
        <v>45338</v>
      </c>
      <c r="I2564">
        <v>6</v>
      </c>
      <c r="J2564">
        <v>2</v>
      </c>
      <c r="K2564">
        <v>6190</v>
      </c>
      <c r="L2564">
        <v>3095</v>
      </c>
      <c r="M2564">
        <v>64993</v>
      </c>
      <c r="N2564">
        <v>3095</v>
      </c>
      <c r="O2564">
        <v>71183</v>
      </c>
    </row>
    <row r="2565" spans="1:15" x14ac:dyDescent="0.35">
      <c r="A2565">
        <v>2564</v>
      </c>
      <c r="B2565" s="2" t="s">
        <v>22</v>
      </c>
      <c r="C2565" s="2" t="s">
        <v>11</v>
      </c>
      <c r="D2565">
        <v>53</v>
      </c>
      <c r="E2565" s="2" t="s">
        <v>28</v>
      </c>
      <c r="F2565" s="2" t="s">
        <v>19</v>
      </c>
      <c r="G2565">
        <v>62501</v>
      </c>
      <c r="H2565" s="1">
        <v>44648</v>
      </c>
      <c r="I2565">
        <v>7</v>
      </c>
      <c r="J2565">
        <v>3</v>
      </c>
      <c r="K2565">
        <v>6250</v>
      </c>
      <c r="L2565">
        <v>3125</v>
      </c>
      <c r="M2565">
        <v>65626</v>
      </c>
      <c r="N2565">
        <v>3125</v>
      </c>
      <c r="O2565">
        <v>71876</v>
      </c>
    </row>
    <row r="2566" spans="1:15" x14ac:dyDescent="0.35">
      <c r="A2566">
        <v>2565</v>
      </c>
      <c r="B2566" s="2" t="s">
        <v>23</v>
      </c>
      <c r="C2566" s="2" t="s">
        <v>15</v>
      </c>
      <c r="D2566">
        <v>25</v>
      </c>
      <c r="E2566" s="2" t="s">
        <v>24</v>
      </c>
      <c r="F2566" s="2" t="s">
        <v>19</v>
      </c>
      <c r="G2566">
        <v>98156</v>
      </c>
      <c r="H2566" s="1">
        <v>45017</v>
      </c>
      <c r="I2566">
        <v>16</v>
      </c>
      <c r="J2566">
        <v>1</v>
      </c>
      <c r="K2566">
        <v>9816</v>
      </c>
      <c r="L2566">
        <v>4908</v>
      </c>
      <c r="M2566">
        <v>103064</v>
      </c>
      <c r="N2566">
        <v>4908</v>
      </c>
      <c r="O2566">
        <v>112880</v>
      </c>
    </row>
    <row r="2567" spans="1:15" x14ac:dyDescent="0.35">
      <c r="A2567">
        <v>2566</v>
      </c>
      <c r="B2567" s="2" t="s">
        <v>18</v>
      </c>
      <c r="C2567" s="2" t="s">
        <v>15</v>
      </c>
      <c r="D2567">
        <v>57</v>
      </c>
      <c r="E2567" s="2" t="s">
        <v>24</v>
      </c>
      <c r="F2567" s="2" t="s">
        <v>13</v>
      </c>
      <c r="G2567">
        <v>21833</v>
      </c>
      <c r="H2567" s="1">
        <v>45458</v>
      </c>
      <c r="I2567">
        <v>9</v>
      </c>
      <c r="J2567">
        <v>1</v>
      </c>
      <c r="K2567">
        <v>2183</v>
      </c>
      <c r="L2567">
        <v>1092</v>
      </c>
      <c r="M2567">
        <v>22924</v>
      </c>
      <c r="N2567">
        <v>1092</v>
      </c>
      <c r="O2567">
        <v>25108</v>
      </c>
    </row>
    <row r="2568" spans="1:15" x14ac:dyDescent="0.35">
      <c r="A2568">
        <v>2567</v>
      </c>
      <c r="B2568" s="2" t="s">
        <v>22</v>
      </c>
      <c r="C2568" s="2" t="s">
        <v>15</v>
      </c>
      <c r="D2568">
        <v>32</v>
      </c>
      <c r="E2568" s="2" t="s">
        <v>28</v>
      </c>
      <c r="F2568" s="2" t="s">
        <v>17</v>
      </c>
      <c r="G2568">
        <v>85100</v>
      </c>
      <c r="H2568" s="1">
        <v>44699</v>
      </c>
      <c r="I2568">
        <v>17</v>
      </c>
      <c r="J2568">
        <v>4</v>
      </c>
      <c r="K2568">
        <v>8510</v>
      </c>
      <c r="L2568">
        <v>4255</v>
      </c>
      <c r="M2568">
        <v>89355</v>
      </c>
      <c r="N2568">
        <v>4255</v>
      </c>
      <c r="O2568">
        <v>97865</v>
      </c>
    </row>
    <row r="2569" spans="1:15" x14ac:dyDescent="0.35">
      <c r="A2569">
        <v>2568</v>
      </c>
      <c r="B2569" s="2" t="s">
        <v>26</v>
      </c>
      <c r="C2569" s="2" t="s">
        <v>15</v>
      </c>
      <c r="D2569">
        <v>37</v>
      </c>
      <c r="E2569" s="2" t="s">
        <v>24</v>
      </c>
      <c r="F2569" s="2" t="s">
        <v>25</v>
      </c>
      <c r="G2569">
        <v>36927</v>
      </c>
      <c r="H2569" s="1">
        <v>45288</v>
      </c>
      <c r="I2569">
        <v>3</v>
      </c>
      <c r="J2569">
        <v>2</v>
      </c>
      <c r="K2569">
        <v>3693</v>
      </c>
      <c r="L2569">
        <v>1846</v>
      </c>
      <c r="M2569">
        <v>38774</v>
      </c>
      <c r="N2569">
        <v>0</v>
      </c>
      <c r="O2569">
        <v>40620</v>
      </c>
    </row>
    <row r="2570" spans="1:15" x14ac:dyDescent="0.35">
      <c r="A2570">
        <v>2569</v>
      </c>
      <c r="B2570" s="2" t="s">
        <v>14</v>
      </c>
      <c r="C2570" s="2" t="s">
        <v>15</v>
      </c>
      <c r="D2570">
        <v>46</v>
      </c>
      <c r="E2570" s="2" t="s">
        <v>29</v>
      </c>
      <c r="F2570" s="2" t="s">
        <v>13</v>
      </c>
      <c r="G2570">
        <v>49924</v>
      </c>
      <c r="H2570" s="1">
        <v>45313</v>
      </c>
      <c r="I2570">
        <v>9</v>
      </c>
      <c r="J2570">
        <v>1</v>
      </c>
      <c r="K2570">
        <v>4992</v>
      </c>
      <c r="L2570">
        <v>2496</v>
      </c>
      <c r="M2570">
        <v>52420</v>
      </c>
      <c r="N2570">
        <v>2496</v>
      </c>
      <c r="O2570">
        <v>57412</v>
      </c>
    </row>
    <row r="2571" spans="1:15" x14ac:dyDescent="0.35">
      <c r="A2571">
        <v>2570</v>
      </c>
      <c r="B2571" s="2" t="s">
        <v>22</v>
      </c>
      <c r="C2571" s="2" t="s">
        <v>11</v>
      </c>
      <c r="D2571">
        <v>21</v>
      </c>
      <c r="E2571" s="2" t="s">
        <v>12</v>
      </c>
      <c r="F2571" s="2" t="s">
        <v>13</v>
      </c>
      <c r="G2571">
        <v>94385</v>
      </c>
      <c r="H2571" s="1">
        <v>44752</v>
      </c>
      <c r="I2571">
        <v>12</v>
      </c>
      <c r="J2571">
        <v>5</v>
      </c>
      <c r="K2571">
        <v>9438</v>
      </c>
      <c r="L2571">
        <v>4719</v>
      </c>
      <c r="M2571">
        <v>99104</v>
      </c>
      <c r="N2571">
        <v>4719</v>
      </c>
      <c r="O2571">
        <v>108542</v>
      </c>
    </row>
    <row r="2572" spans="1:15" x14ac:dyDescent="0.35">
      <c r="A2572">
        <v>2571</v>
      </c>
      <c r="B2572" s="2" t="s">
        <v>27</v>
      </c>
      <c r="C2572" s="2" t="s">
        <v>11</v>
      </c>
      <c r="D2572">
        <v>55</v>
      </c>
      <c r="E2572" s="2" t="s">
        <v>29</v>
      </c>
      <c r="F2572" s="2" t="s">
        <v>19</v>
      </c>
      <c r="G2572">
        <v>87667</v>
      </c>
      <c r="H2572" s="1">
        <v>45287</v>
      </c>
      <c r="I2572">
        <v>13</v>
      </c>
      <c r="J2572">
        <v>2</v>
      </c>
      <c r="K2572">
        <v>8767</v>
      </c>
      <c r="L2572">
        <v>4383</v>
      </c>
      <c r="M2572">
        <v>92051</v>
      </c>
      <c r="N2572">
        <v>4383</v>
      </c>
      <c r="O2572">
        <v>100817</v>
      </c>
    </row>
    <row r="2573" spans="1:15" x14ac:dyDescent="0.35">
      <c r="A2573">
        <v>2572</v>
      </c>
      <c r="B2573" s="2" t="s">
        <v>18</v>
      </c>
      <c r="C2573" s="2" t="s">
        <v>11</v>
      </c>
      <c r="D2573">
        <v>22</v>
      </c>
      <c r="E2573" s="2" t="s">
        <v>16</v>
      </c>
      <c r="F2573" s="2" t="s">
        <v>13</v>
      </c>
      <c r="G2573">
        <v>59438</v>
      </c>
      <c r="H2573" s="1">
        <v>44743</v>
      </c>
      <c r="I2573">
        <v>11</v>
      </c>
      <c r="J2573">
        <v>1</v>
      </c>
      <c r="K2573">
        <v>5944</v>
      </c>
      <c r="L2573">
        <v>2972</v>
      </c>
      <c r="M2573">
        <v>62410</v>
      </c>
      <c r="N2573">
        <v>2972</v>
      </c>
      <c r="O2573">
        <v>68354</v>
      </c>
    </row>
    <row r="2574" spans="1:15" x14ac:dyDescent="0.35">
      <c r="A2574">
        <v>2573</v>
      </c>
      <c r="B2574" s="2" t="s">
        <v>26</v>
      </c>
      <c r="C2574" s="2" t="s">
        <v>11</v>
      </c>
      <c r="D2574">
        <v>59</v>
      </c>
      <c r="E2574" s="2" t="s">
        <v>29</v>
      </c>
      <c r="F2574" s="2" t="s">
        <v>13</v>
      </c>
      <c r="G2574">
        <v>25237</v>
      </c>
      <c r="H2574" s="1">
        <v>45015</v>
      </c>
      <c r="I2574">
        <v>16</v>
      </c>
      <c r="J2574">
        <v>1</v>
      </c>
      <c r="K2574">
        <v>2524</v>
      </c>
      <c r="L2574">
        <v>1262</v>
      </c>
      <c r="M2574">
        <v>26499</v>
      </c>
      <c r="N2574">
        <v>1262</v>
      </c>
      <c r="O2574">
        <v>29023</v>
      </c>
    </row>
    <row r="2575" spans="1:15" x14ac:dyDescent="0.35">
      <c r="A2575">
        <v>2574</v>
      </c>
      <c r="B2575" s="2" t="s">
        <v>10</v>
      </c>
      <c r="C2575" s="2" t="s">
        <v>11</v>
      </c>
      <c r="D2575">
        <v>52</v>
      </c>
      <c r="E2575" s="2" t="s">
        <v>28</v>
      </c>
      <c r="F2575" s="2" t="s">
        <v>19</v>
      </c>
      <c r="G2575">
        <v>83064</v>
      </c>
      <c r="H2575" s="1">
        <v>45021</v>
      </c>
      <c r="I2575">
        <v>14</v>
      </c>
      <c r="J2575">
        <v>3</v>
      </c>
      <c r="K2575">
        <v>8306</v>
      </c>
      <c r="L2575">
        <v>4153</v>
      </c>
      <c r="M2575">
        <v>87217</v>
      </c>
      <c r="N2575">
        <v>4153</v>
      </c>
      <c r="O2575">
        <v>95523</v>
      </c>
    </row>
    <row r="2576" spans="1:15" x14ac:dyDescent="0.35">
      <c r="A2576">
        <v>2575</v>
      </c>
      <c r="B2576" s="2" t="s">
        <v>10</v>
      </c>
      <c r="C2576" s="2" t="s">
        <v>11</v>
      </c>
      <c r="D2576">
        <v>47</v>
      </c>
      <c r="E2576" s="2" t="s">
        <v>12</v>
      </c>
      <c r="F2576" s="2" t="s">
        <v>21</v>
      </c>
      <c r="G2576">
        <v>51099</v>
      </c>
      <c r="H2576" s="1">
        <v>45122</v>
      </c>
      <c r="I2576">
        <v>7</v>
      </c>
      <c r="J2576">
        <v>3</v>
      </c>
      <c r="K2576">
        <v>5110</v>
      </c>
      <c r="L2576">
        <v>2555</v>
      </c>
      <c r="M2576">
        <v>53654</v>
      </c>
      <c r="N2576">
        <v>2555</v>
      </c>
      <c r="O2576">
        <v>58764</v>
      </c>
    </row>
    <row r="2577" spans="1:15" x14ac:dyDescent="0.35">
      <c r="A2577">
        <v>2576</v>
      </c>
      <c r="B2577" s="2" t="s">
        <v>10</v>
      </c>
      <c r="C2577" s="2" t="s">
        <v>11</v>
      </c>
      <c r="D2577">
        <v>51</v>
      </c>
      <c r="E2577" s="2" t="s">
        <v>28</v>
      </c>
      <c r="F2577" s="2" t="s">
        <v>13</v>
      </c>
      <c r="G2577">
        <v>34144</v>
      </c>
      <c r="H2577" s="1">
        <v>44635</v>
      </c>
      <c r="I2577">
        <v>15</v>
      </c>
      <c r="J2577">
        <v>2</v>
      </c>
      <c r="K2577">
        <v>3414</v>
      </c>
      <c r="L2577">
        <v>1707</v>
      </c>
      <c r="M2577">
        <v>35851</v>
      </c>
      <c r="N2577">
        <v>1707</v>
      </c>
      <c r="O2577">
        <v>39265</v>
      </c>
    </row>
    <row r="2578" spans="1:15" x14ac:dyDescent="0.35">
      <c r="A2578">
        <v>2577</v>
      </c>
      <c r="B2578" s="2" t="s">
        <v>31</v>
      </c>
      <c r="C2578" s="2" t="s">
        <v>15</v>
      </c>
      <c r="D2578">
        <v>60</v>
      </c>
      <c r="E2578" s="2" t="s">
        <v>12</v>
      </c>
      <c r="F2578" s="2" t="s">
        <v>25</v>
      </c>
      <c r="G2578">
        <v>75052</v>
      </c>
      <c r="H2578" s="1">
        <v>45167</v>
      </c>
      <c r="I2578">
        <v>10</v>
      </c>
      <c r="J2578">
        <v>1</v>
      </c>
      <c r="K2578">
        <v>7505</v>
      </c>
      <c r="L2578">
        <v>3753</v>
      </c>
      <c r="M2578">
        <v>78804</v>
      </c>
      <c r="N2578">
        <v>3753</v>
      </c>
      <c r="O2578">
        <v>86310</v>
      </c>
    </row>
    <row r="2579" spans="1:15" x14ac:dyDescent="0.35">
      <c r="A2579">
        <v>2578</v>
      </c>
      <c r="B2579" s="2" t="s">
        <v>10</v>
      </c>
      <c r="C2579" s="2" t="s">
        <v>15</v>
      </c>
      <c r="D2579">
        <v>58</v>
      </c>
      <c r="E2579" s="2" t="s">
        <v>16</v>
      </c>
      <c r="F2579" s="2" t="s">
        <v>25</v>
      </c>
      <c r="G2579">
        <v>56613</v>
      </c>
      <c r="H2579" s="1">
        <v>44942</v>
      </c>
      <c r="I2579">
        <v>13</v>
      </c>
      <c r="J2579">
        <v>2</v>
      </c>
      <c r="K2579">
        <v>5661</v>
      </c>
      <c r="L2579">
        <v>2831</v>
      </c>
      <c r="M2579">
        <v>59443</v>
      </c>
      <c r="N2579">
        <v>2831</v>
      </c>
      <c r="O2579">
        <v>65105</v>
      </c>
    </row>
    <row r="2580" spans="1:15" x14ac:dyDescent="0.35">
      <c r="A2580">
        <v>2579</v>
      </c>
      <c r="B2580" s="2" t="s">
        <v>18</v>
      </c>
      <c r="C2580" s="2" t="s">
        <v>15</v>
      </c>
      <c r="D2580">
        <v>26</v>
      </c>
      <c r="E2580" s="2" t="s">
        <v>29</v>
      </c>
      <c r="F2580" s="2" t="s">
        <v>25</v>
      </c>
      <c r="G2580">
        <v>85401</v>
      </c>
      <c r="H2580" s="1">
        <v>45248</v>
      </c>
      <c r="I2580">
        <v>13</v>
      </c>
      <c r="J2580">
        <v>1</v>
      </c>
      <c r="K2580">
        <v>8540</v>
      </c>
      <c r="L2580">
        <v>4270</v>
      </c>
      <c r="M2580">
        <v>89671</v>
      </c>
      <c r="N2580">
        <v>4270</v>
      </c>
      <c r="O2580">
        <v>98211</v>
      </c>
    </row>
    <row r="2581" spans="1:15" x14ac:dyDescent="0.35">
      <c r="A2581">
        <v>2580</v>
      </c>
      <c r="B2581" s="2" t="s">
        <v>26</v>
      </c>
      <c r="C2581" s="2" t="s">
        <v>15</v>
      </c>
      <c r="D2581">
        <v>27</v>
      </c>
      <c r="E2581" s="2" t="s">
        <v>12</v>
      </c>
      <c r="F2581" s="2" t="s">
        <v>13</v>
      </c>
      <c r="G2581">
        <v>72568</v>
      </c>
      <c r="H2581" s="1">
        <v>44762</v>
      </c>
      <c r="I2581">
        <v>9</v>
      </c>
      <c r="J2581">
        <v>5</v>
      </c>
      <c r="K2581">
        <v>7257</v>
      </c>
      <c r="L2581">
        <v>3628</v>
      </c>
      <c r="M2581">
        <v>76197</v>
      </c>
      <c r="N2581">
        <v>3628</v>
      </c>
      <c r="O2581">
        <v>83453</v>
      </c>
    </row>
    <row r="2582" spans="1:15" x14ac:dyDescent="0.35">
      <c r="A2582">
        <v>2581</v>
      </c>
      <c r="B2582" s="2" t="s">
        <v>18</v>
      </c>
      <c r="C2582" s="2" t="s">
        <v>11</v>
      </c>
      <c r="D2582">
        <v>50</v>
      </c>
      <c r="E2582" s="2" t="s">
        <v>24</v>
      </c>
      <c r="F2582" s="2" t="s">
        <v>17</v>
      </c>
      <c r="G2582">
        <v>34960</v>
      </c>
      <c r="H2582" s="1">
        <v>44720</v>
      </c>
      <c r="I2582">
        <v>3</v>
      </c>
      <c r="J2582">
        <v>4</v>
      </c>
      <c r="K2582">
        <v>3496</v>
      </c>
      <c r="L2582">
        <v>1748</v>
      </c>
      <c r="M2582">
        <v>36708</v>
      </c>
      <c r="N2582">
        <v>0</v>
      </c>
      <c r="O2582">
        <v>38456</v>
      </c>
    </row>
    <row r="2583" spans="1:15" x14ac:dyDescent="0.35">
      <c r="A2583">
        <v>2582</v>
      </c>
      <c r="B2583" s="2" t="s">
        <v>27</v>
      </c>
      <c r="C2583" s="2" t="s">
        <v>15</v>
      </c>
      <c r="D2583">
        <v>36</v>
      </c>
      <c r="E2583" s="2" t="s">
        <v>16</v>
      </c>
      <c r="F2583" s="2" t="s">
        <v>21</v>
      </c>
      <c r="G2583">
        <v>79772</v>
      </c>
      <c r="H2583" s="1">
        <v>45142</v>
      </c>
      <c r="I2583">
        <v>14</v>
      </c>
      <c r="J2583">
        <v>4</v>
      </c>
      <c r="K2583">
        <v>7977</v>
      </c>
      <c r="L2583">
        <v>3989</v>
      </c>
      <c r="M2583">
        <v>83760</v>
      </c>
      <c r="N2583">
        <v>3989</v>
      </c>
      <c r="O2583">
        <v>91738</v>
      </c>
    </row>
    <row r="2584" spans="1:15" x14ac:dyDescent="0.35">
      <c r="A2584">
        <v>2583</v>
      </c>
      <c r="B2584" s="2" t="s">
        <v>31</v>
      </c>
      <c r="C2584" s="2" t="s">
        <v>15</v>
      </c>
      <c r="D2584">
        <v>46</v>
      </c>
      <c r="E2584" s="2" t="s">
        <v>24</v>
      </c>
      <c r="F2584" s="2" t="s">
        <v>17</v>
      </c>
      <c r="G2584">
        <v>28055</v>
      </c>
      <c r="H2584" s="1">
        <v>45062</v>
      </c>
      <c r="I2584">
        <v>7</v>
      </c>
      <c r="J2584">
        <v>2</v>
      </c>
      <c r="K2584">
        <v>2806</v>
      </c>
      <c r="L2584">
        <v>1403</v>
      </c>
      <c r="M2584">
        <v>29458</v>
      </c>
      <c r="N2584">
        <v>1403</v>
      </c>
      <c r="O2584">
        <v>32264</v>
      </c>
    </row>
    <row r="2585" spans="1:15" x14ac:dyDescent="0.35">
      <c r="A2585">
        <v>2584</v>
      </c>
      <c r="B2585" s="2" t="s">
        <v>14</v>
      </c>
      <c r="C2585" s="2" t="s">
        <v>15</v>
      </c>
      <c r="D2585">
        <v>33</v>
      </c>
      <c r="E2585" s="2" t="s">
        <v>29</v>
      </c>
      <c r="F2585" s="2" t="s">
        <v>17</v>
      </c>
      <c r="G2585">
        <v>20339</v>
      </c>
      <c r="H2585" s="1">
        <v>45091</v>
      </c>
      <c r="I2585">
        <v>3</v>
      </c>
      <c r="J2585">
        <v>2</v>
      </c>
      <c r="K2585">
        <v>2034</v>
      </c>
      <c r="L2585">
        <v>1017</v>
      </c>
      <c r="M2585">
        <v>21356</v>
      </c>
      <c r="N2585">
        <v>0</v>
      </c>
      <c r="O2585">
        <v>22373</v>
      </c>
    </row>
    <row r="2586" spans="1:15" x14ac:dyDescent="0.35">
      <c r="A2586">
        <v>2585</v>
      </c>
      <c r="B2586" s="2" t="s">
        <v>14</v>
      </c>
      <c r="C2586" s="2" t="s">
        <v>11</v>
      </c>
      <c r="D2586">
        <v>40</v>
      </c>
      <c r="E2586" s="2" t="s">
        <v>24</v>
      </c>
      <c r="F2586" s="2" t="s">
        <v>17</v>
      </c>
      <c r="G2586">
        <v>97131</v>
      </c>
      <c r="H2586" s="1">
        <v>44596</v>
      </c>
      <c r="I2586">
        <v>6</v>
      </c>
      <c r="J2586">
        <v>5</v>
      </c>
      <c r="K2586">
        <v>9713</v>
      </c>
      <c r="L2586">
        <v>4857</v>
      </c>
      <c r="M2586">
        <v>101987</v>
      </c>
      <c r="N2586">
        <v>4857</v>
      </c>
      <c r="O2586">
        <v>111701</v>
      </c>
    </row>
    <row r="2587" spans="1:15" x14ac:dyDescent="0.35">
      <c r="A2587">
        <v>2586</v>
      </c>
      <c r="B2587" s="2" t="s">
        <v>23</v>
      </c>
      <c r="C2587" s="2" t="s">
        <v>15</v>
      </c>
      <c r="D2587">
        <v>41</v>
      </c>
      <c r="E2587" s="2" t="s">
        <v>28</v>
      </c>
      <c r="F2587" s="2" t="s">
        <v>25</v>
      </c>
      <c r="G2587">
        <v>99612</v>
      </c>
      <c r="H2587" s="1">
        <v>44692</v>
      </c>
      <c r="I2587">
        <v>13</v>
      </c>
      <c r="J2587">
        <v>3</v>
      </c>
      <c r="K2587">
        <v>9961</v>
      </c>
      <c r="L2587">
        <v>4981</v>
      </c>
      <c r="M2587">
        <v>104592</v>
      </c>
      <c r="N2587">
        <v>4981</v>
      </c>
      <c r="O2587">
        <v>114554</v>
      </c>
    </row>
    <row r="2588" spans="1:15" x14ac:dyDescent="0.35">
      <c r="A2588">
        <v>2587</v>
      </c>
      <c r="B2588" s="2" t="s">
        <v>27</v>
      </c>
      <c r="C2588" s="2" t="s">
        <v>11</v>
      </c>
      <c r="D2588">
        <v>32</v>
      </c>
      <c r="E2588" s="2" t="s">
        <v>12</v>
      </c>
      <c r="F2588" s="2" t="s">
        <v>21</v>
      </c>
      <c r="G2588">
        <v>79155</v>
      </c>
      <c r="H2588" s="1">
        <v>45188</v>
      </c>
      <c r="I2588">
        <v>5</v>
      </c>
      <c r="J2588">
        <v>2</v>
      </c>
      <c r="K2588">
        <v>7916</v>
      </c>
      <c r="L2588">
        <v>3958</v>
      </c>
      <c r="M2588">
        <v>83113</v>
      </c>
      <c r="N2588">
        <v>0</v>
      </c>
      <c r="O2588">
        <v>87071</v>
      </c>
    </row>
    <row r="2589" spans="1:15" x14ac:dyDescent="0.35">
      <c r="A2589">
        <v>2588</v>
      </c>
      <c r="B2589" s="2" t="s">
        <v>10</v>
      </c>
      <c r="C2589" s="2" t="s">
        <v>11</v>
      </c>
      <c r="D2589">
        <v>27</v>
      </c>
      <c r="E2589" s="2" t="s">
        <v>16</v>
      </c>
      <c r="F2589" s="2" t="s">
        <v>25</v>
      </c>
      <c r="G2589">
        <v>48263</v>
      </c>
      <c r="H2589" s="1">
        <v>45022</v>
      </c>
      <c r="I2589">
        <v>1</v>
      </c>
      <c r="J2589">
        <v>4</v>
      </c>
      <c r="K2589">
        <v>4826</v>
      </c>
      <c r="L2589">
        <v>2413</v>
      </c>
      <c r="M2589">
        <v>50676</v>
      </c>
      <c r="N2589">
        <v>0</v>
      </c>
      <c r="O2589">
        <v>53089</v>
      </c>
    </row>
    <row r="2590" spans="1:15" x14ac:dyDescent="0.35">
      <c r="A2590">
        <v>2589</v>
      </c>
      <c r="B2590" s="2" t="s">
        <v>10</v>
      </c>
      <c r="C2590" s="2" t="s">
        <v>11</v>
      </c>
      <c r="D2590">
        <v>35</v>
      </c>
      <c r="E2590" s="2" t="s">
        <v>29</v>
      </c>
      <c r="F2590" s="2" t="s">
        <v>25</v>
      </c>
      <c r="G2590">
        <v>24541</v>
      </c>
      <c r="H2590" s="1">
        <v>45063</v>
      </c>
      <c r="I2590">
        <v>13</v>
      </c>
      <c r="J2590">
        <v>2</v>
      </c>
      <c r="K2590">
        <v>2454</v>
      </c>
      <c r="L2590">
        <v>1227</v>
      </c>
      <c r="M2590">
        <v>25768</v>
      </c>
      <c r="N2590">
        <v>1227</v>
      </c>
      <c r="O2590">
        <v>28222</v>
      </c>
    </row>
    <row r="2591" spans="1:15" x14ac:dyDescent="0.35">
      <c r="A2591">
        <v>2590</v>
      </c>
      <c r="B2591" s="2" t="s">
        <v>30</v>
      </c>
      <c r="C2591" s="2" t="s">
        <v>15</v>
      </c>
      <c r="D2591">
        <v>44</v>
      </c>
      <c r="E2591" s="2" t="s">
        <v>16</v>
      </c>
      <c r="F2591" s="2" t="s">
        <v>17</v>
      </c>
      <c r="G2591">
        <v>44816</v>
      </c>
      <c r="H2591" s="1">
        <v>45455</v>
      </c>
      <c r="I2591">
        <v>4</v>
      </c>
      <c r="J2591">
        <v>5</v>
      </c>
      <c r="K2591">
        <v>4482</v>
      </c>
      <c r="L2591">
        <v>2241</v>
      </c>
      <c r="M2591">
        <v>47057</v>
      </c>
      <c r="N2591">
        <v>0</v>
      </c>
      <c r="O2591">
        <v>49298</v>
      </c>
    </row>
    <row r="2592" spans="1:15" x14ac:dyDescent="0.35">
      <c r="A2592">
        <v>2591</v>
      </c>
      <c r="B2592" s="2" t="s">
        <v>22</v>
      </c>
      <c r="C2592" s="2" t="s">
        <v>15</v>
      </c>
      <c r="D2592">
        <v>43</v>
      </c>
      <c r="E2592" s="2" t="s">
        <v>16</v>
      </c>
      <c r="F2592" s="2" t="s">
        <v>19</v>
      </c>
      <c r="G2592">
        <v>61341</v>
      </c>
      <c r="H2592" s="1">
        <v>45107</v>
      </c>
      <c r="I2592">
        <v>9</v>
      </c>
      <c r="J2592">
        <v>4</v>
      </c>
      <c r="K2592">
        <v>6134</v>
      </c>
      <c r="L2592">
        <v>3067</v>
      </c>
      <c r="M2592">
        <v>64408</v>
      </c>
      <c r="N2592">
        <v>3067</v>
      </c>
      <c r="O2592">
        <v>70542</v>
      </c>
    </row>
    <row r="2593" spans="1:15" x14ac:dyDescent="0.35">
      <c r="A2593">
        <v>2592</v>
      </c>
      <c r="B2593" s="2" t="s">
        <v>10</v>
      </c>
      <c r="C2593" s="2" t="s">
        <v>11</v>
      </c>
      <c r="D2593">
        <v>34</v>
      </c>
      <c r="E2593" s="2" t="s">
        <v>24</v>
      </c>
      <c r="F2593" s="2" t="s">
        <v>21</v>
      </c>
      <c r="G2593">
        <v>63173</v>
      </c>
      <c r="H2593" s="1">
        <v>45230</v>
      </c>
      <c r="I2593">
        <v>13</v>
      </c>
      <c r="J2593">
        <v>3</v>
      </c>
      <c r="K2593">
        <v>6317</v>
      </c>
      <c r="L2593">
        <v>3159</v>
      </c>
      <c r="M2593">
        <v>66331</v>
      </c>
      <c r="N2593">
        <v>3159</v>
      </c>
      <c r="O2593">
        <v>72649</v>
      </c>
    </row>
    <row r="2594" spans="1:15" x14ac:dyDescent="0.35">
      <c r="A2594">
        <v>2593</v>
      </c>
      <c r="B2594" s="2" t="s">
        <v>30</v>
      </c>
      <c r="C2594" s="2" t="s">
        <v>11</v>
      </c>
      <c r="D2594">
        <v>39</v>
      </c>
      <c r="E2594" s="2" t="s">
        <v>16</v>
      </c>
      <c r="F2594" s="2" t="s">
        <v>21</v>
      </c>
      <c r="G2594">
        <v>81573</v>
      </c>
      <c r="H2594" s="1">
        <v>45236</v>
      </c>
      <c r="I2594">
        <v>2</v>
      </c>
      <c r="J2594">
        <v>4</v>
      </c>
      <c r="K2594">
        <v>8157</v>
      </c>
      <c r="L2594">
        <v>4079</v>
      </c>
      <c r="M2594">
        <v>85651</v>
      </c>
      <c r="N2594">
        <v>0</v>
      </c>
      <c r="O2594">
        <v>89730</v>
      </c>
    </row>
    <row r="2595" spans="1:15" x14ac:dyDescent="0.35">
      <c r="A2595">
        <v>2594</v>
      </c>
      <c r="B2595" s="2" t="s">
        <v>23</v>
      </c>
      <c r="C2595" s="2" t="s">
        <v>11</v>
      </c>
      <c r="D2595">
        <v>35</v>
      </c>
      <c r="E2595" s="2" t="s">
        <v>24</v>
      </c>
      <c r="F2595" s="2" t="s">
        <v>19</v>
      </c>
      <c r="G2595">
        <v>93043</v>
      </c>
      <c r="H2595" s="1">
        <v>45385</v>
      </c>
      <c r="I2595">
        <v>16</v>
      </c>
      <c r="J2595">
        <v>5</v>
      </c>
      <c r="K2595">
        <v>9304</v>
      </c>
      <c r="L2595">
        <v>4652</v>
      </c>
      <c r="M2595">
        <v>97695</v>
      </c>
      <c r="N2595">
        <v>4652</v>
      </c>
      <c r="O2595">
        <v>106999</v>
      </c>
    </row>
    <row r="2596" spans="1:15" x14ac:dyDescent="0.35">
      <c r="A2596">
        <v>2595</v>
      </c>
      <c r="B2596" s="2" t="s">
        <v>27</v>
      </c>
      <c r="C2596" s="2" t="s">
        <v>15</v>
      </c>
      <c r="D2596">
        <v>26</v>
      </c>
      <c r="E2596" s="2" t="s">
        <v>29</v>
      </c>
      <c r="F2596" s="2" t="s">
        <v>13</v>
      </c>
      <c r="G2596">
        <v>80673</v>
      </c>
      <c r="H2596" s="1">
        <v>45056</v>
      </c>
      <c r="I2596">
        <v>12</v>
      </c>
      <c r="J2596">
        <v>4</v>
      </c>
      <c r="K2596">
        <v>8067</v>
      </c>
      <c r="L2596">
        <v>4034</v>
      </c>
      <c r="M2596">
        <v>84706</v>
      </c>
      <c r="N2596">
        <v>4034</v>
      </c>
      <c r="O2596">
        <v>92774</v>
      </c>
    </row>
    <row r="2597" spans="1:15" x14ac:dyDescent="0.35">
      <c r="A2597">
        <v>2596</v>
      </c>
      <c r="B2597" s="2" t="s">
        <v>26</v>
      </c>
      <c r="C2597" s="2" t="s">
        <v>11</v>
      </c>
      <c r="D2597">
        <v>43</v>
      </c>
      <c r="E2597" s="2" t="s">
        <v>24</v>
      </c>
      <c r="F2597" s="2" t="s">
        <v>17</v>
      </c>
      <c r="G2597">
        <v>79225</v>
      </c>
      <c r="H2597" s="1">
        <v>44723</v>
      </c>
      <c r="I2597">
        <v>18</v>
      </c>
      <c r="J2597">
        <v>1</v>
      </c>
      <c r="K2597">
        <v>7922</v>
      </c>
      <c r="L2597">
        <v>3961</v>
      </c>
      <c r="M2597">
        <v>83186</v>
      </c>
      <c r="N2597">
        <v>3961</v>
      </c>
      <c r="O2597">
        <v>91108</v>
      </c>
    </row>
    <row r="2598" spans="1:15" x14ac:dyDescent="0.35">
      <c r="A2598">
        <v>2597</v>
      </c>
      <c r="B2598" s="2" t="s">
        <v>30</v>
      </c>
      <c r="C2598" s="2" t="s">
        <v>15</v>
      </c>
      <c r="D2598">
        <v>33</v>
      </c>
      <c r="E2598" s="2" t="s">
        <v>24</v>
      </c>
      <c r="F2598" s="2" t="s">
        <v>19</v>
      </c>
      <c r="G2598">
        <v>81915</v>
      </c>
      <c r="H2598" s="1">
        <v>44659</v>
      </c>
      <c r="I2598">
        <v>1</v>
      </c>
      <c r="J2598">
        <v>1</v>
      </c>
      <c r="K2598">
        <v>8192</v>
      </c>
      <c r="L2598">
        <v>4096</v>
      </c>
      <c r="M2598">
        <v>86011</v>
      </c>
      <c r="N2598">
        <v>0</v>
      </c>
      <c r="O2598">
        <v>90107</v>
      </c>
    </row>
    <row r="2599" spans="1:15" x14ac:dyDescent="0.35">
      <c r="A2599">
        <v>2598</v>
      </c>
      <c r="B2599" s="2" t="s">
        <v>14</v>
      </c>
      <c r="C2599" s="2" t="s">
        <v>15</v>
      </c>
      <c r="D2599">
        <v>37</v>
      </c>
      <c r="E2599" s="2" t="s">
        <v>28</v>
      </c>
      <c r="F2599" s="2" t="s">
        <v>19</v>
      </c>
      <c r="G2599">
        <v>28421</v>
      </c>
      <c r="H2599" s="1">
        <v>44749</v>
      </c>
      <c r="I2599">
        <v>12</v>
      </c>
      <c r="J2599">
        <v>5</v>
      </c>
      <c r="K2599">
        <v>2842</v>
      </c>
      <c r="L2599">
        <v>1421</v>
      </c>
      <c r="M2599">
        <v>29842</v>
      </c>
      <c r="N2599">
        <v>1421</v>
      </c>
      <c r="O2599">
        <v>32684</v>
      </c>
    </row>
    <row r="2600" spans="1:15" x14ac:dyDescent="0.35">
      <c r="A2600">
        <v>2599</v>
      </c>
      <c r="B2600" s="2" t="s">
        <v>30</v>
      </c>
      <c r="C2600" s="2" t="s">
        <v>15</v>
      </c>
      <c r="D2600">
        <v>26</v>
      </c>
      <c r="E2600" s="2" t="s">
        <v>28</v>
      </c>
      <c r="F2600" s="2" t="s">
        <v>17</v>
      </c>
      <c r="G2600">
        <v>28954</v>
      </c>
      <c r="H2600" s="1">
        <v>45291</v>
      </c>
      <c r="I2600">
        <v>4</v>
      </c>
      <c r="J2600">
        <v>3</v>
      </c>
      <c r="K2600">
        <v>2895</v>
      </c>
      <c r="L2600">
        <v>1448</v>
      </c>
      <c r="M2600">
        <v>30401</v>
      </c>
      <c r="N2600">
        <v>0</v>
      </c>
      <c r="O2600">
        <v>31849</v>
      </c>
    </row>
    <row r="2601" spans="1:15" x14ac:dyDescent="0.35">
      <c r="A2601">
        <v>2600</v>
      </c>
      <c r="B2601" s="2" t="s">
        <v>22</v>
      </c>
      <c r="C2601" s="2" t="s">
        <v>11</v>
      </c>
      <c r="D2601">
        <v>44</v>
      </c>
      <c r="E2601" s="2" t="s">
        <v>24</v>
      </c>
      <c r="F2601" s="2" t="s">
        <v>17</v>
      </c>
      <c r="G2601">
        <v>83663</v>
      </c>
      <c r="H2601" s="1">
        <v>44683</v>
      </c>
      <c r="I2601">
        <v>7</v>
      </c>
      <c r="J2601">
        <v>2</v>
      </c>
      <c r="K2601">
        <v>8366</v>
      </c>
      <c r="L2601">
        <v>4183</v>
      </c>
      <c r="M2601">
        <v>87846</v>
      </c>
      <c r="N2601">
        <v>4183</v>
      </c>
      <c r="O2601">
        <v>96212</v>
      </c>
    </row>
    <row r="2602" spans="1:15" x14ac:dyDescent="0.35">
      <c r="A2602">
        <v>2601</v>
      </c>
      <c r="B2602" s="2" t="s">
        <v>10</v>
      </c>
      <c r="C2602" s="2" t="s">
        <v>15</v>
      </c>
      <c r="D2602">
        <v>39</v>
      </c>
      <c r="E2602" s="2" t="s">
        <v>16</v>
      </c>
      <c r="F2602" s="2" t="s">
        <v>17</v>
      </c>
      <c r="G2602">
        <v>27348</v>
      </c>
      <c r="H2602" s="1">
        <v>45498</v>
      </c>
      <c r="I2602">
        <v>6</v>
      </c>
      <c r="J2602">
        <v>2</v>
      </c>
      <c r="K2602">
        <v>2735</v>
      </c>
      <c r="L2602">
        <v>1367</v>
      </c>
      <c r="M2602">
        <v>28716</v>
      </c>
      <c r="N2602">
        <v>1367</v>
      </c>
      <c r="O2602">
        <v>31450</v>
      </c>
    </row>
    <row r="2603" spans="1:15" x14ac:dyDescent="0.35">
      <c r="A2603">
        <v>2602</v>
      </c>
      <c r="B2603" s="2" t="s">
        <v>27</v>
      </c>
      <c r="C2603" s="2" t="s">
        <v>11</v>
      </c>
      <c r="D2603">
        <v>34</v>
      </c>
      <c r="E2603" s="2" t="s">
        <v>12</v>
      </c>
      <c r="F2603" s="2" t="s">
        <v>21</v>
      </c>
      <c r="G2603">
        <v>22584</v>
      </c>
      <c r="H2603" s="1">
        <v>45481</v>
      </c>
      <c r="I2603">
        <v>13</v>
      </c>
      <c r="J2603">
        <v>5</v>
      </c>
      <c r="K2603">
        <v>2258</v>
      </c>
      <c r="L2603">
        <v>1129</v>
      </c>
      <c r="M2603">
        <v>23713</v>
      </c>
      <c r="N2603">
        <v>1129</v>
      </c>
      <c r="O2603">
        <v>25971</v>
      </c>
    </row>
    <row r="2604" spans="1:15" x14ac:dyDescent="0.35">
      <c r="A2604">
        <v>2603</v>
      </c>
      <c r="B2604" s="2" t="s">
        <v>31</v>
      </c>
      <c r="C2604" s="2" t="s">
        <v>11</v>
      </c>
      <c r="D2604">
        <v>41</v>
      </c>
      <c r="E2604" s="2" t="s">
        <v>29</v>
      </c>
      <c r="F2604" s="2" t="s">
        <v>17</v>
      </c>
      <c r="G2604">
        <v>60323</v>
      </c>
      <c r="H2604" s="1">
        <v>45257</v>
      </c>
      <c r="I2604">
        <v>2</v>
      </c>
      <c r="J2604">
        <v>5</v>
      </c>
      <c r="K2604">
        <v>6032</v>
      </c>
      <c r="L2604">
        <v>3016</v>
      </c>
      <c r="M2604">
        <v>63339</v>
      </c>
      <c r="N2604">
        <v>0</v>
      </c>
      <c r="O2604">
        <v>66355</v>
      </c>
    </row>
    <row r="2605" spans="1:15" x14ac:dyDescent="0.35">
      <c r="A2605">
        <v>2604</v>
      </c>
      <c r="B2605" s="2" t="s">
        <v>10</v>
      </c>
      <c r="C2605" s="2" t="s">
        <v>11</v>
      </c>
      <c r="D2605">
        <v>60</v>
      </c>
      <c r="E2605" s="2" t="s">
        <v>24</v>
      </c>
      <c r="F2605" s="2" t="s">
        <v>19</v>
      </c>
      <c r="G2605">
        <v>84444</v>
      </c>
      <c r="H2605" s="1">
        <v>44689</v>
      </c>
      <c r="I2605">
        <v>1</v>
      </c>
      <c r="J2605">
        <v>5</v>
      </c>
      <c r="K2605">
        <v>8444</v>
      </c>
      <c r="L2605">
        <v>4222</v>
      </c>
      <c r="M2605">
        <v>88666</v>
      </c>
      <c r="N2605">
        <v>0</v>
      </c>
      <c r="O2605">
        <v>92888</v>
      </c>
    </row>
    <row r="2606" spans="1:15" x14ac:dyDescent="0.35">
      <c r="A2606">
        <v>2605</v>
      </c>
      <c r="B2606" s="2" t="s">
        <v>20</v>
      </c>
      <c r="C2606" s="2" t="s">
        <v>15</v>
      </c>
      <c r="D2606">
        <v>43</v>
      </c>
      <c r="E2606" s="2" t="s">
        <v>29</v>
      </c>
      <c r="F2606" s="2" t="s">
        <v>13</v>
      </c>
      <c r="G2606">
        <v>82218</v>
      </c>
      <c r="H2606" s="1">
        <v>45295</v>
      </c>
      <c r="I2606">
        <v>10</v>
      </c>
      <c r="J2606">
        <v>2</v>
      </c>
      <c r="K2606">
        <v>8222</v>
      </c>
      <c r="L2606">
        <v>4111</v>
      </c>
      <c r="M2606">
        <v>86329</v>
      </c>
      <c r="N2606">
        <v>4111</v>
      </c>
      <c r="O2606">
        <v>94551</v>
      </c>
    </row>
    <row r="2607" spans="1:15" x14ac:dyDescent="0.35">
      <c r="A2607">
        <v>2606</v>
      </c>
      <c r="B2607" s="2" t="s">
        <v>10</v>
      </c>
      <c r="C2607" s="2" t="s">
        <v>11</v>
      </c>
      <c r="D2607">
        <v>22</v>
      </c>
      <c r="E2607" s="2" t="s">
        <v>12</v>
      </c>
      <c r="F2607" s="2" t="s">
        <v>25</v>
      </c>
      <c r="G2607">
        <v>64626</v>
      </c>
      <c r="H2607" s="1">
        <v>44824</v>
      </c>
      <c r="I2607">
        <v>16</v>
      </c>
      <c r="J2607">
        <v>4</v>
      </c>
      <c r="K2607">
        <v>6463</v>
      </c>
      <c r="L2607">
        <v>3231</v>
      </c>
      <c r="M2607">
        <v>67858</v>
      </c>
      <c r="N2607">
        <v>3231</v>
      </c>
      <c r="O2607">
        <v>74320</v>
      </c>
    </row>
    <row r="2608" spans="1:15" x14ac:dyDescent="0.35">
      <c r="A2608">
        <v>2607</v>
      </c>
      <c r="B2608" s="2" t="s">
        <v>31</v>
      </c>
      <c r="C2608" s="2" t="s">
        <v>11</v>
      </c>
      <c r="D2608">
        <v>22</v>
      </c>
      <c r="E2608" s="2" t="s">
        <v>24</v>
      </c>
      <c r="F2608" s="2" t="s">
        <v>19</v>
      </c>
      <c r="G2608">
        <v>76739</v>
      </c>
      <c r="H2608" s="1">
        <v>45468</v>
      </c>
      <c r="I2608">
        <v>16</v>
      </c>
      <c r="J2608">
        <v>1</v>
      </c>
      <c r="K2608">
        <v>7674</v>
      </c>
      <c r="L2608">
        <v>3837</v>
      </c>
      <c r="M2608">
        <v>80576</v>
      </c>
      <c r="N2608">
        <v>3837</v>
      </c>
      <c r="O2608">
        <v>88250</v>
      </c>
    </row>
    <row r="2609" spans="1:15" x14ac:dyDescent="0.35">
      <c r="A2609">
        <v>2608</v>
      </c>
      <c r="B2609" s="2" t="s">
        <v>14</v>
      </c>
      <c r="C2609" s="2" t="s">
        <v>11</v>
      </c>
      <c r="D2609">
        <v>23</v>
      </c>
      <c r="E2609" s="2" t="s">
        <v>28</v>
      </c>
      <c r="F2609" s="2" t="s">
        <v>17</v>
      </c>
      <c r="G2609">
        <v>20396</v>
      </c>
      <c r="H2609" s="1">
        <v>44631</v>
      </c>
      <c r="I2609">
        <v>9</v>
      </c>
      <c r="J2609">
        <v>5</v>
      </c>
      <c r="K2609">
        <v>2040</v>
      </c>
      <c r="L2609">
        <v>1020</v>
      </c>
      <c r="M2609">
        <v>21416</v>
      </c>
      <c r="N2609">
        <v>1020</v>
      </c>
      <c r="O2609">
        <v>23456</v>
      </c>
    </row>
    <row r="2610" spans="1:15" x14ac:dyDescent="0.35">
      <c r="A2610">
        <v>2609</v>
      </c>
      <c r="B2610" s="2" t="s">
        <v>18</v>
      </c>
      <c r="C2610" s="2" t="s">
        <v>11</v>
      </c>
      <c r="D2610">
        <v>45</v>
      </c>
      <c r="E2610" s="2" t="s">
        <v>24</v>
      </c>
      <c r="F2610" s="2" t="s">
        <v>21</v>
      </c>
      <c r="G2610">
        <v>31170</v>
      </c>
      <c r="H2610" s="1">
        <v>45061</v>
      </c>
      <c r="I2610">
        <v>11</v>
      </c>
      <c r="J2610">
        <v>1</v>
      </c>
      <c r="K2610">
        <v>3117</v>
      </c>
      <c r="L2610">
        <v>1558</v>
      </c>
      <c r="M2610">
        <v>32729</v>
      </c>
      <c r="N2610">
        <v>1558</v>
      </c>
      <c r="O2610">
        <v>35845</v>
      </c>
    </row>
    <row r="2611" spans="1:15" x14ac:dyDescent="0.35">
      <c r="A2611">
        <v>2610</v>
      </c>
      <c r="B2611" s="2" t="s">
        <v>22</v>
      </c>
      <c r="C2611" s="2" t="s">
        <v>11</v>
      </c>
      <c r="D2611">
        <v>47</v>
      </c>
      <c r="E2611" s="2" t="s">
        <v>29</v>
      </c>
      <c r="F2611" s="2" t="s">
        <v>19</v>
      </c>
      <c r="G2611">
        <v>55361</v>
      </c>
      <c r="H2611" s="1">
        <v>44645</v>
      </c>
      <c r="I2611">
        <v>14</v>
      </c>
      <c r="J2611">
        <v>4</v>
      </c>
      <c r="K2611">
        <v>5536</v>
      </c>
      <c r="L2611">
        <v>2768</v>
      </c>
      <c r="M2611">
        <v>58129</v>
      </c>
      <c r="N2611">
        <v>2768</v>
      </c>
      <c r="O2611">
        <v>63665</v>
      </c>
    </row>
    <row r="2612" spans="1:15" x14ac:dyDescent="0.35">
      <c r="A2612">
        <v>2611</v>
      </c>
      <c r="B2612" s="2" t="s">
        <v>30</v>
      </c>
      <c r="C2612" s="2" t="s">
        <v>15</v>
      </c>
      <c r="D2612">
        <v>49</v>
      </c>
      <c r="E2612" s="2" t="s">
        <v>29</v>
      </c>
      <c r="F2612" s="2" t="s">
        <v>17</v>
      </c>
      <c r="G2612">
        <v>67471</v>
      </c>
      <c r="H2612" s="1">
        <v>45066</v>
      </c>
      <c r="I2612">
        <v>11</v>
      </c>
      <c r="J2612">
        <v>3</v>
      </c>
      <c r="K2612">
        <v>6747</v>
      </c>
      <c r="L2612">
        <v>3374</v>
      </c>
      <c r="M2612">
        <v>70844</v>
      </c>
      <c r="N2612">
        <v>3374</v>
      </c>
      <c r="O2612">
        <v>77592</v>
      </c>
    </row>
    <row r="2613" spans="1:15" x14ac:dyDescent="0.35">
      <c r="A2613">
        <v>2612</v>
      </c>
      <c r="B2613" s="2" t="s">
        <v>27</v>
      </c>
      <c r="C2613" s="2" t="s">
        <v>11</v>
      </c>
      <c r="D2613">
        <v>59</v>
      </c>
      <c r="E2613" s="2" t="s">
        <v>24</v>
      </c>
      <c r="F2613" s="2" t="s">
        <v>13</v>
      </c>
      <c r="G2613">
        <v>91346</v>
      </c>
      <c r="H2613" s="1">
        <v>45104</v>
      </c>
      <c r="I2613">
        <v>4</v>
      </c>
      <c r="J2613">
        <v>2</v>
      </c>
      <c r="K2613">
        <v>9135</v>
      </c>
      <c r="L2613">
        <v>4567</v>
      </c>
      <c r="M2613">
        <v>95914</v>
      </c>
      <c r="N2613">
        <v>0</v>
      </c>
      <c r="O2613">
        <v>100481</v>
      </c>
    </row>
    <row r="2614" spans="1:15" x14ac:dyDescent="0.35">
      <c r="A2614">
        <v>2613</v>
      </c>
      <c r="B2614" s="2" t="s">
        <v>18</v>
      </c>
      <c r="C2614" s="2" t="s">
        <v>15</v>
      </c>
      <c r="D2614">
        <v>54</v>
      </c>
      <c r="E2614" s="2" t="s">
        <v>16</v>
      </c>
      <c r="F2614" s="2" t="s">
        <v>17</v>
      </c>
      <c r="G2614">
        <v>72160</v>
      </c>
      <c r="H2614" s="1">
        <v>45477</v>
      </c>
      <c r="I2614">
        <v>15</v>
      </c>
      <c r="J2614">
        <v>3</v>
      </c>
      <c r="K2614">
        <v>7216</v>
      </c>
      <c r="L2614">
        <v>3608</v>
      </c>
      <c r="M2614">
        <v>75768</v>
      </c>
      <c r="N2614">
        <v>3608</v>
      </c>
      <c r="O2614">
        <v>82984</v>
      </c>
    </row>
    <row r="2615" spans="1:15" x14ac:dyDescent="0.35">
      <c r="A2615">
        <v>2614</v>
      </c>
      <c r="B2615" s="2" t="s">
        <v>22</v>
      </c>
      <c r="C2615" s="2" t="s">
        <v>15</v>
      </c>
      <c r="D2615">
        <v>60</v>
      </c>
      <c r="E2615" s="2" t="s">
        <v>16</v>
      </c>
      <c r="F2615" s="2" t="s">
        <v>25</v>
      </c>
      <c r="G2615">
        <v>53447</v>
      </c>
      <c r="H2615" s="1">
        <v>45278</v>
      </c>
      <c r="I2615">
        <v>13</v>
      </c>
      <c r="J2615">
        <v>3</v>
      </c>
      <c r="K2615">
        <v>5345</v>
      </c>
      <c r="L2615">
        <v>2672</v>
      </c>
      <c r="M2615">
        <v>56120</v>
      </c>
      <c r="N2615">
        <v>2672</v>
      </c>
      <c r="O2615">
        <v>61464</v>
      </c>
    </row>
    <row r="2616" spans="1:15" x14ac:dyDescent="0.35">
      <c r="A2616">
        <v>2615</v>
      </c>
      <c r="B2616" s="2" t="s">
        <v>27</v>
      </c>
      <c r="C2616" s="2" t="s">
        <v>11</v>
      </c>
      <c r="D2616">
        <v>50</v>
      </c>
      <c r="E2616" s="2" t="s">
        <v>24</v>
      </c>
      <c r="F2616" s="2" t="s">
        <v>21</v>
      </c>
      <c r="G2616">
        <v>25917</v>
      </c>
      <c r="H2616" s="1">
        <v>45432</v>
      </c>
      <c r="I2616">
        <v>3</v>
      </c>
      <c r="J2616">
        <v>5</v>
      </c>
      <c r="K2616">
        <v>2592</v>
      </c>
      <c r="L2616">
        <v>1296</v>
      </c>
      <c r="M2616">
        <v>27213</v>
      </c>
      <c r="N2616">
        <v>0</v>
      </c>
      <c r="O2616">
        <v>28509</v>
      </c>
    </row>
    <row r="2617" spans="1:15" x14ac:dyDescent="0.35">
      <c r="A2617">
        <v>2616</v>
      </c>
      <c r="B2617" s="2" t="s">
        <v>14</v>
      </c>
      <c r="C2617" s="2" t="s">
        <v>11</v>
      </c>
      <c r="D2617">
        <v>31</v>
      </c>
      <c r="E2617" s="2" t="s">
        <v>29</v>
      </c>
      <c r="F2617" s="2" t="s">
        <v>17</v>
      </c>
      <c r="G2617">
        <v>39805</v>
      </c>
      <c r="H2617" s="1">
        <v>44708</v>
      </c>
      <c r="I2617">
        <v>12</v>
      </c>
      <c r="J2617">
        <v>1</v>
      </c>
      <c r="K2617">
        <v>3980</v>
      </c>
      <c r="L2617">
        <v>1990</v>
      </c>
      <c r="M2617">
        <v>41795</v>
      </c>
      <c r="N2617">
        <v>1990</v>
      </c>
      <c r="O2617">
        <v>45775</v>
      </c>
    </row>
    <row r="2618" spans="1:15" x14ac:dyDescent="0.35">
      <c r="A2618">
        <v>2617</v>
      </c>
      <c r="B2618" s="2" t="s">
        <v>22</v>
      </c>
      <c r="C2618" s="2" t="s">
        <v>11</v>
      </c>
      <c r="D2618">
        <v>43</v>
      </c>
      <c r="E2618" s="2" t="s">
        <v>12</v>
      </c>
      <c r="F2618" s="2" t="s">
        <v>17</v>
      </c>
      <c r="G2618">
        <v>54852</v>
      </c>
      <c r="H2618" s="1">
        <v>45481</v>
      </c>
      <c r="I2618">
        <v>1</v>
      </c>
      <c r="J2618">
        <v>5</v>
      </c>
      <c r="K2618">
        <v>5485</v>
      </c>
      <c r="L2618">
        <v>2743</v>
      </c>
      <c r="M2618">
        <v>57594</v>
      </c>
      <c r="N2618">
        <v>0</v>
      </c>
      <c r="O2618">
        <v>60337</v>
      </c>
    </row>
    <row r="2619" spans="1:15" x14ac:dyDescent="0.35">
      <c r="A2619">
        <v>2618</v>
      </c>
      <c r="B2619" s="2" t="s">
        <v>14</v>
      </c>
      <c r="C2619" s="2" t="s">
        <v>11</v>
      </c>
      <c r="D2619">
        <v>27</v>
      </c>
      <c r="E2619" s="2" t="s">
        <v>16</v>
      </c>
      <c r="F2619" s="2" t="s">
        <v>17</v>
      </c>
      <c r="G2619">
        <v>70988</v>
      </c>
      <c r="H2619" s="1">
        <v>44793</v>
      </c>
      <c r="I2619">
        <v>18</v>
      </c>
      <c r="J2619">
        <v>2</v>
      </c>
      <c r="K2619">
        <v>7099</v>
      </c>
      <c r="L2619">
        <v>3549</v>
      </c>
      <c r="M2619">
        <v>74538</v>
      </c>
      <c r="N2619">
        <v>3549</v>
      </c>
      <c r="O2619">
        <v>81636</v>
      </c>
    </row>
    <row r="2620" spans="1:15" x14ac:dyDescent="0.35">
      <c r="A2620">
        <v>2619</v>
      </c>
      <c r="B2620" s="2" t="s">
        <v>31</v>
      </c>
      <c r="C2620" s="2" t="s">
        <v>15</v>
      </c>
      <c r="D2620">
        <v>35</v>
      </c>
      <c r="E2620" s="2" t="s">
        <v>12</v>
      </c>
      <c r="F2620" s="2" t="s">
        <v>13</v>
      </c>
      <c r="G2620">
        <v>64425</v>
      </c>
      <c r="H2620" s="1">
        <v>45438</v>
      </c>
      <c r="I2620">
        <v>6</v>
      </c>
      <c r="J2620">
        <v>4</v>
      </c>
      <c r="K2620">
        <v>6442</v>
      </c>
      <c r="L2620">
        <v>3221</v>
      </c>
      <c r="M2620">
        <v>67646</v>
      </c>
      <c r="N2620">
        <v>3221</v>
      </c>
      <c r="O2620">
        <v>74088</v>
      </c>
    </row>
    <row r="2621" spans="1:15" x14ac:dyDescent="0.35">
      <c r="A2621">
        <v>2620</v>
      </c>
      <c r="B2621" s="2" t="s">
        <v>26</v>
      </c>
      <c r="C2621" s="2" t="s">
        <v>15</v>
      </c>
      <c r="D2621">
        <v>45</v>
      </c>
      <c r="E2621" s="2" t="s">
        <v>16</v>
      </c>
      <c r="F2621" s="2" t="s">
        <v>13</v>
      </c>
      <c r="G2621">
        <v>75043</v>
      </c>
      <c r="H2621" s="1">
        <v>45535</v>
      </c>
      <c r="I2621">
        <v>12</v>
      </c>
      <c r="J2621">
        <v>3</v>
      </c>
      <c r="K2621">
        <v>7504</v>
      </c>
      <c r="L2621">
        <v>3752</v>
      </c>
      <c r="M2621">
        <v>78795</v>
      </c>
      <c r="N2621">
        <v>3752</v>
      </c>
      <c r="O2621">
        <v>86299</v>
      </c>
    </row>
    <row r="2622" spans="1:15" x14ac:dyDescent="0.35">
      <c r="A2622">
        <v>2621</v>
      </c>
      <c r="B2622" s="2" t="s">
        <v>30</v>
      </c>
      <c r="C2622" s="2" t="s">
        <v>15</v>
      </c>
      <c r="D2622">
        <v>46</v>
      </c>
      <c r="E2622" s="2" t="s">
        <v>28</v>
      </c>
      <c r="F2622" s="2" t="s">
        <v>25</v>
      </c>
      <c r="G2622">
        <v>89651</v>
      </c>
      <c r="H2622" s="1">
        <v>45472</v>
      </c>
      <c r="I2622">
        <v>3</v>
      </c>
      <c r="J2622">
        <v>4</v>
      </c>
      <c r="K2622">
        <v>8965</v>
      </c>
      <c r="L2622">
        <v>4483</v>
      </c>
      <c r="M2622">
        <v>94133</v>
      </c>
      <c r="N2622">
        <v>0</v>
      </c>
      <c r="O2622">
        <v>98616</v>
      </c>
    </row>
    <row r="2623" spans="1:15" x14ac:dyDescent="0.35">
      <c r="A2623">
        <v>2622</v>
      </c>
      <c r="B2623" s="2" t="s">
        <v>22</v>
      </c>
      <c r="C2623" s="2" t="s">
        <v>15</v>
      </c>
      <c r="D2623">
        <v>46</v>
      </c>
      <c r="E2623" s="2" t="s">
        <v>12</v>
      </c>
      <c r="F2623" s="2" t="s">
        <v>19</v>
      </c>
      <c r="G2623">
        <v>83743</v>
      </c>
      <c r="H2623" s="1">
        <v>45137</v>
      </c>
      <c r="I2623">
        <v>17</v>
      </c>
      <c r="J2623">
        <v>4</v>
      </c>
      <c r="K2623">
        <v>8374</v>
      </c>
      <c r="L2623">
        <v>4187</v>
      </c>
      <c r="M2623">
        <v>87930</v>
      </c>
      <c r="N2623">
        <v>4187</v>
      </c>
      <c r="O2623">
        <v>96304</v>
      </c>
    </row>
    <row r="2624" spans="1:15" x14ac:dyDescent="0.35">
      <c r="A2624">
        <v>2623</v>
      </c>
      <c r="B2624" s="2" t="s">
        <v>18</v>
      </c>
      <c r="C2624" s="2" t="s">
        <v>15</v>
      </c>
      <c r="D2624">
        <v>49</v>
      </c>
      <c r="E2624" s="2" t="s">
        <v>24</v>
      </c>
      <c r="F2624" s="2" t="s">
        <v>13</v>
      </c>
      <c r="G2624">
        <v>57300</v>
      </c>
      <c r="H2624" s="1">
        <v>44692</v>
      </c>
      <c r="I2624">
        <v>11</v>
      </c>
      <c r="J2624">
        <v>2</v>
      </c>
      <c r="K2624">
        <v>5730</v>
      </c>
      <c r="L2624">
        <v>2865</v>
      </c>
      <c r="M2624">
        <v>60165</v>
      </c>
      <c r="N2624">
        <v>2865</v>
      </c>
      <c r="O2624">
        <v>65895</v>
      </c>
    </row>
    <row r="2625" spans="1:15" x14ac:dyDescent="0.35">
      <c r="A2625">
        <v>2624</v>
      </c>
      <c r="B2625" s="2" t="s">
        <v>18</v>
      </c>
      <c r="C2625" s="2" t="s">
        <v>15</v>
      </c>
      <c r="D2625">
        <v>53</v>
      </c>
      <c r="E2625" s="2" t="s">
        <v>24</v>
      </c>
      <c r="F2625" s="2" t="s">
        <v>25</v>
      </c>
      <c r="G2625">
        <v>51669</v>
      </c>
      <c r="H2625" s="1">
        <v>45195</v>
      </c>
      <c r="I2625">
        <v>13</v>
      </c>
      <c r="J2625">
        <v>3</v>
      </c>
      <c r="K2625">
        <v>5167</v>
      </c>
      <c r="L2625">
        <v>2583</v>
      </c>
      <c r="M2625">
        <v>54253</v>
      </c>
      <c r="N2625">
        <v>2583</v>
      </c>
      <c r="O2625">
        <v>59419</v>
      </c>
    </row>
    <row r="2626" spans="1:15" x14ac:dyDescent="0.35">
      <c r="A2626">
        <v>2625</v>
      </c>
      <c r="B2626" s="2" t="s">
        <v>22</v>
      </c>
      <c r="C2626" s="2" t="s">
        <v>15</v>
      </c>
      <c r="D2626">
        <v>59</v>
      </c>
      <c r="E2626" s="2" t="s">
        <v>29</v>
      </c>
      <c r="F2626" s="2" t="s">
        <v>13</v>
      </c>
      <c r="G2626">
        <v>44943</v>
      </c>
      <c r="H2626" s="1">
        <v>44742</v>
      </c>
      <c r="I2626">
        <v>2</v>
      </c>
      <c r="J2626">
        <v>5</v>
      </c>
      <c r="K2626">
        <v>4494</v>
      </c>
      <c r="L2626">
        <v>2247</v>
      </c>
      <c r="M2626">
        <v>47190</v>
      </c>
      <c r="N2626">
        <v>0</v>
      </c>
      <c r="O2626">
        <v>49437</v>
      </c>
    </row>
    <row r="2627" spans="1:15" x14ac:dyDescent="0.35">
      <c r="A2627">
        <v>2626</v>
      </c>
      <c r="B2627" s="2" t="s">
        <v>20</v>
      </c>
      <c r="C2627" s="2" t="s">
        <v>11</v>
      </c>
      <c r="D2627">
        <v>59</v>
      </c>
      <c r="E2627" s="2" t="s">
        <v>29</v>
      </c>
      <c r="F2627" s="2" t="s">
        <v>13</v>
      </c>
      <c r="G2627">
        <v>36917</v>
      </c>
      <c r="H2627" s="1">
        <v>45539</v>
      </c>
      <c r="I2627">
        <v>8</v>
      </c>
      <c r="J2627">
        <v>2</v>
      </c>
      <c r="K2627">
        <v>3692</v>
      </c>
      <c r="L2627">
        <v>1846</v>
      </c>
      <c r="M2627">
        <v>38763</v>
      </c>
      <c r="N2627">
        <v>1846</v>
      </c>
      <c r="O2627">
        <v>42455</v>
      </c>
    </row>
    <row r="2628" spans="1:15" x14ac:dyDescent="0.35">
      <c r="A2628">
        <v>2627</v>
      </c>
      <c r="B2628" s="2" t="s">
        <v>22</v>
      </c>
      <c r="C2628" s="2" t="s">
        <v>11</v>
      </c>
      <c r="D2628">
        <v>39</v>
      </c>
      <c r="E2628" s="2" t="s">
        <v>29</v>
      </c>
      <c r="F2628" s="2" t="s">
        <v>17</v>
      </c>
      <c r="G2628">
        <v>26795</v>
      </c>
      <c r="H2628" s="1">
        <v>44908</v>
      </c>
      <c r="I2628">
        <v>9</v>
      </c>
      <c r="J2628">
        <v>4</v>
      </c>
      <c r="K2628">
        <v>2680</v>
      </c>
      <c r="L2628">
        <v>1340</v>
      </c>
      <c r="M2628">
        <v>28135</v>
      </c>
      <c r="N2628">
        <v>1340</v>
      </c>
      <c r="O2628">
        <v>30815</v>
      </c>
    </row>
    <row r="2629" spans="1:15" x14ac:dyDescent="0.35">
      <c r="A2629">
        <v>2628</v>
      </c>
      <c r="B2629" s="2" t="s">
        <v>30</v>
      </c>
      <c r="C2629" s="2" t="s">
        <v>11</v>
      </c>
      <c r="D2629">
        <v>23</v>
      </c>
      <c r="E2629" s="2" t="s">
        <v>12</v>
      </c>
      <c r="F2629" s="2" t="s">
        <v>19</v>
      </c>
      <c r="G2629">
        <v>24897</v>
      </c>
      <c r="H2629" s="1">
        <v>45393</v>
      </c>
      <c r="I2629">
        <v>13</v>
      </c>
      <c r="J2629">
        <v>2</v>
      </c>
      <c r="K2629">
        <v>2490</v>
      </c>
      <c r="L2629">
        <v>1245</v>
      </c>
      <c r="M2629">
        <v>26142</v>
      </c>
      <c r="N2629">
        <v>1245</v>
      </c>
      <c r="O2629">
        <v>28632</v>
      </c>
    </row>
    <row r="2630" spans="1:15" x14ac:dyDescent="0.35">
      <c r="A2630">
        <v>2629</v>
      </c>
      <c r="B2630" s="2" t="s">
        <v>30</v>
      </c>
      <c r="C2630" s="2" t="s">
        <v>11</v>
      </c>
      <c r="D2630">
        <v>59</v>
      </c>
      <c r="E2630" s="2" t="s">
        <v>28</v>
      </c>
      <c r="F2630" s="2" t="s">
        <v>21</v>
      </c>
      <c r="G2630">
        <v>43120</v>
      </c>
      <c r="H2630" s="1">
        <v>44603</v>
      </c>
      <c r="I2630">
        <v>16</v>
      </c>
      <c r="J2630">
        <v>5</v>
      </c>
      <c r="K2630">
        <v>4312</v>
      </c>
      <c r="L2630">
        <v>2156</v>
      </c>
      <c r="M2630">
        <v>45276</v>
      </c>
      <c r="N2630">
        <v>2156</v>
      </c>
      <c r="O2630">
        <v>49588</v>
      </c>
    </row>
    <row r="2631" spans="1:15" x14ac:dyDescent="0.35">
      <c r="A2631">
        <v>2630</v>
      </c>
      <c r="B2631" s="2" t="s">
        <v>31</v>
      </c>
      <c r="C2631" s="2" t="s">
        <v>11</v>
      </c>
      <c r="D2631">
        <v>41</v>
      </c>
      <c r="E2631" s="2" t="s">
        <v>28</v>
      </c>
      <c r="F2631" s="2" t="s">
        <v>13</v>
      </c>
      <c r="G2631">
        <v>29920</v>
      </c>
      <c r="H2631" s="1">
        <v>44912</v>
      </c>
      <c r="I2631">
        <v>14</v>
      </c>
      <c r="J2631">
        <v>1</v>
      </c>
      <c r="K2631">
        <v>2992</v>
      </c>
      <c r="L2631">
        <v>1496</v>
      </c>
      <c r="M2631">
        <v>31416</v>
      </c>
      <c r="N2631">
        <v>1496</v>
      </c>
      <c r="O2631">
        <v>34408</v>
      </c>
    </row>
    <row r="2632" spans="1:15" x14ac:dyDescent="0.35">
      <c r="A2632">
        <v>2631</v>
      </c>
      <c r="B2632" s="2" t="s">
        <v>31</v>
      </c>
      <c r="C2632" s="2" t="s">
        <v>15</v>
      </c>
      <c r="D2632">
        <v>22</v>
      </c>
      <c r="E2632" s="2" t="s">
        <v>29</v>
      </c>
      <c r="F2632" s="2" t="s">
        <v>17</v>
      </c>
      <c r="G2632">
        <v>73895</v>
      </c>
      <c r="H2632" s="1">
        <v>45271</v>
      </c>
      <c r="I2632">
        <v>13</v>
      </c>
      <c r="J2632">
        <v>5</v>
      </c>
      <c r="K2632">
        <v>7390</v>
      </c>
      <c r="L2632">
        <v>3695</v>
      </c>
      <c r="M2632">
        <v>77590</v>
      </c>
      <c r="N2632">
        <v>3695</v>
      </c>
      <c r="O2632">
        <v>84980</v>
      </c>
    </row>
    <row r="2633" spans="1:15" x14ac:dyDescent="0.35">
      <c r="A2633">
        <v>2632</v>
      </c>
      <c r="B2633" s="2" t="s">
        <v>20</v>
      </c>
      <c r="C2633" s="2" t="s">
        <v>11</v>
      </c>
      <c r="D2633">
        <v>43</v>
      </c>
      <c r="E2633" s="2" t="s">
        <v>12</v>
      </c>
      <c r="F2633" s="2" t="s">
        <v>17</v>
      </c>
      <c r="G2633">
        <v>86451</v>
      </c>
      <c r="H2633" s="1">
        <v>45295</v>
      </c>
      <c r="I2633">
        <v>6</v>
      </c>
      <c r="J2633">
        <v>1</v>
      </c>
      <c r="K2633">
        <v>8645</v>
      </c>
      <c r="L2633">
        <v>4323</v>
      </c>
      <c r="M2633">
        <v>90773</v>
      </c>
      <c r="N2633">
        <v>4323</v>
      </c>
      <c r="O2633">
        <v>99419</v>
      </c>
    </row>
    <row r="2634" spans="1:15" x14ac:dyDescent="0.35">
      <c r="A2634">
        <v>2633</v>
      </c>
      <c r="B2634" s="2" t="s">
        <v>30</v>
      </c>
      <c r="C2634" s="2" t="s">
        <v>11</v>
      </c>
      <c r="D2634">
        <v>26</v>
      </c>
      <c r="E2634" s="2" t="s">
        <v>16</v>
      </c>
      <c r="F2634" s="2" t="s">
        <v>17</v>
      </c>
      <c r="G2634">
        <v>77969</v>
      </c>
      <c r="H2634" s="1">
        <v>44673</v>
      </c>
      <c r="I2634">
        <v>10</v>
      </c>
      <c r="J2634">
        <v>4</v>
      </c>
      <c r="K2634">
        <v>7797</v>
      </c>
      <c r="L2634">
        <v>3898</v>
      </c>
      <c r="M2634">
        <v>81868</v>
      </c>
      <c r="N2634">
        <v>3898</v>
      </c>
      <c r="O2634">
        <v>89664</v>
      </c>
    </row>
    <row r="2635" spans="1:15" x14ac:dyDescent="0.35">
      <c r="A2635">
        <v>2634</v>
      </c>
      <c r="B2635" s="2" t="s">
        <v>18</v>
      </c>
      <c r="C2635" s="2" t="s">
        <v>11</v>
      </c>
      <c r="D2635">
        <v>46</v>
      </c>
      <c r="E2635" s="2" t="s">
        <v>12</v>
      </c>
      <c r="F2635" s="2" t="s">
        <v>25</v>
      </c>
      <c r="G2635">
        <v>68928</v>
      </c>
      <c r="H2635" s="1">
        <v>45159</v>
      </c>
      <c r="I2635">
        <v>4</v>
      </c>
      <c r="J2635">
        <v>5</v>
      </c>
      <c r="K2635">
        <v>6893</v>
      </c>
      <c r="L2635">
        <v>3446</v>
      </c>
      <c r="M2635">
        <v>72375</v>
      </c>
      <c r="N2635">
        <v>0</v>
      </c>
      <c r="O2635">
        <v>75821</v>
      </c>
    </row>
    <row r="2636" spans="1:15" x14ac:dyDescent="0.35">
      <c r="A2636">
        <v>2635</v>
      </c>
      <c r="B2636" s="2" t="s">
        <v>26</v>
      </c>
      <c r="C2636" s="2" t="s">
        <v>15</v>
      </c>
      <c r="D2636">
        <v>28</v>
      </c>
      <c r="E2636" s="2" t="s">
        <v>16</v>
      </c>
      <c r="F2636" s="2" t="s">
        <v>13</v>
      </c>
      <c r="G2636">
        <v>95204</v>
      </c>
      <c r="H2636" s="1">
        <v>44728</v>
      </c>
      <c r="I2636">
        <v>1</v>
      </c>
      <c r="J2636">
        <v>4</v>
      </c>
      <c r="K2636">
        <v>9520</v>
      </c>
      <c r="L2636">
        <v>4760</v>
      </c>
      <c r="M2636">
        <v>99964</v>
      </c>
      <c r="N2636">
        <v>0</v>
      </c>
      <c r="O2636">
        <v>104724</v>
      </c>
    </row>
    <row r="2637" spans="1:15" x14ac:dyDescent="0.35">
      <c r="A2637">
        <v>2636</v>
      </c>
      <c r="B2637" s="2" t="s">
        <v>14</v>
      </c>
      <c r="C2637" s="2" t="s">
        <v>11</v>
      </c>
      <c r="D2637">
        <v>37</v>
      </c>
      <c r="E2637" s="2" t="s">
        <v>12</v>
      </c>
      <c r="F2637" s="2" t="s">
        <v>25</v>
      </c>
      <c r="G2637">
        <v>86488</v>
      </c>
      <c r="H2637" s="1">
        <v>44721</v>
      </c>
      <c r="I2637">
        <v>1</v>
      </c>
      <c r="J2637">
        <v>4</v>
      </c>
      <c r="K2637">
        <v>8649</v>
      </c>
      <c r="L2637">
        <v>4324</v>
      </c>
      <c r="M2637">
        <v>90813</v>
      </c>
      <c r="N2637">
        <v>0</v>
      </c>
      <c r="O2637">
        <v>95137</v>
      </c>
    </row>
    <row r="2638" spans="1:15" x14ac:dyDescent="0.35">
      <c r="A2638">
        <v>2637</v>
      </c>
      <c r="B2638" s="2" t="s">
        <v>27</v>
      </c>
      <c r="C2638" s="2" t="s">
        <v>11</v>
      </c>
      <c r="D2638">
        <v>38</v>
      </c>
      <c r="E2638" s="2" t="s">
        <v>12</v>
      </c>
      <c r="F2638" s="2" t="s">
        <v>25</v>
      </c>
      <c r="G2638">
        <v>61276</v>
      </c>
      <c r="H2638" s="1">
        <v>44998</v>
      </c>
      <c r="I2638">
        <v>10</v>
      </c>
      <c r="J2638">
        <v>2</v>
      </c>
      <c r="K2638">
        <v>6128</v>
      </c>
      <c r="L2638">
        <v>3064</v>
      </c>
      <c r="M2638">
        <v>64340</v>
      </c>
      <c r="N2638">
        <v>3064</v>
      </c>
      <c r="O2638">
        <v>70468</v>
      </c>
    </row>
    <row r="2639" spans="1:15" x14ac:dyDescent="0.35">
      <c r="A2639">
        <v>2638</v>
      </c>
      <c r="B2639" s="2" t="s">
        <v>18</v>
      </c>
      <c r="C2639" s="2" t="s">
        <v>11</v>
      </c>
      <c r="D2639">
        <v>57</v>
      </c>
      <c r="E2639" s="2" t="s">
        <v>29</v>
      </c>
      <c r="F2639" s="2" t="s">
        <v>21</v>
      </c>
      <c r="G2639">
        <v>80706</v>
      </c>
      <c r="H2639" s="1">
        <v>45483</v>
      </c>
      <c r="I2639">
        <v>19</v>
      </c>
      <c r="J2639">
        <v>3</v>
      </c>
      <c r="K2639">
        <v>8071</v>
      </c>
      <c r="L2639">
        <v>4035</v>
      </c>
      <c r="M2639">
        <v>84742</v>
      </c>
      <c r="N2639">
        <v>4035</v>
      </c>
      <c r="O2639">
        <v>92812</v>
      </c>
    </row>
    <row r="2640" spans="1:15" x14ac:dyDescent="0.35">
      <c r="A2640">
        <v>2639</v>
      </c>
      <c r="B2640" s="2" t="s">
        <v>23</v>
      </c>
      <c r="C2640" s="2" t="s">
        <v>15</v>
      </c>
      <c r="D2640">
        <v>23</v>
      </c>
      <c r="E2640" s="2" t="s">
        <v>28</v>
      </c>
      <c r="F2640" s="2" t="s">
        <v>17</v>
      </c>
      <c r="G2640">
        <v>54006</v>
      </c>
      <c r="H2640" s="1">
        <v>45161</v>
      </c>
      <c r="I2640">
        <v>11</v>
      </c>
      <c r="J2640">
        <v>3</v>
      </c>
      <c r="K2640">
        <v>5401</v>
      </c>
      <c r="L2640">
        <v>2700</v>
      </c>
      <c r="M2640">
        <v>56707</v>
      </c>
      <c r="N2640">
        <v>2700</v>
      </c>
      <c r="O2640">
        <v>62107</v>
      </c>
    </row>
    <row r="2641" spans="1:15" x14ac:dyDescent="0.35">
      <c r="A2641">
        <v>2640</v>
      </c>
      <c r="B2641" s="2" t="s">
        <v>14</v>
      </c>
      <c r="C2641" s="2" t="s">
        <v>11</v>
      </c>
      <c r="D2641">
        <v>21</v>
      </c>
      <c r="E2641" s="2" t="s">
        <v>28</v>
      </c>
      <c r="F2641" s="2" t="s">
        <v>25</v>
      </c>
      <c r="G2641">
        <v>80792</v>
      </c>
      <c r="H2641" s="1">
        <v>44903</v>
      </c>
      <c r="I2641">
        <v>7</v>
      </c>
      <c r="J2641">
        <v>2</v>
      </c>
      <c r="K2641">
        <v>8079</v>
      </c>
      <c r="L2641">
        <v>4040</v>
      </c>
      <c r="M2641">
        <v>84831</v>
      </c>
      <c r="N2641">
        <v>4040</v>
      </c>
      <c r="O2641">
        <v>92911</v>
      </c>
    </row>
    <row r="2642" spans="1:15" x14ac:dyDescent="0.35">
      <c r="A2642">
        <v>2641</v>
      </c>
      <c r="B2642" s="2" t="s">
        <v>26</v>
      </c>
      <c r="C2642" s="2" t="s">
        <v>15</v>
      </c>
      <c r="D2642">
        <v>49</v>
      </c>
      <c r="E2642" s="2" t="s">
        <v>24</v>
      </c>
      <c r="F2642" s="2" t="s">
        <v>19</v>
      </c>
      <c r="G2642">
        <v>88295</v>
      </c>
      <c r="H2642" s="1">
        <v>44562</v>
      </c>
      <c r="I2642">
        <v>6</v>
      </c>
      <c r="J2642">
        <v>4</v>
      </c>
      <c r="K2642">
        <v>8830</v>
      </c>
      <c r="L2642">
        <v>4415</v>
      </c>
      <c r="M2642">
        <v>92710</v>
      </c>
      <c r="N2642">
        <v>4415</v>
      </c>
      <c r="O2642">
        <v>101540</v>
      </c>
    </row>
    <row r="2643" spans="1:15" x14ac:dyDescent="0.35">
      <c r="A2643">
        <v>2642</v>
      </c>
      <c r="B2643" s="2" t="s">
        <v>30</v>
      </c>
      <c r="C2643" s="2" t="s">
        <v>15</v>
      </c>
      <c r="D2643">
        <v>40</v>
      </c>
      <c r="E2643" s="2" t="s">
        <v>24</v>
      </c>
      <c r="F2643" s="2" t="s">
        <v>17</v>
      </c>
      <c r="G2643">
        <v>94863</v>
      </c>
      <c r="H2643" s="1">
        <v>45195</v>
      </c>
      <c r="I2643">
        <v>17</v>
      </c>
      <c r="J2643">
        <v>4</v>
      </c>
      <c r="K2643">
        <v>9486</v>
      </c>
      <c r="L2643">
        <v>4743</v>
      </c>
      <c r="M2643">
        <v>99606</v>
      </c>
      <c r="N2643">
        <v>4743</v>
      </c>
      <c r="O2643">
        <v>109092</v>
      </c>
    </row>
    <row r="2644" spans="1:15" x14ac:dyDescent="0.35">
      <c r="A2644">
        <v>2643</v>
      </c>
      <c r="B2644" s="2" t="s">
        <v>23</v>
      </c>
      <c r="C2644" s="2" t="s">
        <v>11</v>
      </c>
      <c r="D2644">
        <v>21</v>
      </c>
      <c r="E2644" s="2" t="s">
        <v>24</v>
      </c>
      <c r="F2644" s="2" t="s">
        <v>25</v>
      </c>
      <c r="G2644">
        <v>67443</v>
      </c>
      <c r="H2644" s="1">
        <v>45500</v>
      </c>
      <c r="I2644">
        <v>14</v>
      </c>
      <c r="J2644">
        <v>1</v>
      </c>
      <c r="K2644">
        <v>6744</v>
      </c>
      <c r="L2644">
        <v>3372</v>
      </c>
      <c r="M2644">
        <v>70815</v>
      </c>
      <c r="N2644">
        <v>3372</v>
      </c>
      <c r="O2644">
        <v>77559</v>
      </c>
    </row>
    <row r="2645" spans="1:15" x14ac:dyDescent="0.35">
      <c r="A2645">
        <v>2644</v>
      </c>
      <c r="B2645" s="2" t="s">
        <v>23</v>
      </c>
      <c r="C2645" s="2" t="s">
        <v>15</v>
      </c>
      <c r="D2645">
        <v>37</v>
      </c>
      <c r="E2645" s="2" t="s">
        <v>16</v>
      </c>
      <c r="F2645" s="2" t="s">
        <v>17</v>
      </c>
      <c r="G2645">
        <v>66860</v>
      </c>
      <c r="H2645" s="1">
        <v>44802</v>
      </c>
      <c r="I2645">
        <v>1</v>
      </c>
      <c r="J2645">
        <v>1</v>
      </c>
      <c r="K2645">
        <v>6686</v>
      </c>
      <c r="L2645">
        <v>3343</v>
      </c>
      <c r="M2645">
        <v>70203</v>
      </c>
      <c r="N2645">
        <v>0</v>
      </c>
      <c r="O2645">
        <v>73546</v>
      </c>
    </row>
    <row r="2646" spans="1:15" x14ac:dyDescent="0.35">
      <c r="A2646">
        <v>2645</v>
      </c>
      <c r="B2646" s="2" t="s">
        <v>10</v>
      </c>
      <c r="C2646" s="2" t="s">
        <v>15</v>
      </c>
      <c r="D2646">
        <v>52</v>
      </c>
      <c r="E2646" s="2" t="s">
        <v>16</v>
      </c>
      <c r="F2646" s="2" t="s">
        <v>25</v>
      </c>
      <c r="G2646">
        <v>73972</v>
      </c>
      <c r="H2646" s="1">
        <v>44664</v>
      </c>
      <c r="I2646">
        <v>18</v>
      </c>
      <c r="J2646">
        <v>3</v>
      </c>
      <c r="K2646">
        <v>7397</v>
      </c>
      <c r="L2646">
        <v>3699</v>
      </c>
      <c r="M2646">
        <v>77670</v>
      </c>
      <c r="N2646">
        <v>3699</v>
      </c>
      <c r="O2646">
        <v>85068</v>
      </c>
    </row>
    <row r="2647" spans="1:15" x14ac:dyDescent="0.35">
      <c r="A2647">
        <v>2646</v>
      </c>
      <c r="B2647" s="2" t="s">
        <v>23</v>
      </c>
      <c r="C2647" s="2" t="s">
        <v>11</v>
      </c>
      <c r="D2647">
        <v>32</v>
      </c>
      <c r="E2647" s="2" t="s">
        <v>16</v>
      </c>
      <c r="F2647" s="2" t="s">
        <v>19</v>
      </c>
      <c r="G2647">
        <v>73804</v>
      </c>
      <c r="H2647" s="1">
        <v>45205</v>
      </c>
      <c r="I2647">
        <v>2</v>
      </c>
      <c r="J2647">
        <v>4</v>
      </c>
      <c r="K2647">
        <v>7380</v>
      </c>
      <c r="L2647">
        <v>3690</v>
      </c>
      <c r="M2647">
        <v>77494</v>
      </c>
      <c r="N2647">
        <v>0</v>
      </c>
      <c r="O2647">
        <v>81184</v>
      </c>
    </row>
    <row r="2648" spans="1:15" x14ac:dyDescent="0.35">
      <c r="A2648">
        <v>2647</v>
      </c>
      <c r="B2648" s="2" t="s">
        <v>10</v>
      </c>
      <c r="C2648" s="2" t="s">
        <v>11</v>
      </c>
      <c r="D2648">
        <v>42</v>
      </c>
      <c r="E2648" s="2" t="s">
        <v>29</v>
      </c>
      <c r="F2648" s="2" t="s">
        <v>13</v>
      </c>
      <c r="G2648">
        <v>39885</v>
      </c>
      <c r="H2648" s="1">
        <v>45380</v>
      </c>
      <c r="I2648">
        <v>8</v>
      </c>
      <c r="J2648">
        <v>1</v>
      </c>
      <c r="K2648">
        <v>3988</v>
      </c>
      <c r="L2648">
        <v>1994</v>
      </c>
      <c r="M2648">
        <v>41879</v>
      </c>
      <c r="N2648">
        <v>1994</v>
      </c>
      <c r="O2648">
        <v>45867</v>
      </c>
    </row>
    <row r="2649" spans="1:15" x14ac:dyDescent="0.35">
      <c r="A2649">
        <v>2648</v>
      </c>
      <c r="B2649" s="2" t="s">
        <v>23</v>
      </c>
      <c r="C2649" s="2" t="s">
        <v>11</v>
      </c>
      <c r="D2649">
        <v>60</v>
      </c>
      <c r="E2649" s="2" t="s">
        <v>16</v>
      </c>
      <c r="F2649" s="2" t="s">
        <v>21</v>
      </c>
      <c r="G2649">
        <v>80253</v>
      </c>
      <c r="H2649" s="1">
        <v>45254</v>
      </c>
      <c r="I2649">
        <v>15</v>
      </c>
      <c r="J2649">
        <v>2</v>
      </c>
      <c r="K2649">
        <v>8025</v>
      </c>
      <c r="L2649">
        <v>4013</v>
      </c>
      <c r="M2649">
        <v>84265</v>
      </c>
      <c r="N2649">
        <v>4013</v>
      </c>
      <c r="O2649">
        <v>92291</v>
      </c>
    </row>
    <row r="2650" spans="1:15" x14ac:dyDescent="0.35">
      <c r="A2650">
        <v>2649</v>
      </c>
      <c r="B2650" s="2" t="s">
        <v>31</v>
      </c>
      <c r="C2650" s="2" t="s">
        <v>15</v>
      </c>
      <c r="D2650">
        <v>52</v>
      </c>
      <c r="E2650" s="2" t="s">
        <v>28</v>
      </c>
      <c r="F2650" s="2" t="s">
        <v>25</v>
      </c>
      <c r="G2650">
        <v>25241</v>
      </c>
      <c r="H2650" s="1">
        <v>44790</v>
      </c>
      <c r="I2650">
        <v>17</v>
      </c>
      <c r="J2650">
        <v>1</v>
      </c>
      <c r="K2650">
        <v>2524</v>
      </c>
      <c r="L2650">
        <v>1262</v>
      </c>
      <c r="M2650">
        <v>26503</v>
      </c>
      <c r="N2650">
        <v>1262</v>
      </c>
      <c r="O2650">
        <v>29027</v>
      </c>
    </row>
    <row r="2651" spans="1:15" x14ac:dyDescent="0.35">
      <c r="A2651">
        <v>2650</v>
      </c>
      <c r="B2651" s="2" t="s">
        <v>23</v>
      </c>
      <c r="C2651" s="2" t="s">
        <v>11</v>
      </c>
      <c r="D2651">
        <v>59</v>
      </c>
      <c r="E2651" s="2" t="s">
        <v>24</v>
      </c>
      <c r="F2651" s="2" t="s">
        <v>21</v>
      </c>
      <c r="G2651">
        <v>91551</v>
      </c>
      <c r="H2651" s="1">
        <v>45199</v>
      </c>
      <c r="I2651">
        <v>17</v>
      </c>
      <c r="J2651">
        <v>2</v>
      </c>
      <c r="K2651">
        <v>9155</v>
      </c>
      <c r="L2651">
        <v>4578</v>
      </c>
      <c r="M2651">
        <v>96128</v>
      </c>
      <c r="N2651">
        <v>4578</v>
      </c>
      <c r="O2651">
        <v>105284</v>
      </c>
    </row>
    <row r="2652" spans="1:15" x14ac:dyDescent="0.35">
      <c r="A2652">
        <v>2651</v>
      </c>
      <c r="B2652" s="2" t="s">
        <v>14</v>
      </c>
      <c r="C2652" s="2" t="s">
        <v>15</v>
      </c>
      <c r="D2652">
        <v>31</v>
      </c>
      <c r="E2652" s="2" t="s">
        <v>24</v>
      </c>
      <c r="F2652" s="2" t="s">
        <v>21</v>
      </c>
      <c r="G2652">
        <v>90511</v>
      </c>
      <c r="H2652" s="1">
        <v>44962</v>
      </c>
      <c r="I2652">
        <v>16</v>
      </c>
      <c r="J2652">
        <v>3</v>
      </c>
      <c r="K2652">
        <v>9051</v>
      </c>
      <c r="L2652">
        <v>4526</v>
      </c>
      <c r="M2652">
        <v>95036</v>
      </c>
      <c r="N2652">
        <v>4526</v>
      </c>
      <c r="O2652">
        <v>104088</v>
      </c>
    </row>
    <row r="2653" spans="1:15" x14ac:dyDescent="0.35">
      <c r="A2653">
        <v>2652</v>
      </c>
      <c r="B2653" s="2" t="s">
        <v>18</v>
      </c>
      <c r="C2653" s="2" t="s">
        <v>11</v>
      </c>
      <c r="D2653">
        <v>49</v>
      </c>
      <c r="E2653" s="2" t="s">
        <v>16</v>
      </c>
      <c r="F2653" s="2" t="s">
        <v>25</v>
      </c>
      <c r="G2653">
        <v>24817</v>
      </c>
      <c r="H2653" s="1">
        <v>44706</v>
      </c>
      <c r="I2653">
        <v>5</v>
      </c>
      <c r="J2653">
        <v>1</v>
      </c>
      <c r="K2653">
        <v>2482</v>
      </c>
      <c r="L2653">
        <v>1241</v>
      </c>
      <c r="M2653">
        <v>26058</v>
      </c>
      <c r="N2653">
        <v>0</v>
      </c>
      <c r="O2653">
        <v>27299</v>
      </c>
    </row>
    <row r="2654" spans="1:15" x14ac:dyDescent="0.35">
      <c r="A2654">
        <v>2653</v>
      </c>
      <c r="B2654" s="2" t="s">
        <v>18</v>
      </c>
      <c r="C2654" s="2" t="s">
        <v>11</v>
      </c>
      <c r="D2654">
        <v>33</v>
      </c>
      <c r="E2654" s="2" t="s">
        <v>16</v>
      </c>
      <c r="F2654" s="2" t="s">
        <v>19</v>
      </c>
      <c r="G2654">
        <v>82639</v>
      </c>
      <c r="H2654" s="1">
        <v>44650</v>
      </c>
      <c r="I2654">
        <v>14</v>
      </c>
      <c r="J2654">
        <v>4</v>
      </c>
      <c r="K2654">
        <v>8264</v>
      </c>
      <c r="L2654">
        <v>4132</v>
      </c>
      <c r="M2654">
        <v>86771</v>
      </c>
      <c r="N2654">
        <v>4132</v>
      </c>
      <c r="O2654">
        <v>95035</v>
      </c>
    </row>
    <row r="2655" spans="1:15" x14ac:dyDescent="0.35">
      <c r="A2655">
        <v>2654</v>
      </c>
      <c r="B2655" s="2" t="s">
        <v>14</v>
      </c>
      <c r="C2655" s="2" t="s">
        <v>15</v>
      </c>
      <c r="D2655">
        <v>35</v>
      </c>
      <c r="E2655" s="2" t="s">
        <v>12</v>
      </c>
      <c r="F2655" s="2" t="s">
        <v>21</v>
      </c>
      <c r="G2655">
        <v>36021</v>
      </c>
      <c r="H2655" s="1">
        <v>45034</v>
      </c>
      <c r="I2655">
        <v>5</v>
      </c>
      <c r="J2655">
        <v>4</v>
      </c>
      <c r="K2655">
        <v>3602</v>
      </c>
      <c r="L2655">
        <v>1801</v>
      </c>
      <c r="M2655">
        <v>37822</v>
      </c>
      <c r="N2655">
        <v>0</v>
      </c>
      <c r="O2655">
        <v>39623</v>
      </c>
    </row>
    <row r="2656" spans="1:15" x14ac:dyDescent="0.35">
      <c r="A2656">
        <v>2655</v>
      </c>
      <c r="B2656" s="2" t="s">
        <v>20</v>
      </c>
      <c r="C2656" s="2" t="s">
        <v>15</v>
      </c>
      <c r="D2656">
        <v>39</v>
      </c>
      <c r="E2656" s="2" t="s">
        <v>12</v>
      </c>
      <c r="F2656" s="2" t="s">
        <v>19</v>
      </c>
      <c r="G2656">
        <v>49438</v>
      </c>
      <c r="H2656" s="1">
        <v>45419</v>
      </c>
      <c r="I2656">
        <v>1</v>
      </c>
      <c r="J2656">
        <v>5</v>
      </c>
      <c r="K2656">
        <v>4944</v>
      </c>
      <c r="L2656">
        <v>2472</v>
      </c>
      <c r="M2656">
        <v>51910</v>
      </c>
      <c r="N2656">
        <v>0</v>
      </c>
      <c r="O2656">
        <v>54382</v>
      </c>
    </row>
    <row r="2657" spans="1:15" x14ac:dyDescent="0.35">
      <c r="A2657">
        <v>2656</v>
      </c>
      <c r="B2657" s="2" t="s">
        <v>14</v>
      </c>
      <c r="C2657" s="2" t="s">
        <v>11</v>
      </c>
      <c r="D2657">
        <v>36</v>
      </c>
      <c r="E2657" s="2" t="s">
        <v>16</v>
      </c>
      <c r="F2657" s="2" t="s">
        <v>17</v>
      </c>
      <c r="G2657">
        <v>59246</v>
      </c>
      <c r="H2657" s="1">
        <v>45524</v>
      </c>
      <c r="I2657">
        <v>7</v>
      </c>
      <c r="J2657">
        <v>5</v>
      </c>
      <c r="K2657">
        <v>5925</v>
      </c>
      <c r="L2657">
        <v>2962</v>
      </c>
      <c r="M2657">
        <v>62209</v>
      </c>
      <c r="N2657">
        <v>2962</v>
      </c>
      <c r="O2657">
        <v>68133</v>
      </c>
    </row>
    <row r="2658" spans="1:15" x14ac:dyDescent="0.35">
      <c r="A2658">
        <v>2657</v>
      </c>
      <c r="B2658" s="2" t="s">
        <v>26</v>
      </c>
      <c r="C2658" s="2" t="s">
        <v>15</v>
      </c>
      <c r="D2658">
        <v>27</v>
      </c>
      <c r="E2658" s="2" t="s">
        <v>12</v>
      </c>
      <c r="F2658" s="2" t="s">
        <v>19</v>
      </c>
      <c r="G2658">
        <v>25941</v>
      </c>
      <c r="H2658" s="1">
        <v>45298</v>
      </c>
      <c r="I2658">
        <v>2</v>
      </c>
      <c r="J2658">
        <v>5</v>
      </c>
      <c r="K2658">
        <v>2594</v>
      </c>
      <c r="L2658">
        <v>1297</v>
      </c>
      <c r="M2658">
        <v>27238</v>
      </c>
      <c r="N2658">
        <v>0</v>
      </c>
      <c r="O2658">
        <v>28535</v>
      </c>
    </row>
    <row r="2659" spans="1:15" x14ac:dyDescent="0.35">
      <c r="A2659">
        <v>2658</v>
      </c>
      <c r="B2659" s="2" t="s">
        <v>23</v>
      </c>
      <c r="C2659" s="2" t="s">
        <v>11</v>
      </c>
      <c r="D2659">
        <v>23</v>
      </c>
      <c r="E2659" s="2" t="s">
        <v>28</v>
      </c>
      <c r="F2659" s="2" t="s">
        <v>19</v>
      </c>
      <c r="G2659">
        <v>90432</v>
      </c>
      <c r="H2659" s="1">
        <v>45289</v>
      </c>
      <c r="I2659">
        <v>8</v>
      </c>
      <c r="J2659">
        <v>4</v>
      </c>
      <c r="K2659">
        <v>9043</v>
      </c>
      <c r="L2659">
        <v>4522</v>
      </c>
      <c r="M2659">
        <v>94953</v>
      </c>
      <c r="N2659">
        <v>4522</v>
      </c>
      <c r="O2659">
        <v>103997</v>
      </c>
    </row>
    <row r="2660" spans="1:15" x14ac:dyDescent="0.35">
      <c r="A2660">
        <v>2659</v>
      </c>
      <c r="B2660" s="2" t="s">
        <v>30</v>
      </c>
      <c r="C2660" s="2" t="s">
        <v>15</v>
      </c>
      <c r="D2660">
        <v>23</v>
      </c>
      <c r="E2660" s="2" t="s">
        <v>28</v>
      </c>
      <c r="F2660" s="2" t="s">
        <v>21</v>
      </c>
      <c r="G2660">
        <v>35427</v>
      </c>
      <c r="H2660" s="1">
        <v>44631</v>
      </c>
      <c r="I2660">
        <v>17</v>
      </c>
      <c r="J2660">
        <v>2</v>
      </c>
      <c r="K2660">
        <v>3543</v>
      </c>
      <c r="L2660">
        <v>1771</v>
      </c>
      <c r="M2660">
        <v>37199</v>
      </c>
      <c r="N2660">
        <v>1771</v>
      </c>
      <c r="O2660">
        <v>40741</v>
      </c>
    </row>
    <row r="2661" spans="1:15" x14ac:dyDescent="0.35">
      <c r="A2661">
        <v>2660</v>
      </c>
      <c r="B2661" s="2" t="s">
        <v>10</v>
      </c>
      <c r="C2661" s="2" t="s">
        <v>11</v>
      </c>
      <c r="D2661">
        <v>26</v>
      </c>
      <c r="E2661" s="2" t="s">
        <v>29</v>
      </c>
      <c r="F2661" s="2" t="s">
        <v>17</v>
      </c>
      <c r="G2661">
        <v>90461</v>
      </c>
      <c r="H2661" s="1">
        <v>44792</v>
      </c>
      <c r="I2661">
        <v>20</v>
      </c>
      <c r="J2661">
        <v>5</v>
      </c>
      <c r="K2661">
        <v>9046</v>
      </c>
      <c r="L2661">
        <v>4523</v>
      </c>
      <c r="M2661">
        <v>94984</v>
      </c>
      <c r="N2661">
        <v>4523</v>
      </c>
      <c r="O2661">
        <v>104030</v>
      </c>
    </row>
    <row r="2662" spans="1:15" x14ac:dyDescent="0.35">
      <c r="A2662">
        <v>2661</v>
      </c>
      <c r="B2662" s="2" t="s">
        <v>22</v>
      </c>
      <c r="C2662" s="2" t="s">
        <v>11</v>
      </c>
      <c r="D2662">
        <v>47</v>
      </c>
      <c r="E2662" s="2" t="s">
        <v>28</v>
      </c>
      <c r="F2662" s="2" t="s">
        <v>25</v>
      </c>
      <c r="G2662">
        <v>34657</v>
      </c>
      <c r="H2662" s="1">
        <v>44849</v>
      </c>
      <c r="I2662">
        <v>14</v>
      </c>
      <c r="J2662">
        <v>4</v>
      </c>
      <c r="K2662">
        <v>3466</v>
      </c>
      <c r="L2662">
        <v>1733</v>
      </c>
      <c r="M2662">
        <v>36390</v>
      </c>
      <c r="N2662">
        <v>1733</v>
      </c>
      <c r="O2662">
        <v>39856</v>
      </c>
    </row>
    <row r="2663" spans="1:15" x14ac:dyDescent="0.35">
      <c r="A2663">
        <v>2662</v>
      </c>
      <c r="B2663" s="2" t="s">
        <v>27</v>
      </c>
      <c r="C2663" s="2" t="s">
        <v>11</v>
      </c>
      <c r="D2663">
        <v>33</v>
      </c>
      <c r="E2663" s="2" t="s">
        <v>29</v>
      </c>
      <c r="F2663" s="2" t="s">
        <v>13</v>
      </c>
      <c r="G2663">
        <v>38350</v>
      </c>
      <c r="H2663" s="1">
        <v>45544</v>
      </c>
      <c r="I2663">
        <v>14</v>
      </c>
      <c r="J2663">
        <v>2</v>
      </c>
      <c r="K2663">
        <v>3835</v>
      </c>
      <c r="L2663">
        <v>1918</v>
      </c>
      <c r="M2663">
        <v>40267</v>
      </c>
      <c r="N2663">
        <v>1918</v>
      </c>
      <c r="O2663">
        <v>44103</v>
      </c>
    </row>
    <row r="2664" spans="1:15" x14ac:dyDescent="0.35">
      <c r="A2664">
        <v>2663</v>
      </c>
      <c r="B2664" s="2" t="s">
        <v>31</v>
      </c>
      <c r="C2664" s="2" t="s">
        <v>11</v>
      </c>
      <c r="D2664">
        <v>43</v>
      </c>
      <c r="E2664" s="2" t="s">
        <v>12</v>
      </c>
      <c r="F2664" s="2" t="s">
        <v>17</v>
      </c>
      <c r="G2664">
        <v>95738</v>
      </c>
      <c r="H2664" s="1">
        <v>44890</v>
      </c>
      <c r="I2664">
        <v>9</v>
      </c>
      <c r="J2664">
        <v>4</v>
      </c>
      <c r="K2664">
        <v>9574</v>
      </c>
      <c r="L2664">
        <v>4787</v>
      </c>
      <c r="M2664">
        <v>100525</v>
      </c>
      <c r="N2664">
        <v>4787</v>
      </c>
      <c r="O2664">
        <v>110099</v>
      </c>
    </row>
    <row r="2665" spans="1:15" x14ac:dyDescent="0.35">
      <c r="A2665">
        <v>2664</v>
      </c>
      <c r="B2665" s="2" t="s">
        <v>30</v>
      </c>
      <c r="C2665" s="2" t="s">
        <v>11</v>
      </c>
      <c r="D2665">
        <v>55</v>
      </c>
      <c r="E2665" s="2" t="s">
        <v>24</v>
      </c>
      <c r="F2665" s="2" t="s">
        <v>13</v>
      </c>
      <c r="G2665">
        <v>39481</v>
      </c>
      <c r="H2665" s="1">
        <v>44781</v>
      </c>
      <c r="I2665">
        <v>14</v>
      </c>
      <c r="J2665">
        <v>1</v>
      </c>
      <c r="K2665">
        <v>3948</v>
      </c>
      <c r="L2665">
        <v>1974</v>
      </c>
      <c r="M2665">
        <v>41455</v>
      </c>
      <c r="N2665">
        <v>1974</v>
      </c>
      <c r="O2665">
        <v>45403</v>
      </c>
    </row>
    <row r="2666" spans="1:15" x14ac:dyDescent="0.35">
      <c r="A2666">
        <v>2665</v>
      </c>
      <c r="B2666" s="2" t="s">
        <v>20</v>
      </c>
      <c r="C2666" s="2" t="s">
        <v>15</v>
      </c>
      <c r="D2666">
        <v>24</v>
      </c>
      <c r="E2666" s="2" t="s">
        <v>12</v>
      </c>
      <c r="F2666" s="2" t="s">
        <v>17</v>
      </c>
      <c r="G2666">
        <v>61438</v>
      </c>
      <c r="H2666" s="1">
        <v>44985</v>
      </c>
      <c r="I2666">
        <v>19</v>
      </c>
      <c r="J2666">
        <v>3</v>
      </c>
      <c r="K2666">
        <v>6144</v>
      </c>
      <c r="L2666">
        <v>3072</v>
      </c>
      <c r="M2666">
        <v>64510</v>
      </c>
      <c r="N2666">
        <v>3072</v>
      </c>
      <c r="O2666">
        <v>70654</v>
      </c>
    </row>
    <row r="2667" spans="1:15" x14ac:dyDescent="0.35">
      <c r="A2667">
        <v>2666</v>
      </c>
      <c r="B2667" s="2" t="s">
        <v>31</v>
      </c>
      <c r="C2667" s="2" t="s">
        <v>11</v>
      </c>
      <c r="D2667">
        <v>26</v>
      </c>
      <c r="E2667" s="2" t="s">
        <v>28</v>
      </c>
      <c r="F2667" s="2" t="s">
        <v>21</v>
      </c>
      <c r="G2667">
        <v>29908</v>
      </c>
      <c r="H2667" s="1">
        <v>44952</v>
      </c>
      <c r="I2667">
        <v>20</v>
      </c>
      <c r="J2667">
        <v>1</v>
      </c>
      <c r="K2667">
        <v>2991</v>
      </c>
      <c r="L2667">
        <v>1495</v>
      </c>
      <c r="M2667">
        <v>31404</v>
      </c>
      <c r="N2667">
        <v>1495</v>
      </c>
      <c r="O2667">
        <v>34394</v>
      </c>
    </row>
    <row r="2668" spans="1:15" x14ac:dyDescent="0.35">
      <c r="A2668">
        <v>2667</v>
      </c>
      <c r="B2668" s="2" t="s">
        <v>31</v>
      </c>
      <c r="C2668" s="2" t="s">
        <v>15</v>
      </c>
      <c r="D2668">
        <v>29</v>
      </c>
      <c r="E2668" s="2" t="s">
        <v>28</v>
      </c>
      <c r="F2668" s="2" t="s">
        <v>13</v>
      </c>
      <c r="G2668">
        <v>27053</v>
      </c>
      <c r="H2668" s="1">
        <v>45116</v>
      </c>
      <c r="I2668">
        <v>5</v>
      </c>
      <c r="J2668">
        <v>5</v>
      </c>
      <c r="K2668">
        <v>2705</v>
      </c>
      <c r="L2668">
        <v>1353</v>
      </c>
      <c r="M2668">
        <v>28405</v>
      </c>
      <c r="N2668">
        <v>0</v>
      </c>
      <c r="O2668">
        <v>29758</v>
      </c>
    </row>
    <row r="2669" spans="1:15" x14ac:dyDescent="0.35">
      <c r="A2669">
        <v>2668</v>
      </c>
      <c r="B2669" s="2" t="s">
        <v>31</v>
      </c>
      <c r="C2669" s="2" t="s">
        <v>15</v>
      </c>
      <c r="D2669">
        <v>37</v>
      </c>
      <c r="E2669" s="2" t="s">
        <v>16</v>
      </c>
      <c r="F2669" s="2" t="s">
        <v>13</v>
      </c>
      <c r="G2669">
        <v>48490</v>
      </c>
      <c r="H2669" s="1">
        <v>45124</v>
      </c>
      <c r="I2669">
        <v>11</v>
      </c>
      <c r="J2669">
        <v>2</v>
      </c>
      <c r="K2669">
        <v>4849</v>
      </c>
      <c r="L2669">
        <v>2424</v>
      </c>
      <c r="M2669">
        <v>50915</v>
      </c>
      <c r="N2669">
        <v>2424</v>
      </c>
      <c r="O2669">
        <v>55763</v>
      </c>
    </row>
    <row r="2670" spans="1:15" x14ac:dyDescent="0.35">
      <c r="A2670">
        <v>2669</v>
      </c>
      <c r="B2670" s="2" t="s">
        <v>20</v>
      </c>
      <c r="C2670" s="2" t="s">
        <v>11</v>
      </c>
      <c r="D2670">
        <v>48</v>
      </c>
      <c r="E2670" s="2" t="s">
        <v>29</v>
      </c>
      <c r="F2670" s="2" t="s">
        <v>19</v>
      </c>
      <c r="G2670">
        <v>58856</v>
      </c>
      <c r="H2670" s="1">
        <v>45320</v>
      </c>
      <c r="I2670">
        <v>4</v>
      </c>
      <c r="J2670">
        <v>3</v>
      </c>
      <c r="K2670">
        <v>5886</v>
      </c>
      <c r="L2670">
        <v>2943</v>
      </c>
      <c r="M2670">
        <v>61799</v>
      </c>
      <c r="N2670">
        <v>0</v>
      </c>
      <c r="O2670">
        <v>64742</v>
      </c>
    </row>
    <row r="2671" spans="1:15" x14ac:dyDescent="0.35">
      <c r="A2671">
        <v>2670</v>
      </c>
      <c r="B2671" s="2" t="s">
        <v>23</v>
      </c>
      <c r="C2671" s="2" t="s">
        <v>15</v>
      </c>
      <c r="D2671">
        <v>39</v>
      </c>
      <c r="E2671" s="2" t="s">
        <v>28</v>
      </c>
      <c r="F2671" s="2" t="s">
        <v>25</v>
      </c>
      <c r="G2671">
        <v>97941</v>
      </c>
      <c r="H2671" s="1">
        <v>45256</v>
      </c>
      <c r="I2671">
        <v>19</v>
      </c>
      <c r="J2671">
        <v>5</v>
      </c>
      <c r="K2671">
        <v>9794</v>
      </c>
      <c r="L2671">
        <v>4897</v>
      </c>
      <c r="M2671">
        <v>102838</v>
      </c>
      <c r="N2671">
        <v>4897</v>
      </c>
      <c r="O2671">
        <v>112632</v>
      </c>
    </row>
    <row r="2672" spans="1:15" x14ac:dyDescent="0.35">
      <c r="A2672">
        <v>2671</v>
      </c>
      <c r="B2672" s="2" t="s">
        <v>30</v>
      </c>
      <c r="C2672" s="2" t="s">
        <v>15</v>
      </c>
      <c r="D2672">
        <v>30</v>
      </c>
      <c r="E2672" s="2" t="s">
        <v>24</v>
      </c>
      <c r="F2672" s="2" t="s">
        <v>25</v>
      </c>
      <c r="G2672">
        <v>27074</v>
      </c>
      <c r="H2672" s="1">
        <v>44891</v>
      </c>
      <c r="I2672">
        <v>16</v>
      </c>
      <c r="J2672">
        <v>3</v>
      </c>
      <c r="K2672">
        <v>2707</v>
      </c>
      <c r="L2672">
        <v>1354</v>
      </c>
      <c r="M2672">
        <v>28427</v>
      </c>
      <c r="N2672">
        <v>1354</v>
      </c>
      <c r="O2672">
        <v>31135</v>
      </c>
    </row>
    <row r="2673" spans="1:15" x14ac:dyDescent="0.35">
      <c r="A2673">
        <v>2672</v>
      </c>
      <c r="B2673" s="2" t="s">
        <v>20</v>
      </c>
      <c r="C2673" s="2" t="s">
        <v>11</v>
      </c>
      <c r="D2673">
        <v>46</v>
      </c>
      <c r="E2673" s="2" t="s">
        <v>12</v>
      </c>
      <c r="F2673" s="2" t="s">
        <v>19</v>
      </c>
      <c r="G2673">
        <v>46844</v>
      </c>
      <c r="H2673" s="1">
        <v>44981</v>
      </c>
      <c r="I2673">
        <v>2</v>
      </c>
      <c r="J2673">
        <v>5</v>
      </c>
      <c r="K2673">
        <v>4684</v>
      </c>
      <c r="L2673">
        <v>2342</v>
      </c>
      <c r="M2673">
        <v>49186</v>
      </c>
      <c r="N2673">
        <v>0</v>
      </c>
      <c r="O2673">
        <v>51528</v>
      </c>
    </row>
    <row r="2674" spans="1:15" x14ac:dyDescent="0.35">
      <c r="A2674">
        <v>2673</v>
      </c>
      <c r="B2674" s="2" t="s">
        <v>26</v>
      </c>
      <c r="C2674" s="2" t="s">
        <v>15</v>
      </c>
      <c r="D2674">
        <v>55</v>
      </c>
      <c r="E2674" s="2" t="s">
        <v>24</v>
      </c>
      <c r="F2674" s="2" t="s">
        <v>13</v>
      </c>
      <c r="G2674">
        <v>78412</v>
      </c>
      <c r="H2674" s="1">
        <v>45220</v>
      </c>
      <c r="I2674">
        <v>10</v>
      </c>
      <c r="J2674">
        <v>1</v>
      </c>
      <c r="K2674">
        <v>7841</v>
      </c>
      <c r="L2674">
        <v>3921</v>
      </c>
      <c r="M2674">
        <v>82332</v>
      </c>
      <c r="N2674">
        <v>3921</v>
      </c>
      <c r="O2674">
        <v>90174</v>
      </c>
    </row>
    <row r="2675" spans="1:15" x14ac:dyDescent="0.35">
      <c r="A2675">
        <v>2674</v>
      </c>
      <c r="B2675" s="2" t="s">
        <v>30</v>
      </c>
      <c r="C2675" s="2" t="s">
        <v>15</v>
      </c>
      <c r="D2675">
        <v>38</v>
      </c>
      <c r="E2675" s="2" t="s">
        <v>12</v>
      </c>
      <c r="F2675" s="2" t="s">
        <v>21</v>
      </c>
      <c r="G2675">
        <v>27449</v>
      </c>
      <c r="H2675" s="1">
        <v>44706</v>
      </c>
      <c r="I2675">
        <v>13</v>
      </c>
      <c r="J2675">
        <v>5</v>
      </c>
      <c r="K2675">
        <v>2745</v>
      </c>
      <c r="L2675">
        <v>1372</v>
      </c>
      <c r="M2675">
        <v>28822</v>
      </c>
      <c r="N2675">
        <v>1372</v>
      </c>
      <c r="O2675">
        <v>31566</v>
      </c>
    </row>
    <row r="2676" spans="1:15" x14ac:dyDescent="0.35">
      <c r="A2676">
        <v>2675</v>
      </c>
      <c r="B2676" s="2" t="s">
        <v>31</v>
      </c>
      <c r="C2676" s="2" t="s">
        <v>15</v>
      </c>
      <c r="D2676">
        <v>39</v>
      </c>
      <c r="E2676" s="2" t="s">
        <v>28</v>
      </c>
      <c r="F2676" s="2" t="s">
        <v>17</v>
      </c>
      <c r="G2676">
        <v>26020</v>
      </c>
      <c r="H2676" s="1">
        <v>45556</v>
      </c>
      <c r="I2676">
        <v>4</v>
      </c>
      <c r="J2676">
        <v>2</v>
      </c>
      <c r="K2676">
        <v>2602</v>
      </c>
      <c r="L2676">
        <v>1301</v>
      </c>
      <c r="M2676">
        <v>27321</v>
      </c>
      <c r="N2676">
        <v>0</v>
      </c>
      <c r="O2676">
        <v>28622</v>
      </c>
    </row>
    <row r="2677" spans="1:15" x14ac:dyDescent="0.35">
      <c r="A2677">
        <v>2676</v>
      </c>
      <c r="B2677" s="2" t="s">
        <v>23</v>
      </c>
      <c r="C2677" s="2" t="s">
        <v>11</v>
      </c>
      <c r="D2677">
        <v>34</v>
      </c>
      <c r="E2677" s="2" t="s">
        <v>12</v>
      </c>
      <c r="F2677" s="2" t="s">
        <v>13</v>
      </c>
      <c r="G2677">
        <v>41068</v>
      </c>
      <c r="H2677" s="1">
        <v>45377</v>
      </c>
      <c r="I2677">
        <v>6</v>
      </c>
      <c r="J2677">
        <v>5</v>
      </c>
      <c r="K2677">
        <v>4107</v>
      </c>
      <c r="L2677">
        <v>2053</v>
      </c>
      <c r="M2677">
        <v>43122</v>
      </c>
      <c r="N2677">
        <v>2053</v>
      </c>
      <c r="O2677">
        <v>47228</v>
      </c>
    </row>
    <row r="2678" spans="1:15" x14ac:dyDescent="0.35">
      <c r="A2678">
        <v>2677</v>
      </c>
      <c r="B2678" s="2" t="s">
        <v>31</v>
      </c>
      <c r="C2678" s="2" t="s">
        <v>15</v>
      </c>
      <c r="D2678">
        <v>47</v>
      </c>
      <c r="E2678" s="2" t="s">
        <v>24</v>
      </c>
      <c r="F2678" s="2" t="s">
        <v>25</v>
      </c>
      <c r="G2678">
        <v>33061</v>
      </c>
      <c r="H2678" s="1">
        <v>44850</v>
      </c>
      <c r="I2678">
        <v>8</v>
      </c>
      <c r="J2678">
        <v>4</v>
      </c>
      <c r="K2678">
        <v>3306</v>
      </c>
      <c r="L2678">
        <v>1653</v>
      </c>
      <c r="M2678">
        <v>34714</v>
      </c>
      <c r="N2678">
        <v>1653</v>
      </c>
      <c r="O2678">
        <v>38020</v>
      </c>
    </row>
    <row r="2679" spans="1:15" x14ac:dyDescent="0.35">
      <c r="A2679">
        <v>2678</v>
      </c>
      <c r="B2679" s="2" t="s">
        <v>14</v>
      </c>
      <c r="C2679" s="2" t="s">
        <v>15</v>
      </c>
      <c r="D2679">
        <v>27</v>
      </c>
      <c r="E2679" s="2" t="s">
        <v>12</v>
      </c>
      <c r="F2679" s="2" t="s">
        <v>13</v>
      </c>
      <c r="G2679">
        <v>61812</v>
      </c>
      <c r="H2679" s="1">
        <v>44802</v>
      </c>
      <c r="I2679">
        <v>1</v>
      </c>
      <c r="J2679">
        <v>4</v>
      </c>
      <c r="K2679">
        <v>6181</v>
      </c>
      <c r="L2679">
        <v>3091</v>
      </c>
      <c r="M2679">
        <v>64902</v>
      </c>
      <c r="N2679">
        <v>0</v>
      </c>
      <c r="O2679">
        <v>67993</v>
      </c>
    </row>
    <row r="2680" spans="1:15" x14ac:dyDescent="0.35">
      <c r="A2680">
        <v>2679</v>
      </c>
      <c r="B2680" s="2" t="s">
        <v>10</v>
      </c>
      <c r="C2680" s="2" t="s">
        <v>11</v>
      </c>
      <c r="D2680">
        <v>46</v>
      </c>
      <c r="E2680" s="2" t="s">
        <v>24</v>
      </c>
      <c r="F2680" s="2" t="s">
        <v>25</v>
      </c>
      <c r="G2680">
        <v>91499</v>
      </c>
      <c r="H2680" s="1">
        <v>44595</v>
      </c>
      <c r="I2680">
        <v>13</v>
      </c>
      <c r="J2680">
        <v>2</v>
      </c>
      <c r="K2680">
        <v>9150</v>
      </c>
      <c r="L2680">
        <v>4575</v>
      </c>
      <c r="M2680">
        <v>96074</v>
      </c>
      <c r="N2680">
        <v>4575</v>
      </c>
      <c r="O2680">
        <v>105224</v>
      </c>
    </row>
    <row r="2681" spans="1:15" x14ac:dyDescent="0.35">
      <c r="A2681">
        <v>2680</v>
      </c>
      <c r="B2681" s="2" t="s">
        <v>22</v>
      </c>
      <c r="C2681" s="2" t="s">
        <v>15</v>
      </c>
      <c r="D2681">
        <v>27</v>
      </c>
      <c r="E2681" s="2" t="s">
        <v>24</v>
      </c>
      <c r="F2681" s="2" t="s">
        <v>13</v>
      </c>
      <c r="G2681">
        <v>44203</v>
      </c>
      <c r="H2681" s="1">
        <v>44753</v>
      </c>
      <c r="I2681">
        <v>10</v>
      </c>
      <c r="J2681">
        <v>1</v>
      </c>
      <c r="K2681">
        <v>4420</v>
      </c>
      <c r="L2681">
        <v>2210</v>
      </c>
      <c r="M2681">
        <v>46413</v>
      </c>
      <c r="N2681">
        <v>2210</v>
      </c>
      <c r="O2681">
        <v>50833</v>
      </c>
    </row>
    <row r="2682" spans="1:15" x14ac:dyDescent="0.35">
      <c r="A2682">
        <v>2681</v>
      </c>
      <c r="B2682" s="2" t="s">
        <v>14</v>
      </c>
      <c r="C2682" s="2" t="s">
        <v>15</v>
      </c>
      <c r="D2682">
        <v>23</v>
      </c>
      <c r="E2682" s="2" t="s">
        <v>24</v>
      </c>
      <c r="F2682" s="2" t="s">
        <v>25</v>
      </c>
      <c r="G2682">
        <v>93108</v>
      </c>
      <c r="H2682" s="1">
        <v>44902</v>
      </c>
      <c r="I2682">
        <v>16</v>
      </c>
      <c r="J2682">
        <v>5</v>
      </c>
      <c r="K2682">
        <v>9311</v>
      </c>
      <c r="L2682">
        <v>4655</v>
      </c>
      <c r="M2682">
        <v>97764</v>
      </c>
      <c r="N2682">
        <v>4655</v>
      </c>
      <c r="O2682">
        <v>107074</v>
      </c>
    </row>
    <row r="2683" spans="1:15" x14ac:dyDescent="0.35">
      <c r="A2683">
        <v>2682</v>
      </c>
      <c r="B2683" s="2" t="s">
        <v>10</v>
      </c>
      <c r="C2683" s="2" t="s">
        <v>11</v>
      </c>
      <c r="D2683">
        <v>50</v>
      </c>
      <c r="E2683" s="2" t="s">
        <v>24</v>
      </c>
      <c r="F2683" s="2" t="s">
        <v>13</v>
      </c>
      <c r="G2683">
        <v>25041</v>
      </c>
      <c r="H2683" s="1">
        <v>45524</v>
      </c>
      <c r="I2683">
        <v>3</v>
      </c>
      <c r="J2683">
        <v>1</v>
      </c>
      <c r="K2683">
        <v>2504</v>
      </c>
      <c r="L2683">
        <v>1252</v>
      </c>
      <c r="M2683">
        <v>26293</v>
      </c>
      <c r="N2683">
        <v>0</v>
      </c>
      <c r="O2683">
        <v>27545</v>
      </c>
    </row>
    <row r="2684" spans="1:15" x14ac:dyDescent="0.35">
      <c r="A2684">
        <v>2683</v>
      </c>
      <c r="B2684" s="2" t="s">
        <v>22</v>
      </c>
      <c r="C2684" s="2" t="s">
        <v>11</v>
      </c>
      <c r="D2684">
        <v>22</v>
      </c>
      <c r="E2684" s="2" t="s">
        <v>24</v>
      </c>
      <c r="F2684" s="2" t="s">
        <v>21</v>
      </c>
      <c r="G2684">
        <v>95559</v>
      </c>
      <c r="H2684" s="1">
        <v>45228</v>
      </c>
      <c r="I2684">
        <v>10</v>
      </c>
      <c r="J2684">
        <v>3</v>
      </c>
      <c r="K2684">
        <v>9556</v>
      </c>
      <c r="L2684">
        <v>4778</v>
      </c>
      <c r="M2684">
        <v>100337</v>
      </c>
      <c r="N2684">
        <v>4778</v>
      </c>
      <c r="O2684">
        <v>109893</v>
      </c>
    </row>
    <row r="2685" spans="1:15" x14ac:dyDescent="0.35">
      <c r="A2685">
        <v>2684</v>
      </c>
      <c r="B2685" s="2" t="s">
        <v>31</v>
      </c>
      <c r="C2685" s="2" t="s">
        <v>11</v>
      </c>
      <c r="D2685">
        <v>47</v>
      </c>
      <c r="E2685" s="2" t="s">
        <v>12</v>
      </c>
      <c r="F2685" s="2" t="s">
        <v>19</v>
      </c>
      <c r="G2685">
        <v>83144</v>
      </c>
      <c r="H2685" s="1">
        <v>44596</v>
      </c>
      <c r="I2685">
        <v>12</v>
      </c>
      <c r="J2685">
        <v>4</v>
      </c>
      <c r="K2685">
        <v>8314</v>
      </c>
      <c r="L2685">
        <v>4157</v>
      </c>
      <c r="M2685">
        <v>87301</v>
      </c>
      <c r="N2685">
        <v>4157</v>
      </c>
      <c r="O2685">
        <v>95615</v>
      </c>
    </row>
    <row r="2686" spans="1:15" x14ac:dyDescent="0.35">
      <c r="A2686">
        <v>2685</v>
      </c>
      <c r="B2686" s="2" t="s">
        <v>10</v>
      </c>
      <c r="C2686" s="2" t="s">
        <v>15</v>
      </c>
      <c r="D2686">
        <v>24</v>
      </c>
      <c r="E2686" s="2" t="s">
        <v>28</v>
      </c>
      <c r="F2686" s="2" t="s">
        <v>25</v>
      </c>
      <c r="G2686">
        <v>22928</v>
      </c>
      <c r="H2686" s="1">
        <v>45236</v>
      </c>
      <c r="I2686">
        <v>4</v>
      </c>
      <c r="J2686">
        <v>2</v>
      </c>
      <c r="K2686">
        <v>2293</v>
      </c>
      <c r="L2686">
        <v>1146</v>
      </c>
      <c r="M2686">
        <v>24075</v>
      </c>
      <c r="N2686">
        <v>0</v>
      </c>
      <c r="O2686">
        <v>25221</v>
      </c>
    </row>
    <row r="2687" spans="1:15" x14ac:dyDescent="0.35">
      <c r="A2687">
        <v>2686</v>
      </c>
      <c r="B2687" s="2" t="s">
        <v>30</v>
      </c>
      <c r="C2687" s="2" t="s">
        <v>15</v>
      </c>
      <c r="D2687">
        <v>50</v>
      </c>
      <c r="E2687" s="2" t="s">
        <v>12</v>
      </c>
      <c r="F2687" s="2" t="s">
        <v>21</v>
      </c>
      <c r="G2687">
        <v>71513</v>
      </c>
      <c r="H2687" s="1">
        <v>44680</v>
      </c>
      <c r="I2687">
        <v>10</v>
      </c>
      <c r="J2687">
        <v>5</v>
      </c>
      <c r="K2687">
        <v>7151</v>
      </c>
      <c r="L2687">
        <v>3576</v>
      </c>
      <c r="M2687">
        <v>75088</v>
      </c>
      <c r="N2687">
        <v>3576</v>
      </c>
      <c r="O2687">
        <v>82240</v>
      </c>
    </row>
    <row r="2688" spans="1:15" x14ac:dyDescent="0.35">
      <c r="A2688">
        <v>2687</v>
      </c>
      <c r="B2688" s="2" t="s">
        <v>14</v>
      </c>
      <c r="C2688" s="2" t="s">
        <v>11</v>
      </c>
      <c r="D2688">
        <v>35</v>
      </c>
      <c r="E2688" s="2" t="s">
        <v>24</v>
      </c>
      <c r="F2688" s="2" t="s">
        <v>17</v>
      </c>
      <c r="G2688">
        <v>56672</v>
      </c>
      <c r="H2688" s="1">
        <v>45324</v>
      </c>
      <c r="I2688">
        <v>13</v>
      </c>
      <c r="J2688">
        <v>3</v>
      </c>
      <c r="K2688">
        <v>5667</v>
      </c>
      <c r="L2688">
        <v>2834</v>
      </c>
      <c r="M2688">
        <v>59505</v>
      </c>
      <c r="N2688">
        <v>2834</v>
      </c>
      <c r="O2688">
        <v>65173</v>
      </c>
    </row>
    <row r="2689" spans="1:15" x14ac:dyDescent="0.35">
      <c r="A2689">
        <v>2688</v>
      </c>
      <c r="B2689" s="2" t="s">
        <v>27</v>
      </c>
      <c r="C2689" s="2" t="s">
        <v>11</v>
      </c>
      <c r="D2689">
        <v>46</v>
      </c>
      <c r="E2689" s="2" t="s">
        <v>12</v>
      </c>
      <c r="F2689" s="2" t="s">
        <v>13</v>
      </c>
      <c r="G2689">
        <v>66827</v>
      </c>
      <c r="H2689" s="1">
        <v>45273</v>
      </c>
      <c r="I2689">
        <v>6</v>
      </c>
      <c r="J2689">
        <v>4</v>
      </c>
      <c r="K2689">
        <v>6683</v>
      </c>
      <c r="L2689">
        <v>3341</v>
      </c>
      <c r="M2689">
        <v>70169</v>
      </c>
      <c r="N2689">
        <v>3341</v>
      </c>
      <c r="O2689">
        <v>76851</v>
      </c>
    </row>
    <row r="2690" spans="1:15" x14ac:dyDescent="0.35">
      <c r="A2690">
        <v>2689</v>
      </c>
      <c r="B2690" s="2" t="s">
        <v>10</v>
      </c>
      <c r="C2690" s="2" t="s">
        <v>11</v>
      </c>
      <c r="D2690">
        <v>32</v>
      </c>
      <c r="E2690" s="2" t="s">
        <v>29</v>
      </c>
      <c r="F2690" s="2" t="s">
        <v>25</v>
      </c>
      <c r="G2690">
        <v>35628</v>
      </c>
      <c r="H2690" s="1">
        <v>45459</v>
      </c>
      <c r="I2690">
        <v>17</v>
      </c>
      <c r="J2690">
        <v>5</v>
      </c>
      <c r="K2690">
        <v>3563</v>
      </c>
      <c r="L2690">
        <v>1781</v>
      </c>
      <c r="M2690">
        <v>37410</v>
      </c>
      <c r="N2690">
        <v>1781</v>
      </c>
      <c r="O2690">
        <v>40972</v>
      </c>
    </row>
    <row r="2691" spans="1:15" x14ac:dyDescent="0.35">
      <c r="A2691">
        <v>2690</v>
      </c>
      <c r="B2691" s="2" t="s">
        <v>30</v>
      </c>
      <c r="C2691" s="2" t="s">
        <v>15</v>
      </c>
      <c r="D2691">
        <v>51</v>
      </c>
      <c r="E2691" s="2" t="s">
        <v>12</v>
      </c>
      <c r="F2691" s="2" t="s">
        <v>13</v>
      </c>
      <c r="G2691">
        <v>41635</v>
      </c>
      <c r="H2691" s="1">
        <v>44932</v>
      </c>
      <c r="I2691">
        <v>17</v>
      </c>
      <c r="J2691">
        <v>1</v>
      </c>
      <c r="K2691">
        <v>4164</v>
      </c>
      <c r="L2691">
        <v>2082</v>
      </c>
      <c r="M2691">
        <v>43717</v>
      </c>
      <c r="N2691">
        <v>2082</v>
      </c>
      <c r="O2691">
        <v>47881</v>
      </c>
    </row>
    <row r="2692" spans="1:15" x14ac:dyDescent="0.35">
      <c r="A2692">
        <v>2691</v>
      </c>
      <c r="B2692" s="2" t="s">
        <v>26</v>
      </c>
      <c r="C2692" s="2" t="s">
        <v>15</v>
      </c>
      <c r="D2692">
        <v>47</v>
      </c>
      <c r="E2692" s="2" t="s">
        <v>29</v>
      </c>
      <c r="F2692" s="2" t="s">
        <v>17</v>
      </c>
      <c r="G2692">
        <v>25934</v>
      </c>
      <c r="H2692" s="1">
        <v>45058</v>
      </c>
      <c r="I2692">
        <v>16</v>
      </c>
      <c r="J2692">
        <v>1</v>
      </c>
      <c r="K2692">
        <v>2593</v>
      </c>
      <c r="L2692">
        <v>1297</v>
      </c>
      <c r="M2692">
        <v>27230</v>
      </c>
      <c r="N2692">
        <v>1297</v>
      </c>
      <c r="O2692">
        <v>29824</v>
      </c>
    </row>
    <row r="2693" spans="1:15" x14ac:dyDescent="0.35">
      <c r="A2693">
        <v>2692</v>
      </c>
      <c r="B2693" s="2" t="s">
        <v>14</v>
      </c>
      <c r="C2693" s="2" t="s">
        <v>15</v>
      </c>
      <c r="D2693">
        <v>50</v>
      </c>
      <c r="E2693" s="2" t="s">
        <v>16</v>
      </c>
      <c r="F2693" s="2" t="s">
        <v>19</v>
      </c>
      <c r="G2693">
        <v>91373</v>
      </c>
      <c r="H2693" s="1">
        <v>45392</v>
      </c>
      <c r="I2693">
        <v>16</v>
      </c>
      <c r="J2693">
        <v>3</v>
      </c>
      <c r="K2693">
        <v>9137</v>
      </c>
      <c r="L2693">
        <v>4569</v>
      </c>
      <c r="M2693">
        <v>95941</v>
      </c>
      <c r="N2693">
        <v>4569</v>
      </c>
      <c r="O2693">
        <v>105079</v>
      </c>
    </row>
    <row r="2694" spans="1:15" x14ac:dyDescent="0.35">
      <c r="A2694">
        <v>2693</v>
      </c>
      <c r="B2694" s="2" t="s">
        <v>27</v>
      </c>
      <c r="C2694" s="2" t="s">
        <v>11</v>
      </c>
      <c r="D2694">
        <v>49</v>
      </c>
      <c r="E2694" s="2" t="s">
        <v>29</v>
      </c>
      <c r="F2694" s="2" t="s">
        <v>13</v>
      </c>
      <c r="G2694">
        <v>60111</v>
      </c>
      <c r="H2694" s="1">
        <v>45332</v>
      </c>
      <c r="I2694">
        <v>8</v>
      </c>
      <c r="J2694">
        <v>1</v>
      </c>
      <c r="K2694">
        <v>6011</v>
      </c>
      <c r="L2694">
        <v>3006</v>
      </c>
      <c r="M2694">
        <v>63116</v>
      </c>
      <c r="N2694">
        <v>3006</v>
      </c>
      <c r="O2694">
        <v>69128</v>
      </c>
    </row>
    <row r="2695" spans="1:15" x14ac:dyDescent="0.35">
      <c r="A2695">
        <v>2694</v>
      </c>
      <c r="B2695" s="2" t="s">
        <v>18</v>
      </c>
      <c r="C2695" s="2" t="s">
        <v>11</v>
      </c>
      <c r="D2695">
        <v>40</v>
      </c>
      <c r="E2695" s="2" t="s">
        <v>12</v>
      </c>
      <c r="F2695" s="2" t="s">
        <v>25</v>
      </c>
      <c r="G2695">
        <v>94839</v>
      </c>
      <c r="H2695" s="1">
        <v>44627</v>
      </c>
      <c r="I2695">
        <v>20</v>
      </c>
      <c r="J2695">
        <v>1</v>
      </c>
      <c r="K2695">
        <v>9484</v>
      </c>
      <c r="L2695">
        <v>4742</v>
      </c>
      <c r="M2695">
        <v>99581</v>
      </c>
      <c r="N2695">
        <v>4742</v>
      </c>
      <c r="O2695">
        <v>109065</v>
      </c>
    </row>
    <row r="2696" spans="1:15" x14ac:dyDescent="0.35">
      <c r="A2696">
        <v>2695</v>
      </c>
      <c r="B2696" s="2" t="s">
        <v>26</v>
      </c>
      <c r="C2696" s="2" t="s">
        <v>15</v>
      </c>
      <c r="D2696">
        <v>35</v>
      </c>
      <c r="E2696" s="2" t="s">
        <v>12</v>
      </c>
      <c r="F2696" s="2" t="s">
        <v>21</v>
      </c>
      <c r="G2696">
        <v>20280</v>
      </c>
      <c r="H2696" s="1">
        <v>45268</v>
      </c>
      <c r="I2696">
        <v>6</v>
      </c>
      <c r="J2696">
        <v>1</v>
      </c>
      <c r="K2696">
        <v>2028</v>
      </c>
      <c r="L2696">
        <v>1014</v>
      </c>
      <c r="M2696">
        <v>21294</v>
      </c>
      <c r="N2696">
        <v>1014</v>
      </c>
      <c r="O2696">
        <v>23322</v>
      </c>
    </row>
    <row r="2697" spans="1:15" x14ac:dyDescent="0.35">
      <c r="A2697">
        <v>2696</v>
      </c>
      <c r="B2697" s="2" t="s">
        <v>18</v>
      </c>
      <c r="C2697" s="2" t="s">
        <v>15</v>
      </c>
      <c r="D2697">
        <v>24</v>
      </c>
      <c r="E2697" s="2" t="s">
        <v>24</v>
      </c>
      <c r="F2697" s="2" t="s">
        <v>21</v>
      </c>
      <c r="G2697">
        <v>41695</v>
      </c>
      <c r="H2697" s="1">
        <v>45154</v>
      </c>
      <c r="I2697">
        <v>19</v>
      </c>
      <c r="J2697">
        <v>4</v>
      </c>
      <c r="K2697">
        <v>4170</v>
      </c>
      <c r="L2697">
        <v>2085</v>
      </c>
      <c r="M2697">
        <v>43780</v>
      </c>
      <c r="N2697">
        <v>2085</v>
      </c>
      <c r="O2697">
        <v>47950</v>
      </c>
    </row>
    <row r="2698" spans="1:15" x14ac:dyDescent="0.35">
      <c r="A2698">
        <v>2697</v>
      </c>
      <c r="B2698" s="2" t="s">
        <v>18</v>
      </c>
      <c r="C2698" s="2" t="s">
        <v>11</v>
      </c>
      <c r="D2698">
        <v>46</v>
      </c>
      <c r="E2698" s="2" t="s">
        <v>24</v>
      </c>
      <c r="F2698" s="2" t="s">
        <v>25</v>
      </c>
      <c r="G2698">
        <v>81504</v>
      </c>
      <c r="H2698" s="1">
        <v>45083</v>
      </c>
      <c r="I2698">
        <v>12</v>
      </c>
      <c r="J2698">
        <v>5</v>
      </c>
      <c r="K2698">
        <v>8150</v>
      </c>
      <c r="L2698">
        <v>4075</v>
      </c>
      <c r="M2698">
        <v>85579</v>
      </c>
      <c r="N2698">
        <v>4075</v>
      </c>
      <c r="O2698">
        <v>93729</v>
      </c>
    </row>
    <row r="2699" spans="1:15" x14ac:dyDescent="0.35">
      <c r="A2699">
        <v>2698</v>
      </c>
      <c r="B2699" s="2" t="s">
        <v>30</v>
      </c>
      <c r="C2699" s="2" t="s">
        <v>15</v>
      </c>
      <c r="D2699">
        <v>36</v>
      </c>
      <c r="E2699" s="2" t="s">
        <v>24</v>
      </c>
      <c r="F2699" s="2" t="s">
        <v>17</v>
      </c>
      <c r="G2699">
        <v>44576</v>
      </c>
      <c r="H2699" s="1">
        <v>45276</v>
      </c>
      <c r="I2699">
        <v>19</v>
      </c>
      <c r="J2699">
        <v>1</v>
      </c>
      <c r="K2699">
        <v>4458</v>
      </c>
      <c r="L2699">
        <v>2229</v>
      </c>
      <c r="M2699">
        <v>46805</v>
      </c>
      <c r="N2699">
        <v>2229</v>
      </c>
      <c r="O2699">
        <v>51263</v>
      </c>
    </row>
    <row r="2700" spans="1:15" x14ac:dyDescent="0.35">
      <c r="A2700">
        <v>2699</v>
      </c>
      <c r="B2700" s="2" t="s">
        <v>30</v>
      </c>
      <c r="C2700" s="2" t="s">
        <v>11</v>
      </c>
      <c r="D2700">
        <v>23</v>
      </c>
      <c r="E2700" s="2" t="s">
        <v>24</v>
      </c>
      <c r="F2700" s="2" t="s">
        <v>25</v>
      </c>
      <c r="G2700">
        <v>98690</v>
      </c>
      <c r="H2700" s="1">
        <v>44685</v>
      </c>
      <c r="I2700">
        <v>8</v>
      </c>
      <c r="J2700">
        <v>4</v>
      </c>
      <c r="K2700">
        <v>9869</v>
      </c>
      <c r="L2700">
        <v>4934</v>
      </c>
      <c r="M2700">
        <v>103625</v>
      </c>
      <c r="N2700">
        <v>4934</v>
      </c>
      <c r="O2700">
        <v>113493</v>
      </c>
    </row>
    <row r="2701" spans="1:15" x14ac:dyDescent="0.35">
      <c r="A2701">
        <v>2700</v>
      </c>
      <c r="B2701" s="2" t="s">
        <v>18</v>
      </c>
      <c r="C2701" s="2" t="s">
        <v>15</v>
      </c>
      <c r="D2701">
        <v>54</v>
      </c>
      <c r="E2701" s="2" t="s">
        <v>28</v>
      </c>
      <c r="F2701" s="2" t="s">
        <v>17</v>
      </c>
      <c r="G2701">
        <v>57498</v>
      </c>
      <c r="H2701" s="1">
        <v>44876</v>
      </c>
      <c r="I2701">
        <v>5</v>
      </c>
      <c r="J2701">
        <v>3</v>
      </c>
      <c r="K2701">
        <v>5750</v>
      </c>
      <c r="L2701">
        <v>2875</v>
      </c>
      <c r="M2701">
        <v>60373</v>
      </c>
      <c r="N2701">
        <v>0</v>
      </c>
      <c r="O2701">
        <v>63248</v>
      </c>
    </row>
    <row r="2702" spans="1:15" x14ac:dyDescent="0.35">
      <c r="A2702">
        <v>2701</v>
      </c>
      <c r="B2702" s="2" t="s">
        <v>20</v>
      </c>
      <c r="C2702" s="2" t="s">
        <v>15</v>
      </c>
      <c r="D2702">
        <v>60</v>
      </c>
      <c r="E2702" s="2" t="s">
        <v>28</v>
      </c>
      <c r="F2702" s="2" t="s">
        <v>25</v>
      </c>
      <c r="G2702">
        <v>60756</v>
      </c>
      <c r="H2702" s="1">
        <v>45070</v>
      </c>
      <c r="I2702">
        <v>15</v>
      </c>
      <c r="J2702">
        <v>3</v>
      </c>
      <c r="K2702">
        <v>6076</v>
      </c>
      <c r="L2702">
        <v>3038</v>
      </c>
      <c r="M2702">
        <v>63794</v>
      </c>
      <c r="N2702">
        <v>3038</v>
      </c>
      <c r="O2702">
        <v>69870</v>
      </c>
    </row>
    <row r="2703" spans="1:15" x14ac:dyDescent="0.35">
      <c r="A2703">
        <v>2702</v>
      </c>
      <c r="B2703" s="2" t="s">
        <v>18</v>
      </c>
      <c r="C2703" s="2" t="s">
        <v>11</v>
      </c>
      <c r="D2703">
        <v>54</v>
      </c>
      <c r="E2703" s="2" t="s">
        <v>12</v>
      </c>
      <c r="F2703" s="2" t="s">
        <v>25</v>
      </c>
      <c r="G2703">
        <v>94569</v>
      </c>
      <c r="H2703" s="1">
        <v>44755</v>
      </c>
      <c r="I2703">
        <v>13</v>
      </c>
      <c r="J2703">
        <v>2</v>
      </c>
      <c r="K2703">
        <v>9457</v>
      </c>
      <c r="L2703">
        <v>4728</v>
      </c>
      <c r="M2703">
        <v>99298</v>
      </c>
      <c r="N2703">
        <v>4728</v>
      </c>
      <c r="O2703">
        <v>108754</v>
      </c>
    </row>
    <row r="2704" spans="1:15" x14ac:dyDescent="0.35">
      <c r="A2704">
        <v>2703</v>
      </c>
      <c r="B2704" s="2" t="s">
        <v>23</v>
      </c>
      <c r="C2704" s="2" t="s">
        <v>15</v>
      </c>
      <c r="D2704">
        <v>54</v>
      </c>
      <c r="E2704" s="2" t="s">
        <v>24</v>
      </c>
      <c r="F2704" s="2" t="s">
        <v>25</v>
      </c>
      <c r="G2704">
        <v>91154</v>
      </c>
      <c r="H2704" s="1">
        <v>44819</v>
      </c>
      <c r="I2704">
        <v>12</v>
      </c>
      <c r="J2704">
        <v>2</v>
      </c>
      <c r="K2704">
        <v>9115</v>
      </c>
      <c r="L2704">
        <v>4558</v>
      </c>
      <c r="M2704">
        <v>95711</v>
      </c>
      <c r="N2704">
        <v>4558</v>
      </c>
      <c r="O2704">
        <v>104827</v>
      </c>
    </row>
    <row r="2705" spans="1:15" x14ac:dyDescent="0.35">
      <c r="A2705">
        <v>2704</v>
      </c>
      <c r="B2705" s="2" t="s">
        <v>31</v>
      </c>
      <c r="C2705" s="2" t="s">
        <v>15</v>
      </c>
      <c r="D2705">
        <v>36</v>
      </c>
      <c r="E2705" s="2" t="s">
        <v>12</v>
      </c>
      <c r="F2705" s="2" t="s">
        <v>19</v>
      </c>
      <c r="G2705">
        <v>26913</v>
      </c>
      <c r="H2705" s="1">
        <v>45149</v>
      </c>
      <c r="I2705">
        <v>11</v>
      </c>
      <c r="J2705">
        <v>5</v>
      </c>
      <c r="K2705">
        <v>2691</v>
      </c>
      <c r="L2705">
        <v>1346</v>
      </c>
      <c r="M2705">
        <v>28258</v>
      </c>
      <c r="N2705">
        <v>1346</v>
      </c>
      <c r="O2705">
        <v>30950</v>
      </c>
    </row>
    <row r="2706" spans="1:15" x14ac:dyDescent="0.35">
      <c r="A2706">
        <v>2705</v>
      </c>
      <c r="B2706" s="2" t="s">
        <v>10</v>
      </c>
      <c r="C2706" s="2" t="s">
        <v>11</v>
      </c>
      <c r="D2706">
        <v>55</v>
      </c>
      <c r="E2706" s="2" t="s">
        <v>12</v>
      </c>
      <c r="F2706" s="2" t="s">
        <v>13</v>
      </c>
      <c r="G2706">
        <v>28503</v>
      </c>
      <c r="H2706" s="1">
        <v>45479</v>
      </c>
      <c r="I2706">
        <v>5</v>
      </c>
      <c r="J2706">
        <v>3</v>
      </c>
      <c r="K2706">
        <v>2850</v>
      </c>
      <c r="L2706">
        <v>1425</v>
      </c>
      <c r="M2706">
        <v>29928</v>
      </c>
      <c r="N2706">
        <v>0</v>
      </c>
      <c r="O2706">
        <v>31353</v>
      </c>
    </row>
    <row r="2707" spans="1:15" x14ac:dyDescent="0.35">
      <c r="A2707">
        <v>2706</v>
      </c>
      <c r="B2707" s="2" t="s">
        <v>27</v>
      </c>
      <c r="C2707" s="2" t="s">
        <v>11</v>
      </c>
      <c r="D2707">
        <v>28</v>
      </c>
      <c r="E2707" s="2" t="s">
        <v>12</v>
      </c>
      <c r="F2707" s="2" t="s">
        <v>17</v>
      </c>
      <c r="G2707">
        <v>29946</v>
      </c>
      <c r="H2707" s="1">
        <v>45079</v>
      </c>
      <c r="I2707">
        <v>12</v>
      </c>
      <c r="J2707">
        <v>2</v>
      </c>
      <c r="K2707">
        <v>2995</v>
      </c>
      <c r="L2707">
        <v>1497</v>
      </c>
      <c r="M2707">
        <v>31444</v>
      </c>
      <c r="N2707">
        <v>1497</v>
      </c>
      <c r="O2707">
        <v>34438</v>
      </c>
    </row>
    <row r="2708" spans="1:15" x14ac:dyDescent="0.35">
      <c r="A2708">
        <v>2707</v>
      </c>
      <c r="B2708" s="2" t="s">
        <v>20</v>
      </c>
      <c r="C2708" s="2" t="s">
        <v>15</v>
      </c>
      <c r="D2708">
        <v>43</v>
      </c>
      <c r="E2708" s="2" t="s">
        <v>12</v>
      </c>
      <c r="F2708" s="2" t="s">
        <v>19</v>
      </c>
      <c r="G2708">
        <v>42753</v>
      </c>
      <c r="H2708" s="1">
        <v>44769</v>
      </c>
      <c r="I2708">
        <v>12</v>
      </c>
      <c r="J2708">
        <v>3</v>
      </c>
      <c r="K2708">
        <v>4275</v>
      </c>
      <c r="L2708">
        <v>2138</v>
      </c>
      <c r="M2708">
        <v>44890</v>
      </c>
      <c r="N2708">
        <v>2138</v>
      </c>
      <c r="O2708">
        <v>49166</v>
      </c>
    </row>
    <row r="2709" spans="1:15" x14ac:dyDescent="0.35">
      <c r="A2709">
        <v>2708</v>
      </c>
      <c r="B2709" s="2" t="s">
        <v>23</v>
      </c>
      <c r="C2709" s="2" t="s">
        <v>15</v>
      </c>
      <c r="D2709">
        <v>41</v>
      </c>
      <c r="E2709" s="2" t="s">
        <v>24</v>
      </c>
      <c r="F2709" s="2" t="s">
        <v>13</v>
      </c>
      <c r="G2709">
        <v>20009</v>
      </c>
      <c r="H2709" s="1">
        <v>45427</v>
      </c>
      <c r="I2709">
        <v>13</v>
      </c>
      <c r="J2709">
        <v>2</v>
      </c>
      <c r="K2709">
        <v>2001</v>
      </c>
      <c r="L2709">
        <v>1000</v>
      </c>
      <c r="M2709">
        <v>21010</v>
      </c>
      <c r="N2709">
        <v>1000</v>
      </c>
      <c r="O2709">
        <v>23010</v>
      </c>
    </row>
    <row r="2710" spans="1:15" x14ac:dyDescent="0.35">
      <c r="A2710">
        <v>2709</v>
      </c>
      <c r="B2710" s="2" t="s">
        <v>20</v>
      </c>
      <c r="C2710" s="2" t="s">
        <v>15</v>
      </c>
      <c r="D2710">
        <v>39</v>
      </c>
      <c r="E2710" s="2" t="s">
        <v>29</v>
      </c>
      <c r="F2710" s="2" t="s">
        <v>13</v>
      </c>
      <c r="G2710">
        <v>71765</v>
      </c>
      <c r="H2710" s="1">
        <v>44612</v>
      </c>
      <c r="I2710">
        <v>17</v>
      </c>
      <c r="J2710">
        <v>3</v>
      </c>
      <c r="K2710">
        <v>7176</v>
      </c>
      <c r="L2710">
        <v>3588</v>
      </c>
      <c r="M2710">
        <v>75353</v>
      </c>
      <c r="N2710">
        <v>3588</v>
      </c>
      <c r="O2710">
        <v>82529</v>
      </c>
    </row>
    <row r="2711" spans="1:15" x14ac:dyDescent="0.35">
      <c r="A2711">
        <v>2710</v>
      </c>
      <c r="B2711" s="2" t="s">
        <v>27</v>
      </c>
      <c r="C2711" s="2" t="s">
        <v>15</v>
      </c>
      <c r="D2711">
        <v>32</v>
      </c>
      <c r="E2711" s="2" t="s">
        <v>29</v>
      </c>
      <c r="F2711" s="2" t="s">
        <v>25</v>
      </c>
      <c r="G2711">
        <v>86423</v>
      </c>
      <c r="H2711" s="1">
        <v>44898</v>
      </c>
      <c r="I2711">
        <v>7</v>
      </c>
      <c r="J2711">
        <v>5</v>
      </c>
      <c r="K2711">
        <v>8642</v>
      </c>
      <c r="L2711">
        <v>4321</v>
      </c>
      <c r="M2711">
        <v>90744</v>
      </c>
      <c r="N2711">
        <v>4321</v>
      </c>
      <c r="O2711">
        <v>99386</v>
      </c>
    </row>
    <row r="2712" spans="1:15" x14ac:dyDescent="0.35">
      <c r="A2712">
        <v>2711</v>
      </c>
      <c r="B2712" s="2" t="s">
        <v>20</v>
      </c>
      <c r="C2712" s="2" t="s">
        <v>15</v>
      </c>
      <c r="D2712">
        <v>34</v>
      </c>
      <c r="E2712" s="2" t="s">
        <v>28</v>
      </c>
      <c r="F2712" s="2" t="s">
        <v>19</v>
      </c>
      <c r="G2712">
        <v>74821</v>
      </c>
      <c r="H2712" s="1">
        <v>44936</v>
      </c>
      <c r="I2712">
        <v>3</v>
      </c>
      <c r="J2712">
        <v>2</v>
      </c>
      <c r="K2712">
        <v>7482</v>
      </c>
      <c r="L2712">
        <v>3741</v>
      </c>
      <c r="M2712">
        <v>78562</v>
      </c>
      <c r="N2712">
        <v>0</v>
      </c>
      <c r="O2712">
        <v>82303</v>
      </c>
    </row>
    <row r="2713" spans="1:15" x14ac:dyDescent="0.35">
      <c r="A2713">
        <v>2712</v>
      </c>
      <c r="B2713" s="2" t="s">
        <v>10</v>
      </c>
      <c r="C2713" s="2" t="s">
        <v>15</v>
      </c>
      <c r="D2713">
        <v>37</v>
      </c>
      <c r="E2713" s="2" t="s">
        <v>24</v>
      </c>
      <c r="F2713" s="2" t="s">
        <v>13</v>
      </c>
      <c r="G2713">
        <v>92465</v>
      </c>
      <c r="H2713" s="1">
        <v>45307</v>
      </c>
      <c r="I2713">
        <v>5</v>
      </c>
      <c r="J2713">
        <v>5</v>
      </c>
      <c r="K2713">
        <v>9246</v>
      </c>
      <c r="L2713">
        <v>4623</v>
      </c>
      <c r="M2713">
        <v>97088</v>
      </c>
      <c r="N2713">
        <v>0</v>
      </c>
      <c r="O2713">
        <v>101711</v>
      </c>
    </row>
    <row r="2714" spans="1:15" x14ac:dyDescent="0.35">
      <c r="A2714">
        <v>2713</v>
      </c>
      <c r="B2714" s="2" t="s">
        <v>10</v>
      </c>
      <c r="C2714" s="2" t="s">
        <v>15</v>
      </c>
      <c r="D2714">
        <v>50</v>
      </c>
      <c r="E2714" s="2" t="s">
        <v>28</v>
      </c>
      <c r="F2714" s="2" t="s">
        <v>19</v>
      </c>
      <c r="G2714">
        <v>37422</v>
      </c>
      <c r="H2714" s="1">
        <v>45127</v>
      </c>
      <c r="I2714">
        <v>11</v>
      </c>
      <c r="J2714">
        <v>5</v>
      </c>
      <c r="K2714">
        <v>3742</v>
      </c>
      <c r="L2714">
        <v>1871</v>
      </c>
      <c r="M2714">
        <v>39293</v>
      </c>
      <c r="N2714">
        <v>1871</v>
      </c>
      <c r="O2714">
        <v>43035</v>
      </c>
    </row>
    <row r="2715" spans="1:15" x14ac:dyDescent="0.35">
      <c r="A2715">
        <v>2714</v>
      </c>
      <c r="B2715" s="2" t="s">
        <v>22</v>
      </c>
      <c r="C2715" s="2" t="s">
        <v>15</v>
      </c>
      <c r="D2715">
        <v>51</v>
      </c>
      <c r="E2715" s="2" t="s">
        <v>28</v>
      </c>
      <c r="F2715" s="2" t="s">
        <v>21</v>
      </c>
      <c r="G2715">
        <v>55871</v>
      </c>
      <c r="H2715" s="1">
        <v>45504</v>
      </c>
      <c r="I2715">
        <v>11</v>
      </c>
      <c r="J2715">
        <v>1</v>
      </c>
      <c r="K2715">
        <v>5587</v>
      </c>
      <c r="L2715">
        <v>2794</v>
      </c>
      <c r="M2715">
        <v>58664</v>
      </c>
      <c r="N2715">
        <v>2794</v>
      </c>
      <c r="O2715">
        <v>64252</v>
      </c>
    </row>
    <row r="2716" spans="1:15" x14ac:dyDescent="0.35">
      <c r="A2716">
        <v>2715</v>
      </c>
      <c r="B2716" s="2" t="s">
        <v>31</v>
      </c>
      <c r="C2716" s="2" t="s">
        <v>11</v>
      </c>
      <c r="D2716">
        <v>38</v>
      </c>
      <c r="E2716" s="2" t="s">
        <v>24</v>
      </c>
      <c r="F2716" s="2" t="s">
        <v>13</v>
      </c>
      <c r="G2716">
        <v>96515</v>
      </c>
      <c r="H2716" s="1">
        <v>44953</v>
      </c>
      <c r="I2716">
        <v>1</v>
      </c>
      <c r="J2716">
        <v>1</v>
      </c>
      <c r="K2716">
        <v>9652</v>
      </c>
      <c r="L2716">
        <v>4826</v>
      </c>
      <c r="M2716">
        <v>101341</v>
      </c>
      <c r="N2716">
        <v>0</v>
      </c>
      <c r="O2716">
        <v>106167</v>
      </c>
    </row>
    <row r="2717" spans="1:15" x14ac:dyDescent="0.35">
      <c r="A2717">
        <v>2716</v>
      </c>
      <c r="B2717" s="2" t="s">
        <v>31</v>
      </c>
      <c r="C2717" s="2" t="s">
        <v>11</v>
      </c>
      <c r="D2717">
        <v>27</v>
      </c>
      <c r="E2717" s="2" t="s">
        <v>24</v>
      </c>
      <c r="F2717" s="2" t="s">
        <v>17</v>
      </c>
      <c r="G2717">
        <v>92838</v>
      </c>
      <c r="H2717" s="1">
        <v>45327</v>
      </c>
      <c r="I2717">
        <v>7</v>
      </c>
      <c r="J2717">
        <v>5</v>
      </c>
      <c r="K2717">
        <v>9284</v>
      </c>
      <c r="L2717">
        <v>4642</v>
      </c>
      <c r="M2717">
        <v>97480</v>
      </c>
      <c r="N2717">
        <v>4642</v>
      </c>
      <c r="O2717">
        <v>106764</v>
      </c>
    </row>
    <row r="2718" spans="1:15" x14ac:dyDescent="0.35">
      <c r="A2718">
        <v>2717</v>
      </c>
      <c r="B2718" s="2" t="s">
        <v>18</v>
      </c>
      <c r="C2718" s="2" t="s">
        <v>11</v>
      </c>
      <c r="D2718">
        <v>45</v>
      </c>
      <c r="E2718" s="2" t="s">
        <v>16</v>
      </c>
      <c r="F2718" s="2" t="s">
        <v>21</v>
      </c>
      <c r="G2718">
        <v>47729</v>
      </c>
      <c r="H2718" s="1">
        <v>44749</v>
      </c>
      <c r="I2718">
        <v>6</v>
      </c>
      <c r="J2718">
        <v>3</v>
      </c>
      <c r="K2718">
        <v>4773</v>
      </c>
      <c r="L2718">
        <v>2386</v>
      </c>
      <c r="M2718">
        <v>50116</v>
      </c>
      <c r="N2718">
        <v>2386</v>
      </c>
      <c r="O2718">
        <v>54888</v>
      </c>
    </row>
    <row r="2719" spans="1:15" x14ac:dyDescent="0.35">
      <c r="A2719">
        <v>2718</v>
      </c>
      <c r="B2719" s="2" t="s">
        <v>10</v>
      </c>
      <c r="C2719" s="2" t="s">
        <v>15</v>
      </c>
      <c r="D2719">
        <v>36</v>
      </c>
      <c r="E2719" s="2" t="s">
        <v>29</v>
      </c>
      <c r="F2719" s="2" t="s">
        <v>17</v>
      </c>
      <c r="G2719">
        <v>87142</v>
      </c>
      <c r="H2719" s="1">
        <v>44953</v>
      </c>
      <c r="I2719">
        <v>7</v>
      </c>
      <c r="J2719">
        <v>4</v>
      </c>
      <c r="K2719">
        <v>8714</v>
      </c>
      <c r="L2719">
        <v>4357</v>
      </c>
      <c r="M2719">
        <v>91499</v>
      </c>
      <c r="N2719">
        <v>4357</v>
      </c>
      <c r="O2719">
        <v>100213</v>
      </c>
    </row>
    <row r="2720" spans="1:15" x14ac:dyDescent="0.35">
      <c r="A2720">
        <v>2719</v>
      </c>
      <c r="B2720" s="2" t="s">
        <v>26</v>
      </c>
      <c r="C2720" s="2" t="s">
        <v>11</v>
      </c>
      <c r="D2720">
        <v>23</v>
      </c>
      <c r="E2720" s="2" t="s">
        <v>24</v>
      </c>
      <c r="F2720" s="2" t="s">
        <v>19</v>
      </c>
      <c r="G2720">
        <v>94840</v>
      </c>
      <c r="H2720" s="1">
        <v>44709</v>
      </c>
      <c r="I2720">
        <v>17</v>
      </c>
      <c r="J2720">
        <v>1</v>
      </c>
      <c r="K2720">
        <v>9484</v>
      </c>
      <c r="L2720">
        <v>4742</v>
      </c>
      <c r="M2720">
        <v>99582</v>
      </c>
      <c r="N2720">
        <v>4742</v>
      </c>
      <c r="O2720">
        <v>109066</v>
      </c>
    </row>
    <row r="2721" spans="1:15" x14ac:dyDescent="0.35">
      <c r="A2721">
        <v>2720</v>
      </c>
      <c r="B2721" s="2" t="s">
        <v>26</v>
      </c>
      <c r="C2721" s="2" t="s">
        <v>15</v>
      </c>
      <c r="D2721">
        <v>21</v>
      </c>
      <c r="E2721" s="2" t="s">
        <v>28</v>
      </c>
      <c r="F2721" s="2" t="s">
        <v>13</v>
      </c>
      <c r="G2721">
        <v>67888</v>
      </c>
      <c r="H2721" s="1">
        <v>45446</v>
      </c>
      <c r="I2721">
        <v>5</v>
      </c>
      <c r="J2721">
        <v>5</v>
      </c>
      <c r="K2721">
        <v>6789</v>
      </c>
      <c r="L2721">
        <v>3394</v>
      </c>
      <c r="M2721">
        <v>71283</v>
      </c>
      <c r="N2721">
        <v>0</v>
      </c>
      <c r="O2721">
        <v>74677</v>
      </c>
    </row>
    <row r="2722" spans="1:15" x14ac:dyDescent="0.35">
      <c r="A2722">
        <v>2721</v>
      </c>
      <c r="B2722" s="2" t="s">
        <v>20</v>
      </c>
      <c r="C2722" s="2" t="s">
        <v>11</v>
      </c>
      <c r="D2722">
        <v>40</v>
      </c>
      <c r="E2722" s="2" t="s">
        <v>28</v>
      </c>
      <c r="F2722" s="2" t="s">
        <v>17</v>
      </c>
      <c r="G2722">
        <v>60472</v>
      </c>
      <c r="H2722" s="1">
        <v>45462</v>
      </c>
      <c r="I2722">
        <v>14</v>
      </c>
      <c r="J2722">
        <v>2</v>
      </c>
      <c r="K2722">
        <v>6047</v>
      </c>
      <c r="L2722">
        <v>3024</v>
      </c>
      <c r="M2722">
        <v>63495</v>
      </c>
      <c r="N2722">
        <v>3024</v>
      </c>
      <c r="O2722">
        <v>69543</v>
      </c>
    </row>
    <row r="2723" spans="1:15" x14ac:dyDescent="0.35">
      <c r="A2723">
        <v>2722</v>
      </c>
      <c r="B2723" s="2" t="s">
        <v>26</v>
      </c>
      <c r="C2723" s="2" t="s">
        <v>15</v>
      </c>
      <c r="D2723">
        <v>42</v>
      </c>
      <c r="E2723" s="2" t="s">
        <v>16</v>
      </c>
      <c r="F2723" s="2" t="s">
        <v>17</v>
      </c>
      <c r="G2723">
        <v>78325</v>
      </c>
      <c r="H2723" s="1">
        <v>45555</v>
      </c>
      <c r="I2723">
        <v>1</v>
      </c>
      <c r="J2723">
        <v>4</v>
      </c>
      <c r="K2723">
        <v>7832</v>
      </c>
      <c r="L2723">
        <v>3916</v>
      </c>
      <c r="M2723">
        <v>82241</v>
      </c>
      <c r="N2723">
        <v>0</v>
      </c>
      <c r="O2723">
        <v>86157</v>
      </c>
    </row>
    <row r="2724" spans="1:15" x14ac:dyDescent="0.35">
      <c r="A2724">
        <v>2723</v>
      </c>
      <c r="B2724" s="2" t="s">
        <v>27</v>
      </c>
      <c r="C2724" s="2" t="s">
        <v>11</v>
      </c>
      <c r="D2724">
        <v>40</v>
      </c>
      <c r="E2724" s="2" t="s">
        <v>28</v>
      </c>
      <c r="F2724" s="2" t="s">
        <v>13</v>
      </c>
      <c r="G2724">
        <v>89844</v>
      </c>
      <c r="H2724" s="1">
        <v>45156</v>
      </c>
      <c r="I2724">
        <v>20</v>
      </c>
      <c r="J2724">
        <v>2</v>
      </c>
      <c r="K2724">
        <v>8984</v>
      </c>
      <c r="L2724">
        <v>4492</v>
      </c>
      <c r="M2724">
        <v>94336</v>
      </c>
      <c r="N2724">
        <v>4492</v>
      </c>
      <c r="O2724">
        <v>103320</v>
      </c>
    </row>
    <row r="2725" spans="1:15" x14ac:dyDescent="0.35">
      <c r="A2725">
        <v>2724</v>
      </c>
      <c r="B2725" s="2" t="s">
        <v>23</v>
      </c>
      <c r="C2725" s="2" t="s">
        <v>15</v>
      </c>
      <c r="D2725">
        <v>32</v>
      </c>
      <c r="E2725" s="2" t="s">
        <v>16</v>
      </c>
      <c r="F2725" s="2" t="s">
        <v>13</v>
      </c>
      <c r="G2725">
        <v>68903</v>
      </c>
      <c r="H2725" s="1">
        <v>45397</v>
      </c>
      <c r="I2725">
        <v>13</v>
      </c>
      <c r="J2725">
        <v>3</v>
      </c>
      <c r="K2725">
        <v>6890</v>
      </c>
      <c r="L2725">
        <v>3445</v>
      </c>
      <c r="M2725">
        <v>72348</v>
      </c>
      <c r="N2725">
        <v>3445</v>
      </c>
      <c r="O2725">
        <v>79238</v>
      </c>
    </row>
    <row r="2726" spans="1:15" x14ac:dyDescent="0.35">
      <c r="A2726">
        <v>2725</v>
      </c>
      <c r="B2726" s="2" t="s">
        <v>22</v>
      </c>
      <c r="C2726" s="2" t="s">
        <v>15</v>
      </c>
      <c r="D2726">
        <v>44</v>
      </c>
      <c r="E2726" s="2" t="s">
        <v>16</v>
      </c>
      <c r="F2726" s="2" t="s">
        <v>13</v>
      </c>
      <c r="G2726">
        <v>29436</v>
      </c>
      <c r="H2726" s="1">
        <v>44886</v>
      </c>
      <c r="I2726">
        <v>14</v>
      </c>
      <c r="J2726">
        <v>2</v>
      </c>
      <c r="K2726">
        <v>2944</v>
      </c>
      <c r="L2726">
        <v>1472</v>
      </c>
      <c r="M2726">
        <v>30908</v>
      </c>
      <c r="N2726">
        <v>1472</v>
      </c>
      <c r="O2726">
        <v>33852</v>
      </c>
    </row>
    <row r="2727" spans="1:15" x14ac:dyDescent="0.35">
      <c r="A2727">
        <v>2726</v>
      </c>
      <c r="B2727" s="2" t="s">
        <v>27</v>
      </c>
      <c r="C2727" s="2" t="s">
        <v>11</v>
      </c>
      <c r="D2727">
        <v>24</v>
      </c>
      <c r="E2727" s="2" t="s">
        <v>29</v>
      </c>
      <c r="F2727" s="2" t="s">
        <v>19</v>
      </c>
      <c r="G2727">
        <v>85198</v>
      </c>
      <c r="H2727" s="1">
        <v>44586</v>
      </c>
      <c r="I2727">
        <v>15</v>
      </c>
      <c r="J2727">
        <v>4</v>
      </c>
      <c r="K2727">
        <v>8520</v>
      </c>
      <c r="L2727">
        <v>4260</v>
      </c>
      <c r="M2727">
        <v>89458</v>
      </c>
      <c r="N2727">
        <v>4260</v>
      </c>
      <c r="O2727">
        <v>97978</v>
      </c>
    </row>
    <row r="2728" spans="1:15" x14ac:dyDescent="0.35">
      <c r="A2728">
        <v>2727</v>
      </c>
      <c r="B2728" s="2" t="s">
        <v>27</v>
      </c>
      <c r="C2728" s="2" t="s">
        <v>11</v>
      </c>
      <c r="D2728">
        <v>39</v>
      </c>
      <c r="E2728" s="2" t="s">
        <v>28</v>
      </c>
      <c r="F2728" s="2" t="s">
        <v>17</v>
      </c>
      <c r="G2728">
        <v>80447</v>
      </c>
      <c r="H2728" s="1">
        <v>45378</v>
      </c>
      <c r="I2728">
        <v>16</v>
      </c>
      <c r="J2728">
        <v>2</v>
      </c>
      <c r="K2728">
        <v>8045</v>
      </c>
      <c r="L2728">
        <v>4022</v>
      </c>
      <c r="M2728">
        <v>84470</v>
      </c>
      <c r="N2728">
        <v>4022</v>
      </c>
      <c r="O2728">
        <v>92514</v>
      </c>
    </row>
    <row r="2729" spans="1:15" x14ac:dyDescent="0.35">
      <c r="A2729">
        <v>2728</v>
      </c>
      <c r="B2729" s="2" t="s">
        <v>14</v>
      </c>
      <c r="C2729" s="2" t="s">
        <v>15</v>
      </c>
      <c r="D2729">
        <v>24</v>
      </c>
      <c r="E2729" s="2" t="s">
        <v>29</v>
      </c>
      <c r="F2729" s="2" t="s">
        <v>19</v>
      </c>
      <c r="G2729">
        <v>30991</v>
      </c>
      <c r="H2729" s="1">
        <v>45370</v>
      </c>
      <c r="I2729">
        <v>9</v>
      </c>
      <c r="J2729">
        <v>1</v>
      </c>
      <c r="K2729">
        <v>3099</v>
      </c>
      <c r="L2729">
        <v>1550</v>
      </c>
      <c r="M2729">
        <v>32540</v>
      </c>
      <c r="N2729">
        <v>1550</v>
      </c>
      <c r="O2729">
        <v>35640</v>
      </c>
    </row>
    <row r="2730" spans="1:15" x14ac:dyDescent="0.35">
      <c r="A2730">
        <v>2729</v>
      </c>
      <c r="B2730" s="2" t="s">
        <v>18</v>
      </c>
      <c r="C2730" s="2" t="s">
        <v>11</v>
      </c>
      <c r="D2730">
        <v>24</v>
      </c>
      <c r="E2730" s="2" t="s">
        <v>29</v>
      </c>
      <c r="F2730" s="2" t="s">
        <v>17</v>
      </c>
      <c r="G2730">
        <v>65870</v>
      </c>
      <c r="H2730" s="1">
        <v>45446</v>
      </c>
      <c r="I2730">
        <v>2</v>
      </c>
      <c r="J2730">
        <v>3</v>
      </c>
      <c r="K2730">
        <v>6587</v>
      </c>
      <c r="L2730">
        <v>3294</v>
      </c>
      <c r="M2730">
        <v>69163</v>
      </c>
      <c r="N2730">
        <v>0</v>
      </c>
      <c r="O2730">
        <v>72457</v>
      </c>
    </row>
    <row r="2731" spans="1:15" x14ac:dyDescent="0.35">
      <c r="A2731">
        <v>2730</v>
      </c>
      <c r="B2731" s="2" t="s">
        <v>22</v>
      </c>
      <c r="C2731" s="2" t="s">
        <v>11</v>
      </c>
      <c r="D2731">
        <v>29</v>
      </c>
      <c r="E2731" s="2" t="s">
        <v>24</v>
      </c>
      <c r="F2731" s="2" t="s">
        <v>13</v>
      </c>
      <c r="G2731">
        <v>25359</v>
      </c>
      <c r="H2731" s="1">
        <v>44641</v>
      </c>
      <c r="I2731">
        <v>7</v>
      </c>
      <c r="J2731">
        <v>4</v>
      </c>
      <c r="K2731">
        <v>2536</v>
      </c>
      <c r="L2731">
        <v>1268</v>
      </c>
      <c r="M2731">
        <v>26627</v>
      </c>
      <c r="N2731">
        <v>1268</v>
      </c>
      <c r="O2731">
        <v>29163</v>
      </c>
    </row>
    <row r="2732" spans="1:15" x14ac:dyDescent="0.35">
      <c r="A2732">
        <v>2731</v>
      </c>
      <c r="B2732" s="2" t="s">
        <v>31</v>
      </c>
      <c r="C2732" s="2" t="s">
        <v>11</v>
      </c>
      <c r="D2732">
        <v>37</v>
      </c>
      <c r="E2732" s="2" t="s">
        <v>28</v>
      </c>
      <c r="F2732" s="2" t="s">
        <v>21</v>
      </c>
      <c r="G2732">
        <v>69508</v>
      </c>
      <c r="H2732" s="1">
        <v>44853</v>
      </c>
      <c r="I2732">
        <v>16</v>
      </c>
      <c r="J2732">
        <v>5</v>
      </c>
      <c r="K2732">
        <v>6951</v>
      </c>
      <c r="L2732">
        <v>3475</v>
      </c>
      <c r="M2732">
        <v>72984</v>
      </c>
      <c r="N2732">
        <v>3475</v>
      </c>
      <c r="O2732">
        <v>79934</v>
      </c>
    </row>
    <row r="2733" spans="1:15" x14ac:dyDescent="0.35">
      <c r="A2733">
        <v>2732</v>
      </c>
      <c r="B2733" s="2" t="s">
        <v>14</v>
      </c>
      <c r="C2733" s="2" t="s">
        <v>15</v>
      </c>
      <c r="D2733">
        <v>26</v>
      </c>
      <c r="E2733" s="2" t="s">
        <v>12</v>
      </c>
      <c r="F2733" s="2" t="s">
        <v>19</v>
      </c>
      <c r="G2733">
        <v>51511</v>
      </c>
      <c r="H2733" s="1">
        <v>44695</v>
      </c>
      <c r="I2733">
        <v>12</v>
      </c>
      <c r="J2733">
        <v>1</v>
      </c>
      <c r="K2733">
        <v>5151</v>
      </c>
      <c r="L2733">
        <v>2576</v>
      </c>
      <c r="M2733">
        <v>54086</v>
      </c>
      <c r="N2733">
        <v>2576</v>
      </c>
      <c r="O2733">
        <v>59238</v>
      </c>
    </row>
    <row r="2734" spans="1:15" x14ac:dyDescent="0.35">
      <c r="A2734">
        <v>2733</v>
      </c>
      <c r="B2734" s="2" t="s">
        <v>14</v>
      </c>
      <c r="C2734" s="2" t="s">
        <v>11</v>
      </c>
      <c r="D2734">
        <v>53</v>
      </c>
      <c r="E2734" s="2" t="s">
        <v>28</v>
      </c>
      <c r="F2734" s="2" t="s">
        <v>17</v>
      </c>
      <c r="G2734">
        <v>69648</v>
      </c>
      <c r="H2734" s="1">
        <v>45236</v>
      </c>
      <c r="I2734">
        <v>3</v>
      </c>
      <c r="J2734">
        <v>2</v>
      </c>
      <c r="K2734">
        <v>6965</v>
      </c>
      <c r="L2734">
        <v>3482</v>
      </c>
      <c r="M2734">
        <v>73131</v>
      </c>
      <c r="N2734">
        <v>0</v>
      </c>
      <c r="O2734">
        <v>76613</v>
      </c>
    </row>
    <row r="2735" spans="1:15" x14ac:dyDescent="0.35">
      <c r="A2735">
        <v>2734</v>
      </c>
      <c r="B2735" s="2" t="s">
        <v>14</v>
      </c>
      <c r="C2735" s="2" t="s">
        <v>11</v>
      </c>
      <c r="D2735">
        <v>48</v>
      </c>
      <c r="E2735" s="2" t="s">
        <v>16</v>
      </c>
      <c r="F2735" s="2" t="s">
        <v>25</v>
      </c>
      <c r="G2735">
        <v>30557</v>
      </c>
      <c r="H2735" s="1">
        <v>45389</v>
      </c>
      <c r="I2735">
        <v>14</v>
      </c>
      <c r="J2735">
        <v>5</v>
      </c>
      <c r="K2735">
        <v>3056</v>
      </c>
      <c r="L2735">
        <v>1528</v>
      </c>
      <c r="M2735">
        <v>32085</v>
      </c>
      <c r="N2735">
        <v>1528</v>
      </c>
      <c r="O2735">
        <v>35141</v>
      </c>
    </row>
    <row r="2736" spans="1:15" x14ac:dyDescent="0.35">
      <c r="A2736">
        <v>2735</v>
      </c>
      <c r="B2736" s="2" t="s">
        <v>30</v>
      </c>
      <c r="C2736" s="2" t="s">
        <v>15</v>
      </c>
      <c r="D2736">
        <v>53</v>
      </c>
      <c r="E2736" s="2" t="s">
        <v>16</v>
      </c>
      <c r="F2736" s="2" t="s">
        <v>21</v>
      </c>
      <c r="G2736">
        <v>88786</v>
      </c>
      <c r="H2736" s="1">
        <v>45239</v>
      </c>
      <c r="I2736">
        <v>6</v>
      </c>
      <c r="J2736">
        <v>4</v>
      </c>
      <c r="K2736">
        <v>8879</v>
      </c>
      <c r="L2736">
        <v>4439</v>
      </c>
      <c r="M2736">
        <v>93226</v>
      </c>
      <c r="N2736">
        <v>4439</v>
      </c>
      <c r="O2736">
        <v>102104</v>
      </c>
    </row>
    <row r="2737" spans="1:15" x14ac:dyDescent="0.35">
      <c r="A2737">
        <v>2736</v>
      </c>
      <c r="B2737" s="2" t="s">
        <v>23</v>
      </c>
      <c r="C2737" s="2" t="s">
        <v>15</v>
      </c>
      <c r="D2737">
        <v>60</v>
      </c>
      <c r="E2737" s="2" t="s">
        <v>24</v>
      </c>
      <c r="F2737" s="2" t="s">
        <v>13</v>
      </c>
      <c r="G2737">
        <v>25033</v>
      </c>
      <c r="H2737" s="1">
        <v>45072</v>
      </c>
      <c r="I2737">
        <v>18</v>
      </c>
      <c r="J2737">
        <v>2</v>
      </c>
      <c r="K2737">
        <v>2503</v>
      </c>
      <c r="L2737">
        <v>1252</v>
      </c>
      <c r="M2737">
        <v>26284</v>
      </c>
      <c r="N2737">
        <v>1252</v>
      </c>
      <c r="O2737">
        <v>28788</v>
      </c>
    </row>
    <row r="2738" spans="1:15" x14ac:dyDescent="0.35">
      <c r="A2738">
        <v>2737</v>
      </c>
      <c r="B2738" s="2" t="s">
        <v>18</v>
      </c>
      <c r="C2738" s="2" t="s">
        <v>11</v>
      </c>
      <c r="D2738">
        <v>36</v>
      </c>
      <c r="E2738" s="2" t="s">
        <v>29</v>
      </c>
      <c r="F2738" s="2" t="s">
        <v>25</v>
      </c>
      <c r="G2738">
        <v>40818</v>
      </c>
      <c r="H2738" s="1">
        <v>45130</v>
      </c>
      <c r="I2738">
        <v>1</v>
      </c>
      <c r="J2738">
        <v>5</v>
      </c>
      <c r="K2738">
        <v>4082</v>
      </c>
      <c r="L2738">
        <v>2041</v>
      </c>
      <c r="M2738">
        <v>42859</v>
      </c>
      <c r="N2738">
        <v>0</v>
      </c>
      <c r="O2738">
        <v>44900</v>
      </c>
    </row>
    <row r="2739" spans="1:15" x14ac:dyDescent="0.35">
      <c r="A2739">
        <v>2738</v>
      </c>
      <c r="B2739" s="2" t="s">
        <v>22</v>
      </c>
      <c r="C2739" s="2" t="s">
        <v>15</v>
      </c>
      <c r="D2739">
        <v>50</v>
      </c>
      <c r="E2739" s="2" t="s">
        <v>12</v>
      </c>
      <c r="F2739" s="2" t="s">
        <v>21</v>
      </c>
      <c r="G2739">
        <v>83870</v>
      </c>
      <c r="H2739" s="1">
        <v>44777</v>
      </c>
      <c r="I2739">
        <v>9</v>
      </c>
      <c r="J2739">
        <v>1</v>
      </c>
      <c r="K2739">
        <v>8387</v>
      </c>
      <c r="L2739">
        <v>4194</v>
      </c>
      <c r="M2739">
        <v>88063</v>
      </c>
      <c r="N2739">
        <v>4194</v>
      </c>
      <c r="O2739">
        <v>96451</v>
      </c>
    </row>
    <row r="2740" spans="1:15" x14ac:dyDescent="0.35">
      <c r="A2740">
        <v>2739</v>
      </c>
      <c r="B2740" s="2" t="s">
        <v>14</v>
      </c>
      <c r="C2740" s="2" t="s">
        <v>11</v>
      </c>
      <c r="D2740">
        <v>26</v>
      </c>
      <c r="E2740" s="2" t="s">
        <v>29</v>
      </c>
      <c r="F2740" s="2" t="s">
        <v>25</v>
      </c>
      <c r="G2740">
        <v>44996</v>
      </c>
      <c r="H2740" s="1">
        <v>45352</v>
      </c>
      <c r="I2740">
        <v>5</v>
      </c>
      <c r="J2740">
        <v>2</v>
      </c>
      <c r="K2740">
        <v>4500</v>
      </c>
      <c r="L2740">
        <v>2250</v>
      </c>
      <c r="M2740">
        <v>47246</v>
      </c>
      <c r="N2740">
        <v>0</v>
      </c>
      <c r="O2740">
        <v>49496</v>
      </c>
    </row>
    <row r="2741" spans="1:15" x14ac:dyDescent="0.35">
      <c r="A2741">
        <v>2740</v>
      </c>
      <c r="B2741" s="2" t="s">
        <v>27</v>
      </c>
      <c r="C2741" s="2" t="s">
        <v>15</v>
      </c>
      <c r="D2741">
        <v>51</v>
      </c>
      <c r="E2741" s="2" t="s">
        <v>24</v>
      </c>
      <c r="F2741" s="2" t="s">
        <v>19</v>
      </c>
      <c r="G2741">
        <v>99037</v>
      </c>
      <c r="H2741" s="1">
        <v>45153</v>
      </c>
      <c r="I2741">
        <v>5</v>
      </c>
      <c r="J2741">
        <v>2</v>
      </c>
      <c r="K2741">
        <v>9904</v>
      </c>
      <c r="L2741">
        <v>4952</v>
      </c>
      <c r="M2741">
        <v>103989</v>
      </c>
      <c r="N2741">
        <v>0</v>
      </c>
      <c r="O2741">
        <v>108941</v>
      </c>
    </row>
    <row r="2742" spans="1:15" x14ac:dyDescent="0.35">
      <c r="A2742">
        <v>2741</v>
      </c>
      <c r="B2742" s="2" t="s">
        <v>23</v>
      </c>
      <c r="C2742" s="2" t="s">
        <v>15</v>
      </c>
      <c r="D2742">
        <v>26</v>
      </c>
      <c r="E2742" s="2" t="s">
        <v>28</v>
      </c>
      <c r="F2742" s="2" t="s">
        <v>17</v>
      </c>
      <c r="G2742">
        <v>59041</v>
      </c>
      <c r="H2742" s="1">
        <v>45386</v>
      </c>
      <c r="I2742">
        <v>9</v>
      </c>
      <c r="J2742">
        <v>4</v>
      </c>
      <c r="K2742">
        <v>5904</v>
      </c>
      <c r="L2742">
        <v>2952</v>
      </c>
      <c r="M2742">
        <v>61993</v>
      </c>
      <c r="N2742">
        <v>2952</v>
      </c>
      <c r="O2742">
        <v>67897</v>
      </c>
    </row>
    <row r="2743" spans="1:15" x14ac:dyDescent="0.35">
      <c r="A2743">
        <v>2742</v>
      </c>
      <c r="B2743" s="2" t="s">
        <v>10</v>
      </c>
      <c r="C2743" s="2" t="s">
        <v>11</v>
      </c>
      <c r="D2743">
        <v>34</v>
      </c>
      <c r="E2743" s="2" t="s">
        <v>28</v>
      </c>
      <c r="F2743" s="2" t="s">
        <v>25</v>
      </c>
      <c r="G2743">
        <v>82397</v>
      </c>
      <c r="H2743" s="1">
        <v>45160</v>
      </c>
      <c r="I2743">
        <v>5</v>
      </c>
      <c r="J2743">
        <v>1</v>
      </c>
      <c r="K2743">
        <v>8240</v>
      </c>
      <c r="L2743">
        <v>4120</v>
      </c>
      <c r="M2743">
        <v>86517</v>
      </c>
      <c r="N2743">
        <v>0</v>
      </c>
      <c r="O2743">
        <v>90637</v>
      </c>
    </row>
    <row r="2744" spans="1:15" x14ac:dyDescent="0.35">
      <c r="A2744">
        <v>2743</v>
      </c>
      <c r="B2744" s="2" t="s">
        <v>10</v>
      </c>
      <c r="C2744" s="2" t="s">
        <v>15</v>
      </c>
      <c r="D2744">
        <v>22</v>
      </c>
      <c r="E2744" s="2" t="s">
        <v>28</v>
      </c>
      <c r="F2744" s="2" t="s">
        <v>25</v>
      </c>
      <c r="G2744">
        <v>78947</v>
      </c>
      <c r="H2744" s="1">
        <v>44939</v>
      </c>
      <c r="I2744">
        <v>18</v>
      </c>
      <c r="J2744">
        <v>5</v>
      </c>
      <c r="K2744">
        <v>7895</v>
      </c>
      <c r="L2744">
        <v>3947</v>
      </c>
      <c r="M2744">
        <v>82895</v>
      </c>
      <c r="N2744">
        <v>3947</v>
      </c>
      <c r="O2744">
        <v>90789</v>
      </c>
    </row>
    <row r="2745" spans="1:15" x14ac:dyDescent="0.35">
      <c r="A2745">
        <v>2744</v>
      </c>
      <c r="B2745" s="2" t="s">
        <v>26</v>
      </c>
      <c r="C2745" s="2" t="s">
        <v>15</v>
      </c>
      <c r="D2745">
        <v>31</v>
      </c>
      <c r="E2745" s="2" t="s">
        <v>28</v>
      </c>
      <c r="F2745" s="2" t="s">
        <v>13</v>
      </c>
      <c r="G2745">
        <v>49773</v>
      </c>
      <c r="H2745" s="1">
        <v>45088</v>
      </c>
      <c r="I2745">
        <v>13</v>
      </c>
      <c r="J2745">
        <v>4</v>
      </c>
      <c r="K2745">
        <v>4977</v>
      </c>
      <c r="L2745">
        <v>2489</v>
      </c>
      <c r="M2745">
        <v>52261</v>
      </c>
      <c r="N2745">
        <v>2489</v>
      </c>
      <c r="O2745">
        <v>57239</v>
      </c>
    </row>
    <row r="2746" spans="1:15" x14ac:dyDescent="0.35">
      <c r="A2746">
        <v>2745</v>
      </c>
      <c r="B2746" s="2" t="s">
        <v>26</v>
      </c>
      <c r="C2746" s="2" t="s">
        <v>15</v>
      </c>
      <c r="D2746">
        <v>36</v>
      </c>
      <c r="E2746" s="2" t="s">
        <v>12</v>
      </c>
      <c r="F2746" s="2" t="s">
        <v>19</v>
      </c>
      <c r="G2746">
        <v>43961</v>
      </c>
      <c r="H2746" s="1">
        <v>44799</v>
      </c>
      <c r="I2746">
        <v>11</v>
      </c>
      <c r="J2746">
        <v>1</v>
      </c>
      <c r="K2746">
        <v>4396</v>
      </c>
      <c r="L2746">
        <v>2198</v>
      </c>
      <c r="M2746">
        <v>46159</v>
      </c>
      <c r="N2746">
        <v>2198</v>
      </c>
      <c r="O2746">
        <v>50555</v>
      </c>
    </row>
    <row r="2747" spans="1:15" x14ac:dyDescent="0.35">
      <c r="A2747">
        <v>2746</v>
      </c>
      <c r="B2747" s="2" t="s">
        <v>23</v>
      </c>
      <c r="C2747" s="2" t="s">
        <v>11</v>
      </c>
      <c r="D2747">
        <v>54</v>
      </c>
      <c r="E2747" s="2" t="s">
        <v>29</v>
      </c>
      <c r="F2747" s="2" t="s">
        <v>25</v>
      </c>
      <c r="G2747">
        <v>67067</v>
      </c>
      <c r="H2747" s="1">
        <v>45485</v>
      </c>
      <c r="I2747">
        <v>8</v>
      </c>
      <c r="J2747">
        <v>5</v>
      </c>
      <c r="K2747">
        <v>6707</v>
      </c>
      <c r="L2747">
        <v>3353</v>
      </c>
      <c r="M2747">
        <v>70421</v>
      </c>
      <c r="N2747">
        <v>3353</v>
      </c>
      <c r="O2747">
        <v>77127</v>
      </c>
    </row>
    <row r="2748" spans="1:15" x14ac:dyDescent="0.35">
      <c r="A2748">
        <v>2747</v>
      </c>
      <c r="B2748" s="2" t="s">
        <v>31</v>
      </c>
      <c r="C2748" s="2" t="s">
        <v>15</v>
      </c>
      <c r="D2748">
        <v>47</v>
      </c>
      <c r="E2748" s="2" t="s">
        <v>12</v>
      </c>
      <c r="F2748" s="2" t="s">
        <v>25</v>
      </c>
      <c r="G2748">
        <v>97151</v>
      </c>
      <c r="H2748" s="1">
        <v>45156</v>
      </c>
      <c r="I2748">
        <v>7</v>
      </c>
      <c r="J2748">
        <v>5</v>
      </c>
      <c r="K2748">
        <v>9715</v>
      </c>
      <c r="L2748">
        <v>4858</v>
      </c>
      <c r="M2748">
        <v>102008</v>
      </c>
      <c r="N2748">
        <v>4858</v>
      </c>
      <c r="O2748">
        <v>111724</v>
      </c>
    </row>
    <row r="2749" spans="1:15" x14ac:dyDescent="0.35">
      <c r="A2749">
        <v>2748</v>
      </c>
      <c r="B2749" s="2" t="s">
        <v>30</v>
      </c>
      <c r="C2749" s="2" t="s">
        <v>15</v>
      </c>
      <c r="D2749">
        <v>55</v>
      </c>
      <c r="E2749" s="2" t="s">
        <v>24</v>
      </c>
      <c r="F2749" s="2" t="s">
        <v>17</v>
      </c>
      <c r="G2749">
        <v>46464</v>
      </c>
      <c r="H2749" s="1">
        <v>45240</v>
      </c>
      <c r="I2749">
        <v>8</v>
      </c>
      <c r="J2749">
        <v>3</v>
      </c>
      <c r="K2749">
        <v>4646</v>
      </c>
      <c r="L2749">
        <v>2323</v>
      </c>
      <c r="M2749">
        <v>48787</v>
      </c>
      <c r="N2749">
        <v>2323</v>
      </c>
      <c r="O2749">
        <v>53433</v>
      </c>
    </row>
    <row r="2750" spans="1:15" x14ac:dyDescent="0.35">
      <c r="A2750">
        <v>2749</v>
      </c>
      <c r="B2750" s="2" t="s">
        <v>26</v>
      </c>
      <c r="C2750" s="2" t="s">
        <v>11</v>
      </c>
      <c r="D2750">
        <v>26</v>
      </c>
      <c r="E2750" s="2" t="s">
        <v>24</v>
      </c>
      <c r="F2750" s="2" t="s">
        <v>25</v>
      </c>
      <c r="G2750">
        <v>80699</v>
      </c>
      <c r="H2750" s="1">
        <v>45191</v>
      </c>
      <c r="I2750">
        <v>10</v>
      </c>
      <c r="J2750">
        <v>3</v>
      </c>
      <c r="K2750">
        <v>8070</v>
      </c>
      <c r="L2750">
        <v>4035</v>
      </c>
      <c r="M2750">
        <v>84734</v>
      </c>
      <c r="N2750">
        <v>4035</v>
      </c>
      <c r="O2750">
        <v>92804</v>
      </c>
    </row>
    <row r="2751" spans="1:15" x14ac:dyDescent="0.35">
      <c r="A2751">
        <v>2750</v>
      </c>
      <c r="B2751" s="2" t="s">
        <v>18</v>
      </c>
      <c r="C2751" s="2" t="s">
        <v>15</v>
      </c>
      <c r="D2751">
        <v>50</v>
      </c>
      <c r="E2751" s="2" t="s">
        <v>28</v>
      </c>
      <c r="F2751" s="2" t="s">
        <v>13</v>
      </c>
      <c r="G2751">
        <v>77456</v>
      </c>
      <c r="H2751" s="1">
        <v>45191</v>
      </c>
      <c r="I2751">
        <v>10</v>
      </c>
      <c r="J2751">
        <v>4</v>
      </c>
      <c r="K2751">
        <v>7746</v>
      </c>
      <c r="L2751">
        <v>3873</v>
      </c>
      <c r="M2751">
        <v>81329</v>
      </c>
      <c r="N2751">
        <v>3873</v>
      </c>
      <c r="O2751">
        <v>89075</v>
      </c>
    </row>
    <row r="2752" spans="1:15" x14ac:dyDescent="0.35">
      <c r="A2752">
        <v>2751</v>
      </c>
      <c r="B2752" s="2" t="s">
        <v>31</v>
      </c>
      <c r="C2752" s="2" t="s">
        <v>11</v>
      </c>
      <c r="D2752">
        <v>34</v>
      </c>
      <c r="E2752" s="2" t="s">
        <v>12</v>
      </c>
      <c r="F2752" s="2" t="s">
        <v>21</v>
      </c>
      <c r="G2752">
        <v>20914</v>
      </c>
      <c r="H2752" s="1">
        <v>44632</v>
      </c>
      <c r="I2752">
        <v>9</v>
      </c>
      <c r="J2752">
        <v>1</v>
      </c>
      <c r="K2752">
        <v>2091</v>
      </c>
      <c r="L2752">
        <v>1046</v>
      </c>
      <c r="M2752">
        <v>21959</v>
      </c>
      <c r="N2752">
        <v>1046</v>
      </c>
      <c r="O2752">
        <v>24051</v>
      </c>
    </row>
    <row r="2753" spans="1:15" x14ac:dyDescent="0.35">
      <c r="A2753">
        <v>2752</v>
      </c>
      <c r="B2753" s="2" t="s">
        <v>30</v>
      </c>
      <c r="C2753" s="2" t="s">
        <v>11</v>
      </c>
      <c r="D2753">
        <v>37</v>
      </c>
      <c r="E2753" s="2" t="s">
        <v>29</v>
      </c>
      <c r="F2753" s="2" t="s">
        <v>19</v>
      </c>
      <c r="G2753">
        <v>49825</v>
      </c>
      <c r="H2753" s="1">
        <v>45435</v>
      </c>
      <c r="I2753">
        <v>19</v>
      </c>
      <c r="J2753">
        <v>2</v>
      </c>
      <c r="K2753">
        <v>4982</v>
      </c>
      <c r="L2753">
        <v>2491</v>
      </c>
      <c r="M2753">
        <v>52316</v>
      </c>
      <c r="N2753">
        <v>2491</v>
      </c>
      <c r="O2753">
        <v>57298</v>
      </c>
    </row>
    <row r="2754" spans="1:15" x14ac:dyDescent="0.35">
      <c r="A2754">
        <v>2753</v>
      </c>
      <c r="B2754" s="2" t="s">
        <v>18</v>
      </c>
      <c r="C2754" s="2" t="s">
        <v>11</v>
      </c>
      <c r="D2754">
        <v>57</v>
      </c>
      <c r="E2754" s="2" t="s">
        <v>16</v>
      </c>
      <c r="F2754" s="2" t="s">
        <v>13</v>
      </c>
      <c r="G2754">
        <v>27449</v>
      </c>
      <c r="H2754" s="1">
        <v>44672</v>
      </c>
      <c r="I2754">
        <v>13</v>
      </c>
      <c r="J2754">
        <v>2</v>
      </c>
      <c r="K2754">
        <v>2745</v>
      </c>
      <c r="L2754">
        <v>1372</v>
      </c>
      <c r="M2754">
        <v>28822</v>
      </c>
      <c r="N2754">
        <v>1372</v>
      </c>
      <c r="O2754">
        <v>31566</v>
      </c>
    </row>
    <row r="2755" spans="1:15" x14ac:dyDescent="0.35">
      <c r="A2755">
        <v>2754</v>
      </c>
      <c r="B2755" s="2" t="s">
        <v>10</v>
      </c>
      <c r="C2755" s="2" t="s">
        <v>11</v>
      </c>
      <c r="D2755">
        <v>54</v>
      </c>
      <c r="E2755" s="2" t="s">
        <v>28</v>
      </c>
      <c r="F2755" s="2" t="s">
        <v>19</v>
      </c>
      <c r="G2755">
        <v>71129</v>
      </c>
      <c r="H2755" s="1">
        <v>45111</v>
      </c>
      <c r="I2755">
        <v>8</v>
      </c>
      <c r="J2755">
        <v>4</v>
      </c>
      <c r="K2755">
        <v>7113</v>
      </c>
      <c r="L2755">
        <v>3556</v>
      </c>
      <c r="M2755">
        <v>74686</v>
      </c>
      <c r="N2755">
        <v>3556</v>
      </c>
      <c r="O2755">
        <v>81798</v>
      </c>
    </row>
    <row r="2756" spans="1:15" x14ac:dyDescent="0.35">
      <c r="A2756">
        <v>2755</v>
      </c>
      <c r="B2756" s="2" t="s">
        <v>23</v>
      </c>
      <c r="C2756" s="2" t="s">
        <v>15</v>
      </c>
      <c r="D2756">
        <v>46</v>
      </c>
      <c r="E2756" s="2" t="s">
        <v>28</v>
      </c>
      <c r="F2756" s="2" t="s">
        <v>21</v>
      </c>
      <c r="G2756">
        <v>99149</v>
      </c>
      <c r="H2756" s="1">
        <v>45342</v>
      </c>
      <c r="I2756">
        <v>9</v>
      </c>
      <c r="J2756">
        <v>4</v>
      </c>
      <c r="K2756">
        <v>9915</v>
      </c>
      <c r="L2756">
        <v>4957</v>
      </c>
      <c r="M2756">
        <v>104107</v>
      </c>
      <c r="N2756">
        <v>4957</v>
      </c>
      <c r="O2756">
        <v>114021</v>
      </c>
    </row>
    <row r="2757" spans="1:15" x14ac:dyDescent="0.35">
      <c r="A2757">
        <v>2756</v>
      </c>
      <c r="B2757" s="2" t="s">
        <v>22</v>
      </c>
      <c r="C2757" s="2" t="s">
        <v>15</v>
      </c>
      <c r="D2757">
        <v>59</v>
      </c>
      <c r="E2757" s="2" t="s">
        <v>24</v>
      </c>
      <c r="F2757" s="2" t="s">
        <v>21</v>
      </c>
      <c r="G2757">
        <v>71916</v>
      </c>
      <c r="H2757" s="1">
        <v>44613</v>
      </c>
      <c r="I2757">
        <v>19</v>
      </c>
      <c r="J2757">
        <v>2</v>
      </c>
      <c r="K2757">
        <v>7192</v>
      </c>
      <c r="L2757">
        <v>3596</v>
      </c>
      <c r="M2757">
        <v>75512</v>
      </c>
      <c r="N2757">
        <v>3596</v>
      </c>
      <c r="O2757">
        <v>82704</v>
      </c>
    </row>
    <row r="2758" spans="1:15" x14ac:dyDescent="0.35">
      <c r="A2758">
        <v>2757</v>
      </c>
      <c r="B2758" s="2" t="s">
        <v>10</v>
      </c>
      <c r="C2758" s="2" t="s">
        <v>11</v>
      </c>
      <c r="D2758">
        <v>39</v>
      </c>
      <c r="E2758" s="2" t="s">
        <v>28</v>
      </c>
      <c r="F2758" s="2" t="s">
        <v>13</v>
      </c>
      <c r="G2758">
        <v>88115</v>
      </c>
      <c r="H2758" s="1">
        <v>44976</v>
      </c>
      <c r="I2758">
        <v>2</v>
      </c>
      <c r="J2758">
        <v>4</v>
      </c>
      <c r="K2758">
        <v>8812</v>
      </c>
      <c r="L2758">
        <v>4406</v>
      </c>
      <c r="M2758">
        <v>92521</v>
      </c>
      <c r="N2758">
        <v>0</v>
      </c>
      <c r="O2758">
        <v>96927</v>
      </c>
    </row>
    <row r="2759" spans="1:15" x14ac:dyDescent="0.35">
      <c r="A2759">
        <v>2758</v>
      </c>
      <c r="B2759" s="2" t="s">
        <v>22</v>
      </c>
      <c r="C2759" s="2" t="s">
        <v>11</v>
      </c>
      <c r="D2759">
        <v>53</v>
      </c>
      <c r="E2759" s="2" t="s">
        <v>24</v>
      </c>
      <c r="F2759" s="2" t="s">
        <v>17</v>
      </c>
      <c r="G2759">
        <v>43340</v>
      </c>
      <c r="H2759" s="1">
        <v>44937</v>
      </c>
      <c r="I2759">
        <v>16</v>
      </c>
      <c r="J2759">
        <v>3</v>
      </c>
      <c r="K2759">
        <v>4334</v>
      </c>
      <c r="L2759">
        <v>2167</v>
      </c>
      <c r="M2759">
        <v>45507</v>
      </c>
      <c r="N2759">
        <v>2167</v>
      </c>
      <c r="O2759">
        <v>49841</v>
      </c>
    </row>
    <row r="2760" spans="1:15" x14ac:dyDescent="0.35">
      <c r="A2760">
        <v>2759</v>
      </c>
      <c r="B2760" s="2" t="s">
        <v>18</v>
      </c>
      <c r="C2760" s="2" t="s">
        <v>15</v>
      </c>
      <c r="D2760">
        <v>41</v>
      </c>
      <c r="E2760" s="2" t="s">
        <v>16</v>
      </c>
      <c r="F2760" s="2" t="s">
        <v>17</v>
      </c>
      <c r="G2760">
        <v>81685</v>
      </c>
      <c r="H2760" s="1">
        <v>45123</v>
      </c>
      <c r="I2760">
        <v>12</v>
      </c>
      <c r="J2760">
        <v>4</v>
      </c>
      <c r="K2760">
        <v>8168</v>
      </c>
      <c r="L2760">
        <v>4084</v>
      </c>
      <c r="M2760">
        <v>85769</v>
      </c>
      <c r="N2760">
        <v>4084</v>
      </c>
      <c r="O2760">
        <v>93937</v>
      </c>
    </row>
    <row r="2761" spans="1:15" x14ac:dyDescent="0.35">
      <c r="A2761">
        <v>2760</v>
      </c>
      <c r="B2761" s="2" t="s">
        <v>27</v>
      </c>
      <c r="C2761" s="2" t="s">
        <v>11</v>
      </c>
      <c r="D2761">
        <v>50</v>
      </c>
      <c r="E2761" s="2" t="s">
        <v>12</v>
      </c>
      <c r="F2761" s="2" t="s">
        <v>13</v>
      </c>
      <c r="G2761">
        <v>96949</v>
      </c>
      <c r="H2761" s="1">
        <v>45503</v>
      </c>
      <c r="I2761">
        <v>14</v>
      </c>
      <c r="J2761">
        <v>2</v>
      </c>
      <c r="K2761">
        <v>9695</v>
      </c>
      <c r="L2761">
        <v>4847</v>
      </c>
      <c r="M2761">
        <v>101797</v>
      </c>
      <c r="N2761">
        <v>4847</v>
      </c>
      <c r="O2761">
        <v>111491</v>
      </c>
    </row>
    <row r="2762" spans="1:15" x14ac:dyDescent="0.35">
      <c r="A2762">
        <v>2761</v>
      </c>
      <c r="B2762" s="2" t="s">
        <v>22</v>
      </c>
      <c r="C2762" s="2" t="s">
        <v>15</v>
      </c>
      <c r="D2762">
        <v>53</v>
      </c>
      <c r="E2762" s="2" t="s">
        <v>12</v>
      </c>
      <c r="F2762" s="2" t="s">
        <v>25</v>
      </c>
      <c r="G2762">
        <v>50802</v>
      </c>
      <c r="H2762" s="1">
        <v>45315</v>
      </c>
      <c r="I2762">
        <v>1</v>
      </c>
      <c r="J2762">
        <v>1</v>
      </c>
      <c r="K2762">
        <v>5080</v>
      </c>
      <c r="L2762">
        <v>2540</v>
      </c>
      <c r="M2762">
        <v>53342</v>
      </c>
      <c r="N2762">
        <v>0</v>
      </c>
      <c r="O2762">
        <v>55882</v>
      </c>
    </row>
    <row r="2763" spans="1:15" x14ac:dyDescent="0.35">
      <c r="A2763">
        <v>2762</v>
      </c>
      <c r="B2763" s="2" t="s">
        <v>18</v>
      </c>
      <c r="C2763" s="2" t="s">
        <v>11</v>
      </c>
      <c r="D2763">
        <v>53</v>
      </c>
      <c r="E2763" s="2" t="s">
        <v>28</v>
      </c>
      <c r="F2763" s="2" t="s">
        <v>13</v>
      </c>
      <c r="G2763">
        <v>54356</v>
      </c>
      <c r="H2763" s="1">
        <v>44629</v>
      </c>
      <c r="I2763">
        <v>1</v>
      </c>
      <c r="J2763">
        <v>4</v>
      </c>
      <c r="K2763">
        <v>5436</v>
      </c>
      <c r="L2763">
        <v>2718</v>
      </c>
      <c r="M2763">
        <v>57074</v>
      </c>
      <c r="N2763">
        <v>0</v>
      </c>
      <c r="O2763">
        <v>59792</v>
      </c>
    </row>
    <row r="2764" spans="1:15" x14ac:dyDescent="0.35">
      <c r="A2764">
        <v>2763</v>
      </c>
      <c r="B2764" s="2" t="s">
        <v>31</v>
      </c>
      <c r="C2764" s="2" t="s">
        <v>11</v>
      </c>
      <c r="D2764">
        <v>29</v>
      </c>
      <c r="E2764" s="2" t="s">
        <v>24</v>
      </c>
      <c r="F2764" s="2" t="s">
        <v>19</v>
      </c>
      <c r="G2764">
        <v>21529</v>
      </c>
      <c r="H2764" s="1">
        <v>45205</v>
      </c>
      <c r="I2764">
        <v>8</v>
      </c>
      <c r="J2764">
        <v>4</v>
      </c>
      <c r="K2764">
        <v>2153</v>
      </c>
      <c r="L2764">
        <v>1076</v>
      </c>
      <c r="M2764">
        <v>22606</v>
      </c>
      <c r="N2764">
        <v>1076</v>
      </c>
      <c r="O2764">
        <v>24758</v>
      </c>
    </row>
    <row r="2765" spans="1:15" x14ac:dyDescent="0.35">
      <c r="A2765">
        <v>2764</v>
      </c>
      <c r="B2765" s="2" t="s">
        <v>20</v>
      </c>
      <c r="C2765" s="2" t="s">
        <v>11</v>
      </c>
      <c r="D2765">
        <v>29</v>
      </c>
      <c r="E2765" s="2" t="s">
        <v>24</v>
      </c>
      <c r="F2765" s="2" t="s">
        <v>13</v>
      </c>
      <c r="G2765">
        <v>69796</v>
      </c>
      <c r="H2765" s="1">
        <v>45297</v>
      </c>
      <c r="I2765">
        <v>15</v>
      </c>
      <c r="J2765">
        <v>3</v>
      </c>
      <c r="K2765">
        <v>6980</v>
      </c>
      <c r="L2765">
        <v>3490</v>
      </c>
      <c r="M2765">
        <v>73286</v>
      </c>
      <c r="N2765">
        <v>3490</v>
      </c>
      <c r="O2765">
        <v>80266</v>
      </c>
    </row>
    <row r="2766" spans="1:15" x14ac:dyDescent="0.35">
      <c r="A2766">
        <v>2765</v>
      </c>
      <c r="B2766" s="2" t="s">
        <v>30</v>
      </c>
      <c r="C2766" s="2" t="s">
        <v>15</v>
      </c>
      <c r="D2766">
        <v>41</v>
      </c>
      <c r="E2766" s="2" t="s">
        <v>24</v>
      </c>
      <c r="F2766" s="2" t="s">
        <v>19</v>
      </c>
      <c r="G2766">
        <v>21603</v>
      </c>
      <c r="H2766" s="1">
        <v>45163</v>
      </c>
      <c r="I2766">
        <v>13</v>
      </c>
      <c r="J2766">
        <v>1</v>
      </c>
      <c r="K2766">
        <v>2160</v>
      </c>
      <c r="L2766">
        <v>1080</v>
      </c>
      <c r="M2766">
        <v>22683</v>
      </c>
      <c r="N2766">
        <v>1080</v>
      </c>
      <c r="O2766">
        <v>24843</v>
      </c>
    </row>
    <row r="2767" spans="1:15" x14ac:dyDescent="0.35">
      <c r="A2767">
        <v>2766</v>
      </c>
      <c r="B2767" s="2" t="s">
        <v>22</v>
      </c>
      <c r="C2767" s="2" t="s">
        <v>11</v>
      </c>
      <c r="D2767">
        <v>33</v>
      </c>
      <c r="E2767" s="2" t="s">
        <v>16</v>
      </c>
      <c r="F2767" s="2" t="s">
        <v>19</v>
      </c>
      <c r="G2767">
        <v>66180</v>
      </c>
      <c r="H2767" s="1">
        <v>45516</v>
      </c>
      <c r="I2767">
        <v>17</v>
      </c>
      <c r="J2767">
        <v>5</v>
      </c>
      <c r="K2767">
        <v>6618</v>
      </c>
      <c r="L2767">
        <v>3309</v>
      </c>
      <c r="M2767">
        <v>69489</v>
      </c>
      <c r="N2767">
        <v>3309</v>
      </c>
      <c r="O2767">
        <v>76107</v>
      </c>
    </row>
    <row r="2768" spans="1:15" x14ac:dyDescent="0.35">
      <c r="A2768">
        <v>2767</v>
      </c>
      <c r="B2768" s="2" t="s">
        <v>10</v>
      </c>
      <c r="C2768" s="2" t="s">
        <v>15</v>
      </c>
      <c r="D2768">
        <v>50</v>
      </c>
      <c r="E2768" s="2" t="s">
        <v>28</v>
      </c>
      <c r="F2768" s="2" t="s">
        <v>19</v>
      </c>
      <c r="G2768">
        <v>28918</v>
      </c>
      <c r="H2768" s="1">
        <v>45443</v>
      </c>
      <c r="I2768">
        <v>6</v>
      </c>
      <c r="J2768">
        <v>3</v>
      </c>
      <c r="K2768">
        <v>2892</v>
      </c>
      <c r="L2768">
        <v>1446</v>
      </c>
      <c r="M2768">
        <v>30364</v>
      </c>
      <c r="N2768">
        <v>1446</v>
      </c>
      <c r="O2768">
        <v>33256</v>
      </c>
    </row>
    <row r="2769" spans="1:15" x14ac:dyDescent="0.35">
      <c r="A2769">
        <v>2768</v>
      </c>
      <c r="B2769" s="2" t="s">
        <v>10</v>
      </c>
      <c r="C2769" s="2" t="s">
        <v>15</v>
      </c>
      <c r="D2769">
        <v>40</v>
      </c>
      <c r="E2769" s="2" t="s">
        <v>16</v>
      </c>
      <c r="F2769" s="2" t="s">
        <v>17</v>
      </c>
      <c r="G2769">
        <v>56342</v>
      </c>
      <c r="H2769" s="1">
        <v>44640</v>
      </c>
      <c r="I2769">
        <v>4</v>
      </c>
      <c r="J2769">
        <v>1</v>
      </c>
      <c r="K2769">
        <v>5634</v>
      </c>
      <c r="L2769">
        <v>2817</v>
      </c>
      <c r="M2769">
        <v>59159</v>
      </c>
      <c r="N2769">
        <v>0</v>
      </c>
      <c r="O2769">
        <v>61976</v>
      </c>
    </row>
    <row r="2770" spans="1:15" x14ac:dyDescent="0.35">
      <c r="A2770">
        <v>2769</v>
      </c>
      <c r="B2770" s="2" t="s">
        <v>10</v>
      </c>
      <c r="C2770" s="2" t="s">
        <v>11</v>
      </c>
      <c r="D2770">
        <v>25</v>
      </c>
      <c r="E2770" s="2" t="s">
        <v>29</v>
      </c>
      <c r="F2770" s="2" t="s">
        <v>25</v>
      </c>
      <c r="G2770">
        <v>38859</v>
      </c>
      <c r="H2770" s="1">
        <v>44819</v>
      </c>
      <c r="I2770">
        <v>4</v>
      </c>
      <c r="J2770">
        <v>5</v>
      </c>
      <c r="K2770">
        <v>3886</v>
      </c>
      <c r="L2770">
        <v>1943</v>
      </c>
      <c r="M2770">
        <v>40802</v>
      </c>
      <c r="N2770">
        <v>0</v>
      </c>
      <c r="O2770">
        <v>42745</v>
      </c>
    </row>
    <row r="2771" spans="1:15" x14ac:dyDescent="0.35">
      <c r="A2771">
        <v>2770</v>
      </c>
      <c r="B2771" s="2" t="s">
        <v>14</v>
      </c>
      <c r="C2771" s="2" t="s">
        <v>15</v>
      </c>
      <c r="D2771">
        <v>28</v>
      </c>
      <c r="E2771" s="2" t="s">
        <v>12</v>
      </c>
      <c r="F2771" s="2" t="s">
        <v>25</v>
      </c>
      <c r="G2771">
        <v>57783</v>
      </c>
      <c r="H2771" s="1">
        <v>45114</v>
      </c>
      <c r="I2771">
        <v>18</v>
      </c>
      <c r="J2771">
        <v>2</v>
      </c>
      <c r="K2771">
        <v>5778</v>
      </c>
      <c r="L2771">
        <v>2889</v>
      </c>
      <c r="M2771">
        <v>60672</v>
      </c>
      <c r="N2771">
        <v>2889</v>
      </c>
      <c r="O2771">
        <v>66450</v>
      </c>
    </row>
    <row r="2772" spans="1:15" x14ac:dyDescent="0.35">
      <c r="A2772">
        <v>2771</v>
      </c>
      <c r="B2772" s="2" t="s">
        <v>18</v>
      </c>
      <c r="C2772" s="2" t="s">
        <v>11</v>
      </c>
      <c r="D2772">
        <v>28</v>
      </c>
      <c r="E2772" s="2" t="s">
        <v>29</v>
      </c>
      <c r="F2772" s="2" t="s">
        <v>13</v>
      </c>
      <c r="G2772">
        <v>51200</v>
      </c>
      <c r="H2772" s="1">
        <v>45282</v>
      </c>
      <c r="I2772">
        <v>6</v>
      </c>
      <c r="J2772">
        <v>4</v>
      </c>
      <c r="K2772">
        <v>5120</v>
      </c>
      <c r="L2772">
        <v>2560</v>
      </c>
      <c r="M2772">
        <v>53760</v>
      </c>
      <c r="N2772">
        <v>2560</v>
      </c>
      <c r="O2772">
        <v>58880</v>
      </c>
    </row>
    <row r="2773" spans="1:15" x14ac:dyDescent="0.35">
      <c r="A2773">
        <v>2772</v>
      </c>
      <c r="B2773" s="2" t="s">
        <v>30</v>
      </c>
      <c r="C2773" s="2" t="s">
        <v>15</v>
      </c>
      <c r="D2773">
        <v>44</v>
      </c>
      <c r="E2773" s="2" t="s">
        <v>12</v>
      </c>
      <c r="F2773" s="2" t="s">
        <v>17</v>
      </c>
      <c r="G2773">
        <v>25297</v>
      </c>
      <c r="H2773" s="1">
        <v>45219</v>
      </c>
      <c r="I2773">
        <v>16</v>
      </c>
      <c r="J2773">
        <v>5</v>
      </c>
      <c r="K2773">
        <v>2530</v>
      </c>
      <c r="L2773">
        <v>1265</v>
      </c>
      <c r="M2773">
        <v>26562</v>
      </c>
      <c r="N2773">
        <v>1265</v>
      </c>
      <c r="O2773">
        <v>29092</v>
      </c>
    </row>
    <row r="2774" spans="1:15" x14ac:dyDescent="0.35">
      <c r="A2774">
        <v>2773</v>
      </c>
      <c r="B2774" s="2" t="s">
        <v>20</v>
      </c>
      <c r="C2774" s="2" t="s">
        <v>15</v>
      </c>
      <c r="D2774">
        <v>50</v>
      </c>
      <c r="E2774" s="2" t="s">
        <v>29</v>
      </c>
      <c r="F2774" s="2" t="s">
        <v>17</v>
      </c>
      <c r="G2774">
        <v>39870</v>
      </c>
      <c r="H2774" s="1">
        <v>45189</v>
      </c>
      <c r="I2774">
        <v>10</v>
      </c>
      <c r="J2774">
        <v>5</v>
      </c>
      <c r="K2774">
        <v>3987</v>
      </c>
      <c r="L2774">
        <v>1994</v>
      </c>
      <c r="M2774">
        <v>41863</v>
      </c>
      <c r="N2774">
        <v>1994</v>
      </c>
      <c r="O2774">
        <v>45851</v>
      </c>
    </row>
    <row r="2775" spans="1:15" x14ac:dyDescent="0.35">
      <c r="A2775">
        <v>2774</v>
      </c>
      <c r="B2775" s="2" t="s">
        <v>10</v>
      </c>
      <c r="C2775" s="2" t="s">
        <v>15</v>
      </c>
      <c r="D2775">
        <v>56</v>
      </c>
      <c r="E2775" s="2" t="s">
        <v>29</v>
      </c>
      <c r="F2775" s="2" t="s">
        <v>19</v>
      </c>
      <c r="G2775">
        <v>41677</v>
      </c>
      <c r="H2775" s="1">
        <v>45010</v>
      </c>
      <c r="I2775">
        <v>18</v>
      </c>
      <c r="J2775">
        <v>2</v>
      </c>
      <c r="K2775">
        <v>4168</v>
      </c>
      <c r="L2775">
        <v>2084</v>
      </c>
      <c r="M2775">
        <v>43761</v>
      </c>
      <c r="N2775">
        <v>2084</v>
      </c>
      <c r="O2775">
        <v>47929</v>
      </c>
    </row>
    <row r="2776" spans="1:15" x14ac:dyDescent="0.35">
      <c r="A2776">
        <v>2775</v>
      </c>
      <c r="B2776" s="2" t="s">
        <v>10</v>
      </c>
      <c r="C2776" s="2" t="s">
        <v>11</v>
      </c>
      <c r="D2776">
        <v>30</v>
      </c>
      <c r="E2776" s="2" t="s">
        <v>16</v>
      </c>
      <c r="F2776" s="2" t="s">
        <v>25</v>
      </c>
      <c r="G2776">
        <v>40181</v>
      </c>
      <c r="H2776" s="1">
        <v>45206</v>
      </c>
      <c r="I2776">
        <v>16</v>
      </c>
      <c r="J2776">
        <v>3</v>
      </c>
      <c r="K2776">
        <v>4018</v>
      </c>
      <c r="L2776">
        <v>2009</v>
      </c>
      <c r="M2776">
        <v>42190</v>
      </c>
      <c r="N2776">
        <v>2009</v>
      </c>
      <c r="O2776">
        <v>46208</v>
      </c>
    </row>
    <row r="2777" spans="1:15" x14ac:dyDescent="0.35">
      <c r="A2777">
        <v>2776</v>
      </c>
      <c r="B2777" s="2" t="s">
        <v>27</v>
      </c>
      <c r="C2777" s="2" t="s">
        <v>15</v>
      </c>
      <c r="D2777">
        <v>25</v>
      </c>
      <c r="E2777" s="2" t="s">
        <v>28</v>
      </c>
      <c r="F2777" s="2" t="s">
        <v>21</v>
      </c>
      <c r="G2777">
        <v>69058</v>
      </c>
      <c r="H2777" s="1">
        <v>45338</v>
      </c>
      <c r="I2777">
        <v>18</v>
      </c>
      <c r="J2777">
        <v>1</v>
      </c>
      <c r="K2777">
        <v>6906</v>
      </c>
      <c r="L2777">
        <v>3453</v>
      </c>
      <c r="M2777">
        <v>72511</v>
      </c>
      <c r="N2777">
        <v>3453</v>
      </c>
      <c r="O2777">
        <v>79417</v>
      </c>
    </row>
    <row r="2778" spans="1:15" x14ac:dyDescent="0.35">
      <c r="A2778">
        <v>2777</v>
      </c>
      <c r="B2778" s="2" t="s">
        <v>27</v>
      </c>
      <c r="C2778" s="2" t="s">
        <v>15</v>
      </c>
      <c r="D2778">
        <v>51</v>
      </c>
      <c r="E2778" s="2" t="s">
        <v>28</v>
      </c>
      <c r="F2778" s="2" t="s">
        <v>21</v>
      </c>
      <c r="G2778">
        <v>54758</v>
      </c>
      <c r="H2778" s="1">
        <v>44603</v>
      </c>
      <c r="I2778">
        <v>12</v>
      </c>
      <c r="J2778">
        <v>1</v>
      </c>
      <c r="K2778">
        <v>5476</v>
      </c>
      <c r="L2778">
        <v>2738</v>
      </c>
      <c r="M2778">
        <v>57496</v>
      </c>
      <c r="N2778">
        <v>2738</v>
      </c>
      <c r="O2778">
        <v>62972</v>
      </c>
    </row>
    <row r="2779" spans="1:15" x14ac:dyDescent="0.35">
      <c r="A2779">
        <v>2778</v>
      </c>
      <c r="B2779" s="2" t="s">
        <v>18</v>
      </c>
      <c r="C2779" s="2" t="s">
        <v>15</v>
      </c>
      <c r="D2779">
        <v>60</v>
      </c>
      <c r="E2779" s="2" t="s">
        <v>29</v>
      </c>
      <c r="F2779" s="2" t="s">
        <v>13</v>
      </c>
      <c r="G2779">
        <v>77514</v>
      </c>
      <c r="H2779" s="1">
        <v>45359</v>
      </c>
      <c r="I2779">
        <v>15</v>
      </c>
      <c r="J2779">
        <v>1</v>
      </c>
      <c r="K2779">
        <v>7751</v>
      </c>
      <c r="L2779">
        <v>3876</v>
      </c>
      <c r="M2779">
        <v>81389</v>
      </c>
      <c r="N2779">
        <v>3876</v>
      </c>
      <c r="O2779">
        <v>89141</v>
      </c>
    </row>
    <row r="2780" spans="1:15" x14ac:dyDescent="0.35">
      <c r="A2780">
        <v>2779</v>
      </c>
      <c r="B2780" s="2" t="s">
        <v>27</v>
      </c>
      <c r="C2780" s="2" t="s">
        <v>15</v>
      </c>
      <c r="D2780">
        <v>56</v>
      </c>
      <c r="E2780" s="2" t="s">
        <v>28</v>
      </c>
      <c r="F2780" s="2" t="s">
        <v>21</v>
      </c>
      <c r="G2780">
        <v>50845</v>
      </c>
      <c r="H2780" s="1">
        <v>45420</v>
      </c>
      <c r="I2780">
        <v>6</v>
      </c>
      <c r="J2780">
        <v>4</v>
      </c>
      <c r="K2780">
        <v>5084</v>
      </c>
      <c r="L2780">
        <v>2542</v>
      </c>
      <c r="M2780">
        <v>53387</v>
      </c>
      <c r="N2780">
        <v>2542</v>
      </c>
      <c r="O2780">
        <v>58471</v>
      </c>
    </row>
    <row r="2781" spans="1:15" x14ac:dyDescent="0.35">
      <c r="A2781">
        <v>2780</v>
      </c>
      <c r="B2781" s="2" t="s">
        <v>18</v>
      </c>
      <c r="C2781" s="2" t="s">
        <v>11</v>
      </c>
      <c r="D2781">
        <v>41</v>
      </c>
      <c r="E2781" s="2" t="s">
        <v>29</v>
      </c>
      <c r="F2781" s="2" t="s">
        <v>25</v>
      </c>
      <c r="G2781">
        <v>28811</v>
      </c>
      <c r="H2781" s="1">
        <v>44591</v>
      </c>
      <c r="I2781">
        <v>17</v>
      </c>
      <c r="J2781">
        <v>1</v>
      </c>
      <c r="K2781">
        <v>2881</v>
      </c>
      <c r="L2781">
        <v>1441</v>
      </c>
      <c r="M2781">
        <v>30251</v>
      </c>
      <c r="N2781">
        <v>1441</v>
      </c>
      <c r="O2781">
        <v>33133</v>
      </c>
    </row>
    <row r="2782" spans="1:15" x14ac:dyDescent="0.35">
      <c r="A2782">
        <v>2781</v>
      </c>
      <c r="B2782" s="2" t="s">
        <v>30</v>
      </c>
      <c r="C2782" s="2" t="s">
        <v>11</v>
      </c>
      <c r="D2782">
        <v>41</v>
      </c>
      <c r="E2782" s="2" t="s">
        <v>16</v>
      </c>
      <c r="F2782" s="2" t="s">
        <v>17</v>
      </c>
      <c r="G2782">
        <v>41598</v>
      </c>
      <c r="H2782" s="1">
        <v>45168</v>
      </c>
      <c r="I2782">
        <v>12</v>
      </c>
      <c r="J2782">
        <v>5</v>
      </c>
      <c r="K2782">
        <v>4160</v>
      </c>
      <c r="L2782">
        <v>2080</v>
      </c>
      <c r="M2782">
        <v>43678</v>
      </c>
      <c r="N2782">
        <v>2080</v>
      </c>
      <c r="O2782">
        <v>47838</v>
      </c>
    </row>
    <row r="2783" spans="1:15" x14ac:dyDescent="0.35">
      <c r="A2783">
        <v>2782</v>
      </c>
      <c r="B2783" s="2" t="s">
        <v>22</v>
      </c>
      <c r="C2783" s="2" t="s">
        <v>15</v>
      </c>
      <c r="D2783">
        <v>58</v>
      </c>
      <c r="E2783" s="2" t="s">
        <v>29</v>
      </c>
      <c r="F2783" s="2" t="s">
        <v>25</v>
      </c>
      <c r="G2783">
        <v>38107</v>
      </c>
      <c r="H2783" s="1">
        <v>45191</v>
      </c>
      <c r="I2783">
        <v>4</v>
      </c>
      <c r="J2783">
        <v>3</v>
      </c>
      <c r="K2783">
        <v>3811</v>
      </c>
      <c r="L2783">
        <v>1905</v>
      </c>
      <c r="M2783">
        <v>40013</v>
      </c>
      <c r="N2783">
        <v>0</v>
      </c>
      <c r="O2783">
        <v>41918</v>
      </c>
    </row>
    <row r="2784" spans="1:15" x14ac:dyDescent="0.35">
      <c r="A2784">
        <v>2783</v>
      </c>
      <c r="B2784" s="2" t="s">
        <v>22</v>
      </c>
      <c r="C2784" s="2" t="s">
        <v>15</v>
      </c>
      <c r="D2784">
        <v>31</v>
      </c>
      <c r="E2784" s="2" t="s">
        <v>16</v>
      </c>
      <c r="F2784" s="2" t="s">
        <v>21</v>
      </c>
      <c r="G2784">
        <v>81454</v>
      </c>
      <c r="H2784" s="1">
        <v>44771</v>
      </c>
      <c r="I2784">
        <v>14</v>
      </c>
      <c r="J2784">
        <v>1</v>
      </c>
      <c r="K2784">
        <v>8145</v>
      </c>
      <c r="L2784">
        <v>4073</v>
      </c>
      <c r="M2784">
        <v>85526</v>
      </c>
      <c r="N2784">
        <v>4073</v>
      </c>
      <c r="O2784">
        <v>93672</v>
      </c>
    </row>
    <row r="2785" spans="1:15" x14ac:dyDescent="0.35">
      <c r="A2785">
        <v>2784</v>
      </c>
      <c r="B2785" s="2" t="s">
        <v>22</v>
      </c>
      <c r="C2785" s="2" t="s">
        <v>11</v>
      </c>
      <c r="D2785">
        <v>43</v>
      </c>
      <c r="E2785" s="2" t="s">
        <v>12</v>
      </c>
      <c r="F2785" s="2" t="s">
        <v>17</v>
      </c>
      <c r="G2785">
        <v>63838</v>
      </c>
      <c r="H2785" s="1">
        <v>45415</v>
      </c>
      <c r="I2785">
        <v>15</v>
      </c>
      <c r="J2785">
        <v>4</v>
      </c>
      <c r="K2785">
        <v>6384</v>
      </c>
      <c r="L2785">
        <v>3192</v>
      </c>
      <c r="M2785">
        <v>67030</v>
      </c>
      <c r="N2785">
        <v>3192</v>
      </c>
      <c r="O2785">
        <v>73414</v>
      </c>
    </row>
    <row r="2786" spans="1:15" x14ac:dyDescent="0.35">
      <c r="A2786">
        <v>2785</v>
      </c>
      <c r="B2786" s="2" t="s">
        <v>26</v>
      </c>
      <c r="C2786" s="2" t="s">
        <v>11</v>
      </c>
      <c r="D2786">
        <v>32</v>
      </c>
      <c r="E2786" s="2" t="s">
        <v>16</v>
      </c>
      <c r="F2786" s="2" t="s">
        <v>25</v>
      </c>
      <c r="G2786">
        <v>77461</v>
      </c>
      <c r="H2786" s="1">
        <v>45090</v>
      </c>
      <c r="I2786">
        <v>6</v>
      </c>
      <c r="J2786">
        <v>2</v>
      </c>
      <c r="K2786">
        <v>7746</v>
      </c>
      <c r="L2786">
        <v>3873</v>
      </c>
      <c r="M2786">
        <v>81334</v>
      </c>
      <c r="N2786">
        <v>3873</v>
      </c>
      <c r="O2786">
        <v>89080</v>
      </c>
    </row>
    <row r="2787" spans="1:15" x14ac:dyDescent="0.35">
      <c r="A2787">
        <v>2786</v>
      </c>
      <c r="B2787" s="2" t="s">
        <v>26</v>
      </c>
      <c r="C2787" s="2" t="s">
        <v>15</v>
      </c>
      <c r="D2787">
        <v>50</v>
      </c>
      <c r="E2787" s="2" t="s">
        <v>24</v>
      </c>
      <c r="F2787" s="2" t="s">
        <v>19</v>
      </c>
      <c r="G2787">
        <v>62369</v>
      </c>
      <c r="H2787" s="1">
        <v>44877</v>
      </c>
      <c r="I2787">
        <v>10</v>
      </c>
      <c r="J2787">
        <v>3</v>
      </c>
      <c r="K2787">
        <v>6237</v>
      </c>
      <c r="L2787">
        <v>3118</v>
      </c>
      <c r="M2787">
        <v>65488</v>
      </c>
      <c r="N2787">
        <v>3118</v>
      </c>
      <c r="O2787">
        <v>71724</v>
      </c>
    </row>
    <row r="2788" spans="1:15" x14ac:dyDescent="0.35">
      <c r="A2788">
        <v>2787</v>
      </c>
      <c r="B2788" s="2" t="s">
        <v>10</v>
      </c>
      <c r="C2788" s="2" t="s">
        <v>11</v>
      </c>
      <c r="D2788">
        <v>56</v>
      </c>
      <c r="E2788" s="2" t="s">
        <v>16</v>
      </c>
      <c r="F2788" s="2" t="s">
        <v>25</v>
      </c>
      <c r="G2788">
        <v>88814</v>
      </c>
      <c r="H2788" s="1">
        <v>45356</v>
      </c>
      <c r="I2788">
        <v>16</v>
      </c>
      <c r="J2788">
        <v>4</v>
      </c>
      <c r="K2788">
        <v>8881</v>
      </c>
      <c r="L2788">
        <v>4441</v>
      </c>
      <c r="M2788">
        <v>93254</v>
      </c>
      <c r="N2788">
        <v>4441</v>
      </c>
      <c r="O2788">
        <v>102136</v>
      </c>
    </row>
    <row r="2789" spans="1:15" x14ac:dyDescent="0.35">
      <c r="A2789">
        <v>2788</v>
      </c>
      <c r="B2789" s="2" t="s">
        <v>26</v>
      </c>
      <c r="C2789" s="2" t="s">
        <v>15</v>
      </c>
      <c r="D2789">
        <v>34</v>
      </c>
      <c r="E2789" s="2" t="s">
        <v>24</v>
      </c>
      <c r="F2789" s="2" t="s">
        <v>13</v>
      </c>
      <c r="G2789">
        <v>71248</v>
      </c>
      <c r="H2789" s="1">
        <v>44925</v>
      </c>
      <c r="I2789">
        <v>18</v>
      </c>
      <c r="J2789">
        <v>2</v>
      </c>
      <c r="K2789">
        <v>7125</v>
      </c>
      <c r="L2789">
        <v>3562</v>
      </c>
      <c r="M2789">
        <v>74811</v>
      </c>
      <c r="N2789">
        <v>3562</v>
      </c>
      <c r="O2789">
        <v>81935</v>
      </c>
    </row>
    <row r="2790" spans="1:15" x14ac:dyDescent="0.35">
      <c r="A2790">
        <v>2789</v>
      </c>
      <c r="B2790" s="2" t="s">
        <v>23</v>
      </c>
      <c r="C2790" s="2" t="s">
        <v>15</v>
      </c>
      <c r="D2790">
        <v>44</v>
      </c>
      <c r="E2790" s="2" t="s">
        <v>24</v>
      </c>
      <c r="F2790" s="2" t="s">
        <v>21</v>
      </c>
      <c r="G2790">
        <v>65484</v>
      </c>
      <c r="H2790" s="1">
        <v>45266</v>
      </c>
      <c r="I2790">
        <v>20</v>
      </c>
      <c r="J2790">
        <v>3</v>
      </c>
      <c r="K2790">
        <v>6548</v>
      </c>
      <c r="L2790">
        <v>3274</v>
      </c>
      <c r="M2790">
        <v>68758</v>
      </c>
      <c r="N2790">
        <v>3274</v>
      </c>
      <c r="O2790">
        <v>75306</v>
      </c>
    </row>
    <row r="2791" spans="1:15" x14ac:dyDescent="0.35">
      <c r="A2791">
        <v>2790</v>
      </c>
      <c r="B2791" s="2" t="s">
        <v>10</v>
      </c>
      <c r="C2791" s="2" t="s">
        <v>15</v>
      </c>
      <c r="D2791">
        <v>41</v>
      </c>
      <c r="E2791" s="2" t="s">
        <v>12</v>
      </c>
      <c r="F2791" s="2" t="s">
        <v>19</v>
      </c>
      <c r="G2791">
        <v>75351</v>
      </c>
      <c r="H2791" s="1">
        <v>45337</v>
      </c>
      <c r="I2791">
        <v>4</v>
      </c>
      <c r="J2791">
        <v>3</v>
      </c>
      <c r="K2791">
        <v>7535</v>
      </c>
      <c r="L2791">
        <v>3768</v>
      </c>
      <c r="M2791">
        <v>79118</v>
      </c>
      <c r="N2791">
        <v>0</v>
      </c>
      <c r="O2791">
        <v>82886</v>
      </c>
    </row>
    <row r="2792" spans="1:15" x14ac:dyDescent="0.35">
      <c r="A2792">
        <v>2791</v>
      </c>
      <c r="B2792" s="2" t="s">
        <v>31</v>
      </c>
      <c r="C2792" s="2" t="s">
        <v>11</v>
      </c>
      <c r="D2792">
        <v>24</v>
      </c>
      <c r="E2792" s="2" t="s">
        <v>16</v>
      </c>
      <c r="F2792" s="2" t="s">
        <v>13</v>
      </c>
      <c r="G2792">
        <v>26184</v>
      </c>
      <c r="H2792" s="1">
        <v>45524</v>
      </c>
      <c r="I2792">
        <v>2</v>
      </c>
      <c r="J2792">
        <v>3</v>
      </c>
      <c r="K2792">
        <v>2618</v>
      </c>
      <c r="L2792">
        <v>1309</v>
      </c>
      <c r="M2792">
        <v>27493</v>
      </c>
      <c r="N2792">
        <v>0</v>
      </c>
      <c r="O2792">
        <v>28802</v>
      </c>
    </row>
    <row r="2793" spans="1:15" x14ac:dyDescent="0.35">
      <c r="A2793">
        <v>2792</v>
      </c>
      <c r="B2793" s="2" t="s">
        <v>30</v>
      </c>
      <c r="C2793" s="2" t="s">
        <v>11</v>
      </c>
      <c r="D2793">
        <v>57</v>
      </c>
      <c r="E2793" s="2" t="s">
        <v>28</v>
      </c>
      <c r="F2793" s="2" t="s">
        <v>21</v>
      </c>
      <c r="G2793">
        <v>49911</v>
      </c>
      <c r="H2793" s="1">
        <v>45389</v>
      </c>
      <c r="I2793">
        <v>13</v>
      </c>
      <c r="J2793">
        <v>4</v>
      </c>
      <c r="K2793">
        <v>4991</v>
      </c>
      <c r="L2793">
        <v>2496</v>
      </c>
      <c r="M2793">
        <v>52406</v>
      </c>
      <c r="N2793">
        <v>2496</v>
      </c>
      <c r="O2793">
        <v>57398</v>
      </c>
    </row>
    <row r="2794" spans="1:15" x14ac:dyDescent="0.35">
      <c r="A2794">
        <v>2793</v>
      </c>
      <c r="B2794" s="2" t="s">
        <v>30</v>
      </c>
      <c r="C2794" s="2" t="s">
        <v>11</v>
      </c>
      <c r="D2794">
        <v>32</v>
      </c>
      <c r="E2794" s="2" t="s">
        <v>24</v>
      </c>
      <c r="F2794" s="2" t="s">
        <v>25</v>
      </c>
      <c r="G2794">
        <v>49836</v>
      </c>
      <c r="H2794" s="1">
        <v>45533</v>
      </c>
      <c r="I2794">
        <v>1</v>
      </c>
      <c r="J2794">
        <v>5</v>
      </c>
      <c r="K2794">
        <v>4984</v>
      </c>
      <c r="L2794">
        <v>2492</v>
      </c>
      <c r="M2794">
        <v>52328</v>
      </c>
      <c r="N2794">
        <v>0</v>
      </c>
      <c r="O2794">
        <v>54820</v>
      </c>
    </row>
    <row r="2795" spans="1:15" x14ac:dyDescent="0.35">
      <c r="A2795">
        <v>2794</v>
      </c>
      <c r="B2795" s="2" t="s">
        <v>22</v>
      </c>
      <c r="C2795" s="2" t="s">
        <v>15</v>
      </c>
      <c r="D2795">
        <v>57</v>
      </c>
      <c r="E2795" s="2" t="s">
        <v>16</v>
      </c>
      <c r="F2795" s="2" t="s">
        <v>21</v>
      </c>
      <c r="G2795">
        <v>52023</v>
      </c>
      <c r="H2795" s="1">
        <v>44725</v>
      </c>
      <c r="I2795">
        <v>9</v>
      </c>
      <c r="J2795">
        <v>2</v>
      </c>
      <c r="K2795">
        <v>5202</v>
      </c>
      <c r="L2795">
        <v>2601</v>
      </c>
      <c r="M2795">
        <v>54624</v>
      </c>
      <c r="N2795">
        <v>2601</v>
      </c>
      <c r="O2795">
        <v>59826</v>
      </c>
    </row>
    <row r="2796" spans="1:15" x14ac:dyDescent="0.35">
      <c r="A2796">
        <v>2795</v>
      </c>
      <c r="B2796" s="2" t="s">
        <v>22</v>
      </c>
      <c r="C2796" s="2" t="s">
        <v>15</v>
      </c>
      <c r="D2796">
        <v>30</v>
      </c>
      <c r="E2796" s="2" t="s">
        <v>24</v>
      </c>
      <c r="F2796" s="2" t="s">
        <v>25</v>
      </c>
      <c r="G2796">
        <v>40791</v>
      </c>
      <c r="H2796" s="1">
        <v>44810</v>
      </c>
      <c r="I2796">
        <v>6</v>
      </c>
      <c r="J2796">
        <v>4</v>
      </c>
      <c r="K2796">
        <v>4079</v>
      </c>
      <c r="L2796">
        <v>2040</v>
      </c>
      <c r="M2796">
        <v>42830</v>
      </c>
      <c r="N2796">
        <v>2040</v>
      </c>
      <c r="O2796">
        <v>46910</v>
      </c>
    </row>
    <row r="2797" spans="1:15" x14ac:dyDescent="0.35">
      <c r="A2797">
        <v>2796</v>
      </c>
      <c r="B2797" s="2" t="s">
        <v>14</v>
      </c>
      <c r="C2797" s="2" t="s">
        <v>11</v>
      </c>
      <c r="D2797">
        <v>43</v>
      </c>
      <c r="E2797" s="2" t="s">
        <v>12</v>
      </c>
      <c r="F2797" s="2" t="s">
        <v>13</v>
      </c>
      <c r="G2797">
        <v>75763</v>
      </c>
      <c r="H2797" s="1">
        <v>45395</v>
      </c>
      <c r="I2797">
        <v>6</v>
      </c>
      <c r="J2797">
        <v>5</v>
      </c>
      <c r="K2797">
        <v>7576</v>
      </c>
      <c r="L2797">
        <v>3788</v>
      </c>
      <c r="M2797">
        <v>79551</v>
      </c>
      <c r="N2797">
        <v>3788</v>
      </c>
      <c r="O2797">
        <v>87127</v>
      </c>
    </row>
    <row r="2798" spans="1:15" x14ac:dyDescent="0.35">
      <c r="A2798">
        <v>2797</v>
      </c>
      <c r="B2798" s="2" t="s">
        <v>30</v>
      </c>
      <c r="C2798" s="2" t="s">
        <v>11</v>
      </c>
      <c r="D2798">
        <v>60</v>
      </c>
      <c r="E2798" s="2" t="s">
        <v>16</v>
      </c>
      <c r="F2798" s="2" t="s">
        <v>21</v>
      </c>
      <c r="G2798">
        <v>36425</v>
      </c>
      <c r="H2798" s="1">
        <v>44571</v>
      </c>
      <c r="I2798">
        <v>5</v>
      </c>
      <c r="J2798">
        <v>4</v>
      </c>
      <c r="K2798">
        <v>3642</v>
      </c>
      <c r="L2798">
        <v>1821</v>
      </c>
      <c r="M2798">
        <v>38246</v>
      </c>
      <c r="N2798">
        <v>0</v>
      </c>
      <c r="O2798">
        <v>40067</v>
      </c>
    </row>
    <row r="2799" spans="1:15" x14ac:dyDescent="0.35">
      <c r="A2799">
        <v>2798</v>
      </c>
      <c r="B2799" s="2" t="s">
        <v>18</v>
      </c>
      <c r="C2799" s="2" t="s">
        <v>15</v>
      </c>
      <c r="D2799">
        <v>42</v>
      </c>
      <c r="E2799" s="2" t="s">
        <v>29</v>
      </c>
      <c r="F2799" s="2" t="s">
        <v>13</v>
      </c>
      <c r="G2799">
        <v>82250</v>
      </c>
      <c r="H2799" s="1">
        <v>45175</v>
      </c>
      <c r="I2799">
        <v>17</v>
      </c>
      <c r="J2799">
        <v>3</v>
      </c>
      <c r="K2799">
        <v>8225</v>
      </c>
      <c r="L2799">
        <v>4112</v>
      </c>
      <c r="M2799">
        <v>86363</v>
      </c>
      <c r="N2799">
        <v>4112</v>
      </c>
      <c r="O2799">
        <v>94587</v>
      </c>
    </row>
    <row r="2800" spans="1:15" x14ac:dyDescent="0.35">
      <c r="A2800">
        <v>2799</v>
      </c>
      <c r="B2800" s="2" t="s">
        <v>22</v>
      </c>
      <c r="C2800" s="2" t="s">
        <v>11</v>
      </c>
      <c r="D2800">
        <v>59</v>
      </c>
      <c r="E2800" s="2" t="s">
        <v>24</v>
      </c>
      <c r="F2800" s="2" t="s">
        <v>19</v>
      </c>
      <c r="G2800">
        <v>70209</v>
      </c>
      <c r="H2800" s="1">
        <v>44863</v>
      </c>
      <c r="I2800">
        <v>16</v>
      </c>
      <c r="J2800">
        <v>3</v>
      </c>
      <c r="K2800">
        <v>7021</v>
      </c>
      <c r="L2800">
        <v>3510</v>
      </c>
      <c r="M2800">
        <v>73720</v>
      </c>
      <c r="N2800">
        <v>3510</v>
      </c>
      <c r="O2800">
        <v>80740</v>
      </c>
    </row>
    <row r="2801" spans="1:15" x14ac:dyDescent="0.35">
      <c r="A2801">
        <v>2800</v>
      </c>
      <c r="B2801" s="2" t="s">
        <v>14</v>
      </c>
      <c r="C2801" s="2" t="s">
        <v>11</v>
      </c>
      <c r="D2801">
        <v>56</v>
      </c>
      <c r="E2801" s="2" t="s">
        <v>29</v>
      </c>
      <c r="F2801" s="2" t="s">
        <v>19</v>
      </c>
      <c r="G2801">
        <v>98500</v>
      </c>
      <c r="H2801" s="1">
        <v>45014</v>
      </c>
      <c r="I2801">
        <v>15</v>
      </c>
      <c r="J2801">
        <v>3</v>
      </c>
      <c r="K2801">
        <v>9850</v>
      </c>
      <c r="L2801">
        <v>4925</v>
      </c>
      <c r="M2801">
        <v>103425</v>
      </c>
      <c r="N2801">
        <v>4925</v>
      </c>
      <c r="O2801">
        <v>113275</v>
      </c>
    </row>
    <row r="2802" spans="1:15" x14ac:dyDescent="0.35">
      <c r="A2802">
        <v>2801</v>
      </c>
      <c r="B2802" s="2" t="s">
        <v>18</v>
      </c>
      <c r="C2802" s="2" t="s">
        <v>15</v>
      </c>
      <c r="D2802">
        <v>23</v>
      </c>
      <c r="E2802" s="2" t="s">
        <v>24</v>
      </c>
      <c r="F2802" s="2" t="s">
        <v>25</v>
      </c>
      <c r="G2802">
        <v>91125</v>
      </c>
      <c r="H2802" s="1">
        <v>44952</v>
      </c>
      <c r="I2802">
        <v>4</v>
      </c>
      <c r="J2802">
        <v>3</v>
      </c>
      <c r="K2802">
        <v>9112</v>
      </c>
      <c r="L2802">
        <v>4556</v>
      </c>
      <c r="M2802">
        <v>95681</v>
      </c>
      <c r="N2802">
        <v>0</v>
      </c>
      <c r="O2802">
        <v>100237</v>
      </c>
    </row>
    <row r="2803" spans="1:15" x14ac:dyDescent="0.35">
      <c r="A2803">
        <v>2802</v>
      </c>
      <c r="B2803" s="2" t="s">
        <v>14</v>
      </c>
      <c r="C2803" s="2" t="s">
        <v>11</v>
      </c>
      <c r="D2803">
        <v>60</v>
      </c>
      <c r="E2803" s="2" t="s">
        <v>16</v>
      </c>
      <c r="F2803" s="2" t="s">
        <v>19</v>
      </c>
      <c r="G2803">
        <v>58544</v>
      </c>
      <c r="H2803" s="1">
        <v>44628</v>
      </c>
      <c r="I2803">
        <v>3</v>
      </c>
      <c r="J2803">
        <v>2</v>
      </c>
      <c r="K2803">
        <v>5854</v>
      </c>
      <c r="L2803">
        <v>2927</v>
      </c>
      <c r="M2803">
        <v>61471</v>
      </c>
      <c r="N2803">
        <v>0</v>
      </c>
      <c r="O2803">
        <v>64398</v>
      </c>
    </row>
    <row r="2804" spans="1:15" x14ac:dyDescent="0.35">
      <c r="A2804">
        <v>2803</v>
      </c>
      <c r="B2804" s="2" t="s">
        <v>18</v>
      </c>
      <c r="C2804" s="2" t="s">
        <v>15</v>
      </c>
      <c r="D2804">
        <v>39</v>
      </c>
      <c r="E2804" s="2" t="s">
        <v>29</v>
      </c>
      <c r="F2804" s="2" t="s">
        <v>25</v>
      </c>
      <c r="G2804">
        <v>49543</v>
      </c>
      <c r="H2804" s="1">
        <v>45105</v>
      </c>
      <c r="I2804">
        <v>10</v>
      </c>
      <c r="J2804">
        <v>1</v>
      </c>
      <c r="K2804">
        <v>4954</v>
      </c>
      <c r="L2804">
        <v>2477</v>
      </c>
      <c r="M2804">
        <v>52020</v>
      </c>
      <c r="N2804">
        <v>2477</v>
      </c>
      <c r="O2804">
        <v>56974</v>
      </c>
    </row>
    <row r="2805" spans="1:15" x14ac:dyDescent="0.35">
      <c r="A2805">
        <v>2804</v>
      </c>
      <c r="B2805" s="2" t="s">
        <v>14</v>
      </c>
      <c r="C2805" s="2" t="s">
        <v>15</v>
      </c>
      <c r="D2805">
        <v>53</v>
      </c>
      <c r="E2805" s="2" t="s">
        <v>12</v>
      </c>
      <c r="F2805" s="2" t="s">
        <v>19</v>
      </c>
      <c r="G2805">
        <v>21421</v>
      </c>
      <c r="H2805" s="1">
        <v>45198</v>
      </c>
      <c r="I2805">
        <v>18</v>
      </c>
      <c r="J2805">
        <v>2</v>
      </c>
      <c r="K2805">
        <v>2142</v>
      </c>
      <c r="L2805">
        <v>1071</v>
      </c>
      <c r="M2805">
        <v>22492</v>
      </c>
      <c r="N2805">
        <v>1071</v>
      </c>
      <c r="O2805">
        <v>24634</v>
      </c>
    </row>
    <row r="2806" spans="1:15" x14ac:dyDescent="0.35">
      <c r="A2806">
        <v>2805</v>
      </c>
      <c r="B2806" s="2" t="s">
        <v>31</v>
      </c>
      <c r="C2806" s="2" t="s">
        <v>11</v>
      </c>
      <c r="D2806">
        <v>59</v>
      </c>
      <c r="E2806" s="2" t="s">
        <v>24</v>
      </c>
      <c r="F2806" s="2" t="s">
        <v>17</v>
      </c>
      <c r="G2806">
        <v>67486</v>
      </c>
      <c r="H2806" s="1">
        <v>45264</v>
      </c>
      <c r="I2806">
        <v>6</v>
      </c>
      <c r="J2806">
        <v>5</v>
      </c>
      <c r="K2806">
        <v>6749</v>
      </c>
      <c r="L2806">
        <v>3374</v>
      </c>
      <c r="M2806">
        <v>70861</v>
      </c>
      <c r="N2806">
        <v>3374</v>
      </c>
      <c r="O2806">
        <v>77609</v>
      </c>
    </row>
    <row r="2807" spans="1:15" x14ac:dyDescent="0.35">
      <c r="A2807">
        <v>2806</v>
      </c>
      <c r="B2807" s="2" t="s">
        <v>20</v>
      </c>
      <c r="C2807" s="2" t="s">
        <v>11</v>
      </c>
      <c r="D2807">
        <v>30</v>
      </c>
      <c r="E2807" s="2" t="s">
        <v>16</v>
      </c>
      <c r="F2807" s="2" t="s">
        <v>25</v>
      </c>
      <c r="G2807">
        <v>66069</v>
      </c>
      <c r="H2807" s="1">
        <v>44794</v>
      </c>
      <c r="I2807">
        <v>14</v>
      </c>
      <c r="J2807">
        <v>1</v>
      </c>
      <c r="K2807">
        <v>6607</v>
      </c>
      <c r="L2807">
        <v>3303</v>
      </c>
      <c r="M2807">
        <v>69373</v>
      </c>
      <c r="N2807">
        <v>3303</v>
      </c>
      <c r="O2807">
        <v>75979</v>
      </c>
    </row>
    <row r="2808" spans="1:15" x14ac:dyDescent="0.35">
      <c r="A2808">
        <v>2807</v>
      </c>
      <c r="B2808" s="2" t="s">
        <v>10</v>
      </c>
      <c r="C2808" s="2" t="s">
        <v>15</v>
      </c>
      <c r="D2808">
        <v>27</v>
      </c>
      <c r="E2808" s="2" t="s">
        <v>28</v>
      </c>
      <c r="F2808" s="2" t="s">
        <v>19</v>
      </c>
      <c r="G2808">
        <v>96407</v>
      </c>
      <c r="H2808" s="1">
        <v>45314</v>
      </c>
      <c r="I2808">
        <v>7</v>
      </c>
      <c r="J2808">
        <v>4</v>
      </c>
      <c r="K2808">
        <v>9641</v>
      </c>
      <c r="L2808">
        <v>4820</v>
      </c>
      <c r="M2808">
        <v>101228</v>
      </c>
      <c r="N2808">
        <v>4820</v>
      </c>
      <c r="O2808">
        <v>110868</v>
      </c>
    </row>
    <row r="2809" spans="1:15" x14ac:dyDescent="0.35">
      <c r="A2809">
        <v>2808</v>
      </c>
      <c r="B2809" s="2" t="s">
        <v>18</v>
      </c>
      <c r="C2809" s="2" t="s">
        <v>11</v>
      </c>
      <c r="D2809">
        <v>27</v>
      </c>
      <c r="E2809" s="2" t="s">
        <v>16</v>
      </c>
      <c r="F2809" s="2" t="s">
        <v>25</v>
      </c>
      <c r="G2809">
        <v>40718</v>
      </c>
      <c r="H2809" s="1">
        <v>45170</v>
      </c>
      <c r="I2809">
        <v>14</v>
      </c>
      <c r="J2809">
        <v>5</v>
      </c>
      <c r="K2809">
        <v>4072</v>
      </c>
      <c r="L2809">
        <v>2036</v>
      </c>
      <c r="M2809">
        <v>42754</v>
      </c>
      <c r="N2809">
        <v>2036</v>
      </c>
      <c r="O2809">
        <v>46826</v>
      </c>
    </row>
    <row r="2810" spans="1:15" x14ac:dyDescent="0.35">
      <c r="A2810">
        <v>2809</v>
      </c>
      <c r="B2810" s="2" t="s">
        <v>26</v>
      </c>
      <c r="C2810" s="2" t="s">
        <v>11</v>
      </c>
      <c r="D2810">
        <v>55</v>
      </c>
      <c r="E2810" s="2" t="s">
        <v>29</v>
      </c>
      <c r="F2810" s="2" t="s">
        <v>13</v>
      </c>
      <c r="G2810">
        <v>84148</v>
      </c>
      <c r="H2810" s="1">
        <v>44992</v>
      </c>
      <c r="I2810">
        <v>2</v>
      </c>
      <c r="J2810">
        <v>1</v>
      </c>
      <c r="K2810">
        <v>8415</v>
      </c>
      <c r="L2810">
        <v>4207</v>
      </c>
      <c r="M2810">
        <v>88356</v>
      </c>
      <c r="N2810">
        <v>0</v>
      </c>
      <c r="O2810">
        <v>92563</v>
      </c>
    </row>
    <row r="2811" spans="1:15" x14ac:dyDescent="0.35">
      <c r="A2811">
        <v>2810</v>
      </c>
      <c r="B2811" s="2" t="s">
        <v>26</v>
      </c>
      <c r="C2811" s="2" t="s">
        <v>11</v>
      </c>
      <c r="D2811">
        <v>56</v>
      </c>
      <c r="E2811" s="2" t="s">
        <v>12</v>
      </c>
      <c r="F2811" s="2" t="s">
        <v>13</v>
      </c>
      <c r="G2811">
        <v>24526</v>
      </c>
      <c r="H2811" s="1">
        <v>45024</v>
      </c>
      <c r="I2811">
        <v>1</v>
      </c>
      <c r="J2811">
        <v>1</v>
      </c>
      <c r="K2811">
        <v>2453</v>
      </c>
      <c r="L2811">
        <v>1226</v>
      </c>
      <c r="M2811">
        <v>25753</v>
      </c>
      <c r="N2811">
        <v>0</v>
      </c>
      <c r="O2811">
        <v>26979</v>
      </c>
    </row>
    <row r="2812" spans="1:15" x14ac:dyDescent="0.35">
      <c r="A2812">
        <v>2811</v>
      </c>
      <c r="B2812" s="2" t="s">
        <v>26</v>
      </c>
      <c r="C2812" s="2" t="s">
        <v>15</v>
      </c>
      <c r="D2812">
        <v>52</v>
      </c>
      <c r="E2812" s="2" t="s">
        <v>28</v>
      </c>
      <c r="F2812" s="2" t="s">
        <v>13</v>
      </c>
      <c r="G2812">
        <v>29867</v>
      </c>
      <c r="H2812" s="1">
        <v>44929</v>
      </c>
      <c r="I2812">
        <v>12</v>
      </c>
      <c r="J2812">
        <v>5</v>
      </c>
      <c r="K2812">
        <v>2987</v>
      </c>
      <c r="L2812">
        <v>1493</v>
      </c>
      <c r="M2812">
        <v>31361</v>
      </c>
      <c r="N2812">
        <v>1493</v>
      </c>
      <c r="O2812">
        <v>34347</v>
      </c>
    </row>
    <row r="2813" spans="1:15" x14ac:dyDescent="0.35">
      <c r="A2813">
        <v>2812</v>
      </c>
      <c r="B2813" s="2" t="s">
        <v>18</v>
      </c>
      <c r="C2813" s="2" t="s">
        <v>11</v>
      </c>
      <c r="D2813">
        <v>45</v>
      </c>
      <c r="E2813" s="2" t="s">
        <v>28</v>
      </c>
      <c r="F2813" s="2" t="s">
        <v>19</v>
      </c>
      <c r="G2813">
        <v>57794</v>
      </c>
      <c r="H2813" s="1">
        <v>44658</v>
      </c>
      <c r="I2813">
        <v>3</v>
      </c>
      <c r="J2813">
        <v>3</v>
      </c>
      <c r="K2813">
        <v>5779</v>
      </c>
      <c r="L2813">
        <v>2890</v>
      </c>
      <c r="M2813">
        <v>60683</v>
      </c>
      <c r="N2813">
        <v>0</v>
      </c>
      <c r="O2813">
        <v>63573</v>
      </c>
    </row>
    <row r="2814" spans="1:15" x14ac:dyDescent="0.35">
      <c r="A2814">
        <v>2813</v>
      </c>
      <c r="B2814" s="2" t="s">
        <v>20</v>
      </c>
      <c r="C2814" s="2" t="s">
        <v>11</v>
      </c>
      <c r="D2814">
        <v>39</v>
      </c>
      <c r="E2814" s="2" t="s">
        <v>28</v>
      </c>
      <c r="F2814" s="2" t="s">
        <v>21</v>
      </c>
      <c r="G2814">
        <v>43692</v>
      </c>
      <c r="H2814" s="1">
        <v>45470</v>
      </c>
      <c r="I2814">
        <v>7</v>
      </c>
      <c r="J2814">
        <v>5</v>
      </c>
      <c r="K2814">
        <v>4369</v>
      </c>
      <c r="L2814">
        <v>2185</v>
      </c>
      <c r="M2814">
        <v>45876</v>
      </c>
      <c r="N2814">
        <v>2185</v>
      </c>
      <c r="O2814">
        <v>50246</v>
      </c>
    </row>
    <row r="2815" spans="1:15" x14ac:dyDescent="0.35">
      <c r="A2815">
        <v>2814</v>
      </c>
      <c r="B2815" s="2" t="s">
        <v>31</v>
      </c>
      <c r="C2815" s="2" t="s">
        <v>15</v>
      </c>
      <c r="D2815">
        <v>36</v>
      </c>
      <c r="E2815" s="2" t="s">
        <v>12</v>
      </c>
      <c r="F2815" s="2" t="s">
        <v>17</v>
      </c>
      <c r="G2815">
        <v>27564</v>
      </c>
      <c r="H2815" s="1">
        <v>44570</v>
      </c>
      <c r="I2815">
        <v>12</v>
      </c>
      <c r="J2815">
        <v>5</v>
      </c>
      <c r="K2815">
        <v>2756</v>
      </c>
      <c r="L2815">
        <v>1378</v>
      </c>
      <c r="M2815">
        <v>28942</v>
      </c>
      <c r="N2815">
        <v>1378</v>
      </c>
      <c r="O2815">
        <v>31698</v>
      </c>
    </row>
    <row r="2816" spans="1:15" x14ac:dyDescent="0.35">
      <c r="A2816">
        <v>2815</v>
      </c>
      <c r="B2816" s="2" t="s">
        <v>14</v>
      </c>
      <c r="C2816" s="2" t="s">
        <v>11</v>
      </c>
      <c r="D2816">
        <v>30</v>
      </c>
      <c r="E2816" s="2" t="s">
        <v>24</v>
      </c>
      <c r="F2816" s="2" t="s">
        <v>17</v>
      </c>
      <c r="G2816">
        <v>72907</v>
      </c>
      <c r="H2816" s="1">
        <v>44570</v>
      </c>
      <c r="I2816">
        <v>4</v>
      </c>
      <c r="J2816">
        <v>2</v>
      </c>
      <c r="K2816">
        <v>7291</v>
      </c>
      <c r="L2816">
        <v>3645</v>
      </c>
      <c r="M2816">
        <v>76553</v>
      </c>
      <c r="N2816">
        <v>0</v>
      </c>
      <c r="O2816">
        <v>80198</v>
      </c>
    </row>
    <row r="2817" spans="1:15" x14ac:dyDescent="0.35">
      <c r="A2817">
        <v>2816</v>
      </c>
      <c r="B2817" s="2" t="s">
        <v>26</v>
      </c>
      <c r="C2817" s="2" t="s">
        <v>11</v>
      </c>
      <c r="D2817">
        <v>53</v>
      </c>
      <c r="E2817" s="2" t="s">
        <v>16</v>
      </c>
      <c r="F2817" s="2" t="s">
        <v>19</v>
      </c>
      <c r="G2817">
        <v>34516</v>
      </c>
      <c r="H2817" s="1">
        <v>45340</v>
      </c>
      <c r="I2817">
        <v>15</v>
      </c>
      <c r="J2817">
        <v>1</v>
      </c>
      <c r="K2817">
        <v>3452</v>
      </c>
      <c r="L2817">
        <v>1726</v>
      </c>
      <c r="M2817">
        <v>36242</v>
      </c>
      <c r="N2817">
        <v>1726</v>
      </c>
      <c r="O2817">
        <v>39694</v>
      </c>
    </row>
    <row r="2818" spans="1:15" x14ac:dyDescent="0.35">
      <c r="A2818">
        <v>2817</v>
      </c>
      <c r="B2818" s="2" t="s">
        <v>31</v>
      </c>
      <c r="C2818" s="2" t="s">
        <v>15</v>
      </c>
      <c r="D2818">
        <v>25</v>
      </c>
      <c r="E2818" s="2" t="s">
        <v>16</v>
      </c>
      <c r="F2818" s="2" t="s">
        <v>19</v>
      </c>
      <c r="G2818">
        <v>52011</v>
      </c>
      <c r="H2818" s="1">
        <v>44641</v>
      </c>
      <c r="I2818">
        <v>16</v>
      </c>
      <c r="J2818">
        <v>5</v>
      </c>
      <c r="K2818">
        <v>5201</v>
      </c>
      <c r="L2818">
        <v>2601</v>
      </c>
      <c r="M2818">
        <v>54611</v>
      </c>
      <c r="N2818">
        <v>2601</v>
      </c>
      <c r="O2818">
        <v>59813</v>
      </c>
    </row>
    <row r="2819" spans="1:15" x14ac:dyDescent="0.35">
      <c r="A2819">
        <v>2818</v>
      </c>
      <c r="B2819" s="2" t="s">
        <v>31</v>
      </c>
      <c r="C2819" s="2" t="s">
        <v>11</v>
      </c>
      <c r="D2819">
        <v>45</v>
      </c>
      <c r="E2819" s="2" t="s">
        <v>16</v>
      </c>
      <c r="F2819" s="2" t="s">
        <v>21</v>
      </c>
      <c r="G2819">
        <v>58646</v>
      </c>
      <c r="H2819" s="1">
        <v>45355</v>
      </c>
      <c r="I2819">
        <v>18</v>
      </c>
      <c r="J2819">
        <v>1</v>
      </c>
      <c r="K2819">
        <v>5865</v>
      </c>
      <c r="L2819">
        <v>2932</v>
      </c>
      <c r="M2819">
        <v>61579</v>
      </c>
      <c r="N2819">
        <v>2932</v>
      </c>
      <c r="O2819">
        <v>67443</v>
      </c>
    </row>
    <row r="2820" spans="1:15" x14ac:dyDescent="0.35">
      <c r="A2820">
        <v>2819</v>
      </c>
      <c r="B2820" s="2" t="s">
        <v>14</v>
      </c>
      <c r="C2820" s="2" t="s">
        <v>11</v>
      </c>
      <c r="D2820">
        <v>21</v>
      </c>
      <c r="E2820" s="2" t="s">
        <v>28</v>
      </c>
      <c r="F2820" s="2" t="s">
        <v>17</v>
      </c>
      <c r="G2820">
        <v>22261</v>
      </c>
      <c r="H2820" s="1">
        <v>44747</v>
      </c>
      <c r="I2820">
        <v>9</v>
      </c>
      <c r="J2820">
        <v>4</v>
      </c>
      <c r="K2820">
        <v>2226</v>
      </c>
      <c r="L2820">
        <v>1113</v>
      </c>
      <c r="M2820">
        <v>23374</v>
      </c>
      <c r="N2820">
        <v>1113</v>
      </c>
      <c r="O2820">
        <v>25600</v>
      </c>
    </row>
    <row r="2821" spans="1:15" x14ac:dyDescent="0.35">
      <c r="A2821">
        <v>2820</v>
      </c>
      <c r="B2821" s="2" t="s">
        <v>30</v>
      </c>
      <c r="C2821" s="2" t="s">
        <v>11</v>
      </c>
      <c r="D2821">
        <v>55</v>
      </c>
      <c r="E2821" s="2" t="s">
        <v>24</v>
      </c>
      <c r="F2821" s="2" t="s">
        <v>17</v>
      </c>
      <c r="G2821">
        <v>52696</v>
      </c>
      <c r="H2821" s="1">
        <v>44938</v>
      </c>
      <c r="I2821">
        <v>4</v>
      </c>
      <c r="J2821">
        <v>4</v>
      </c>
      <c r="K2821">
        <v>5270</v>
      </c>
      <c r="L2821">
        <v>2635</v>
      </c>
      <c r="M2821">
        <v>55331</v>
      </c>
      <c r="N2821">
        <v>0</v>
      </c>
      <c r="O2821">
        <v>57966</v>
      </c>
    </row>
    <row r="2822" spans="1:15" x14ac:dyDescent="0.35">
      <c r="A2822">
        <v>2821</v>
      </c>
      <c r="B2822" s="2" t="s">
        <v>10</v>
      </c>
      <c r="C2822" s="2" t="s">
        <v>15</v>
      </c>
      <c r="D2822">
        <v>38</v>
      </c>
      <c r="E2822" s="2" t="s">
        <v>12</v>
      </c>
      <c r="F2822" s="2" t="s">
        <v>17</v>
      </c>
      <c r="G2822">
        <v>28668</v>
      </c>
      <c r="H2822" s="1">
        <v>44826</v>
      </c>
      <c r="I2822">
        <v>11</v>
      </c>
      <c r="J2822">
        <v>4</v>
      </c>
      <c r="K2822">
        <v>2867</v>
      </c>
      <c r="L2822">
        <v>1433</v>
      </c>
      <c r="M2822">
        <v>30102</v>
      </c>
      <c r="N2822">
        <v>1433</v>
      </c>
      <c r="O2822">
        <v>32968</v>
      </c>
    </row>
    <row r="2823" spans="1:15" x14ac:dyDescent="0.35">
      <c r="A2823">
        <v>2822</v>
      </c>
      <c r="B2823" s="2" t="s">
        <v>14</v>
      </c>
      <c r="C2823" s="2" t="s">
        <v>15</v>
      </c>
      <c r="D2823">
        <v>42</v>
      </c>
      <c r="E2823" s="2" t="s">
        <v>29</v>
      </c>
      <c r="F2823" s="2" t="s">
        <v>19</v>
      </c>
      <c r="G2823">
        <v>73469</v>
      </c>
      <c r="H2823" s="1">
        <v>44939</v>
      </c>
      <c r="I2823">
        <v>11</v>
      </c>
      <c r="J2823">
        <v>2</v>
      </c>
      <c r="K2823">
        <v>7347</v>
      </c>
      <c r="L2823">
        <v>3673</v>
      </c>
      <c r="M2823">
        <v>77143</v>
      </c>
      <c r="N2823">
        <v>3673</v>
      </c>
      <c r="O2823">
        <v>84489</v>
      </c>
    </row>
    <row r="2824" spans="1:15" x14ac:dyDescent="0.35">
      <c r="A2824">
        <v>2823</v>
      </c>
      <c r="B2824" s="2" t="s">
        <v>22</v>
      </c>
      <c r="C2824" s="2" t="s">
        <v>11</v>
      </c>
      <c r="D2824">
        <v>54</v>
      </c>
      <c r="E2824" s="2" t="s">
        <v>16</v>
      </c>
      <c r="F2824" s="2" t="s">
        <v>19</v>
      </c>
      <c r="G2824">
        <v>58332</v>
      </c>
      <c r="H2824" s="1">
        <v>44744</v>
      </c>
      <c r="I2824">
        <v>17</v>
      </c>
      <c r="J2824">
        <v>2</v>
      </c>
      <c r="K2824">
        <v>5833</v>
      </c>
      <c r="L2824">
        <v>2917</v>
      </c>
      <c r="M2824">
        <v>61248</v>
      </c>
      <c r="N2824">
        <v>2917</v>
      </c>
      <c r="O2824">
        <v>67082</v>
      </c>
    </row>
    <row r="2825" spans="1:15" x14ac:dyDescent="0.35">
      <c r="A2825">
        <v>2824</v>
      </c>
      <c r="B2825" s="2" t="s">
        <v>26</v>
      </c>
      <c r="C2825" s="2" t="s">
        <v>15</v>
      </c>
      <c r="D2825">
        <v>25</v>
      </c>
      <c r="E2825" s="2" t="s">
        <v>12</v>
      </c>
      <c r="F2825" s="2" t="s">
        <v>25</v>
      </c>
      <c r="G2825">
        <v>50989</v>
      </c>
      <c r="H2825" s="1">
        <v>44697</v>
      </c>
      <c r="I2825">
        <v>10</v>
      </c>
      <c r="J2825">
        <v>4</v>
      </c>
      <c r="K2825">
        <v>5099</v>
      </c>
      <c r="L2825">
        <v>2549</v>
      </c>
      <c r="M2825">
        <v>53539</v>
      </c>
      <c r="N2825">
        <v>2549</v>
      </c>
      <c r="O2825">
        <v>58637</v>
      </c>
    </row>
    <row r="2826" spans="1:15" x14ac:dyDescent="0.35">
      <c r="A2826">
        <v>2825</v>
      </c>
      <c r="B2826" s="2" t="s">
        <v>23</v>
      </c>
      <c r="C2826" s="2" t="s">
        <v>11</v>
      </c>
      <c r="D2826">
        <v>26</v>
      </c>
      <c r="E2826" s="2" t="s">
        <v>12</v>
      </c>
      <c r="F2826" s="2" t="s">
        <v>21</v>
      </c>
      <c r="G2826">
        <v>56255</v>
      </c>
      <c r="H2826" s="1">
        <v>44824</v>
      </c>
      <c r="I2826">
        <v>20</v>
      </c>
      <c r="J2826">
        <v>1</v>
      </c>
      <c r="K2826">
        <v>5626</v>
      </c>
      <c r="L2826">
        <v>2813</v>
      </c>
      <c r="M2826">
        <v>59068</v>
      </c>
      <c r="N2826">
        <v>2813</v>
      </c>
      <c r="O2826">
        <v>64694</v>
      </c>
    </row>
    <row r="2827" spans="1:15" x14ac:dyDescent="0.35">
      <c r="A2827">
        <v>2826</v>
      </c>
      <c r="B2827" s="2" t="s">
        <v>10</v>
      </c>
      <c r="C2827" s="2" t="s">
        <v>15</v>
      </c>
      <c r="D2827">
        <v>25</v>
      </c>
      <c r="E2827" s="2" t="s">
        <v>28</v>
      </c>
      <c r="F2827" s="2" t="s">
        <v>17</v>
      </c>
      <c r="G2827">
        <v>50804</v>
      </c>
      <c r="H2827" s="1">
        <v>45374</v>
      </c>
      <c r="I2827">
        <v>16</v>
      </c>
      <c r="J2827">
        <v>5</v>
      </c>
      <c r="K2827">
        <v>5080</v>
      </c>
      <c r="L2827">
        <v>2540</v>
      </c>
      <c r="M2827">
        <v>53344</v>
      </c>
      <c r="N2827">
        <v>2540</v>
      </c>
      <c r="O2827">
        <v>58424</v>
      </c>
    </row>
    <row r="2828" spans="1:15" x14ac:dyDescent="0.35">
      <c r="A2828">
        <v>2827</v>
      </c>
      <c r="B2828" s="2" t="s">
        <v>27</v>
      </c>
      <c r="C2828" s="2" t="s">
        <v>11</v>
      </c>
      <c r="D2828">
        <v>40</v>
      </c>
      <c r="E2828" s="2" t="s">
        <v>28</v>
      </c>
      <c r="F2828" s="2" t="s">
        <v>13</v>
      </c>
      <c r="G2828">
        <v>37588</v>
      </c>
      <c r="H2828" s="1">
        <v>44750</v>
      </c>
      <c r="I2828">
        <v>8</v>
      </c>
      <c r="J2828">
        <v>3</v>
      </c>
      <c r="K2828">
        <v>3759</v>
      </c>
      <c r="L2828">
        <v>1879</v>
      </c>
      <c r="M2828">
        <v>39468</v>
      </c>
      <c r="N2828">
        <v>1879</v>
      </c>
      <c r="O2828">
        <v>43226</v>
      </c>
    </row>
    <row r="2829" spans="1:15" x14ac:dyDescent="0.35">
      <c r="A2829">
        <v>2828</v>
      </c>
      <c r="B2829" s="2" t="s">
        <v>23</v>
      </c>
      <c r="C2829" s="2" t="s">
        <v>15</v>
      </c>
      <c r="D2829">
        <v>47</v>
      </c>
      <c r="E2829" s="2" t="s">
        <v>29</v>
      </c>
      <c r="F2829" s="2" t="s">
        <v>19</v>
      </c>
      <c r="G2829">
        <v>57590</v>
      </c>
      <c r="H2829" s="1">
        <v>45369</v>
      </c>
      <c r="I2829">
        <v>19</v>
      </c>
      <c r="J2829">
        <v>2</v>
      </c>
      <c r="K2829">
        <v>5759</v>
      </c>
      <c r="L2829">
        <v>2880</v>
      </c>
      <c r="M2829">
        <v>60469</v>
      </c>
      <c r="N2829">
        <v>2880</v>
      </c>
      <c r="O2829">
        <v>66229</v>
      </c>
    </row>
    <row r="2830" spans="1:15" x14ac:dyDescent="0.35">
      <c r="A2830">
        <v>2829</v>
      </c>
      <c r="B2830" s="2" t="s">
        <v>31</v>
      </c>
      <c r="C2830" s="2" t="s">
        <v>11</v>
      </c>
      <c r="D2830">
        <v>44</v>
      </c>
      <c r="E2830" s="2" t="s">
        <v>24</v>
      </c>
      <c r="F2830" s="2" t="s">
        <v>13</v>
      </c>
      <c r="G2830">
        <v>26361</v>
      </c>
      <c r="H2830" s="1">
        <v>44568</v>
      </c>
      <c r="I2830">
        <v>18</v>
      </c>
      <c r="J2830">
        <v>4</v>
      </c>
      <c r="K2830">
        <v>2636</v>
      </c>
      <c r="L2830">
        <v>1318</v>
      </c>
      <c r="M2830">
        <v>27679</v>
      </c>
      <c r="N2830">
        <v>1318</v>
      </c>
      <c r="O2830">
        <v>30315</v>
      </c>
    </row>
    <row r="2831" spans="1:15" x14ac:dyDescent="0.35">
      <c r="A2831">
        <v>2830</v>
      </c>
      <c r="B2831" s="2" t="s">
        <v>20</v>
      </c>
      <c r="C2831" s="2" t="s">
        <v>15</v>
      </c>
      <c r="D2831">
        <v>36</v>
      </c>
      <c r="E2831" s="2" t="s">
        <v>24</v>
      </c>
      <c r="F2831" s="2" t="s">
        <v>25</v>
      </c>
      <c r="G2831">
        <v>63982</v>
      </c>
      <c r="H2831" s="1">
        <v>45430</v>
      </c>
      <c r="I2831">
        <v>17</v>
      </c>
      <c r="J2831">
        <v>5</v>
      </c>
      <c r="K2831">
        <v>6398</v>
      </c>
      <c r="L2831">
        <v>3199</v>
      </c>
      <c r="M2831">
        <v>67181</v>
      </c>
      <c r="N2831">
        <v>3199</v>
      </c>
      <c r="O2831">
        <v>73579</v>
      </c>
    </row>
    <row r="2832" spans="1:15" x14ac:dyDescent="0.35">
      <c r="A2832">
        <v>2831</v>
      </c>
      <c r="B2832" s="2" t="s">
        <v>26</v>
      </c>
      <c r="C2832" s="2" t="s">
        <v>15</v>
      </c>
      <c r="D2832">
        <v>50</v>
      </c>
      <c r="E2832" s="2" t="s">
        <v>12</v>
      </c>
      <c r="F2832" s="2" t="s">
        <v>19</v>
      </c>
      <c r="G2832">
        <v>63810</v>
      </c>
      <c r="H2832" s="1">
        <v>45528</v>
      </c>
      <c r="I2832">
        <v>13</v>
      </c>
      <c r="J2832">
        <v>3</v>
      </c>
      <c r="K2832">
        <v>6381</v>
      </c>
      <c r="L2832">
        <v>3190</v>
      </c>
      <c r="M2832">
        <v>67001</v>
      </c>
      <c r="N2832">
        <v>3190</v>
      </c>
      <c r="O2832">
        <v>73381</v>
      </c>
    </row>
    <row r="2833" spans="1:15" x14ac:dyDescent="0.35">
      <c r="A2833">
        <v>2832</v>
      </c>
      <c r="B2833" s="2" t="s">
        <v>18</v>
      </c>
      <c r="C2833" s="2" t="s">
        <v>15</v>
      </c>
      <c r="D2833">
        <v>39</v>
      </c>
      <c r="E2833" s="2" t="s">
        <v>28</v>
      </c>
      <c r="F2833" s="2" t="s">
        <v>21</v>
      </c>
      <c r="G2833">
        <v>76210</v>
      </c>
      <c r="H2833" s="1">
        <v>44670</v>
      </c>
      <c r="I2833">
        <v>18</v>
      </c>
      <c r="J2833">
        <v>2</v>
      </c>
      <c r="K2833">
        <v>7621</v>
      </c>
      <c r="L2833">
        <v>3810</v>
      </c>
      <c r="M2833">
        <v>80021</v>
      </c>
      <c r="N2833">
        <v>3810</v>
      </c>
      <c r="O2833">
        <v>87641</v>
      </c>
    </row>
    <row r="2834" spans="1:15" x14ac:dyDescent="0.35">
      <c r="A2834">
        <v>2833</v>
      </c>
      <c r="B2834" s="2" t="s">
        <v>31</v>
      </c>
      <c r="C2834" s="2" t="s">
        <v>11</v>
      </c>
      <c r="D2834">
        <v>43</v>
      </c>
      <c r="E2834" s="2" t="s">
        <v>12</v>
      </c>
      <c r="F2834" s="2" t="s">
        <v>21</v>
      </c>
      <c r="G2834">
        <v>30900</v>
      </c>
      <c r="H2834" s="1">
        <v>44647</v>
      </c>
      <c r="I2834">
        <v>1</v>
      </c>
      <c r="J2834">
        <v>5</v>
      </c>
      <c r="K2834">
        <v>3090</v>
      </c>
      <c r="L2834">
        <v>1545</v>
      </c>
      <c r="M2834">
        <v>32445</v>
      </c>
      <c r="N2834">
        <v>0</v>
      </c>
      <c r="O2834">
        <v>33990</v>
      </c>
    </row>
    <row r="2835" spans="1:15" x14ac:dyDescent="0.35">
      <c r="A2835">
        <v>2834</v>
      </c>
      <c r="B2835" s="2" t="s">
        <v>26</v>
      </c>
      <c r="C2835" s="2" t="s">
        <v>11</v>
      </c>
      <c r="D2835">
        <v>42</v>
      </c>
      <c r="E2835" s="2" t="s">
        <v>16</v>
      </c>
      <c r="F2835" s="2" t="s">
        <v>17</v>
      </c>
      <c r="G2835">
        <v>34074</v>
      </c>
      <c r="H2835" s="1">
        <v>44837</v>
      </c>
      <c r="I2835">
        <v>15</v>
      </c>
      <c r="J2835">
        <v>2</v>
      </c>
      <c r="K2835">
        <v>3407</v>
      </c>
      <c r="L2835">
        <v>1704</v>
      </c>
      <c r="M2835">
        <v>35777</v>
      </c>
      <c r="N2835">
        <v>1704</v>
      </c>
      <c r="O2835">
        <v>39185</v>
      </c>
    </row>
    <row r="2836" spans="1:15" x14ac:dyDescent="0.35">
      <c r="A2836">
        <v>2835</v>
      </c>
      <c r="B2836" s="2" t="s">
        <v>26</v>
      </c>
      <c r="C2836" s="2" t="s">
        <v>15</v>
      </c>
      <c r="D2836">
        <v>47</v>
      </c>
      <c r="E2836" s="2" t="s">
        <v>28</v>
      </c>
      <c r="F2836" s="2" t="s">
        <v>21</v>
      </c>
      <c r="G2836">
        <v>84937</v>
      </c>
      <c r="H2836" s="1">
        <v>44906</v>
      </c>
      <c r="I2836">
        <v>11</v>
      </c>
      <c r="J2836">
        <v>1</v>
      </c>
      <c r="K2836">
        <v>8494</v>
      </c>
      <c r="L2836">
        <v>4247</v>
      </c>
      <c r="M2836">
        <v>89184</v>
      </c>
      <c r="N2836">
        <v>4247</v>
      </c>
      <c r="O2836">
        <v>97678</v>
      </c>
    </row>
    <row r="2837" spans="1:15" x14ac:dyDescent="0.35">
      <c r="A2837">
        <v>2836</v>
      </c>
      <c r="B2837" s="2" t="s">
        <v>10</v>
      </c>
      <c r="C2837" s="2" t="s">
        <v>15</v>
      </c>
      <c r="D2837">
        <v>45</v>
      </c>
      <c r="E2837" s="2" t="s">
        <v>16</v>
      </c>
      <c r="F2837" s="2" t="s">
        <v>21</v>
      </c>
      <c r="G2837">
        <v>76127</v>
      </c>
      <c r="H2837" s="1">
        <v>44660</v>
      </c>
      <c r="I2837">
        <v>9</v>
      </c>
      <c r="J2837">
        <v>3</v>
      </c>
      <c r="K2837">
        <v>7613</v>
      </c>
      <c r="L2837">
        <v>3806</v>
      </c>
      <c r="M2837">
        <v>79934</v>
      </c>
      <c r="N2837">
        <v>3806</v>
      </c>
      <c r="O2837">
        <v>87546</v>
      </c>
    </row>
    <row r="2838" spans="1:15" x14ac:dyDescent="0.35">
      <c r="A2838">
        <v>2837</v>
      </c>
      <c r="B2838" s="2" t="s">
        <v>22</v>
      </c>
      <c r="C2838" s="2" t="s">
        <v>11</v>
      </c>
      <c r="D2838">
        <v>54</v>
      </c>
      <c r="E2838" s="2" t="s">
        <v>16</v>
      </c>
      <c r="F2838" s="2" t="s">
        <v>17</v>
      </c>
      <c r="G2838">
        <v>65164</v>
      </c>
      <c r="H2838" s="1">
        <v>44909</v>
      </c>
      <c r="I2838">
        <v>10</v>
      </c>
      <c r="J2838">
        <v>4</v>
      </c>
      <c r="K2838">
        <v>6516</v>
      </c>
      <c r="L2838">
        <v>3258</v>
      </c>
      <c r="M2838">
        <v>68422</v>
      </c>
      <c r="N2838">
        <v>3258</v>
      </c>
      <c r="O2838">
        <v>74938</v>
      </c>
    </row>
    <row r="2839" spans="1:15" x14ac:dyDescent="0.35">
      <c r="A2839">
        <v>2838</v>
      </c>
      <c r="B2839" s="2" t="s">
        <v>26</v>
      </c>
      <c r="C2839" s="2" t="s">
        <v>11</v>
      </c>
      <c r="D2839">
        <v>36</v>
      </c>
      <c r="E2839" s="2" t="s">
        <v>29</v>
      </c>
      <c r="F2839" s="2" t="s">
        <v>17</v>
      </c>
      <c r="G2839">
        <v>95792</v>
      </c>
      <c r="H2839" s="1">
        <v>45080</v>
      </c>
      <c r="I2839">
        <v>10</v>
      </c>
      <c r="J2839">
        <v>4</v>
      </c>
      <c r="K2839">
        <v>9579</v>
      </c>
      <c r="L2839">
        <v>4790</v>
      </c>
      <c r="M2839">
        <v>100581</v>
      </c>
      <c r="N2839">
        <v>4790</v>
      </c>
      <c r="O2839">
        <v>110161</v>
      </c>
    </row>
    <row r="2840" spans="1:15" x14ac:dyDescent="0.35">
      <c r="A2840">
        <v>2839</v>
      </c>
      <c r="B2840" s="2" t="s">
        <v>20</v>
      </c>
      <c r="C2840" s="2" t="s">
        <v>15</v>
      </c>
      <c r="D2840">
        <v>52</v>
      </c>
      <c r="E2840" s="2" t="s">
        <v>29</v>
      </c>
      <c r="F2840" s="2" t="s">
        <v>13</v>
      </c>
      <c r="G2840">
        <v>72693</v>
      </c>
      <c r="H2840" s="1">
        <v>45354</v>
      </c>
      <c r="I2840">
        <v>20</v>
      </c>
      <c r="J2840">
        <v>5</v>
      </c>
      <c r="K2840">
        <v>7269</v>
      </c>
      <c r="L2840">
        <v>3635</v>
      </c>
      <c r="M2840">
        <v>76327</v>
      </c>
      <c r="N2840">
        <v>3635</v>
      </c>
      <c r="O2840">
        <v>83597</v>
      </c>
    </row>
    <row r="2841" spans="1:15" x14ac:dyDescent="0.35">
      <c r="A2841">
        <v>2840</v>
      </c>
      <c r="B2841" s="2" t="s">
        <v>14</v>
      </c>
      <c r="C2841" s="2" t="s">
        <v>15</v>
      </c>
      <c r="D2841">
        <v>26</v>
      </c>
      <c r="E2841" s="2" t="s">
        <v>28</v>
      </c>
      <c r="F2841" s="2" t="s">
        <v>17</v>
      </c>
      <c r="G2841">
        <v>88128</v>
      </c>
      <c r="H2841" s="1">
        <v>44970</v>
      </c>
      <c r="I2841">
        <v>6</v>
      </c>
      <c r="J2841">
        <v>2</v>
      </c>
      <c r="K2841">
        <v>8813</v>
      </c>
      <c r="L2841">
        <v>4406</v>
      </c>
      <c r="M2841">
        <v>92535</v>
      </c>
      <c r="N2841">
        <v>4406</v>
      </c>
      <c r="O2841">
        <v>101347</v>
      </c>
    </row>
    <row r="2842" spans="1:15" x14ac:dyDescent="0.35">
      <c r="A2842">
        <v>2841</v>
      </c>
      <c r="B2842" s="2" t="s">
        <v>30</v>
      </c>
      <c r="C2842" s="2" t="s">
        <v>11</v>
      </c>
      <c r="D2842">
        <v>40</v>
      </c>
      <c r="E2842" s="2" t="s">
        <v>16</v>
      </c>
      <c r="F2842" s="2" t="s">
        <v>17</v>
      </c>
      <c r="G2842">
        <v>20955</v>
      </c>
      <c r="H2842" s="1">
        <v>45105</v>
      </c>
      <c r="I2842">
        <v>17</v>
      </c>
      <c r="J2842">
        <v>1</v>
      </c>
      <c r="K2842">
        <v>2096</v>
      </c>
      <c r="L2842">
        <v>1048</v>
      </c>
      <c r="M2842">
        <v>22003</v>
      </c>
      <c r="N2842">
        <v>1048</v>
      </c>
      <c r="O2842">
        <v>24099</v>
      </c>
    </row>
    <row r="2843" spans="1:15" x14ac:dyDescent="0.35">
      <c r="A2843">
        <v>2842</v>
      </c>
      <c r="B2843" s="2" t="s">
        <v>14</v>
      </c>
      <c r="C2843" s="2" t="s">
        <v>11</v>
      </c>
      <c r="D2843">
        <v>43</v>
      </c>
      <c r="E2843" s="2" t="s">
        <v>24</v>
      </c>
      <c r="F2843" s="2" t="s">
        <v>13</v>
      </c>
      <c r="G2843">
        <v>36705</v>
      </c>
      <c r="H2843" s="1">
        <v>45168</v>
      </c>
      <c r="I2843">
        <v>12</v>
      </c>
      <c r="J2843">
        <v>3</v>
      </c>
      <c r="K2843">
        <v>3670</v>
      </c>
      <c r="L2843">
        <v>1835</v>
      </c>
      <c r="M2843">
        <v>38540</v>
      </c>
      <c r="N2843">
        <v>1835</v>
      </c>
      <c r="O2843">
        <v>42210</v>
      </c>
    </row>
    <row r="2844" spans="1:15" x14ac:dyDescent="0.35">
      <c r="A2844">
        <v>2843</v>
      </c>
      <c r="B2844" s="2" t="s">
        <v>14</v>
      </c>
      <c r="C2844" s="2" t="s">
        <v>15</v>
      </c>
      <c r="D2844">
        <v>27</v>
      </c>
      <c r="E2844" s="2" t="s">
        <v>28</v>
      </c>
      <c r="F2844" s="2" t="s">
        <v>13</v>
      </c>
      <c r="G2844">
        <v>33680</v>
      </c>
      <c r="H2844" s="1">
        <v>44656</v>
      </c>
      <c r="I2844">
        <v>8</v>
      </c>
      <c r="J2844">
        <v>5</v>
      </c>
      <c r="K2844">
        <v>3368</v>
      </c>
      <c r="L2844">
        <v>1684</v>
      </c>
      <c r="M2844">
        <v>35364</v>
      </c>
      <c r="N2844">
        <v>1684</v>
      </c>
      <c r="O2844">
        <v>38732</v>
      </c>
    </row>
    <row r="2845" spans="1:15" x14ac:dyDescent="0.35">
      <c r="A2845">
        <v>2844</v>
      </c>
      <c r="B2845" s="2" t="s">
        <v>26</v>
      </c>
      <c r="C2845" s="2" t="s">
        <v>15</v>
      </c>
      <c r="D2845">
        <v>36</v>
      </c>
      <c r="E2845" s="2" t="s">
        <v>29</v>
      </c>
      <c r="F2845" s="2" t="s">
        <v>17</v>
      </c>
      <c r="G2845">
        <v>33506</v>
      </c>
      <c r="H2845" s="1">
        <v>45502</v>
      </c>
      <c r="I2845">
        <v>13</v>
      </c>
      <c r="J2845">
        <v>5</v>
      </c>
      <c r="K2845">
        <v>3351</v>
      </c>
      <c r="L2845">
        <v>1675</v>
      </c>
      <c r="M2845">
        <v>35182</v>
      </c>
      <c r="N2845">
        <v>1675</v>
      </c>
      <c r="O2845">
        <v>38532</v>
      </c>
    </row>
    <row r="2846" spans="1:15" x14ac:dyDescent="0.35">
      <c r="A2846">
        <v>2845</v>
      </c>
      <c r="B2846" s="2" t="s">
        <v>10</v>
      </c>
      <c r="C2846" s="2" t="s">
        <v>11</v>
      </c>
      <c r="D2846">
        <v>39</v>
      </c>
      <c r="E2846" s="2" t="s">
        <v>12</v>
      </c>
      <c r="F2846" s="2" t="s">
        <v>19</v>
      </c>
      <c r="G2846">
        <v>82381</v>
      </c>
      <c r="H2846" s="1">
        <v>44635</v>
      </c>
      <c r="I2846">
        <v>4</v>
      </c>
      <c r="J2846">
        <v>5</v>
      </c>
      <c r="K2846">
        <v>8238</v>
      </c>
      <c r="L2846">
        <v>4119</v>
      </c>
      <c r="M2846">
        <v>86500</v>
      </c>
      <c r="N2846">
        <v>0</v>
      </c>
      <c r="O2846">
        <v>90619</v>
      </c>
    </row>
    <row r="2847" spans="1:15" x14ac:dyDescent="0.35">
      <c r="A2847">
        <v>2846</v>
      </c>
      <c r="B2847" s="2" t="s">
        <v>30</v>
      </c>
      <c r="C2847" s="2" t="s">
        <v>11</v>
      </c>
      <c r="D2847">
        <v>52</v>
      </c>
      <c r="E2847" s="2" t="s">
        <v>29</v>
      </c>
      <c r="F2847" s="2" t="s">
        <v>19</v>
      </c>
      <c r="G2847">
        <v>62589</v>
      </c>
      <c r="H2847" s="1">
        <v>44595</v>
      </c>
      <c r="I2847">
        <v>9</v>
      </c>
      <c r="J2847">
        <v>1</v>
      </c>
      <c r="K2847">
        <v>6259</v>
      </c>
      <c r="L2847">
        <v>3129</v>
      </c>
      <c r="M2847">
        <v>65719</v>
      </c>
      <c r="N2847">
        <v>3129</v>
      </c>
      <c r="O2847">
        <v>71977</v>
      </c>
    </row>
    <row r="2848" spans="1:15" x14ac:dyDescent="0.35">
      <c r="A2848">
        <v>2847</v>
      </c>
      <c r="B2848" s="2" t="s">
        <v>22</v>
      </c>
      <c r="C2848" s="2" t="s">
        <v>11</v>
      </c>
      <c r="D2848">
        <v>48</v>
      </c>
      <c r="E2848" s="2" t="s">
        <v>28</v>
      </c>
      <c r="F2848" s="2" t="s">
        <v>13</v>
      </c>
      <c r="G2848">
        <v>70740</v>
      </c>
      <c r="H2848" s="1">
        <v>45069</v>
      </c>
      <c r="I2848">
        <v>7</v>
      </c>
      <c r="J2848">
        <v>2</v>
      </c>
      <c r="K2848">
        <v>7074</v>
      </c>
      <c r="L2848">
        <v>3537</v>
      </c>
      <c r="M2848">
        <v>74277</v>
      </c>
      <c r="N2848">
        <v>3537</v>
      </c>
      <c r="O2848">
        <v>81351</v>
      </c>
    </row>
    <row r="2849" spans="1:15" x14ac:dyDescent="0.35">
      <c r="A2849">
        <v>2848</v>
      </c>
      <c r="B2849" s="2" t="s">
        <v>23</v>
      </c>
      <c r="C2849" s="2" t="s">
        <v>11</v>
      </c>
      <c r="D2849">
        <v>32</v>
      </c>
      <c r="E2849" s="2" t="s">
        <v>12</v>
      </c>
      <c r="F2849" s="2" t="s">
        <v>21</v>
      </c>
      <c r="G2849">
        <v>91147</v>
      </c>
      <c r="H2849" s="1">
        <v>44686</v>
      </c>
      <c r="I2849">
        <v>7</v>
      </c>
      <c r="J2849">
        <v>1</v>
      </c>
      <c r="K2849">
        <v>9115</v>
      </c>
      <c r="L2849">
        <v>4557</v>
      </c>
      <c r="M2849">
        <v>95705</v>
      </c>
      <c r="N2849">
        <v>4557</v>
      </c>
      <c r="O2849">
        <v>104819</v>
      </c>
    </row>
    <row r="2850" spans="1:15" x14ac:dyDescent="0.35">
      <c r="A2850">
        <v>2849</v>
      </c>
      <c r="B2850" s="2" t="s">
        <v>23</v>
      </c>
      <c r="C2850" s="2" t="s">
        <v>15</v>
      </c>
      <c r="D2850">
        <v>43</v>
      </c>
      <c r="E2850" s="2" t="s">
        <v>16</v>
      </c>
      <c r="F2850" s="2" t="s">
        <v>17</v>
      </c>
      <c r="G2850">
        <v>84506</v>
      </c>
      <c r="H2850" s="1">
        <v>45492</v>
      </c>
      <c r="I2850">
        <v>6</v>
      </c>
      <c r="J2850">
        <v>5</v>
      </c>
      <c r="K2850">
        <v>8451</v>
      </c>
      <c r="L2850">
        <v>4225</v>
      </c>
      <c r="M2850">
        <v>88732</v>
      </c>
      <c r="N2850">
        <v>4225</v>
      </c>
      <c r="O2850">
        <v>97182</v>
      </c>
    </row>
    <row r="2851" spans="1:15" x14ac:dyDescent="0.35">
      <c r="A2851">
        <v>2850</v>
      </c>
      <c r="B2851" s="2" t="s">
        <v>18</v>
      </c>
      <c r="C2851" s="2" t="s">
        <v>11</v>
      </c>
      <c r="D2851">
        <v>23</v>
      </c>
      <c r="E2851" s="2" t="s">
        <v>24</v>
      </c>
      <c r="F2851" s="2" t="s">
        <v>13</v>
      </c>
      <c r="G2851">
        <v>21337</v>
      </c>
      <c r="H2851" s="1">
        <v>45175</v>
      </c>
      <c r="I2851">
        <v>13</v>
      </c>
      <c r="J2851">
        <v>5</v>
      </c>
      <c r="K2851">
        <v>2134</v>
      </c>
      <c r="L2851">
        <v>1067</v>
      </c>
      <c r="M2851">
        <v>22404</v>
      </c>
      <c r="N2851">
        <v>1067</v>
      </c>
      <c r="O2851">
        <v>24538</v>
      </c>
    </row>
    <row r="2852" spans="1:15" x14ac:dyDescent="0.35">
      <c r="A2852">
        <v>2851</v>
      </c>
      <c r="B2852" s="2" t="s">
        <v>10</v>
      </c>
      <c r="C2852" s="2" t="s">
        <v>11</v>
      </c>
      <c r="D2852">
        <v>53</v>
      </c>
      <c r="E2852" s="2" t="s">
        <v>29</v>
      </c>
      <c r="F2852" s="2" t="s">
        <v>21</v>
      </c>
      <c r="G2852">
        <v>80974</v>
      </c>
      <c r="H2852" s="1">
        <v>45407</v>
      </c>
      <c r="I2852">
        <v>9</v>
      </c>
      <c r="J2852">
        <v>4</v>
      </c>
      <c r="K2852">
        <v>8097</v>
      </c>
      <c r="L2852">
        <v>4049</v>
      </c>
      <c r="M2852">
        <v>85022</v>
      </c>
      <c r="N2852">
        <v>4049</v>
      </c>
      <c r="O2852">
        <v>93120</v>
      </c>
    </row>
    <row r="2853" spans="1:15" x14ac:dyDescent="0.35">
      <c r="A2853">
        <v>2852</v>
      </c>
      <c r="B2853" s="2" t="s">
        <v>31</v>
      </c>
      <c r="C2853" s="2" t="s">
        <v>11</v>
      </c>
      <c r="D2853">
        <v>51</v>
      </c>
      <c r="E2853" s="2" t="s">
        <v>24</v>
      </c>
      <c r="F2853" s="2" t="s">
        <v>21</v>
      </c>
      <c r="G2853">
        <v>29505</v>
      </c>
      <c r="H2853" s="1">
        <v>45140</v>
      </c>
      <c r="I2853">
        <v>12</v>
      </c>
      <c r="J2853">
        <v>5</v>
      </c>
      <c r="K2853">
        <v>2950</v>
      </c>
      <c r="L2853">
        <v>1475</v>
      </c>
      <c r="M2853">
        <v>30980</v>
      </c>
      <c r="N2853">
        <v>1475</v>
      </c>
      <c r="O2853">
        <v>33930</v>
      </c>
    </row>
    <row r="2854" spans="1:15" x14ac:dyDescent="0.35">
      <c r="A2854">
        <v>2853</v>
      </c>
      <c r="B2854" s="2" t="s">
        <v>27</v>
      </c>
      <c r="C2854" s="2" t="s">
        <v>11</v>
      </c>
      <c r="D2854">
        <v>39</v>
      </c>
      <c r="E2854" s="2" t="s">
        <v>28</v>
      </c>
      <c r="F2854" s="2" t="s">
        <v>25</v>
      </c>
      <c r="G2854">
        <v>56226</v>
      </c>
      <c r="H2854" s="1">
        <v>45114</v>
      </c>
      <c r="I2854">
        <v>13</v>
      </c>
      <c r="J2854">
        <v>5</v>
      </c>
      <c r="K2854">
        <v>5623</v>
      </c>
      <c r="L2854">
        <v>2811</v>
      </c>
      <c r="M2854">
        <v>59038</v>
      </c>
      <c r="N2854">
        <v>2811</v>
      </c>
      <c r="O2854">
        <v>64660</v>
      </c>
    </row>
    <row r="2855" spans="1:15" x14ac:dyDescent="0.35">
      <c r="A2855">
        <v>2854</v>
      </c>
      <c r="B2855" s="2" t="s">
        <v>30</v>
      </c>
      <c r="C2855" s="2" t="s">
        <v>11</v>
      </c>
      <c r="D2855">
        <v>30</v>
      </c>
      <c r="E2855" s="2" t="s">
        <v>16</v>
      </c>
      <c r="F2855" s="2" t="s">
        <v>13</v>
      </c>
      <c r="G2855">
        <v>58741</v>
      </c>
      <c r="H2855" s="1">
        <v>44929</v>
      </c>
      <c r="I2855">
        <v>12</v>
      </c>
      <c r="J2855">
        <v>5</v>
      </c>
      <c r="K2855">
        <v>5874</v>
      </c>
      <c r="L2855">
        <v>2937</v>
      </c>
      <c r="M2855">
        <v>61678</v>
      </c>
      <c r="N2855">
        <v>2937</v>
      </c>
      <c r="O2855">
        <v>67552</v>
      </c>
    </row>
    <row r="2856" spans="1:15" x14ac:dyDescent="0.35">
      <c r="A2856">
        <v>2855</v>
      </c>
      <c r="B2856" s="2" t="s">
        <v>18</v>
      </c>
      <c r="C2856" s="2" t="s">
        <v>15</v>
      </c>
      <c r="D2856">
        <v>46</v>
      </c>
      <c r="E2856" s="2" t="s">
        <v>29</v>
      </c>
      <c r="F2856" s="2" t="s">
        <v>21</v>
      </c>
      <c r="G2856">
        <v>70871</v>
      </c>
      <c r="H2856" s="1">
        <v>44907</v>
      </c>
      <c r="I2856">
        <v>6</v>
      </c>
      <c r="J2856">
        <v>4</v>
      </c>
      <c r="K2856">
        <v>7087</v>
      </c>
      <c r="L2856">
        <v>3544</v>
      </c>
      <c r="M2856">
        <v>74414</v>
      </c>
      <c r="N2856">
        <v>3544</v>
      </c>
      <c r="O2856">
        <v>81502</v>
      </c>
    </row>
    <row r="2857" spans="1:15" x14ac:dyDescent="0.35">
      <c r="A2857">
        <v>2856</v>
      </c>
      <c r="B2857" s="2" t="s">
        <v>22</v>
      </c>
      <c r="C2857" s="2" t="s">
        <v>15</v>
      </c>
      <c r="D2857">
        <v>46</v>
      </c>
      <c r="E2857" s="2" t="s">
        <v>12</v>
      </c>
      <c r="F2857" s="2" t="s">
        <v>25</v>
      </c>
      <c r="G2857">
        <v>31095</v>
      </c>
      <c r="H2857" s="1">
        <v>45042</v>
      </c>
      <c r="I2857">
        <v>2</v>
      </c>
      <c r="J2857">
        <v>4</v>
      </c>
      <c r="K2857">
        <v>3110</v>
      </c>
      <c r="L2857">
        <v>1555</v>
      </c>
      <c r="M2857">
        <v>32650</v>
      </c>
      <c r="N2857">
        <v>0</v>
      </c>
      <c r="O2857">
        <v>34205</v>
      </c>
    </row>
    <row r="2858" spans="1:15" x14ac:dyDescent="0.35">
      <c r="A2858">
        <v>2857</v>
      </c>
      <c r="B2858" s="2" t="s">
        <v>10</v>
      </c>
      <c r="C2858" s="2" t="s">
        <v>15</v>
      </c>
      <c r="D2858">
        <v>27</v>
      </c>
      <c r="E2858" s="2" t="s">
        <v>12</v>
      </c>
      <c r="F2858" s="2" t="s">
        <v>17</v>
      </c>
      <c r="G2858">
        <v>39946</v>
      </c>
      <c r="H2858" s="1">
        <v>45556</v>
      </c>
      <c r="I2858">
        <v>12</v>
      </c>
      <c r="J2858">
        <v>2</v>
      </c>
      <c r="K2858">
        <v>3995</v>
      </c>
      <c r="L2858">
        <v>1997</v>
      </c>
      <c r="M2858">
        <v>41944</v>
      </c>
      <c r="N2858">
        <v>1997</v>
      </c>
      <c r="O2858">
        <v>45938</v>
      </c>
    </row>
    <row r="2859" spans="1:15" x14ac:dyDescent="0.35">
      <c r="A2859">
        <v>2858</v>
      </c>
      <c r="B2859" s="2" t="s">
        <v>10</v>
      </c>
      <c r="C2859" s="2" t="s">
        <v>15</v>
      </c>
      <c r="D2859">
        <v>57</v>
      </c>
      <c r="E2859" s="2" t="s">
        <v>24</v>
      </c>
      <c r="F2859" s="2" t="s">
        <v>21</v>
      </c>
      <c r="G2859">
        <v>97216</v>
      </c>
      <c r="H2859" s="1">
        <v>45074</v>
      </c>
      <c r="I2859">
        <v>14</v>
      </c>
      <c r="J2859">
        <v>5</v>
      </c>
      <c r="K2859">
        <v>9722</v>
      </c>
      <c r="L2859">
        <v>4861</v>
      </c>
      <c r="M2859">
        <v>102077</v>
      </c>
      <c r="N2859">
        <v>4861</v>
      </c>
      <c r="O2859">
        <v>111799</v>
      </c>
    </row>
    <row r="2860" spans="1:15" x14ac:dyDescent="0.35">
      <c r="A2860">
        <v>2859</v>
      </c>
      <c r="B2860" s="2" t="s">
        <v>31</v>
      </c>
      <c r="C2860" s="2" t="s">
        <v>11</v>
      </c>
      <c r="D2860">
        <v>54</v>
      </c>
      <c r="E2860" s="2" t="s">
        <v>29</v>
      </c>
      <c r="F2860" s="2" t="s">
        <v>25</v>
      </c>
      <c r="G2860">
        <v>85032</v>
      </c>
      <c r="H2860" s="1">
        <v>45029</v>
      </c>
      <c r="I2860">
        <v>9</v>
      </c>
      <c r="J2860">
        <v>5</v>
      </c>
      <c r="K2860">
        <v>8503</v>
      </c>
      <c r="L2860">
        <v>4252</v>
      </c>
      <c r="M2860">
        <v>89283</v>
      </c>
      <c r="N2860">
        <v>4252</v>
      </c>
      <c r="O2860">
        <v>97787</v>
      </c>
    </row>
    <row r="2861" spans="1:15" x14ac:dyDescent="0.35">
      <c r="A2861">
        <v>2860</v>
      </c>
      <c r="B2861" s="2" t="s">
        <v>20</v>
      </c>
      <c r="C2861" s="2" t="s">
        <v>11</v>
      </c>
      <c r="D2861">
        <v>34</v>
      </c>
      <c r="E2861" s="2" t="s">
        <v>16</v>
      </c>
      <c r="F2861" s="2" t="s">
        <v>17</v>
      </c>
      <c r="G2861">
        <v>89544</v>
      </c>
      <c r="H2861" s="1">
        <v>45485</v>
      </c>
      <c r="I2861">
        <v>11</v>
      </c>
      <c r="J2861">
        <v>4</v>
      </c>
      <c r="K2861">
        <v>8954</v>
      </c>
      <c r="L2861">
        <v>4477</v>
      </c>
      <c r="M2861">
        <v>94021</v>
      </c>
      <c r="N2861">
        <v>4477</v>
      </c>
      <c r="O2861">
        <v>102975</v>
      </c>
    </row>
    <row r="2862" spans="1:15" x14ac:dyDescent="0.35">
      <c r="A2862">
        <v>2861</v>
      </c>
      <c r="B2862" s="2" t="s">
        <v>18</v>
      </c>
      <c r="C2862" s="2" t="s">
        <v>15</v>
      </c>
      <c r="D2862">
        <v>60</v>
      </c>
      <c r="E2862" s="2" t="s">
        <v>12</v>
      </c>
      <c r="F2862" s="2" t="s">
        <v>17</v>
      </c>
      <c r="G2862">
        <v>81409</v>
      </c>
      <c r="H2862" s="1">
        <v>45186</v>
      </c>
      <c r="I2862">
        <v>5</v>
      </c>
      <c r="J2862">
        <v>1</v>
      </c>
      <c r="K2862">
        <v>8141</v>
      </c>
      <c r="L2862">
        <v>4070</v>
      </c>
      <c r="M2862">
        <v>85480</v>
      </c>
      <c r="N2862">
        <v>0</v>
      </c>
      <c r="O2862">
        <v>89550</v>
      </c>
    </row>
    <row r="2863" spans="1:15" x14ac:dyDescent="0.35">
      <c r="A2863">
        <v>2862</v>
      </c>
      <c r="B2863" s="2" t="s">
        <v>31</v>
      </c>
      <c r="C2863" s="2" t="s">
        <v>11</v>
      </c>
      <c r="D2863">
        <v>47</v>
      </c>
      <c r="E2863" s="2" t="s">
        <v>29</v>
      </c>
      <c r="F2863" s="2" t="s">
        <v>21</v>
      </c>
      <c r="G2863">
        <v>21806</v>
      </c>
      <c r="H2863" s="1">
        <v>45445</v>
      </c>
      <c r="I2863">
        <v>17</v>
      </c>
      <c r="J2863">
        <v>3</v>
      </c>
      <c r="K2863">
        <v>2181</v>
      </c>
      <c r="L2863">
        <v>1090</v>
      </c>
      <c r="M2863">
        <v>22897</v>
      </c>
      <c r="N2863">
        <v>1090</v>
      </c>
      <c r="O2863">
        <v>25077</v>
      </c>
    </row>
    <row r="2864" spans="1:15" x14ac:dyDescent="0.35">
      <c r="A2864">
        <v>2863</v>
      </c>
      <c r="B2864" s="2" t="s">
        <v>20</v>
      </c>
      <c r="C2864" s="2" t="s">
        <v>11</v>
      </c>
      <c r="D2864">
        <v>29</v>
      </c>
      <c r="E2864" s="2" t="s">
        <v>28</v>
      </c>
      <c r="F2864" s="2" t="s">
        <v>17</v>
      </c>
      <c r="G2864">
        <v>97102</v>
      </c>
      <c r="H2864" s="1">
        <v>45075</v>
      </c>
      <c r="I2864">
        <v>5</v>
      </c>
      <c r="J2864">
        <v>2</v>
      </c>
      <c r="K2864">
        <v>9710</v>
      </c>
      <c r="L2864">
        <v>4855</v>
      </c>
      <c r="M2864">
        <v>101957</v>
      </c>
      <c r="N2864">
        <v>0</v>
      </c>
      <c r="O2864">
        <v>106812</v>
      </c>
    </row>
    <row r="2865" spans="1:15" x14ac:dyDescent="0.35">
      <c r="A2865">
        <v>2864</v>
      </c>
      <c r="B2865" s="2" t="s">
        <v>20</v>
      </c>
      <c r="C2865" s="2" t="s">
        <v>11</v>
      </c>
      <c r="D2865">
        <v>28</v>
      </c>
      <c r="E2865" s="2" t="s">
        <v>12</v>
      </c>
      <c r="F2865" s="2" t="s">
        <v>19</v>
      </c>
      <c r="G2865">
        <v>80678</v>
      </c>
      <c r="H2865" s="1">
        <v>44943</v>
      </c>
      <c r="I2865">
        <v>5</v>
      </c>
      <c r="J2865">
        <v>2</v>
      </c>
      <c r="K2865">
        <v>8068</v>
      </c>
      <c r="L2865">
        <v>4034</v>
      </c>
      <c r="M2865">
        <v>84712</v>
      </c>
      <c r="N2865">
        <v>0</v>
      </c>
      <c r="O2865">
        <v>88746</v>
      </c>
    </row>
    <row r="2866" spans="1:15" x14ac:dyDescent="0.35">
      <c r="A2866">
        <v>2865</v>
      </c>
      <c r="B2866" s="2" t="s">
        <v>26</v>
      </c>
      <c r="C2866" s="2" t="s">
        <v>11</v>
      </c>
      <c r="D2866">
        <v>26</v>
      </c>
      <c r="E2866" s="2" t="s">
        <v>16</v>
      </c>
      <c r="F2866" s="2" t="s">
        <v>19</v>
      </c>
      <c r="G2866">
        <v>32277</v>
      </c>
      <c r="H2866" s="1">
        <v>45313</v>
      </c>
      <c r="I2866">
        <v>6</v>
      </c>
      <c r="J2866">
        <v>2</v>
      </c>
      <c r="K2866">
        <v>3228</v>
      </c>
      <c r="L2866">
        <v>1614</v>
      </c>
      <c r="M2866">
        <v>33891</v>
      </c>
      <c r="N2866">
        <v>1614</v>
      </c>
      <c r="O2866">
        <v>37119</v>
      </c>
    </row>
    <row r="2867" spans="1:15" x14ac:dyDescent="0.35">
      <c r="A2867">
        <v>2866</v>
      </c>
      <c r="B2867" s="2" t="s">
        <v>22</v>
      </c>
      <c r="C2867" s="2" t="s">
        <v>11</v>
      </c>
      <c r="D2867">
        <v>48</v>
      </c>
      <c r="E2867" s="2" t="s">
        <v>28</v>
      </c>
      <c r="F2867" s="2" t="s">
        <v>25</v>
      </c>
      <c r="G2867">
        <v>23780</v>
      </c>
      <c r="H2867" s="1">
        <v>44640</v>
      </c>
      <c r="I2867">
        <v>1</v>
      </c>
      <c r="J2867">
        <v>4</v>
      </c>
      <c r="K2867">
        <v>2378</v>
      </c>
      <c r="L2867">
        <v>1189</v>
      </c>
      <c r="M2867">
        <v>24969</v>
      </c>
      <c r="N2867">
        <v>0</v>
      </c>
      <c r="O2867">
        <v>26158</v>
      </c>
    </row>
    <row r="2868" spans="1:15" x14ac:dyDescent="0.35">
      <c r="A2868">
        <v>2867</v>
      </c>
      <c r="B2868" s="2" t="s">
        <v>26</v>
      </c>
      <c r="C2868" s="2" t="s">
        <v>15</v>
      </c>
      <c r="D2868">
        <v>53</v>
      </c>
      <c r="E2868" s="2" t="s">
        <v>29</v>
      </c>
      <c r="F2868" s="2" t="s">
        <v>17</v>
      </c>
      <c r="G2868">
        <v>96968</v>
      </c>
      <c r="H2868" s="1">
        <v>44759</v>
      </c>
      <c r="I2868">
        <v>1</v>
      </c>
      <c r="J2868">
        <v>1</v>
      </c>
      <c r="K2868">
        <v>9697</v>
      </c>
      <c r="L2868">
        <v>4848</v>
      </c>
      <c r="M2868">
        <v>101817</v>
      </c>
      <c r="N2868">
        <v>0</v>
      </c>
      <c r="O2868">
        <v>106665</v>
      </c>
    </row>
    <row r="2869" spans="1:15" x14ac:dyDescent="0.35">
      <c r="A2869">
        <v>2868</v>
      </c>
      <c r="B2869" s="2" t="s">
        <v>26</v>
      </c>
      <c r="C2869" s="2" t="s">
        <v>15</v>
      </c>
      <c r="D2869">
        <v>26</v>
      </c>
      <c r="E2869" s="2" t="s">
        <v>29</v>
      </c>
      <c r="F2869" s="2" t="s">
        <v>21</v>
      </c>
      <c r="G2869">
        <v>74932</v>
      </c>
      <c r="H2869" s="1">
        <v>44765</v>
      </c>
      <c r="I2869">
        <v>13</v>
      </c>
      <c r="J2869">
        <v>3</v>
      </c>
      <c r="K2869">
        <v>7493</v>
      </c>
      <c r="L2869">
        <v>3747</v>
      </c>
      <c r="M2869">
        <v>78678</v>
      </c>
      <c r="N2869">
        <v>3747</v>
      </c>
      <c r="O2869">
        <v>86172</v>
      </c>
    </row>
    <row r="2870" spans="1:15" x14ac:dyDescent="0.35">
      <c r="A2870">
        <v>2869</v>
      </c>
      <c r="B2870" s="2" t="s">
        <v>14</v>
      </c>
      <c r="C2870" s="2" t="s">
        <v>11</v>
      </c>
      <c r="D2870">
        <v>48</v>
      </c>
      <c r="E2870" s="2" t="s">
        <v>24</v>
      </c>
      <c r="F2870" s="2" t="s">
        <v>13</v>
      </c>
      <c r="G2870">
        <v>28644</v>
      </c>
      <c r="H2870" s="1">
        <v>45164</v>
      </c>
      <c r="I2870">
        <v>1</v>
      </c>
      <c r="J2870">
        <v>4</v>
      </c>
      <c r="K2870">
        <v>2864</v>
      </c>
      <c r="L2870">
        <v>1432</v>
      </c>
      <c r="M2870">
        <v>30076</v>
      </c>
      <c r="N2870">
        <v>0</v>
      </c>
      <c r="O2870">
        <v>31508</v>
      </c>
    </row>
    <row r="2871" spans="1:15" x14ac:dyDescent="0.35">
      <c r="A2871">
        <v>2870</v>
      </c>
      <c r="B2871" s="2" t="s">
        <v>10</v>
      </c>
      <c r="C2871" s="2" t="s">
        <v>11</v>
      </c>
      <c r="D2871">
        <v>58</v>
      </c>
      <c r="E2871" s="2" t="s">
        <v>24</v>
      </c>
      <c r="F2871" s="2" t="s">
        <v>17</v>
      </c>
      <c r="G2871">
        <v>95150</v>
      </c>
      <c r="H2871" s="1">
        <v>44711</v>
      </c>
      <c r="I2871">
        <v>18</v>
      </c>
      <c r="J2871">
        <v>1</v>
      </c>
      <c r="K2871">
        <v>9515</v>
      </c>
      <c r="L2871">
        <v>4758</v>
      </c>
      <c r="M2871">
        <v>99907</v>
      </c>
      <c r="N2871">
        <v>4758</v>
      </c>
      <c r="O2871">
        <v>109423</v>
      </c>
    </row>
    <row r="2872" spans="1:15" x14ac:dyDescent="0.35">
      <c r="A2872">
        <v>2871</v>
      </c>
      <c r="B2872" s="2" t="s">
        <v>31</v>
      </c>
      <c r="C2872" s="2" t="s">
        <v>15</v>
      </c>
      <c r="D2872">
        <v>57</v>
      </c>
      <c r="E2872" s="2" t="s">
        <v>24</v>
      </c>
      <c r="F2872" s="2" t="s">
        <v>17</v>
      </c>
      <c r="G2872">
        <v>80410</v>
      </c>
      <c r="H2872" s="1">
        <v>44724</v>
      </c>
      <c r="I2872">
        <v>9</v>
      </c>
      <c r="J2872">
        <v>4</v>
      </c>
      <c r="K2872">
        <v>8041</v>
      </c>
      <c r="L2872">
        <v>4020</v>
      </c>
      <c r="M2872">
        <v>84431</v>
      </c>
      <c r="N2872">
        <v>4020</v>
      </c>
      <c r="O2872">
        <v>92471</v>
      </c>
    </row>
    <row r="2873" spans="1:15" x14ac:dyDescent="0.35">
      <c r="A2873">
        <v>2872</v>
      </c>
      <c r="B2873" s="2" t="s">
        <v>18</v>
      </c>
      <c r="C2873" s="2" t="s">
        <v>11</v>
      </c>
      <c r="D2873">
        <v>24</v>
      </c>
      <c r="E2873" s="2" t="s">
        <v>16</v>
      </c>
      <c r="F2873" s="2" t="s">
        <v>19</v>
      </c>
      <c r="G2873">
        <v>82120</v>
      </c>
      <c r="H2873" s="1">
        <v>44937</v>
      </c>
      <c r="I2873">
        <v>8</v>
      </c>
      <c r="J2873">
        <v>4</v>
      </c>
      <c r="K2873">
        <v>8212</v>
      </c>
      <c r="L2873">
        <v>4106</v>
      </c>
      <c r="M2873">
        <v>86226</v>
      </c>
      <c r="N2873">
        <v>4106</v>
      </c>
      <c r="O2873">
        <v>94438</v>
      </c>
    </row>
    <row r="2874" spans="1:15" x14ac:dyDescent="0.35">
      <c r="A2874">
        <v>2873</v>
      </c>
      <c r="B2874" s="2" t="s">
        <v>23</v>
      </c>
      <c r="C2874" s="2" t="s">
        <v>11</v>
      </c>
      <c r="D2874">
        <v>33</v>
      </c>
      <c r="E2874" s="2" t="s">
        <v>24</v>
      </c>
      <c r="F2874" s="2" t="s">
        <v>21</v>
      </c>
      <c r="G2874">
        <v>37674</v>
      </c>
      <c r="H2874" s="1">
        <v>44877</v>
      </c>
      <c r="I2874">
        <v>3</v>
      </c>
      <c r="J2874">
        <v>2</v>
      </c>
      <c r="K2874">
        <v>3767</v>
      </c>
      <c r="L2874">
        <v>1884</v>
      </c>
      <c r="M2874">
        <v>39557</v>
      </c>
      <c r="N2874">
        <v>0</v>
      </c>
      <c r="O2874">
        <v>41441</v>
      </c>
    </row>
    <row r="2875" spans="1:15" x14ac:dyDescent="0.35">
      <c r="A2875">
        <v>2874</v>
      </c>
      <c r="B2875" s="2" t="s">
        <v>23</v>
      </c>
      <c r="C2875" s="2" t="s">
        <v>15</v>
      </c>
      <c r="D2875">
        <v>28</v>
      </c>
      <c r="E2875" s="2" t="s">
        <v>12</v>
      </c>
      <c r="F2875" s="2" t="s">
        <v>19</v>
      </c>
      <c r="G2875">
        <v>30624</v>
      </c>
      <c r="H2875" s="1">
        <v>45259</v>
      </c>
      <c r="I2875">
        <v>8</v>
      </c>
      <c r="J2875">
        <v>3</v>
      </c>
      <c r="K2875">
        <v>3062</v>
      </c>
      <c r="L2875">
        <v>1531</v>
      </c>
      <c r="M2875">
        <v>32155</v>
      </c>
      <c r="N2875">
        <v>1531</v>
      </c>
      <c r="O2875">
        <v>35217</v>
      </c>
    </row>
    <row r="2876" spans="1:15" x14ac:dyDescent="0.35">
      <c r="A2876">
        <v>2875</v>
      </c>
      <c r="B2876" s="2" t="s">
        <v>20</v>
      </c>
      <c r="C2876" s="2" t="s">
        <v>15</v>
      </c>
      <c r="D2876">
        <v>41</v>
      </c>
      <c r="E2876" s="2" t="s">
        <v>29</v>
      </c>
      <c r="F2876" s="2" t="s">
        <v>19</v>
      </c>
      <c r="G2876">
        <v>97288</v>
      </c>
      <c r="H2876" s="1">
        <v>45332</v>
      </c>
      <c r="I2876">
        <v>14</v>
      </c>
      <c r="J2876">
        <v>4</v>
      </c>
      <c r="K2876">
        <v>9729</v>
      </c>
      <c r="L2876">
        <v>4864</v>
      </c>
      <c r="M2876">
        <v>102153</v>
      </c>
      <c r="N2876">
        <v>4864</v>
      </c>
      <c r="O2876">
        <v>111881</v>
      </c>
    </row>
    <row r="2877" spans="1:15" x14ac:dyDescent="0.35">
      <c r="A2877">
        <v>2876</v>
      </c>
      <c r="B2877" s="2" t="s">
        <v>18</v>
      </c>
      <c r="C2877" s="2" t="s">
        <v>15</v>
      </c>
      <c r="D2877">
        <v>25</v>
      </c>
      <c r="E2877" s="2" t="s">
        <v>12</v>
      </c>
      <c r="F2877" s="2" t="s">
        <v>13</v>
      </c>
      <c r="G2877">
        <v>34550</v>
      </c>
      <c r="H2877" s="1">
        <v>44948</v>
      </c>
      <c r="I2877">
        <v>1</v>
      </c>
      <c r="J2877">
        <v>3</v>
      </c>
      <c r="K2877">
        <v>3455</v>
      </c>
      <c r="L2877">
        <v>1728</v>
      </c>
      <c r="M2877">
        <v>36277</v>
      </c>
      <c r="N2877">
        <v>0</v>
      </c>
      <c r="O2877">
        <v>38005</v>
      </c>
    </row>
    <row r="2878" spans="1:15" x14ac:dyDescent="0.35">
      <c r="A2878">
        <v>2877</v>
      </c>
      <c r="B2878" s="2" t="s">
        <v>20</v>
      </c>
      <c r="C2878" s="2" t="s">
        <v>11</v>
      </c>
      <c r="D2878">
        <v>40</v>
      </c>
      <c r="E2878" s="2" t="s">
        <v>29</v>
      </c>
      <c r="F2878" s="2" t="s">
        <v>21</v>
      </c>
      <c r="G2878">
        <v>32748</v>
      </c>
      <c r="H2878" s="1">
        <v>44788</v>
      </c>
      <c r="I2878">
        <v>19</v>
      </c>
      <c r="J2878">
        <v>5</v>
      </c>
      <c r="K2878">
        <v>3275</v>
      </c>
      <c r="L2878">
        <v>1637</v>
      </c>
      <c r="M2878">
        <v>34386</v>
      </c>
      <c r="N2878">
        <v>1637</v>
      </c>
      <c r="O2878">
        <v>37660</v>
      </c>
    </row>
    <row r="2879" spans="1:15" x14ac:dyDescent="0.35">
      <c r="A2879">
        <v>2878</v>
      </c>
      <c r="B2879" s="2" t="s">
        <v>27</v>
      </c>
      <c r="C2879" s="2" t="s">
        <v>15</v>
      </c>
      <c r="D2879">
        <v>28</v>
      </c>
      <c r="E2879" s="2" t="s">
        <v>12</v>
      </c>
      <c r="F2879" s="2" t="s">
        <v>13</v>
      </c>
      <c r="G2879">
        <v>96461</v>
      </c>
      <c r="H2879" s="1">
        <v>45024</v>
      </c>
      <c r="I2879">
        <v>17</v>
      </c>
      <c r="J2879">
        <v>3</v>
      </c>
      <c r="K2879">
        <v>9646</v>
      </c>
      <c r="L2879">
        <v>4823</v>
      </c>
      <c r="M2879">
        <v>101284</v>
      </c>
      <c r="N2879">
        <v>4823</v>
      </c>
      <c r="O2879">
        <v>110930</v>
      </c>
    </row>
    <row r="2880" spans="1:15" x14ac:dyDescent="0.35">
      <c r="A2880">
        <v>2879</v>
      </c>
      <c r="B2880" s="2" t="s">
        <v>20</v>
      </c>
      <c r="C2880" s="2" t="s">
        <v>11</v>
      </c>
      <c r="D2880">
        <v>46</v>
      </c>
      <c r="E2880" s="2" t="s">
        <v>24</v>
      </c>
      <c r="F2880" s="2" t="s">
        <v>17</v>
      </c>
      <c r="G2880">
        <v>61066</v>
      </c>
      <c r="H2880" s="1">
        <v>45527</v>
      </c>
      <c r="I2880">
        <v>4</v>
      </c>
      <c r="J2880">
        <v>4</v>
      </c>
      <c r="K2880">
        <v>6107</v>
      </c>
      <c r="L2880">
        <v>3053</v>
      </c>
      <c r="M2880">
        <v>64120</v>
      </c>
      <c r="N2880">
        <v>0</v>
      </c>
      <c r="O2880">
        <v>67173</v>
      </c>
    </row>
    <row r="2881" spans="1:15" x14ac:dyDescent="0.35">
      <c r="A2881">
        <v>2880</v>
      </c>
      <c r="B2881" s="2" t="s">
        <v>31</v>
      </c>
      <c r="C2881" s="2" t="s">
        <v>15</v>
      </c>
      <c r="D2881">
        <v>39</v>
      </c>
      <c r="E2881" s="2" t="s">
        <v>12</v>
      </c>
      <c r="F2881" s="2" t="s">
        <v>21</v>
      </c>
      <c r="G2881">
        <v>80860</v>
      </c>
      <c r="H2881" s="1">
        <v>45348</v>
      </c>
      <c r="I2881">
        <v>1</v>
      </c>
      <c r="J2881">
        <v>1</v>
      </c>
      <c r="K2881">
        <v>8086</v>
      </c>
      <c r="L2881">
        <v>4043</v>
      </c>
      <c r="M2881">
        <v>84903</v>
      </c>
      <c r="N2881">
        <v>0</v>
      </c>
      <c r="O2881">
        <v>88946</v>
      </c>
    </row>
    <row r="2882" spans="1:15" x14ac:dyDescent="0.35">
      <c r="A2882">
        <v>2881</v>
      </c>
      <c r="B2882" s="2" t="s">
        <v>10</v>
      </c>
      <c r="C2882" s="2" t="s">
        <v>11</v>
      </c>
      <c r="D2882">
        <v>31</v>
      </c>
      <c r="E2882" s="2" t="s">
        <v>29</v>
      </c>
      <c r="F2882" s="2" t="s">
        <v>25</v>
      </c>
      <c r="G2882">
        <v>78584</v>
      </c>
      <c r="H2882" s="1">
        <v>44742</v>
      </c>
      <c r="I2882">
        <v>15</v>
      </c>
      <c r="J2882">
        <v>1</v>
      </c>
      <c r="K2882">
        <v>7858</v>
      </c>
      <c r="L2882">
        <v>3929</v>
      </c>
      <c r="M2882">
        <v>82513</v>
      </c>
      <c r="N2882">
        <v>3929</v>
      </c>
      <c r="O2882">
        <v>90371</v>
      </c>
    </row>
    <row r="2883" spans="1:15" x14ac:dyDescent="0.35">
      <c r="A2883">
        <v>2882</v>
      </c>
      <c r="B2883" s="2" t="s">
        <v>30</v>
      </c>
      <c r="C2883" s="2" t="s">
        <v>15</v>
      </c>
      <c r="D2883">
        <v>36</v>
      </c>
      <c r="E2883" s="2" t="s">
        <v>24</v>
      </c>
      <c r="F2883" s="2" t="s">
        <v>19</v>
      </c>
      <c r="G2883">
        <v>31982</v>
      </c>
      <c r="H2883" s="1">
        <v>44682</v>
      </c>
      <c r="I2883">
        <v>12</v>
      </c>
      <c r="J2883">
        <v>5</v>
      </c>
      <c r="K2883">
        <v>3198</v>
      </c>
      <c r="L2883">
        <v>1599</v>
      </c>
      <c r="M2883">
        <v>33581</v>
      </c>
      <c r="N2883">
        <v>1599</v>
      </c>
      <c r="O2883">
        <v>36779</v>
      </c>
    </row>
    <row r="2884" spans="1:15" x14ac:dyDescent="0.35">
      <c r="A2884">
        <v>2883</v>
      </c>
      <c r="B2884" s="2" t="s">
        <v>30</v>
      </c>
      <c r="C2884" s="2" t="s">
        <v>15</v>
      </c>
      <c r="D2884">
        <v>30</v>
      </c>
      <c r="E2884" s="2" t="s">
        <v>29</v>
      </c>
      <c r="F2884" s="2" t="s">
        <v>17</v>
      </c>
      <c r="G2884">
        <v>88482</v>
      </c>
      <c r="H2884" s="1">
        <v>45235</v>
      </c>
      <c r="I2884">
        <v>7</v>
      </c>
      <c r="J2884">
        <v>2</v>
      </c>
      <c r="K2884">
        <v>8848</v>
      </c>
      <c r="L2884">
        <v>4424</v>
      </c>
      <c r="M2884">
        <v>92906</v>
      </c>
      <c r="N2884">
        <v>4424</v>
      </c>
      <c r="O2884">
        <v>101754</v>
      </c>
    </row>
    <row r="2885" spans="1:15" x14ac:dyDescent="0.35">
      <c r="A2885">
        <v>2884</v>
      </c>
      <c r="B2885" s="2" t="s">
        <v>30</v>
      </c>
      <c r="C2885" s="2" t="s">
        <v>11</v>
      </c>
      <c r="D2885">
        <v>60</v>
      </c>
      <c r="E2885" s="2" t="s">
        <v>24</v>
      </c>
      <c r="F2885" s="2" t="s">
        <v>25</v>
      </c>
      <c r="G2885">
        <v>83178</v>
      </c>
      <c r="H2885" s="1">
        <v>45248</v>
      </c>
      <c r="I2885">
        <v>8</v>
      </c>
      <c r="J2885">
        <v>2</v>
      </c>
      <c r="K2885">
        <v>8318</v>
      </c>
      <c r="L2885">
        <v>4159</v>
      </c>
      <c r="M2885">
        <v>87337</v>
      </c>
      <c r="N2885">
        <v>4159</v>
      </c>
      <c r="O2885">
        <v>95655</v>
      </c>
    </row>
    <row r="2886" spans="1:15" x14ac:dyDescent="0.35">
      <c r="A2886">
        <v>2885</v>
      </c>
      <c r="B2886" s="2" t="s">
        <v>14</v>
      </c>
      <c r="C2886" s="2" t="s">
        <v>11</v>
      </c>
      <c r="D2886">
        <v>50</v>
      </c>
      <c r="E2886" s="2" t="s">
        <v>16</v>
      </c>
      <c r="F2886" s="2" t="s">
        <v>21</v>
      </c>
      <c r="G2886">
        <v>71544</v>
      </c>
      <c r="H2886" s="1">
        <v>44928</v>
      </c>
      <c r="I2886">
        <v>11</v>
      </c>
      <c r="J2886">
        <v>1</v>
      </c>
      <c r="K2886">
        <v>7154</v>
      </c>
      <c r="L2886">
        <v>3577</v>
      </c>
      <c r="M2886">
        <v>75121</v>
      </c>
      <c r="N2886">
        <v>3577</v>
      </c>
      <c r="O2886">
        <v>82275</v>
      </c>
    </row>
    <row r="2887" spans="1:15" x14ac:dyDescent="0.35">
      <c r="A2887">
        <v>2886</v>
      </c>
      <c r="B2887" s="2" t="s">
        <v>30</v>
      </c>
      <c r="C2887" s="2" t="s">
        <v>15</v>
      </c>
      <c r="D2887">
        <v>25</v>
      </c>
      <c r="E2887" s="2" t="s">
        <v>12</v>
      </c>
      <c r="F2887" s="2" t="s">
        <v>13</v>
      </c>
      <c r="G2887">
        <v>54545</v>
      </c>
      <c r="H2887" s="1">
        <v>45270</v>
      </c>
      <c r="I2887">
        <v>15</v>
      </c>
      <c r="J2887">
        <v>5</v>
      </c>
      <c r="K2887">
        <v>5454</v>
      </c>
      <c r="L2887">
        <v>2727</v>
      </c>
      <c r="M2887">
        <v>57272</v>
      </c>
      <c r="N2887">
        <v>2727</v>
      </c>
      <c r="O2887">
        <v>62726</v>
      </c>
    </row>
    <row r="2888" spans="1:15" x14ac:dyDescent="0.35">
      <c r="A2888">
        <v>2887</v>
      </c>
      <c r="B2888" s="2" t="s">
        <v>10</v>
      </c>
      <c r="C2888" s="2" t="s">
        <v>11</v>
      </c>
      <c r="D2888">
        <v>59</v>
      </c>
      <c r="E2888" s="2" t="s">
        <v>16</v>
      </c>
      <c r="F2888" s="2" t="s">
        <v>21</v>
      </c>
      <c r="G2888">
        <v>21302</v>
      </c>
      <c r="H2888" s="1">
        <v>44707</v>
      </c>
      <c r="I2888">
        <v>16</v>
      </c>
      <c r="J2888">
        <v>2</v>
      </c>
      <c r="K2888">
        <v>2130</v>
      </c>
      <c r="L2888">
        <v>1065</v>
      </c>
      <c r="M2888">
        <v>22367</v>
      </c>
      <c r="N2888">
        <v>1065</v>
      </c>
      <c r="O2888">
        <v>24497</v>
      </c>
    </row>
    <row r="2889" spans="1:15" x14ac:dyDescent="0.35">
      <c r="A2889">
        <v>2888</v>
      </c>
      <c r="B2889" s="2" t="s">
        <v>10</v>
      </c>
      <c r="C2889" s="2" t="s">
        <v>11</v>
      </c>
      <c r="D2889">
        <v>42</v>
      </c>
      <c r="E2889" s="2" t="s">
        <v>16</v>
      </c>
      <c r="F2889" s="2" t="s">
        <v>13</v>
      </c>
      <c r="G2889">
        <v>89906</v>
      </c>
      <c r="H2889" s="1">
        <v>44860</v>
      </c>
      <c r="I2889">
        <v>8</v>
      </c>
      <c r="J2889">
        <v>5</v>
      </c>
      <c r="K2889">
        <v>8991</v>
      </c>
      <c r="L2889">
        <v>4495</v>
      </c>
      <c r="M2889">
        <v>94402</v>
      </c>
      <c r="N2889">
        <v>4495</v>
      </c>
      <c r="O2889">
        <v>103392</v>
      </c>
    </row>
    <row r="2890" spans="1:15" x14ac:dyDescent="0.35">
      <c r="A2890">
        <v>2889</v>
      </c>
      <c r="B2890" s="2" t="s">
        <v>26</v>
      </c>
      <c r="C2890" s="2" t="s">
        <v>15</v>
      </c>
      <c r="D2890">
        <v>55</v>
      </c>
      <c r="E2890" s="2" t="s">
        <v>28</v>
      </c>
      <c r="F2890" s="2" t="s">
        <v>19</v>
      </c>
      <c r="G2890">
        <v>99813</v>
      </c>
      <c r="H2890" s="1">
        <v>44619</v>
      </c>
      <c r="I2890">
        <v>16</v>
      </c>
      <c r="J2890">
        <v>3</v>
      </c>
      <c r="K2890">
        <v>9981</v>
      </c>
      <c r="L2890">
        <v>4991</v>
      </c>
      <c r="M2890">
        <v>104803</v>
      </c>
      <c r="N2890">
        <v>4991</v>
      </c>
      <c r="O2890">
        <v>114785</v>
      </c>
    </row>
    <row r="2891" spans="1:15" x14ac:dyDescent="0.35">
      <c r="A2891">
        <v>2890</v>
      </c>
      <c r="B2891" s="2" t="s">
        <v>14</v>
      </c>
      <c r="C2891" s="2" t="s">
        <v>11</v>
      </c>
      <c r="D2891">
        <v>42</v>
      </c>
      <c r="E2891" s="2" t="s">
        <v>28</v>
      </c>
      <c r="F2891" s="2" t="s">
        <v>21</v>
      </c>
      <c r="G2891">
        <v>96009</v>
      </c>
      <c r="H2891" s="1">
        <v>45195</v>
      </c>
      <c r="I2891">
        <v>12</v>
      </c>
      <c r="J2891">
        <v>4</v>
      </c>
      <c r="K2891">
        <v>9601</v>
      </c>
      <c r="L2891">
        <v>4800</v>
      </c>
      <c r="M2891">
        <v>100810</v>
      </c>
      <c r="N2891">
        <v>4800</v>
      </c>
      <c r="O2891">
        <v>110410</v>
      </c>
    </row>
    <row r="2892" spans="1:15" x14ac:dyDescent="0.35">
      <c r="A2892">
        <v>2891</v>
      </c>
      <c r="B2892" s="2" t="s">
        <v>23</v>
      </c>
      <c r="C2892" s="2" t="s">
        <v>11</v>
      </c>
      <c r="D2892">
        <v>24</v>
      </c>
      <c r="E2892" s="2" t="s">
        <v>28</v>
      </c>
      <c r="F2892" s="2" t="s">
        <v>25</v>
      </c>
      <c r="G2892">
        <v>64822</v>
      </c>
      <c r="H2892" s="1">
        <v>44847</v>
      </c>
      <c r="I2892">
        <v>9</v>
      </c>
      <c r="J2892">
        <v>3</v>
      </c>
      <c r="K2892">
        <v>6482</v>
      </c>
      <c r="L2892">
        <v>3241</v>
      </c>
      <c r="M2892">
        <v>68063</v>
      </c>
      <c r="N2892">
        <v>3241</v>
      </c>
      <c r="O2892">
        <v>74545</v>
      </c>
    </row>
    <row r="2893" spans="1:15" x14ac:dyDescent="0.35">
      <c r="A2893">
        <v>2892</v>
      </c>
      <c r="B2893" s="2" t="s">
        <v>22</v>
      </c>
      <c r="C2893" s="2" t="s">
        <v>11</v>
      </c>
      <c r="D2893">
        <v>22</v>
      </c>
      <c r="E2893" s="2" t="s">
        <v>29</v>
      </c>
      <c r="F2893" s="2" t="s">
        <v>25</v>
      </c>
      <c r="G2893">
        <v>32156</v>
      </c>
      <c r="H2893" s="1">
        <v>44744</v>
      </c>
      <c r="I2893">
        <v>7</v>
      </c>
      <c r="J2893">
        <v>1</v>
      </c>
      <c r="K2893">
        <v>3216</v>
      </c>
      <c r="L2893">
        <v>1608</v>
      </c>
      <c r="M2893">
        <v>33764</v>
      </c>
      <c r="N2893">
        <v>1608</v>
      </c>
      <c r="O2893">
        <v>36980</v>
      </c>
    </row>
    <row r="2894" spans="1:15" x14ac:dyDescent="0.35">
      <c r="A2894">
        <v>2893</v>
      </c>
      <c r="B2894" s="2" t="s">
        <v>20</v>
      </c>
      <c r="C2894" s="2" t="s">
        <v>11</v>
      </c>
      <c r="D2894">
        <v>30</v>
      </c>
      <c r="E2894" s="2" t="s">
        <v>16</v>
      </c>
      <c r="F2894" s="2" t="s">
        <v>25</v>
      </c>
      <c r="G2894">
        <v>85111</v>
      </c>
      <c r="H2894" s="1">
        <v>45296</v>
      </c>
      <c r="I2894">
        <v>2</v>
      </c>
      <c r="J2894">
        <v>5</v>
      </c>
      <c r="K2894">
        <v>8511</v>
      </c>
      <c r="L2894">
        <v>4256</v>
      </c>
      <c r="M2894">
        <v>89366</v>
      </c>
      <c r="N2894">
        <v>0</v>
      </c>
      <c r="O2894">
        <v>93622</v>
      </c>
    </row>
    <row r="2895" spans="1:15" x14ac:dyDescent="0.35">
      <c r="A2895">
        <v>2894</v>
      </c>
      <c r="B2895" s="2" t="s">
        <v>22</v>
      </c>
      <c r="C2895" s="2" t="s">
        <v>15</v>
      </c>
      <c r="D2895">
        <v>53</v>
      </c>
      <c r="E2895" s="2" t="s">
        <v>16</v>
      </c>
      <c r="F2895" s="2" t="s">
        <v>25</v>
      </c>
      <c r="G2895">
        <v>98933</v>
      </c>
      <c r="H2895" s="1">
        <v>44917</v>
      </c>
      <c r="I2895">
        <v>19</v>
      </c>
      <c r="J2895">
        <v>4</v>
      </c>
      <c r="K2895">
        <v>9893</v>
      </c>
      <c r="L2895">
        <v>4947</v>
      </c>
      <c r="M2895">
        <v>103879</v>
      </c>
      <c r="N2895">
        <v>4947</v>
      </c>
      <c r="O2895">
        <v>113773</v>
      </c>
    </row>
    <row r="2896" spans="1:15" x14ac:dyDescent="0.35">
      <c r="A2896">
        <v>2895</v>
      </c>
      <c r="B2896" s="2" t="s">
        <v>18</v>
      </c>
      <c r="C2896" s="2" t="s">
        <v>15</v>
      </c>
      <c r="D2896">
        <v>39</v>
      </c>
      <c r="E2896" s="2" t="s">
        <v>28</v>
      </c>
      <c r="F2896" s="2" t="s">
        <v>25</v>
      </c>
      <c r="G2896">
        <v>91036</v>
      </c>
      <c r="H2896" s="1">
        <v>44990</v>
      </c>
      <c r="I2896">
        <v>11</v>
      </c>
      <c r="J2896">
        <v>4</v>
      </c>
      <c r="K2896">
        <v>9104</v>
      </c>
      <c r="L2896">
        <v>4552</v>
      </c>
      <c r="M2896">
        <v>95588</v>
      </c>
      <c r="N2896">
        <v>4552</v>
      </c>
      <c r="O2896">
        <v>104692</v>
      </c>
    </row>
    <row r="2897" spans="1:15" x14ac:dyDescent="0.35">
      <c r="A2897">
        <v>2896</v>
      </c>
      <c r="B2897" s="2" t="s">
        <v>22</v>
      </c>
      <c r="C2897" s="2" t="s">
        <v>11</v>
      </c>
      <c r="D2897">
        <v>53</v>
      </c>
      <c r="E2897" s="2" t="s">
        <v>16</v>
      </c>
      <c r="F2897" s="2" t="s">
        <v>25</v>
      </c>
      <c r="G2897">
        <v>70809</v>
      </c>
      <c r="H2897" s="1">
        <v>45554</v>
      </c>
      <c r="I2897">
        <v>5</v>
      </c>
      <c r="J2897">
        <v>5</v>
      </c>
      <c r="K2897">
        <v>7081</v>
      </c>
      <c r="L2897">
        <v>3540</v>
      </c>
      <c r="M2897">
        <v>74350</v>
      </c>
      <c r="N2897">
        <v>0</v>
      </c>
      <c r="O2897">
        <v>77890</v>
      </c>
    </row>
    <row r="2898" spans="1:15" x14ac:dyDescent="0.35">
      <c r="A2898">
        <v>2897</v>
      </c>
      <c r="B2898" s="2" t="s">
        <v>30</v>
      </c>
      <c r="C2898" s="2" t="s">
        <v>11</v>
      </c>
      <c r="D2898">
        <v>43</v>
      </c>
      <c r="E2898" s="2" t="s">
        <v>16</v>
      </c>
      <c r="F2898" s="2" t="s">
        <v>17</v>
      </c>
      <c r="G2898">
        <v>31004</v>
      </c>
      <c r="H2898" s="1">
        <v>44709</v>
      </c>
      <c r="I2898">
        <v>18</v>
      </c>
      <c r="J2898">
        <v>1</v>
      </c>
      <c r="K2898">
        <v>3100</v>
      </c>
      <c r="L2898">
        <v>1550</v>
      </c>
      <c r="M2898">
        <v>32554</v>
      </c>
      <c r="N2898">
        <v>1550</v>
      </c>
      <c r="O2898">
        <v>35654</v>
      </c>
    </row>
    <row r="2899" spans="1:15" x14ac:dyDescent="0.35">
      <c r="A2899">
        <v>2898</v>
      </c>
      <c r="B2899" s="2" t="s">
        <v>31</v>
      </c>
      <c r="C2899" s="2" t="s">
        <v>11</v>
      </c>
      <c r="D2899">
        <v>25</v>
      </c>
      <c r="E2899" s="2" t="s">
        <v>28</v>
      </c>
      <c r="F2899" s="2" t="s">
        <v>21</v>
      </c>
      <c r="G2899">
        <v>44329</v>
      </c>
      <c r="H2899" s="1">
        <v>44973</v>
      </c>
      <c r="I2899">
        <v>8</v>
      </c>
      <c r="J2899">
        <v>5</v>
      </c>
      <c r="K2899">
        <v>4433</v>
      </c>
      <c r="L2899">
        <v>2216</v>
      </c>
      <c r="M2899">
        <v>46546</v>
      </c>
      <c r="N2899">
        <v>2216</v>
      </c>
      <c r="O2899">
        <v>50978</v>
      </c>
    </row>
    <row r="2900" spans="1:15" x14ac:dyDescent="0.35">
      <c r="A2900">
        <v>2899</v>
      </c>
      <c r="B2900" s="2" t="s">
        <v>18</v>
      </c>
      <c r="C2900" s="2" t="s">
        <v>11</v>
      </c>
      <c r="D2900">
        <v>34</v>
      </c>
      <c r="E2900" s="2" t="s">
        <v>29</v>
      </c>
      <c r="F2900" s="2" t="s">
        <v>21</v>
      </c>
      <c r="G2900">
        <v>59292</v>
      </c>
      <c r="H2900" s="1">
        <v>44838</v>
      </c>
      <c r="I2900">
        <v>5</v>
      </c>
      <c r="J2900">
        <v>1</v>
      </c>
      <c r="K2900">
        <v>5929</v>
      </c>
      <c r="L2900">
        <v>2965</v>
      </c>
      <c r="M2900">
        <v>62256</v>
      </c>
      <c r="N2900">
        <v>0</v>
      </c>
      <c r="O2900">
        <v>65221</v>
      </c>
    </row>
    <row r="2901" spans="1:15" x14ac:dyDescent="0.35">
      <c r="A2901">
        <v>2900</v>
      </c>
      <c r="B2901" s="2" t="s">
        <v>10</v>
      </c>
      <c r="C2901" s="2" t="s">
        <v>11</v>
      </c>
      <c r="D2901">
        <v>49</v>
      </c>
      <c r="E2901" s="2" t="s">
        <v>16</v>
      </c>
      <c r="F2901" s="2" t="s">
        <v>21</v>
      </c>
      <c r="G2901">
        <v>48120</v>
      </c>
      <c r="H2901" s="1">
        <v>44724</v>
      </c>
      <c r="I2901">
        <v>9</v>
      </c>
      <c r="J2901">
        <v>5</v>
      </c>
      <c r="K2901">
        <v>4812</v>
      </c>
      <c r="L2901">
        <v>2406</v>
      </c>
      <c r="M2901">
        <v>50526</v>
      </c>
      <c r="N2901">
        <v>2406</v>
      </c>
      <c r="O2901">
        <v>55338</v>
      </c>
    </row>
    <row r="2902" spans="1:15" x14ac:dyDescent="0.35">
      <c r="A2902">
        <v>2901</v>
      </c>
      <c r="B2902" s="2" t="s">
        <v>14</v>
      </c>
      <c r="C2902" s="2" t="s">
        <v>11</v>
      </c>
      <c r="D2902">
        <v>59</v>
      </c>
      <c r="E2902" s="2" t="s">
        <v>29</v>
      </c>
      <c r="F2902" s="2" t="s">
        <v>25</v>
      </c>
      <c r="G2902">
        <v>93116</v>
      </c>
      <c r="H2902" s="1">
        <v>44715</v>
      </c>
      <c r="I2902">
        <v>11</v>
      </c>
      <c r="J2902">
        <v>1</v>
      </c>
      <c r="K2902">
        <v>9312</v>
      </c>
      <c r="L2902">
        <v>4656</v>
      </c>
      <c r="M2902">
        <v>97772</v>
      </c>
      <c r="N2902">
        <v>4656</v>
      </c>
      <c r="O2902">
        <v>107084</v>
      </c>
    </row>
    <row r="2903" spans="1:15" x14ac:dyDescent="0.35">
      <c r="A2903">
        <v>2902</v>
      </c>
      <c r="B2903" s="2" t="s">
        <v>20</v>
      </c>
      <c r="C2903" s="2" t="s">
        <v>11</v>
      </c>
      <c r="D2903">
        <v>40</v>
      </c>
      <c r="E2903" s="2" t="s">
        <v>12</v>
      </c>
      <c r="F2903" s="2" t="s">
        <v>19</v>
      </c>
      <c r="G2903">
        <v>77500</v>
      </c>
      <c r="H2903" s="1">
        <v>45219</v>
      </c>
      <c r="I2903">
        <v>17</v>
      </c>
      <c r="J2903">
        <v>5</v>
      </c>
      <c r="K2903">
        <v>7750</v>
      </c>
      <c r="L2903">
        <v>3875</v>
      </c>
      <c r="M2903">
        <v>81375</v>
      </c>
      <c r="N2903">
        <v>3875</v>
      </c>
      <c r="O2903">
        <v>89125</v>
      </c>
    </row>
    <row r="2904" spans="1:15" x14ac:dyDescent="0.35">
      <c r="A2904">
        <v>2903</v>
      </c>
      <c r="B2904" s="2" t="s">
        <v>22</v>
      </c>
      <c r="C2904" s="2" t="s">
        <v>11</v>
      </c>
      <c r="D2904">
        <v>37</v>
      </c>
      <c r="E2904" s="2" t="s">
        <v>24</v>
      </c>
      <c r="F2904" s="2" t="s">
        <v>17</v>
      </c>
      <c r="G2904">
        <v>73906</v>
      </c>
      <c r="H2904" s="1">
        <v>44710</v>
      </c>
      <c r="I2904">
        <v>14</v>
      </c>
      <c r="J2904">
        <v>4</v>
      </c>
      <c r="K2904">
        <v>7391</v>
      </c>
      <c r="L2904">
        <v>3695</v>
      </c>
      <c r="M2904">
        <v>77602</v>
      </c>
      <c r="N2904">
        <v>3695</v>
      </c>
      <c r="O2904">
        <v>84992</v>
      </c>
    </row>
    <row r="2905" spans="1:15" x14ac:dyDescent="0.35">
      <c r="A2905">
        <v>2904</v>
      </c>
      <c r="B2905" s="2" t="s">
        <v>20</v>
      </c>
      <c r="C2905" s="2" t="s">
        <v>15</v>
      </c>
      <c r="D2905">
        <v>58</v>
      </c>
      <c r="E2905" s="2" t="s">
        <v>29</v>
      </c>
      <c r="F2905" s="2" t="s">
        <v>19</v>
      </c>
      <c r="G2905">
        <v>63245</v>
      </c>
      <c r="H2905" s="1">
        <v>45180</v>
      </c>
      <c r="I2905">
        <v>10</v>
      </c>
      <c r="J2905">
        <v>2</v>
      </c>
      <c r="K2905">
        <v>6324</v>
      </c>
      <c r="L2905">
        <v>3162</v>
      </c>
      <c r="M2905">
        <v>66407</v>
      </c>
      <c r="N2905">
        <v>3162</v>
      </c>
      <c r="O2905">
        <v>72731</v>
      </c>
    </row>
    <row r="2906" spans="1:15" x14ac:dyDescent="0.35">
      <c r="A2906">
        <v>2905</v>
      </c>
      <c r="B2906" s="2" t="s">
        <v>30</v>
      </c>
      <c r="C2906" s="2" t="s">
        <v>11</v>
      </c>
      <c r="D2906">
        <v>43</v>
      </c>
      <c r="E2906" s="2" t="s">
        <v>24</v>
      </c>
      <c r="F2906" s="2" t="s">
        <v>19</v>
      </c>
      <c r="G2906">
        <v>86078</v>
      </c>
      <c r="H2906" s="1">
        <v>45371</v>
      </c>
      <c r="I2906">
        <v>3</v>
      </c>
      <c r="J2906">
        <v>3</v>
      </c>
      <c r="K2906">
        <v>8608</v>
      </c>
      <c r="L2906">
        <v>4304</v>
      </c>
      <c r="M2906">
        <v>90382</v>
      </c>
      <c r="N2906">
        <v>0</v>
      </c>
      <c r="O2906">
        <v>94686</v>
      </c>
    </row>
    <row r="2907" spans="1:15" x14ac:dyDescent="0.35">
      <c r="A2907">
        <v>2906</v>
      </c>
      <c r="B2907" s="2" t="s">
        <v>20</v>
      </c>
      <c r="C2907" s="2" t="s">
        <v>15</v>
      </c>
      <c r="D2907">
        <v>37</v>
      </c>
      <c r="E2907" s="2" t="s">
        <v>29</v>
      </c>
      <c r="F2907" s="2" t="s">
        <v>17</v>
      </c>
      <c r="G2907">
        <v>75244</v>
      </c>
      <c r="H2907" s="1">
        <v>44639</v>
      </c>
      <c r="I2907">
        <v>1</v>
      </c>
      <c r="J2907">
        <v>4</v>
      </c>
      <c r="K2907">
        <v>7524</v>
      </c>
      <c r="L2907">
        <v>3762</v>
      </c>
      <c r="M2907">
        <v>79006</v>
      </c>
      <c r="N2907">
        <v>0</v>
      </c>
      <c r="O2907">
        <v>82768</v>
      </c>
    </row>
    <row r="2908" spans="1:15" x14ac:dyDescent="0.35">
      <c r="A2908">
        <v>2907</v>
      </c>
      <c r="B2908" s="2" t="s">
        <v>10</v>
      </c>
      <c r="C2908" s="2" t="s">
        <v>15</v>
      </c>
      <c r="D2908">
        <v>50</v>
      </c>
      <c r="E2908" s="2" t="s">
        <v>16</v>
      </c>
      <c r="F2908" s="2" t="s">
        <v>19</v>
      </c>
      <c r="G2908">
        <v>20541</v>
      </c>
      <c r="H2908" s="1">
        <v>44666</v>
      </c>
      <c r="I2908">
        <v>19</v>
      </c>
      <c r="J2908">
        <v>5</v>
      </c>
      <c r="K2908">
        <v>2054</v>
      </c>
      <c r="L2908">
        <v>1027</v>
      </c>
      <c r="M2908">
        <v>21568</v>
      </c>
      <c r="N2908">
        <v>1027</v>
      </c>
      <c r="O2908">
        <v>23622</v>
      </c>
    </row>
    <row r="2909" spans="1:15" x14ac:dyDescent="0.35">
      <c r="A2909">
        <v>2908</v>
      </c>
      <c r="B2909" s="2" t="s">
        <v>10</v>
      </c>
      <c r="C2909" s="2" t="s">
        <v>11</v>
      </c>
      <c r="D2909">
        <v>48</v>
      </c>
      <c r="E2909" s="2" t="s">
        <v>24</v>
      </c>
      <c r="F2909" s="2" t="s">
        <v>13</v>
      </c>
      <c r="G2909">
        <v>48607</v>
      </c>
      <c r="H2909" s="1">
        <v>44853</v>
      </c>
      <c r="I2909">
        <v>20</v>
      </c>
      <c r="J2909">
        <v>1</v>
      </c>
      <c r="K2909">
        <v>4861</v>
      </c>
      <c r="L2909">
        <v>2430</v>
      </c>
      <c r="M2909">
        <v>51038</v>
      </c>
      <c r="N2909">
        <v>2430</v>
      </c>
      <c r="O2909">
        <v>55898</v>
      </c>
    </row>
    <row r="2910" spans="1:15" x14ac:dyDescent="0.35">
      <c r="A2910">
        <v>2909</v>
      </c>
      <c r="B2910" s="2" t="s">
        <v>30</v>
      </c>
      <c r="C2910" s="2" t="s">
        <v>11</v>
      </c>
      <c r="D2910">
        <v>22</v>
      </c>
      <c r="E2910" s="2" t="s">
        <v>24</v>
      </c>
      <c r="F2910" s="2" t="s">
        <v>13</v>
      </c>
      <c r="G2910">
        <v>24849</v>
      </c>
      <c r="H2910" s="1">
        <v>45260</v>
      </c>
      <c r="I2910">
        <v>3</v>
      </c>
      <c r="J2910">
        <v>3</v>
      </c>
      <c r="K2910">
        <v>2485</v>
      </c>
      <c r="L2910">
        <v>1242</v>
      </c>
      <c r="M2910">
        <v>26092</v>
      </c>
      <c r="N2910">
        <v>0</v>
      </c>
      <c r="O2910">
        <v>27334</v>
      </c>
    </row>
    <row r="2911" spans="1:15" x14ac:dyDescent="0.35">
      <c r="A2911">
        <v>2910</v>
      </c>
      <c r="B2911" s="2" t="s">
        <v>22</v>
      </c>
      <c r="C2911" s="2" t="s">
        <v>15</v>
      </c>
      <c r="D2911">
        <v>43</v>
      </c>
      <c r="E2911" s="2" t="s">
        <v>16</v>
      </c>
      <c r="F2911" s="2" t="s">
        <v>17</v>
      </c>
      <c r="G2911">
        <v>54054</v>
      </c>
      <c r="H2911" s="1">
        <v>44572</v>
      </c>
      <c r="I2911">
        <v>16</v>
      </c>
      <c r="J2911">
        <v>3</v>
      </c>
      <c r="K2911">
        <v>5405</v>
      </c>
      <c r="L2911">
        <v>2703</v>
      </c>
      <c r="M2911">
        <v>56756</v>
      </c>
      <c r="N2911">
        <v>2703</v>
      </c>
      <c r="O2911">
        <v>62162</v>
      </c>
    </row>
    <row r="2912" spans="1:15" x14ac:dyDescent="0.35">
      <c r="A2912">
        <v>2911</v>
      </c>
      <c r="B2912" s="2" t="s">
        <v>14</v>
      </c>
      <c r="C2912" s="2" t="s">
        <v>15</v>
      </c>
      <c r="D2912">
        <v>38</v>
      </c>
      <c r="E2912" s="2" t="s">
        <v>28</v>
      </c>
      <c r="F2912" s="2" t="s">
        <v>21</v>
      </c>
      <c r="G2912">
        <v>41592</v>
      </c>
      <c r="H2912" s="1">
        <v>44673</v>
      </c>
      <c r="I2912">
        <v>9</v>
      </c>
      <c r="J2912">
        <v>2</v>
      </c>
      <c r="K2912">
        <v>4159</v>
      </c>
      <c r="L2912">
        <v>2080</v>
      </c>
      <c r="M2912">
        <v>43671</v>
      </c>
      <c r="N2912">
        <v>2080</v>
      </c>
      <c r="O2912">
        <v>47831</v>
      </c>
    </row>
    <row r="2913" spans="1:15" x14ac:dyDescent="0.35">
      <c r="A2913">
        <v>2912</v>
      </c>
      <c r="B2913" s="2" t="s">
        <v>22</v>
      </c>
      <c r="C2913" s="2" t="s">
        <v>15</v>
      </c>
      <c r="D2913">
        <v>57</v>
      </c>
      <c r="E2913" s="2" t="s">
        <v>28</v>
      </c>
      <c r="F2913" s="2" t="s">
        <v>21</v>
      </c>
      <c r="G2913">
        <v>34876</v>
      </c>
      <c r="H2913" s="1">
        <v>44986</v>
      </c>
      <c r="I2913">
        <v>12</v>
      </c>
      <c r="J2913">
        <v>2</v>
      </c>
      <c r="K2913">
        <v>3488</v>
      </c>
      <c r="L2913">
        <v>1744</v>
      </c>
      <c r="M2913">
        <v>36620</v>
      </c>
      <c r="N2913">
        <v>1744</v>
      </c>
      <c r="O2913">
        <v>40108</v>
      </c>
    </row>
    <row r="2914" spans="1:15" x14ac:dyDescent="0.35">
      <c r="A2914">
        <v>2913</v>
      </c>
      <c r="B2914" s="2" t="s">
        <v>22</v>
      </c>
      <c r="C2914" s="2" t="s">
        <v>15</v>
      </c>
      <c r="D2914">
        <v>21</v>
      </c>
      <c r="E2914" s="2" t="s">
        <v>28</v>
      </c>
      <c r="F2914" s="2" t="s">
        <v>21</v>
      </c>
      <c r="G2914">
        <v>26960</v>
      </c>
      <c r="H2914" s="1">
        <v>44927</v>
      </c>
      <c r="I2914">
        <v>11</v>
      </c>
      <c r="J2914">
        <v>2</v>
      </c>
      <c r="K2914">
        <v>2696</v>
      </c>
      <c r="L2914">
        <v>1348</v>
      </c>
      <c r="M2914">
        <v>28308</v>
      </c>
      <c r="N2914">
        <v>1348</v>
      </c>
      <c r="O2914">
        <v>31004</v>
      </c>
    </row>
    <row r="2915" spans="1:15" x14ac:dyDescent="0.35">
      <c r="A2915">
        <v>2914</v>
      </c>
      <c r="B2915" s="2" t="s">
        <v>23</v>
      </c>
      <c r="C2915" s="2" t="s">
        <v>15</v>
      </c>
      <c r="D2915">
        <v>38</v>
      </c>
      <c r="E2915" s="2" t="s">
        <v>28</v>
      </c>
      <c r="F2915" s="2" t="s">
        <v>17</v>
      </c>
      <c r="G2915">
        <v>72858</v>
      </c>
      <c r="H2915" s="1">
        <v>45545</v>
      </c>
      <c r="I2915">
        <v>10</v>
      </c>
      <c r="J2915">
        <v>2</v>
      </c>
      <c r="K2915">
        <v>7286</v>
      </c>
      <c r="L2915">
        <v>3643</v>
      </c>
      <c r="M2915">
        <v>76501</v>
      </c>
      <c r="N2915">
        <v>3643</v>
      </c>
      <c r="O2915">
        <v>83787</v>
      </c>
    </row>
    <row r="2916" spans="1:15" x14ac:dyDescent="0.35">
      <c r="A2916">
        <v>2915</v>
      </c>
      <c r="B2916" s="2" t="s">
        <v>23</v>
      </c>
      <c r="C2916" s="2" t="s">
        <v>15</v>
      </c>
      <c r="D2916">
        <v>34</v>
      </c>
      <c r="E2916" s="2" t="s">
        <v>12</v>
      </c>
      <c r="F2916" s="2" t="s">
        <v>13</v>
      </c>
      <c r="G2916">
        <v>62755</v>
      </c>
      <c r="H2916" s="1">
        <v>44741</v>
      </c>
      <c r="I2916">
        <v>3</v>
      </c>
      <c r="J2916">
        <v>1</v>
      </c>
      <c r="K2916">
        <v>6276</v>
      </c>
      <c r="L2916">
        <v>3138</v>
      </c>
      <c r="M2916">
        <v>65893</v>
      </c>
      <c r="N2916">
        <v>0</v>
      </c>
      <c r="O2916">
        <v>69031</v>
      </c>
    </row>
    <row r="2917" spans="1:15" x14ac:dyDescent="0.35">
      <c r="A2917">
        <v>2916</v>
      </c>
      <c r="B2917" s="2" t="s">
        <v>18</v>
      </c>
      <c r="C2917" s="2" t="s">
        <v>11</v>
      </c>
      <c r="D2917">
        <v>32</v>
      </c>
      <c r="E2917" s="2" t="s">
        <v>12</v>
      </c>
      <c r="F2917" s="2" t="s">
        <v>21</v>
      </c>
      <c r="G2917">
        <v>97082</v>
      </c>
      <c r="H2917" s="1">
        <v>44852</v>
      </c>
      <c r="I2917">
        <v>16</v>
      </c>
      <c r="J2917">
        <v>2</v>
      </c>
      <c r="K2917">
        <v>9708</v>
      </c>
      <c r="L2917">
        <v>4854</v>
      </c>
      <c r="M2917">
        <v>101936</v>
      </c>
      <c r="N2917">
        <v>4854</v>
      </c>
      <c r="O2917">
        <v>111644</v>
      </c>
    </row>
    <row r="2918" spans="1:15" x14ac:dyDescent="0.35">
      <c r="A2918">
        <v>2917</v>
      </c>
      <c r="B2918" s="2" t="s">
        <v>30</v>
      </c>
      <c r="C2918" s="2" t="s">
        <v>11</v>
      </c>
      <c r="D2918">
        <v>45</v>
      </c>
      <c r="E2918" s="2" t="s">
        <v>24</v>
      </c>
      <c r="F2918" s="2" t="s">
        <v>21</v>
      </c>
      <c r="G2918">
        <v>94610</v>
      </c>
      <c r="H2918" s="1">
        <v>44854</v>
      </c>
      <c r="I2918">
        <v>18</v>
      </c>
      <c r="J2918">
        <v>1</v>
      </c>
      <c r="K2918">
        <v>9461</v>
      </c>
      <c r="L2918">
        <v>4730</v>
      </c>
      <c r="M2918">
        <v>99341</v>
      </c>
      <c r="N2918">
        <v>4730</v>
      </c>
      <c r="O2918">
        <v>108801</v>
      </c>
    </row>
    <row r="2919" spans="1:15" x14ac:dyDescent="0.35">
      <c r="A2919">
        <v>2918</v>
      </c>
      <c r="B2919" s="2" t="s">
        <v>26</v>
      </c>
      <c r="C2919" s="2" t="s">
        <v>11</v>
      </c>
      <c r="D2919">
        <v>36</v>
      </c>
      <c r="E2919" s="2" t="s">
        <v>24</v>
      </c>
      <c r="F2919" s="2" t="s">
        <v>19</v>
      </c>
      <c r="G2919">
        <v>82370</v>
      </c>
      <c r="H2919" s="1">
        <v>44904</v>
      </c>
      <c r="I2919">
        <v>2</v>
      </c>
      <c r="J2919">
        <v>4</v>
      </c>
      <c r="K2919">
        <v>8237</v>
      </c>
      <c r="L2919">
        <v>4118</v>
      </c>
      <c r="M2919">
        <v>86489</v>
      </c>
      <c r="N2919">
        <v>0</v>
      </c>
      <c r="O2919">
        <v>90607</v>
      </c>
    </row>
    <row r="2920" spans="1:15" x14ac:dyDescent="0.35">
      <c r="A2920">
        <v>2919</v>
      </c>
      <c r="B2920" s="2" t="s">
        <v>20</v>
      </c>
      <c r="C2920" s="2" t="s">
        <v>15</v>
      </c>
      <c r="D2920">
        <v>59</v>
      </c>
      <c r="E2920" s="2" t="s">
        <v>29</v>
      </c>
      <c r="F2920" s="2" t="s">
        <v>21</v>
      </c>
      <c r="G2920">
        <v>43864</v>
      </c>
      <c r="H2920" s="1">
        <v>45226</v>
      </c>
      <c r="I2920">
        <v>7</v>
      </c>
      <c r="J2920">
        <v>4</v>
      </c>
      <c r="K2920">
        <v>4386</v>
      </c>
      <c r="L2920">
        <v>2193</v>
      </c>
      <c r="M2920">
        <v>46057</v>
      </c>
      <c r="N2920">
        <v>2193</v>
      </c>
      <c r="O2920">
        <v>50443</v>
      </c>
    </row>
    <row r="2921" spans="1:15" x14ac:dyDescent="0.35">
      <c r="A2921">
        <v>2920</v>
      </c>
      <c r="B2921" s="2" t="s">
        <v>27</v>
      </c>
      <c r="C2921" s="2" t="s">
        <v>11</v>
      </c>
      <c r="D2921">
        <v>42</v>
      </c>
      <c r="E2921" s="2" t="s">
        <v>28</v>
      </c>
      <c r="F2921" s="2" t="s">
        <v>19</v>
      </c>
      <c r="G2921">
        <v>26615</v>
      </c>
      <c r="H2921" s="1">
        <v>45198</v>
      </c>
      <c r="I2921">
        <v>9</v>
      </c>
      <c r="J2921">
        <v>5</v>
      </c>
      <c r="K2921">
        <v>2662</v>
      </c>
      <c r="L2921">
        <v>1331</v>
      </c>
      <c r="M2921">
        <v>27946</v>
      </c>
      <c r="N2921">
        <v>1331</v>
      </c>
      <c r="O2921">
        <v>30608</v>
      </c>
    </row>
    <row r="2922" spans="1:15" x14ac:dyDescent="0.35">
      <c r="A2922">
        <v>2921</v>
      </c>
      <c r="B2922" s="2" t="s">
        <v>23</v>
      </c>
      <c r="C2922" s="2" t="s">
        <v>11</v>
      </c>
      <c r="D2922">
        <v>24</v>
      </c>
      <c r="E2922" s="2" t="s">
        <v>12</v>
      </c>
      <c r="F2922" s="2" t="s">
        <v>13</v>
      </c>
      <c r="G2922">
        <v>71424</v>
      </c>
      <c r="H2922" s="1">
        <v>45409</v>
      </c>
      <c r="I2922">
        <v>17</v>
      </c>
      <c r="J2922">
        <v>2</v>
      </c>
      <c r="K2922">
        <v>7142</v>
      </c>
      <c r="L2922">
        <v>3571</v>
      </c>
      <c r="M2922">
        <v>74995</v>
      </c>
      <c r="N2922">
        <v>3571</v>
      </c>
      <c r="O2922">
        <v>82137</v>
      </c>
    </row>
    <row r="2923" spans="1:15" x14ac:dyDescent="0.35">
      <c r="A2923">
        <v>2922</v>
      </c>
      <c r="B2923" s="2" t="s">
        <v>10</v>
      </c>
      <c r="C2923" s="2" t="s">
        <v>11</v>
      </c>
      <c r="D2923">
        <v>45</v>
      </c>
      <c r="E2923" s="2" t="s">
        <v>29</v>
      </c>
      <c r="F2923" s="2" t="s">
        <v>17</v>
      </c>
      <c r="G2923">
        <v>87066</v>
      </c>
      <c r="H2923" s="1">
        <v>45544</v>
      </c>
      <c r="I2923">
        <v>16</v>
      </c>
      <c r="J2923">
        <v>4</v>
      </c>
      <c r="K2923">
        <v>8707</v>
      </c>
      <c r="L2923">
        <v>4353</v>
      </c>
      <c r="M2923">
        <v>91420</v>
      </c>
      <c r="N2923">
        <v>4353</v>
      </c>
      <c r="O2923">
        <v>100126</v>
      </c>
    </row>
    <row r="2924" spans="1:15" x14ac:dyDescent="0.35">
      <c r="A2924">
        <v>2923</v>
      </c>
      <c r="B2924" s="2" t="s">
        <v>30</v>
      </c>
      <c r="C2924" s="2" t="s">
        <v>15</v>
      </c>
      <c r="D2924">
        <v>29</v>
      </c>
      <c r="E2924" s="2" t="s">
        <v>28</v>
      </c>
      <c r="F2924" s="2" t="s">
        <v>13</v>
      </c>
      <c r="G2924">
        <v>93245</v>
      </c>
      <c r="H2924" s="1">
        <v>44909</v>
      </c>
      <c r="I2924">
        <v>12</v>
      </c>
      <c r="J2924">
        <v>5</v>
      </c>
      <c r="K2924">
        <v>9324</v>
      </c>
      <c r="L2924">
        <v>4662</v>
      </c>
      <c r="M2924">
        <v>97907</v>
      </c>
      <c r="N2924">
        <v>4662</v>
      </c>
      <c r="O2924">
        <v>107231</v>
      </c>
    </row>
    <row r="2925" spans="1:15" x14ac:dyDescent="0.35">
      <c r="A2925">
        <v>2924</v>
      </c>
      <c r="B2925" s="2" t="s">
        <v>26</v>
      </c>
      <c r="C2925" s="2" t="s">
        <v>11</v>
      </c>
      <c r="D2925">
        <v>30</v>
      </c>
      <c r="E2925" s="2" t="s">
        <v>28</v>
      </c>
      <c r="F2925" s="2" t="s">
        <v>13</v>
      </c>
      <c r="G2925">
        <v>38855</v>
      </c>
      <c r="H2925" s="1">
        <v>44887</v>
      </c>
      <c r="I2925">
        <v>3</v>
      </c>
      <c r="J2925">
        <v>2</v>
      </c>
      <c r="K2925">
        <v>3886</v>
      </c>
      <c r="L2925">
        <v>1943</v>
      </c>
      <c r="M2925">
        <v>40798</v>
      </c>
      <c r="N2925">
        <v>0</v>
      </c>
      <c r="O2925">
        <v>42741</v>
      </c>
    </row>
    <row r="2926" spans="1:15" x14ac:dyDescent="0.35">
      <c r="A2926">
        <v>2925</v>
      </c>
      <c r="B2926" s="2" t="s">
        <v>30</v>
      </c>
      <c r="C2926" s="2" t="s">
        <v>15</v>
      </c>
      <c r="D2926">
        <v>51</v>
      </c>
      <c r="E2926" s="2" t="s">
        <v>29</v>
      </c>
      <c r="F2926" s="2" t="s">
        <v>21</v>
      </c>
      <c r="G2926">
        <v>61399</v>
      </c>
      <c r="H2926" s="1">
        <v>44813</v>
      </c>
      <c r="I2926">
        <v>5</v>
      </c>
      <c r="J2926">
        <v>1</v>
      </c>
      <c r="K2926">
        <v>6140</v>
      </c>
      <c r="L2926">
        <v>3070</v>
      </c>
      <c r="M2926">
        <v>64469</v>
      </c>
      <c r="N2926">
        <v>0</v>
      </c>
      <c r="O2926">
        <v>67539</v>
      </c>
    </row>
    <row r="2927" spans="1:15" x14ac:dyDescent="0.35">
      <c r="A2927">
        <v>2926</v>
      </c>
      <c r="B2927" s="2" t="s">
        <v>30</v>
      </c>
      <c r="C2927" s="2" t="s">
        <v>15</v>
      </c>
      <c r="D2927">
        <v>42</v>
      </c>
      <c r="E2927" s="2" t="s">
        <v>28</v>
      </c>
      <c r="F2927" s="2" t="s">
        <v>17</v>
      </c>
      <c r="G2927">
        <v>98515</v>
      </c>
      <c r="H2927" s="1">
        <v>44821</v>
      </c>
      <c r="I2927">
        <v>7</v>
      </c>
      <c r="J2927">
        <v>1</v>
      </c>
      <c r="K2927">
        <v>9852</v>
      </c>
      <c r="L2927">
        <v>4926</v>
      </c>
      <c r="M2927">
        <v>103441</v>
      </c>
      <c r="N2927">
        <v>4926</v>
      </c>
      <c r="O2927">
        <v>113293</v>
      </c>
    </row>
    <row r="2928" spans="1:15" x14ac:dyDescent="0.35">
      <c r="A2928">
        <v>2927</v>
      </c>
      <c r="B2928" s="2" t="s">
        <v>14</v>
      </c>
      <c r="C2928" s="2" t="s">
        <v>15</v>
      </c>
      <c r="D2928">
        <v>41</v>
      </c>
      <c r="E2928" s="2" t="s">
        <v>24</v>
      </c>
      <c r="F2928" s="2" t="s">
        <v>19</v>
      </c>
      <c r="G2928">
        <v>94675</v>
      </c>
      <c r="H2928" s="1">
        <v>45110</v>
      </c>
      <c r="I2928">
        <v>2</v>
      </c>
      <c r="J2928">
        <v>4</v>
      </c>
      <c r="K2928">
        <v>9468</v>
      </c>
      <c r="L2928">
        <v>4734</v>
      </c>
      <c r="M2928">
        <v>99409</v>
      </c>
      <c r="N2928">
        <v>0</v>
      </c>
      <c r="O2928">
        <v>104143</v>
      </c>
    </row>
    <row r="2929" spans="1:15" x14ac:dyDescent="0.35">
      <c r="A2929">
        <v>2928</v>
      </c>
      <c r="B2929" s="2" t="s">
        <v>30</v>
      </c>
      <c r="C2929" s="2" t="s">
        <v>15</v>
      </c>
      <c r="D2929">
        <v>54</v>
      </c>
      <c r="E2929" s="2" t="s">
        <v>29</v>
      </c>
      <c r="F2929" s="2" t="s">
        <v>21</v>
      </c>
      <c r="G2929">
        <v>32480</v>
      </c>
      <c r="H2929" s="1">
        <v>44738</v>
      </c>
      <c r="I2929">
        <v>12</v>
      </c>
      <c r="J2929">
        <v>3</v>
      </c>
      <c r="K2929">
        <v>3248</v>
      </c>
      <c r="L2929">
        <v>1624</v>
      </c>
      <c r="M2929">
        <v>34104</v>
      </c>
      <c r="N2929">
        <v>1624</v>
      </c>
      <c r="O2929">
        <v>37352</v>
      </c>
    </row>
    <row r="2930" spans="1:15" x14ac:dyDescent="0.35">
      <c r="A2930">
        <v>2929</v>
      </c>
      <c r="B2930" s="2" t="s">
        <v>14</v>
      </c>
      <c r="C2930" s="2" t="s">
        <v>15</v>
      </c>
      <c r="D2930">
        <v>22</v>
      </c>
      <c r="E2930" s="2" t="s">
        <v>28</v>
      </c>
      <c r="F2930" s="2" t="s">
        <v>17</v>
      </c>
      <c r="G2930">
        <v>50872</v>
      </c>
      <c r="H2930" s="1">
        <v>45016</v>
      </c>
      <c r="I2930">
        <v>18</v>
      </c>
      <c r="J2930">
        <v>5</v>
      </c>
      <c r="K2930">
        <v>5087</v>
      </c>
      <c r="L2930">
        <v>2544</v>
      </c>
      <c r="M2930">
        <v>53415</v>
      </c>
      <c r="N2930">
        <v>2544</v>
      </c>
      <c r="O2930">
        <v>58503</v>
      </c>
    </row>
    <row r="2931" spans="1:15" x14ac:dyDescent="0.35">
      <c r="A2931">
        <v>2930</v>
      </c>
      <c r="B2931" s="2" t="s">
        <v>18</v>
      </c>
      <c r="C2931" s="2" t="s">
        <v>11</v>
      </c>
      <c r="D2931">
        <v>55</v>
      </c>
      <c r="E2931" s="2" t="s">
        <v>28</v>
      </c>
      <c r="F2931" s="2" t="s">
        <v>21</v>
      </c>
      <c r="G2931">
        <v>21430</v>
      </c>
      <c r="H2931" s="1">
        <v>44889</v>
      </c>
      <c r="I2931">
        <v>6</v>
      </c>
      <c r="J2931">
        <v>5</v>
      </c>
      <c r="K2931">
        <v>2143</v>
      </c>
      <c r="L2931">
        <v>1072</v>
      </c>
      <c r="M2931">
        <v>22501</v>
      </c>
      <c r="N2931">
        <v>1072</v>
      </c>
      <c r="O2931">
        <v>24645</v>
      </c>
    </row>
    <row r="2932" spans="1:15" x14ac:dyDescent="0.35">
      <c r="A2932">
        <v>2931</v>
      </c>
      <c r="B2932" s="2" t="s">
        <v>27</v>
      </c>
      <c r="C2932" s="2" t="s">
        <v>11</v>
      </c>
      <c r="D2932">
        <v>44</v>
      </c>
      <c r="E2932" s="2" t="s">
        <v>12</v>
      </c>
      <c r="F2932" s="2" t="s">
        <v>17</v>
      </c>
      <c r="G2932">
        <v>42267</v>
      </c>
      <c r="H2932" s="1">
        <v>44958</v>
      </c>
      <c r="I2932">
        <v>18</v>
      </c>
      <c r="J2932">
        <v>1</v>
      </c>
      <c r="K2932">
        <v>4227</v>
      </c>
      <c r="L2932">
        <v>2113</v>
      </c>
      <c r="M2932">
        <v>44381</v>
      </c>
      <c r="N2932">
        <v>2113</v>
      </c>
      <c r="O2932">
        <v>48607</v>
      </c>
    </row>
    <row r="2933" spans="1:15" x14ac:dyDescent="0.35">
      <c r="A2933">
        <v>2932</v>
      </c>
      <c r="B2933" s="2" t="s">
        <v>26</v>
      </c>
      <c r="C2933" s="2" t="s">
        <v>11</v>
      </c>
      <c r="D2933">
        <v>58</v>
      </c>
      <c r="E2933" s="2" t="s">
        <v>12</v>
      </c>
      <c r="F2933" s="2" t="s">
        <v>25</v>
      </c>
      <c r="G2933">
        <v>98089</v>
      </c>
      <c r="H2933" s="1">
        <v>44874</v>
      </c>
      <c r="I2933">
        <v>14</v>
      </c>
      <c r="J2933">
        <v>5</v>
      </c>
      <c r="K2933">
        <v>9809</v>
      </c>
      <c r="L2933">
        <v>4904</v>
      </c>
      <c r="M2933">
        <v>102994</v>
      </c>
      <c r="N2933">
        <v>4904</v>
      </c>
      <c r="O2933">
        <v>112802</v>
      </c>
    </row>
    <row r="2934" spans="1:15" x14ac:dyDescent="0.35">
      <c r="A2934">
        <v>2933</v>
      </c>
      <c r="B2934" s="2" t="s">
        <v>10</v>
      </c>
      <c r="C2934" s="2" t="s">
        <v>11</v>
      </c>
      <c r="D2934">
        <v>41</v>
      </c>
      <c r="E2934" s="2" t="s">
        <v>28</v>
      </c>
      <c r="F2934" s="2" t="s">
        <v>13</v>
      </c>
      <c r="G2934">
        <v>68771</v>
      </c>
      <c r="H2934" s="1">
        <v>45173</v>
      </c>
      <c r="I2934">
        <v>13</v>
      </c>
      <c r="J2934">
        <v>2</v>
      </c>
      <c r="K2934">
        <v>6877</v>
      </c>
      <c r="L2934">
        <v>3439</v>
      </c>
      <c r="M2934">
        <v>72209</v>
      </c>
      <c r="N2934">
        <v>3439</v>
      </c>
      <c r="O2934">
        <v>79087</v>
      </c>
    </row>
    <row r="2935" spans="1:15" x14ac:dyDescent="0.35">
      <c r="A2935">
        <v>2934</v>
      </c>
      <c r="B2935" s="2" t="s">
        <v>20</v>
      </c>
      <c r="C2935" s="2" t="s">
        <v>15</v>
      </c>
      <c r="D2935">
        <v>50</v>
      </c>
      <c r="E2935" s="2" t="s">
        <v>16</v>
      </c>
      <c r="F2935" s="2" t="s">
        <v>19</v>
      </c>
      <c r="G2935">
        <v>21192</v>
      </c>
      <c r="H2935" s="1">
        <v>44576</v>
      </c>
      <c r="I2935">
        <v>8</v>
      </c>
      <c r="J2935">
        <v>5</v>
      </c>
      <c r="K2935">
        <v>2119</v>
      </c>
      <c r="L2935">
        <v>1060</v>
      </c>
      <c r="M2935">
        <v>22251</v>
      </c>
      <c r="N2935">
        <v>1060</v>
      </c>
      <c r="O2935">
        <v>24371</v>
      </c>
    </row>
    <row r="2936" spans="1:15" x14ac:dyDescent="0.35">
      <c r="A2936">
        <v>2935</v>
      </c>
      <c r="B2936" s="2" t="s">
        <v>26</v>
      </c>
      <c r="C2936" s="2" t="s">
        <v>15</v>
      </c>
      <c r="D2936">
        <v>47</v>
      </c>
      <c r="E2936" s="2" t="s">
        <v>12</v>
      </c>
      <c r="F2936" s="2" t="s">
        <v>25</v>
      </c>
      <c r="G2936">
        <v>66227</v>
      </c>
      <c r="H2936" s="1">
        <v>45162</v>
      </c>
      <c r="I2936">
        <v>1</v>
      </c>
      <c r="J2936">
        <v>1</v>
      </c>
      <c r="K2936">
        <v>6623</v>
      </c>
      <c r="L2936">
        <v>3311</v>
      </c>
      <c r="M2936">
        <v>69539</v>
      </c>
      <c r="N2936">
        <v>0</v>
      </c>
      <c r="O2936">
        <v>72850</v>
      </c>
    </row>
    <row r="2937" spans="1:15" x14ac:dyDescent="0.35">
      <c r="A2937">
        <v>2936</v>
      </c>
      <c r="B2937" s="2" t="s">
        <v>18</v>
      </c>
      <c r="C2937" s="2" t="s">
        <v>15</v>
      </c>
      <c r="D2937">
        <v>22</v>
      </c>
      <c r="E2937" s="2" t="s">
        <v>29</v>
      </c>
      <c r="F2937" s="2" t="s">
        <v>25</v>
      </c>
      <c r="G2937">
        <v>35073</v>
      </c>
      <c r="H2937" s="1">
        <v>45145</v>
      </c>
      <c r="I2937">
        <v>8</v>
      </c>
      <c r="J2937">
        <v>3</v>
      </c>
      <c r="K2937">
        <v>3507</v>
      </c>
      <c r="L2937">
        <v>1754</v>
      </c>
      <c r="M2937">
        <v>36826</v>
      </c>
      <c r="N2937">
        <v>1754</v>
      </c>
      <c r="O2937">
        <v>40334</v>
      </c>
    </row>
    <row r="2938" spans="1:15" x14ac:dyDescent="0.35">
      <c r="A2938">
        <v>2937</v>
      </c>
      <c r="B2938" s="2" t="s">
        <v>26</v>
      </c>
      <c r="C2938" s="2" t="s">
        <v>11</v>
      </c>
      <c r="D2938">
        <v>22</v>
      </c>
      <c r="E2938" s="2" t="s">
        <v>29</v>
      </c>
      <c r="F2938" s="2" t="s">
        <v>21</v>
      </c>
      <c r="G2938">
        <v>29144</v>
      </c>
      <c r="H2938" s="1">
        <v>45041</v>
      </c>
      <c r="I2938">
        <v>8</v>
      </c>
      <c r="J2938">
        <v>1</v>
      </c>
      <c r="K2938">
        <v>2914</v>
      </c>
      <c r="L2938">
        <v>1457</v>
      </c>
      <c r="M2938">
        <v>30601</v>
      </c>
      <c r="N2938">
        <v>1457</v>
      </c>
      <c r="O2938">
        <v>33515</v>
      </c>
    </row>
    <row r="2939" spans="1:15" x14ac:dyDescent="0.35">
      <c r="A2939">
        <v>2938</v>
      </c>
      <c r="B2939" s="2" t="s">
        <v>14</v>
      </c>
      <c r="C2939" s="2" t="s">
        <v>15</v>
      </c>
      <c r="D2939">
        <v>43</v>
      </c>
      <c r="E2939" s="2" t="s">
        <v>12</v>
      </c>
      <c r="F2939" s="2" t="s">
        <v>17</v>
      </c>
      <c r="G2939">
        <v>80671</v>
      </c>
      <c r="H2939" s="1">
        <v>44788</v>
      </c>
      <c r="I2939">
        <v>15</v>
      </c>
      <c r="J2939">
        <v>2</v>
      </c>
      <c r="K2939">
        <v>8067</v>
      </c>
      <c r="L2939">
        <v>4034</v>
      </c>
      <c r="M2939">
        <v>84704</v>
      </c>
      <c r="N2939">
        <v>4034</v>
      </c>
      <c r="O2939">
        <v>92772</v>
      </c>
    </row>
    <row r="2940" spans="1:15" x14ac:dyDescent="0.35">
      <c r="A2940">
        <v>2939</v>
      </c>
      <c r="B2940" s="2" t="s">
        <v>22</v>
      </c>
      <c r="C2940" s="2" t="s">
        <v>11</v>
      </c>
      <c r="D2940">
        <v>40</v>
      </c>
      <c r="E2940" s="2" t="s">
        <v>28</v>
      </c>
      <c r="F2940" s="2" t="s">
        <v>19</v>
      </c>
      <c r="G2940">
        <v>31754</v>
      </c>
      <c r="H2940" s="1">
        <v>45169</v>
      </c>
      <c r="I2940">
        <v>17</v>
      </c>
      <c r="J2940">
        <v>4</v>
      </c>
      <c r="K2940">
        <v>3175</v>
      </c>
      <c r="L2940">
        <v>1588</v>
      </c>
      <c r="M2940">
        <v>33341</v>
      </c>
      <c r="N2940">
        <v>1588</v>
      </c>
      <c r="O2940">
        <v>36517</v>
      </c>
    </row>
    <row r="2941" spans="1:15" x14ac:dyDescent="0.35">
      <c r="A2941">
        <v>2940</v>
      </c>
      <c r="B2941" s="2" t="s">
        <v>22</v>
      </c>
      <c r="C2941" s="2" t="s">
        <v>11</v>
      </c>
      <c r="D2941">
        <v>56</v>
      </c>
      <c r="E2941" s="2" t="s">
        <v>24</v>
      </c>
      <c r="F2941" s="2" t="s">
        <v>13</v>
      </c>
      <c r="G2941">
        <v>62458</v>
      </c>
      <c r="H2941" s="1">
        <v>45526</v>
      </c>
      <c r="I2941">
        <v>3</v>
      </c>
      <c r="J2941">
        <v>4</v>
      </c>
      <c r="K2941">
        <v>6246</v>
      </c>
      <c r="L2941">
        <v>3123</v>
      </c>
      <c r="M2941">
        <v>65581</v>
      </c>
      <c r="N2941">
        <v>0</v>
      </c>
      <c r="O2941">
        <v>68704</v>
      </c>
    </row>
    <row r="2942" spans="1:15" x14ac:dyDescent="0.35">
      <c r="A2942">
        <v>2941</v>
      </c>
      <c r="B2942" s="2" t="s">
        <v>26</v>
      </c>
      <c r="C2942" s="2" t="s">
        <v>11</v>
      </c>
      <c r="D2942">
        <v>24</v>
      </c>
      <c r="E2942" s="2" t="s">
        <v>28</v>
      </c>
      <c r="F2942" s="2" t="s">
        <v>17</v>
      </c>
      <c r="G2942">
        <v>36535</v>
      </c>
      <c r="H2942" s="1">
        <v>44623</v>
      </c>
      <c r="I2942">
        <v>18</v>
      </c>
      <c r="J2942">
        <v>1</v>
      </c>
      <c r="K2942">
        <v>3654</v>
      </c>
      <c r="L2942">
        <v>1827</v>
      </c>
      <c r="M2942">
        <v>38362</v>
      </c>
      <c r="N2942">
        <v>1827</v>
      </c>
      <c r="O2942">
        <v>42016</v>
      </c>
    </row>
    <row r="2943" spans="1:15" x14ac:dyDescent="0.35">
      <c r="A2943">
        <v>2942</v>
      </c>
      <c r="B2943" s="2" t="s">
        <v>26</v>
      </c>
      <c r="C2943" s="2" t="s">
        <v>15</v>
      </c>
      <c r="D2943">
        <v>52</v>
      </c>
      <c r="E2943" s="2" t="s">
        <v>12</v>
      </c>
      <c r="F2943" s="2" t="s">
        <v>19</v>
      </c>
      <c r="G2943">
        <v>25416</v>
      </c>
      <c r="H2943" s="1">
        <v>44779</v>
      </c>
      <c r="I2943">
        <v>6</v>
      </c>
      <c r="J2943">
        <v>1</v>
      </c>
      <c r="K2943">
        <v>2542</v>
      </c>
      <c r="L2943">
        <v>1271</v>
      </c>
      <c r="M2943">
        <v>26687</v>
      </c>
      <c r="N2943">
        <v>1271</v>
      </c>
      <c r="O2943">
        <v>29229</v>
      </c>
    </row>
    <row r="2944" spans="1:15" x14ac:dyDescent="0.35">
      <c r="A2944">
        <v>2943</v>
      </c>
      <c r="B2944" s="2" t="s">
        <v>27</v>
      </c>
      <c r="C2944" s="2" t="s">
        <v>11</v>
      </c>
      <c r="D2944">
        <v>48</v>
      </c>
      <c r="E2944" s="2" t="s">
        <v>29</v>
      </c>
      <c r="F2944" s="2" t="s">
        <v>13</v>
      </c>
      <c r="G2944">
        <v>63694</v>
      </c>
      <c r="H2944" s="1">
        <v>45062</v>
      </c>
      <c r="I2944">
        <v>15</v>
      </c>
      <c r="J2944">
        <v>3</v>
      </c>
      <c r="K2944">
        <v>6369</v>
      </c>
      <c r="L2944">
        <v>3185</v>
      </c>
      <c r="M2944">
        <v>66878</v>
      </c>
      <c r="N2944">
        <v>3185</v>
      </c>
      <c r="O2944">
        <v>73248</v>
      </c>
    </row>
    <row r="2945" spans="1:15" x14ac:dyDescent="0.35">
      <c r="A2945">
        <v>2944</v>
      </c>
      <c r="B2945" s="2" t="s">
        <v>22</v>
      </c>
      <c r="C2945" s="2" t="s">
        <v>15</v>
      </c>
      <c r="D2945">
        <v>27</v>
      </c>
      <c r="E2945" s="2" t="s">
        <v>12</v>
      </c>
      <c r="F2945" s="2" t="s">
        <v>17</v>
      </c>
      <c r="G2945">
        <v>52777</v>
      </c>
      <c r="H2945" s="1">
        <v>45200</v>
      </c>
      <c r="I2945">
        <v>1</v>
      </c>
      <c r="J2945">
        <v>2</v>
      </c>
      <c r="K2945">
        <v>5278</v>
      </c>
      <c r="L2945">
        <v>2639</v>
      </c>
      <c r="M2945">
        <v>55416</v>
      </c>
      <c r="N2945">
        <v>0</v>
      </c>
      <c r="O2945">
        <v>58055</v>
      </c>
    </row>
    <row r="2946" spans="1:15" x14ac:dyDescent="0.35">
      <c r="A2946">
        <v>2945</v>
      </c>
      <c r="B2946" s="2" t="s">
        <v>23</v>
      </c>
      <c r="C2946" s="2" t="s">
        <v>11</v>
      </c>
      <c r="D2946">
        <v>58</v>
      </c>
      <c r="E2946" s="2" t="s">
        <v>29</v>
      </c>
      <c r="F2946" s="2" t="s">
        <v>13</v>
      </c>
      <c r="G2946">
        <v>63176</v>
      </c>
      <c r="H2946" s="1">
        <v>44842</v>
      </c>
      <c r="I2946">
        <v>15</v>
      </c>
      <c r="J2946">
        <v>2</v>
      </c>
      <c r="K2946">
        <v>6318</v>
      </c>
      <c r="L2946">
        <v>3159</v>
      </c>
      <c r="M2946">
        <v>66335</v>
      </c>
      <c r="N2946">
        <v>3159</v>
      </c>
      <c r="O2946">
        <v>72653</v>
      </c>
    </row>
    <row r="2947" spans="1:15" x14ac:dyDescent="0.35">
      <c r="A2947">
        <v>2946</v>
      </c>
      <c r="B2947" s="2" t="s">
        <v>26</v>
      </c>
      <c r="C2947" s="2" t="s">
        <v>15</v>
      </c>
      <c r="D2947">
        <v>27</v>
      </c>
      <c r="E2947" s="2" t="s">
        <v>12</v>
      </c>
      <c r="F2947" s="2" t="s">
        <v>25</v>
      </c>
      <c r="G2947">
        <v>52516</v>
      </c>
      <c r="H2947" s="1">
        <v>44799</v>
      </c>
      <c r="I2947">
        <v>6</v>
      </c>
      <c r="J2947">
        <v>1</v>
      </c>
      <c r="K2947">
        <v>5252</v>
      </c>
      <c r="L2947">
        <v>2626</v>
      </c>
      <c r="M2947">
        <v>55142</v>
      </c>
      <c r="N2947">
        <v>2626</v>
      </c>
      <c r="O2947">
        <v>60394</v>
      </c>
    </row>
    <row r="2948" spans="1:15" x14ac:dyDescent="0.35">
      <c r="A2948">
        <v>2947</v>
      </c>
      <c r="B2948" s="2" t="s">
        <v>31</v>
      </c>
      <c r="C2948" s="2" t="s">
        <v>11</v>
      </c>
      <c r="D2948">
        <v>55</v>
      </c>
      <c r="E2948" s="2" t="s">
        <v>12</v>
      </c>
      <c r="F2948" s="2" t="s">
        <v>21</v>
      </c>
      <c r="G2948">
        <v>69852</v>
      </c>
      <c r="H2948" s="1">
        <v>45084</v>
      </c>
      <c r="I2948">
        <v>5</v>
      </c>
      <c r="J2948">
        <v>4</v>
      </c>
      <c r="K2948">
        <v>6985</v>
      </c>
      <c r="L2948">
        <v>3493</v>
      </c>
      <c r="M2948">
        <v>73344</v>
      </c>
      <c r="N2948">
        <v>0</v>
      </c>
      <c r="O2948">
        <v>76837</v>
      </c>
    </row>
    <row r="2949" spans="1:15" x14ac:dyDescent="0.35">
      <c r="A2949">
        <v>2948</v>
      </c>
      <c r="B2949" s="2" t="s">
        <v>22</v>
      </c>
      <c r="C2949" s="2" t="s">
        <v>15</v>
      </c>
      <c r="D2949">
        <v>43</v>
      </c>
      <c r="E2949" s="2" t="s">
        <v>16</v>
      </c>
      <c r="F2949" s="2" t="s">
        <v>25</v>
      </c>
      <c r="G2949">
        <v>51746</v>
      </c>
      <c r="H2949" s="1">
        <v>45388</v>
      </c>
      <c r="I2949">
        <v>7</v>
      </c>
      <c r="J2949">
        <v>4</v>
      </c>
      <c r="K2949">
        <v>5175</v>
      </c>
      <c r="L2949">
        <v>2587</v>
      </c>
      <c r="M2949">
        <v>54334</v>
      </c>
      <c r="N2949">
        <v>2587</v>
      </c>
      <c r="O2949">
        <v>59508</v>
      </c>
    </row>
    <row r="2950" spans="1:15" x14ac:dyDescent="0.35">
      <c r="A2950">
        <v>2949</v>
      </c>
      <c r="B2950" s="2" t="s">
        <v>18</v>
      </c>
      <c r="C2950" s="2" t="s">
        <v>11</v>
      </c>
      <c r="D2950">
        <v>43</v>
      </c>
      <c r="E2950" s="2" t="s">
        <v>29</v>
      </c>
      <c r="F2950" s="2" t="s">
        <v>25</v>
      </c>
      <c r="G2950">
        <v>72485</v>
      </c>
      <c r="H2950" s="1">
        <v>44726</v>
      </c>
      <c r="I2950">
        <v>3</v>
      </c>
      <c r="J2950">
        <v>3</v>
      </c>
      <c r="K2950">
        <v>7248</v>
      </c>
      <c r="L2950">
        <v>3624</v>
      </c>
      <c r="M2950">
        <v>76109</v>
      </c>
      <c r="N2950">
        <v>0</v>
      </c>
      <c r="O2950">
        <v>79733</v>
      </c>
    </row>
    <row r="2951" spans="1:15" x14ac:dyDescent="0.35">
      <c r="A2951">
        <v>2950</v>
      </c>
      <c r="B2951" s="2" t="s">
        <v>14</v>
      </c>
      <c r="C2951" s="2" t="s">
        <v>11</v>
      </c>
      <c r="D2951">
        <v>29</v>
      </c>
      <c r="E2951" s="2" t="s">
        <v>24</v>
      </c>
      <c r="F2951" s="2" t="s">
        <v>25</v>
      </c>
      <c r="G2951">
        <v>80489</v>
      </c>
      <c r="H2951" s="1">
        <v>45345</v>
      </c>
      <c r="I2951">
        <v>14</v>
      </c>
      <c r="J2951">
        <v>2</v>
      </c>
      <c r="K2951">
        <v>8049</v>
      </c>
      <c r="L2951">
        <v>4024</v>
      </c>
      <c r="M2951">
        <v>84514</v>
      </c>
      <c r="N2951">
        <v>4024</v>
      </c>
      <c r="O2951">
        <v>92562</v>
      </c>
    </row>
    <row r="2952" spans="1:15" x14ac:dyDescent="0.35">
      <c r="A2952">
        <v>2951</v>
      </c>
      <c r="B2952" s="2" t="s">
        <v>18</v>
      </c>
      <c r="C2952" s="2" t="s">
        <v>15</v>
      </c>
      <c r="D2952">
        <v>48</v>
      </c>
      <c r="E2952" s="2" t="s">
        <v>12</v>
      </c>
      <c r="F2952" s="2" t="s">
        <v>13</v>
      </c>
      <c r="G2952">
        <v>87592</v>
      </c>
      <c r="H2952" s="1">
        <v>45286</v>
      </c>
      <c r="I2952">
        <v>10</v>
      </c>
      <c r="J2952">
        <v>5</v>
      </c>
      <c r="K2952">
        <v>8759</v>
      </c>
      <c r="L2952">
        <v>4380</v>
      </c>
      <c r="M2952">
        <v>91971</v>
      </c>
      <c r="N2952">
        <v>4380</v>
      </c>
      <c r="O2952">
        <v>100731</v>
      </c>
    </row>
    <row r="2953" spans="1:15" x14ac:dyDescent="0.35">
      <c r="A2953">
        <v>2952</v>
      </c>
      <c r="B2953" s="2" t="s">
        <v>23</v>
      </c>
      <c r="C2953" s="2" t="s">
        <v>11</v>
      </c>
      <c r="D2953">
        <v>46</v>
      </c>
      <c r="E2953" s="2" t="s">
        <v>28</v>
      </c>
      <c r="F2953" s="2" t="s">
        <v>19</v>
      </c>
      <c r="G2953">
        <v>62632</v>
      </c>
      <c r="H2953" s="1">
        <v>45243</v>
      </c>
      <c r="I2953">
        <v>19</v>
      </c>
      <c r="J2953">
        <v>2</v>
      </c>
      <c r="K2953">
        <v>6263</v>
      </c>
      <c r="L2953">
        <v>3132</v>
      </c>
      <c r="M2953">
        <v>65763</v>
      </c>
      <c r="N2953">
        <v>3132</v>
      </c>
      <c r="O2953">
        <v>72027</v>
      </c>
    </row>
    <row r="2954" spans="1:15" x14ac:dyDescent="0.35">
      <c r="A2954">
        <v>2953</v>
      </c>
      <c r="B2954" s="2" t="s">
        <v>22</v>
      </c>
      <c r="C2954" s="2" t="s">
        <v>15</v>
      </c>
      <c r="D2954">
        <v>56</v>
      </c>
      <c r="E2954" s="2" t="s">
        <v>29</v>
      </c>
      <c r="F2954" s="2" t="s">
        <v>13</v>
      </c>
      <c r="G2954">
        <v>61943</v>
      </c>
      <c r="H2954" s="1">
        <v>45056</v>
      </c>
      <c r="I2954">
        <v>9</v>
      </c>
      <c r="J2954">
        <v>2</v>
      </c>
      <c r="K2954">
        <v>6194</v>
      </c>
      <c r="L2954">
        <v>3097</v>
      </c>
      <c r="M2954">
        <v>65040</v>
      </c>
      <c r="N2954">
        <v>3097</v>
      </c>
      <c r="O2954">
        <v>71234</v>
      </c>
    </row>
    <row r="2955" spans="1:15" x14ac:dyDescent="0.35">
      <c r="A2955">
        <v>2954</v>
      </c>
      <c r="B2955" s="2" t="s">
        <v>31</v>
      </c>
      <c r="C2955" s="2" t="s">
        <v>15</v>
      </c>
      <c r="D2955">
        <v>29</v>
      </c>
      <c r="E2955" s="2" t="s">
        <v>29</v>
      </c>
      <c r="F2955" s="2" t="s">
        <v>17</v>
      </c>
      <c r="G2955">
        <v>74970</v>
      </c>
      <c r="H2955" s="1">
        <v>44728</v>
      </c>
      <c r="I2955">
        <v>12</v>
      </c>
      <c r="J2955">
        <v>2</v>
      </c>
      <c r="K2955">
        <v>7497</v>
      </c>
      <c r="L2955">
        <v>3748</v>
      </c>
      <c r="M2955">
        <v>78719</v>
      </c>
      <c r="N2955">
        <v>3748</v>
      </c>
      <c r="O2955">
        <v>86215</v>
      </c>
    </row>
    <row r="2956" spans="1:15" x14ac:dyDescent="0.35">
      <c r="A2956">
        <v>2955</v>
      </c>
      <c r="B2956" s="2" t="s">
        <v>14</v>
      </c>
      <c r="C2956" s="2" t="s">
        <v>15</v>
      </c>
      <c r="D2956">
        <v>47</v>
      </c>
      <c r="E2956" s="2" t="s">
        <v>16</v>
      </c>
      <c r="F2956" s="2" t="s">
        <v>25</v>
      </c>
      <c r="G2956">
        <v>49358</v>
      </c>
      <c r="H2956" s="1">
        <v>45301</v>
      </c>
      <c r="I2956">
        <v>12</v>
      </c>
      <c r="J2956">
        <v>1</v>
      </c>
      <c r="K2956">
        <v>4936</v>
      </c>
      <c r="L2956">
        <v>2468</v>
      </c>
      <c r="M2956">
        <v>51826</v>
      </c>
      <c r="N2956">
        <v>2468</v>
      </c>
      <c r="O2956">
        <v>56762</v>
      </c>
    </row>
    <row r="2957" spans="1:15" x14ac:dyDescent="0.35">
      <c r="A2957">
        <v>2956</v>
      </c>
      <c r="B2957" s="2" t="s">
        <v>30</v>
      </c>
      <c r="C2957" s="2" t="s">
        <v>11</v>
      </c>
      <c r="D2957">
        <v>53</v>
      </c>
      <c r="E2957" s="2" t="s">
        <v>28</v>
      </c>
      <c r="F2957" s="2" t="s">
        <v>13</v>
      </c>
      <c r="G2957">
        <v>71420</v>
      </c>
      <c r="H2957" s="1">
        <v>45362</v>
      </c>
      <c r="I2957">
        <v>8</v>
      </c>
      <c r="J2957">
        <v>5</v>
      </c>
      <c r="K2957">
        <v>7142</v>
      </c>
      <c r="L2957">
        <v>3571</v>
      </c>
      <c r="M2957">
        <v>74991</v>
      </c>
      <c r="N2957">
        <v>3571</v>
      </c>
      <c r="O2957">
        <v>82133</v>
      </c>
    </row>
    <row r="2958" spans="1:15" x14ac:dyDescent="0.35">
      <c r="A2958">
        <v>2957</v>
      </c>
      <c r="B2958" s="2" t="s">
        <v>23</v>
      </c>
      <c r="C2958" s="2" t="s">
        <v>15</v>
      </c>
      <c r="D2958">
        <v>47</v>
      </c>
      <c r="E2958" s="2" t="s">
        <v>29</v>
      </c>
      <c r="F2958" s="2" t="s">
        <v>25</v>
      </c>
      <c r="G2958">
        <v>69433</v>
      </c>
      <c r="H2958" s="1">
        <v>44688</v>
      </c>
      <c r="I2958">
        <v>6</v>
      </c>
      <c r="J2958">
        <v>2</v>
      </c>
      <c r="K2958">
        <v>6943</v>
      </c>
      <c r="L2958">
        <v>3472</v>
      </c>
      <c r="M2958">
        <v>72904</v>
      </c>
      <c r="N2958">
        <v>3472</v>
      </c>
      <c r="O2958">
        <v>79848</v>
      </c>
    </row>
    <row r="2959" spans="1:15" x14ac:dyDescent="0.35">
      <c r="A2959">
        <v>2958</v>
      </c>
      <c r="B2959" s="2" t="s">
        <v>30</v>
      </c>
      <c r="C2959" s="2" t="s">
        <v>11</v>
      </c>
      <c r="D2959">
        <v>60</v>
      </c>
      <c r="E2959" s="2" t="s">
        <v>12</v>
      </c>
      <c r="F2959" s="2" t="s">
        <v>13</v>
      </c>
      <c r="G2959">
        <v>96436</v>
      </c>
      <c r="H2959" s="1">
        <v>44978</v>
      </c>
      <c r="I2959">
        <v>7</v>
      </c>
      <c r="J2959">
        <v>2</v>
      </c>
      <c r="K2959">
        <v>9644</v>
      </c>
      <c r="L2959">
        <v>4822</v>
      </c>
      <c r="M2959">
        <v>101258</v>
      </c>
      <c r="N2959">
        <v>4822</v>
      </c>
      <c r="O2959">
        <v>110902</v>
      </c>
    </row>
    <row r="2960" spans="1:15" x14ac:dyDescent="0.35">
      <c r="A2960">
        <v>2959</v>
      </c>
      <c r="B2960" s="2" t="s">
        <v>22</v>
      </c>
      <c r="C2960" s="2" t="s">
        <v>11</v>
      </c>
      <c r="D2960">
        <v>60</v>
      </c>
      <c r="E2960" s="2" t="s">
        <v>24</v>
      </c>
      <c r="F2960" s="2" t="s">
        <v>25</v>
      </c>
      <c r="G2960">
        <v>56554</v>
      </c>
      <c r="H2960" s="1">
        <v>45085</v>
      </c>
      <c r="I2960">
        <v>17</v>
      </c>
      <c r="J2960">
        <v>3</v>
      </c>
      <c r="K2960">
        <v>5655</v>
      </c>
      <c r="L2960">
        <v>2828</v>
      </c>
      <c r="M2960">
        <v>59381</v>
      </c>
      <c r="N2960">
        <v>2828</v>
      </c>
      <c r="O2960">
        <v>65037</v>
      </c>
    </row>
    <row r="2961" spans="1:15" x14ac:dyDescent="0.35">
      <c r="A2961">
        <v>2960</v>
      </c>
      <c r="B2961" s="2" t="s">
        <v>22</v>
      </c>
      <c r="C2961" s="2" t="s">
        <v>11</v>
      </c>
      <c r="D2961">
        <v>51</v>
      </c>
      <c r="E2961" s="2" t="s">
        <v>16</v>
      </c>
      <c r="F2961" s="2" t="s">
        <v>17</v>
      </c>
      <c r="G2961">
        <v>74978</v>
      </c>
      <c r="H2961" s="1">
        <v>45511</v>
      </c>
      <c r="I2961">
        <v>14</v>
      </c>
      <c r="J2961">
        <v>3</v>
      </c>
      <c r="K2961">
        <v>7498</v>
      </c>
      <c r="L2961">
        <v>3749</v>
      </c>
      <c r="M2961">
        <v>78727</v>
      </c>
      <c r="N2961">
        <v>3749</v>
      </c>
      <c r="O2961">
        <v>86225</v>
      </c>
    </row>
    <row r="2962" spans="1:15" x14ac:dyDescent="0.35">
      <c r="A2962">
        <v>2961</v>
      </c>
      <c r="B2962" s="2" t="s">
        <v>31</v>
      </c>
      <c r="C2962" s="2" t="s">
        <v>15</v>
      </c>
      <c r="D2962">
        <v>21</v>
      </c>
      <c r="E2962" s="2" t="s">
        <v>28</v>
      </c>
      <c r="F2962" s="2" t="s">
        <v>25</v>
      </c>
      <c r="G2962">
        <v>47971</v>
      </c>
      <c r="H2962" s="1">
        <v>45078</v>
      </c>
      <c r="I2962">
        <v>18</v>
      </c>
      <c r="J2962">
        <v>1</v>
      </c>
      <c r="K2962">
        <v>4797</v>
      </c>
      <c r="L2962">
        <v>2399</v>
      </c>
      <c r="M2962">
        <v>50369</v>
      </c>
      <c r="N2962">
        <v>2399</v>
      </c>
      <c r="O2962">
        <v>55167</v>
      </c>
    </row>
    <row r="2963" spans="1:15" x14ac:dyDescent="0.35">
      <c r="A2963">
        <v>2962</v>
      </c>
      <c r="B2963" s="2" t="s">
        <v>23</v>
      </c>
      <c r="C2963" s="2" t="s">
        <v>11</v>
      </c>
      <c r="D2963">
        <v>59</v>
      </c>
      <c r="E2963" s="2" t="s">
        <v>16</v>
      </c>
      <c r="F2963" s="2" t="s">
        <v>21</v>
      </c>
      <c r="G2963">
        <v>55860</v>
      </c>
      <c r="H2963" s="1">
        <v>45340</v>
      </c>
      <c r="I2963">
        <v>4</v>
      </c>
      <c r="J2963">
        <v>3</v>
      </c>
      <c r="K2963">
        <v>5586</v>
      </c>
      <c r="L2963">
        <v>2793</v>
      </c>
      <c r="M2963">
        <v>58653</v>
      </c>
      <c r="N2963">
        <v>0</v>
      </c>
      <c r="O2963">
        <v>61446</v>
      </c>
    </row>
    <row r="2964" spans="1:15" x14ac:dyDescent="0.35">
      <c r="A2964">
        <v>2963</v>
      </c>
      <c r="B2964" s="2" t="s">
        <v>20</v>
      </c>
      <c r="C2964" s="2" t="s">
        <v>15</v>
      </c>
      <c r="D2964">
        <v>38</v>
      </c>
      <c r="E2964" s="2" t="s">
        <v>24</v>
      </c>
      <c r="F2964" s="2" t="s">
        <v>13</v>
      </c>
      <c r="G2964">
        <v>72617</v>
      </c>
      <c r="H2964" s="1">
        <v>44743</v>
      </c>
      <c r="I2964">
        <v>17</v>
      </c>
      <c r="J2964">
        <v>5</v>
      </c>
      <c r="K2964">
        <v>7262</v>
      </c>
      <c r="L2964">
        <v>3631</v>
      </c>
      <c r="M2964">
        <v>76248</v>
      </c>
      <c r="N2964">
        <v>3631</v>
      </c>
      <c r="O2964">
        <v>83510</v>
      </c>
    </row>
    <row r="2965" spans="1:15" x14ac:dyDescent="0.35">
      <c r="A2965">
        <v>2964</v>
      </c>
      <c r="B2965" s="2" t="s">
        <v>31</v>
      </c>
      <c r="C2965" s="2" t="s">
        <v>15</v>
      </c>
      <c r="D2965">
        <v>56</v>
      </c>
      <c r="E2965" s="2" t="s">
        <v>12</v>
      </c>
      <c r="F2965" s="2" t="s">
        <v>21</v>
      </c>
      <c r="G2965">
        <v>94936</v>
      </c>
      <c r="H2965" s="1">
        <v>44719</v>
      </c>
      <c r="I2965">
        <v>13</v>
      </c>
      <c r="J2965">
        <v>5</v>
      </c>
      <c r="K2965">
        <v>9494</v>
      </c>
      <c r="L2965">
        <v>4747</v>
      </c>
      <c r="M2965">
        <v>99683</v>
      </c>
      <c r="N2965">
        <v>4747</v>
      </c>
      <c r="O2965">
        <v>109177</v>
      </c>
    </row>
    <row r="2966" spans="1:15" x14ac:dyDescent="0.35">
      <c r="A2966">
        <v>2965</v>
      </c>
      <c r="B2966" s="2" t="s">
        <v>20</v>
      </c>
      <c r="C2966" s="2" t="s">
        <v>11</v>
      </c>
      <c r="D2966">
        <v>55</v>
      </c>
      <c r="E2966" s="2" t="s">
        <v>28</v>
      </c>
      <c r="F2966" s="2" t="s">
        <v>25</v>
      </c>
      <c r="G2966">
        <v>25361</v>
      </c>
      <c r="H2966" s="1">
        <v>45395</v>
      </c>
      <c r="I2966">
        <v>2</v>
      </c>
      <c r="J2966">
        <v>4</v>
      </c>
      <c r="K2966">
        <v>2536</v>
      </c>
      <c r="L2966">
        <v>1268</v>
      </c>
      <c r="M2966">
        <v>26629</v>
      </c>
      <c r="N2966">
        <v>0</v>
      </c>
      <c r="O2966">
        <v>27897</v>
      </c>
    </row>
    <row r="2967" spans="1:15" x14ac:dyDescent="0.35">
      <c r="A2967">
        <v>2966</v>
      </c>
      <c r="B2967" s="2" t="s">
        <v>14</v>
      </c>
      <c r="C2967" s="2" t="s">
        <v>11</v>
      </c>
      <c r="D2967">
        <v>43</v>
      </c>
      <c r="E2967" s="2" t="s">
        <v>24</v>
      </c>
      <c r="F2967" s="2" t="s">
        <v>13</v>
      </c>
      <c r="G2967">
        <v>81431</v>
      </c>
      <c r="H2967" s="1">
        <v>45385</v>
      </c>
      <c r="I2967">
        <v>12</v>
      </c>
      <c r="J2967">
        <v>2</v>
      </c>
      <c r="K2967">
        <v>8143</v>
      </c>
      <c r="L2967">
        <v>4072</v>
      </c>
      <c r="M2967">
        <v>85502</v>
      </c>
      <c r="N2967">
        <v>4072</v>
      </c>
      <c r="O2967">
        <v>93646</v>
      </c>
    </row>
    <row r="2968" spans="1:15" x14ac:dyDescent="0.35">
      <c r="A2968">
        <v>2967</v>
      </c>
      <c r="B2968" s="2" t="s">
        <v>22</v>
      </c>
      <c r="C2968" s="2" t="s">
        <v>15</v>
      </c>
      <c r="D2968">
        <v>56</v>
      </c>
      <c r="E2968" s="2" t="s">
        <v>29</v>
      </c>
      <c r="F2968" s="2" t="s">
        <v>17</v>
      </c>
      <c r="G2968">
        <v>94270</v>
      </c>
      <c r="H2968" s="1">
        <v>44962</v>
      </c>
      <c r="I2968">
        <v>2</v>
      </c>
      <c r="J2968">
        <v>2</v>
      </c>
      <c r="K2968">
        <v>9427</v>
      </c>
      <c r="L2968">
        <v>4714</v>
      </c>
      <c r="M2968">
        <v>98983</v>
      </c>
      <c r="N2968">
        <v>0</v>
      </c>
      <c r="O2968">
        <v>103697</v>
      </c>
    </row>
    <row r="2969" spans="1:15" x14ac:dyDescent="0.35">
      <c r="A2969">
        <v>2968</v>
      </c>
      <c r="B2969" s="2" t="s">
        <v>26</v>
      </c>
      <c r="C2969" s="2" t="s">
        <v>11</v>
      </c>
      <c r="D2969">
        <v>44</v>
      </c>
      <c r="E2969" s="2" t="s">
        <v>16</v>
      </c>
      <c r="F2969" s="2" t="s">
        <v>19</v>
      </c>
      <c r="G2969">
        <v>35938</v>
      </c>
      <c r="H2969" s="1">
        <v>45137</v>
      </c>
      <c r="I2969">
        <v>18</v>
      </c>
      <c r="J2969">
        <v>5</v>
      </c>
      <c r="K2969">
        <v>3594</v>
      </c>
      <c r="L2969">
        <v>1797</v>
      </c>
      <c r="M2969">
        <v>37735</v>
      </c>
      <c r="N2969">
        <v>1797</v>
      </c>
      <c r="O2969">
        <v>41329</v>
      </c>
    </row>
    <row r="2970" spans="1:15" x14ac:dyDescent="0.35">
      <c r="A2970">
        <v>2969</v>
      </c>
      <c r="B2970" s="2" t="s">
        <v>14</v>
      </c>
      <c r="C2970" s="2" t="s">
        <v>15</v>
      </c>
      <c r="D2970">
        <v>31</v>
      </c>
      <c r="E2970" s="2" t="s">
        <v>24</v>
      </c>
      <c r="F2970" s="2" t="s">
        <v>25</v>
      </c>
      <c r="G2970">
        <v>90142</v>
      </c>
      <c r="H2970" s="1">
        <v>45401</v>
      </c>
      <c r="I2970">
        <v>3</v>
      </c>
      <c r="J2970">
        <v>2</v>
      </c>
      <c r="K2970">
        <v>9014</v>
      </c>
      <c r="L2970">
        <v>4507</v>
      </c>
      <c r="M2970">
        <v>94649</v>
      </c>
      <c r="N2970">
        <v>0</v>
      </c>
      <c r="O2970">
        <v>99156</v>
      </c>
    </row>
    <row r="2971" spans="1:15" x14ac:dyDescent="0.35">
      <c r="A2971">
        <v>2970</v>
      </c>
      <c r="B2971" s="2" t="s">
        <v>31</v>
      </c>
      <c r="C2971" s="2" t="s">
        <v>11</v>
      </c>
      <c r="D2971">
        <v>33</v>
      </c>
      <c r="E2971" s="2" t="s">
        <v>24</v>
      </c>
      <c r="F2971" s="2" t="s">
        <v>19</v>
      </c>
      <c r="G2971">
        <v>27509</v>
      </c>
      <c r="H2971" s="1">
        <v>45521</v>
      </c>
      <c r="I2971">
        <v>2</v>
      </c>
      <c r="J2971">
        <v>5</v>
      </c>
      <c r="K2971">
        <v>2751</v>
      </c>
      <c r="L2971">
        <v>1375</v>
      </c>
      <c r="M2971">
        <v>28885</v>
      </c>
      <c r="N2971">
        <v>0</v>
      </c>
      <c r="O2971">
        <v>30260</v>
      </c>
    </row>
    <row r="2972" spans="1:15" x14ac:dyDescent="0.35">
      <c r="A2972">
        <v>2971</v>
      </c>
      <c r="B2972" s="2" t="s">
        <v>10</v>
      </c>
      <c r="C2972" s="2" t="s">
        <v>11</v>
      </c>
      <c r="D2972">
        <v>39</v>
      </c>
      <c r="E2972" s="2" t="s">
        <v>24</v>
      </c>
      <c r="F2972" s="2" t="s">
        <v>19</v>
      </c>
      <c r="G2972">
        <v>50504</v>
      </c>
      <c r="H2972" s="1">
        <v>44874</v>
      </c>
      <c r="I2972">
        <v>13</v>
      </c>
      <c r="J2972">
        <v>4</v>
      </c>
      <c r="K2972">
        <v>5050</v>
      </c>
      <c r="L2972">
        <v>2525</v>
      </c>
      <c r="M2972">
        <v>53029</v>
      </c>
      <c r="N2972">
        <v>2525</v>
      </c>
      <c r="O2972">
        <v>58079</v>
      </c>
    </row>
    <row r="2973" spans="1:15" x14ac:dyDescent="0.35">
      <c r="A2973">
        <v>2972</v>
      </c>
      <c r="B2973" s="2" t="s">
        <v>30</v>
      </c>
      <c r="C2973" s="2" t="s">
        <v>11</v>
      </c>
      <c r="D2973">
        <v>22</v>
      </c>
      <c r="E2973" s="2" t="s">
        <v>29</v>
      </c>
      <c r="F2973" s="2" t="s">
        <v>13</v>
      </c>
      <c r="G2973">
        <v>37276</v>
      </c>
      <c r="H2973" s="1">
        <v>45228</v>
      </c>
      <c r="I2973">
        <v>14</v>
      </c>
      <c r="J2973">
        <v>2</v>
      </c>
      <c r="K2973">
        <v>3728</v>
      </c>
      <c r="L2973">
        <v>1864</v>
      </c>
      <c r="M2973">
        <v>39140</v>
      </c>
      <c r="N2973">
        <v>1864</v>
      </c>
      <c r="O2973">
        <v>42868</v>
      </c>
    </row>
    <row r="2974" spans="1:15" x14ac:dyDescent="0.35">
      <c r="A2974">
        <v>2973</v>
      </c>
      <c r="B2974" s="2" t="s">
        <v>14</v>
      </c>
      <c r="C2974" s="2" t="s">
        <v>11</v>
      </c>
      <c r="D2974">
        <v>56</v>
      </c>
      <c r="E2974" s="2" t="s">
        <v>28</v>
      </c>
      <c r="F2974" s="2" t="s">
        <v>25</v>
      </c>
      <c r="G2974">
        <v>20641</v>
      </c>
      <c r="H2974" s="1">
        <v>44681</v>
      </c>
      <c r="I2974">
        <v>6</v>
      </c>
      <c r="J2974">
        <v>2</v>
      </c>
      <c r="K2974">
        <v>2064</v>
      </c>
      <c r="L2974">
        <v>1032</v>
      </c>
      <c r="M2974">
        <v>21673</v>
      </c>
      <c r="N2974">
        <v>1032</v>
      </c>
      <c r="O2974">
        <v>23737</v>
      </c>
    </row>
    <row r="2975" spans="1:15" x14ac:dyDescent="0.35">
      <c r="A2975">
        <v>2974</v>
      </c>
      <c r="B2975" s="2" t="s">
        <v>31</v>
      </c>
      <c r="C2975" s="2" t="s">
        <v>11</v>
      </c>
      <c r="D2975">
        <v>59</v>
      </c>
      <c r="E2975" s="2" t="s">
        <v>12</v>
      </c>
      <c r="F2975" s="2" t="s">
        <v>17</v>
      </c>
      <c r="G2975">
        <v>73846</v>
      </c>
      <c r="H2975" s="1">
        <v>44965</v>
      </c>
      <c r="I2975">
        <v>6</v>
      </c>
      <c r="J2975">
        <v>3</v>
      </c>
      <c r="K2975">
        <v>7385</v>
      </c>
      <c r="L2975">
        <v>3692</v>
      </c>
      <c r="M2975">
        <v>77539</v>
      </c>
      <c r="N2975">
        <v>3692</v>
      </c>
      <c r="O2975">
        <v>84923</v>
      </c>
    </row>
    <row r="2976" spans="1:15" x14ac:dyDescent="0.35">
      <c r="A2976">
        <v>2975</v>
      </c>
      <c r="B2976" s="2" t="s">
        <v>22</v>
      </c>
      <c r="C2976" s="2" t="s">
        <v>11</v>
      </c>
      <c r="D2976">
        <v>29</v>
      </c>
      <c r="E2976" s="2" t="s">
        <v>12</v>
      </c>
      <c r="F2976" s="2" t="s">
        <v>21</v>
      </c>
      <c r="G2976">
        <v>42233</v>
      </c>
      <c r="H2976" s="1">
        <v>44768</v>
      </c>
      <c r="I2976">
        <v>18</v>
      </c>
      <c r="J2976">
        <v>2</v>
      </c>
      <c r="K2976">
        <v>4223</v>
      </c>
      <c r="L2976">
        <v>2112</v>
      </c>
      <c r="M2976">
        <v>44344</v>
      </c>
      <c r="N2976">
        <v>2112</v>
      </c>
      <c r="O2976">
        <v>48568</v>
      </c>
    </row>
    <row r="2977" spans="1:15" x14ac:dyDescent="0.35">
      <c r="A2977">
        <v>2976</v>
      </c>
      <c r="B2977" s="2" t="s">
        <v>26</v>
      </c>
      <c r="C2977" s="2" t="s">
        <v>15</v>
      </c>
      <c r="D2977">
        <v>59</v>
      </c>
      <c r="E2977" s="2" t="s">
        <v>29</v>
      </c>
      <c r="F2977" s="2" t="s">
        <v>19</v>
      </c>
      <c r="G2977">
        <v>23214</v>
      </c>
      <c r="H2977" s="1">
        <v>44856</v>
      </c>
      <c r="I2977">
        <v>19</v>
      </c>
      <c r="J2977">
        <v>4</v>
      </c>
      <c r="K2977">
        <v>2321</v>
      </c>
      <c r="L2977">
        <v>1161</v>
      </c>
      <c r="M2977">
        <v>24374</v>
      </c>
      <c r="N2977">
        <v>1161</v>
      </c>
      <c r="O2977">
        <v>26696</v>
      </c>
    </row>
    <row r="2978" spans="1:15" x14ac:dyDescent="0.35">
      <c r="A2978">
        <v>2977</v>
      </c>
      <c r="B2978" s="2" t="s">
        <v>22</v>
      </c>
      <c r="C2978" s="2" t="s">
        <v>11</v>
      </c>
      <c r="D2978">
        <v>24</v>
      </c>
      <c r="E2978" s="2" t="s">
        <v>16</v>
      </c>
      <c r="F2978" s="2" t="s">
        <v>19</v>
      </c>
      <c r="G2978">
        <v>42139</v>
      </c>
      <c r="H2978" s="1">
        <v>45047</v>
      </c>
      <c r="I2978">
        <v>15</v>
      </c>
      <c r="J2978">
        <v>3</v>
      </c>
      <c r="K2978">
        <v>4214</v>
      </c>
      <c r="L2978">
        <v>2107</v>
      </c>
      <c r="M2978">
        <v>44246</v>
      </c>
      <c r="N2978">
        <v>2107</v>
      </c>
      <c r="O2978">
        <v>48460</v>
      </c>
    </row>
    <row r="2979" spans="1:15" x14ac:dyDescent="0.35">
      <c r="A2979">
        <v>2978</v>
      </c>
      <c r="B2979" s="2" t="s">
        <v>26</v>
      </c>
      <c r="C2979" s="2" t="s">
        <v>15</v>
      </c>
      <c r="D2979">
        <v>25</v>
      </c>
      <c r="E2979" s="2" t="s">
        <v>28</v>
      </c>
      <c r="F2979" s="2" t="s">
        <v>17</v>
      </c>
      <c r="G2979">
        <v>73838</v>
      </c>
      <c r="H2979" s="1">
        <v>45446</v>
      </c>
      <c r="I2979">
        <v>17</v>
      </c>
      <c r="J2979">
        <v>4</v>
      </c>
      <c r="K2979">
        <v>7384</v>
      </c>
      <c r="L2979">
        <v>3692</v>
      </c>
      <c r="M2979">
        <v>77530</v>
      </c>
      <c r="N2979">
        <v>3692</v>
      </c>
      <c r="O2979">
        <v>84914</v>
      </c>
    </row>
    <row r="2980" spans="1:15" x14ac:dyDescent="0.35">
      <c r="A2980">
        <v>2979</v>
      </c>
      <c r="B2980" s="2" t="s">
        <v>18</v>
      </c>
      <c r="C2980" s="2" t="s">
        <v>15</v>
      </c>
      <c r="D2980">
        <v>56</v>
      </c>
      <c r="E2980" s="2" t="s">
        <v>29</v>
      </c>
      <c r="F2980" s="2" t="s">
        <v>13</v>
      </c>
      <c r="G2980">
        <v>51968</v>
      </c>
      <c r="H2980" s="1">
        <v>44790</v>
      </c>
      <c r="I2980">
        <v>6</v>
      </c>
      <c r="J2980">
        <v>2</v>
      </c>
      <c r="K2980">
        <v>5197</v>
      </c>
      <c r="L2980">
        <v>2598</v>
      </c>
      <c r="M2980">
        <v>54567</v>
      </c>
      <c r="N2980">
        <v>2598</v>
      </c>
      <c r="O2980">
        <v>59763</v>
      </c>
    </row>
    <row r="2981" spans="1:15" x14ac:dyDescent="0.35">
      <c r="A2981">
        <v>2980</v>
      </c>
      <c r="B2981" s="2" t="s">
        <v>30</v>
      </c>
      <c r="C2981" s="2" t="s">
        <v>11</v>
      </c>
      <c r="D2981">
        <v>38</v>
      </c>
      <c r="E2981" s="2" t="s">
        <v>24</v>
      </c>
      <c r="F2981" s="2" t="s">
        <v>25</v>
      </c>
      <c r="G2981">
        <v>79368</v>
      </c>
      <c r="H2981" s="1">
        <v>45150</v>
      </c>
      <c r="I2981">
        <v>9</v>
      </c>
      <c r="J2981">
        <v>4</v>
      </c>
      <c r="K2981">
        <v>7937</v>
      </c>
      <c r="L2981">
        <v>3968</v>
      </c>
      <c r="M2981">
        <v>83337</v>
      </c>
      <c r="N2981">
        <v>3968</v>
      </c>
      <c r="O2981">
        <v>91273</v>
      </c>
    </row>
    <row r="2982" spans="1:15" x14ac:dyDescent="0.35">
      <c r="A2982">
        <v>2981</v>
      </c>
      <c r="B2982" s="2" t="s">
        <v>23</v>
      </c>
      <c r="C2982" s="2" t="s">
        <v>11</v>
      </c>
      <c r="D2982">
        <v>50</v>
      </c>
      <c r="E2982" s="2" t="s">
        <v>29</v>
      </c>
      <c r="F2982" s="2" t="s">
        <v>17</v>
      </c>
      <c r="G2982">
        <v>56327</v>
      </c>
      <c r="H2982" s="1">
        <v>45081</v>
      </c>
      <c r="I2982">
        <v>10</v>
      </c>
      <c r="J2982">
        <v>3</v>
      </c>
      <c r="K2982">
        <v>5633</v>
      </c>
      <c r="L2982">
        <v>2816</v>
      </c>
      <c r="M2982">
        <v>59144</v>
      </c>
      <c r="N2982">
        <v>2816</v>
      </c>
      <c r="O2982">
        <v>64776</v>
      </c>
    </row>
    <row r="2983" spans="1:15" x14ac:dyDescent="0.35">
      <c r="A2983">
        <v>2982</v>
      </c>
      <c r="B2983" s="2" t="s">
        <v>31</v>
      </c>
      <c r="C2983" s="2" t="s">
        <v>11</v>
      </c>
      <c r="D2983">
        <v>48</v>
      </c>
      <c r="E2983" s="2" t="s">
        <v>28</v>
      </c>
      <c r="F2983" s="2" t="s">
        <v>13</v>
      </c>
      <c r="G2983">
        <v>22101</v>
      </c>
      <c r="H2983" s="1">
        <v>45113</v>
      </c>
      <c r="I2983">
        <v>10</v>
      </c>
      <c r="J2983">
        <v>2</v>
      </c>
      <c r="K2983">
        <v>2210</v>
      </c>
      <c r="L2983">
        <v>1105</v>
      </c>
      <c r="M2983">
        <v>23206</v>
      </c>
      <c r="N2983">
        <v>1105</v>
      </c>
      <c r="O2983">
        <v>25416</v>
      </c>
    </row>
    <row r="2984" spans="1:15" x14ac:dyDescent="0.35">
      <c r="A2984">
        <v>2983</v>
      </c>
      <c r="B2984" s="2" t="s">
        <v>30</v>
      </c>
      <c r="C2984" s="2" t="s">
        <v>15</v>
      </c>
      <c r="D2984">
        <v>28</v>
      </c>
      <c r="E2984" s="2" t="s">
        <v>16</v>
      </c>
      <c r="F2984" s="2" t="s">
        <v>13</v>
      </c>
      <c r="G2984">
        <v>48328</v>
      </c>
      <c r="H2984" s="1">
        <v>45089</v>
      </c>
      <c r="I2984">
        <v>19</v>
      </c>
      <c r="J2984">
        <v>5</v>
      </c>
      <c r="K2984">
        <v>4833</v>
      </c>
      <c r="L2984">
        <v>2416</v>
      </c>
      <c r="M2984">
        <v>50745</v>
      </c>
      <c r="N2984">
        <v>2416</v>
      </c>
      <c r="O2984">
        <v>55577</v>
      </c>
    </row>
    <row r="2985" spans="1:15" x14ac:dyDescent="0.35">
      <c r="A2985">
        <v>2984</v>
      </c>
      <c r="B2985" s="2" t="s">
        <v>22</v>
      </c>
      <c r="C2985" s="2" t="s">
        <v>15</v>
      </c>
      <c r="D2985">
        <v>32</v>
      </c>
      <c r="E2985" s="2" t="s">
        <v>12</v>
      </c>
      <c r="F2985" s="2" t="s">
        <v>25</v>
      </c>
      <c r="G2985">
        <v>67510</v>
      </c>
      <c r="H2985" s="1">
        <v>44914</v>
      </c>
      <c r="I2985">
        <v>20</v>
      </c>
      <c r="J2985">
        <v>1</v>
      </c>
      <c r="K2985">
        <v>6751</v>
      </c>
      <c r="L2985">
        <v>3376</v>
      </c>
      <c r="M2985">
        <v>70885</v>
      </c>
      <c r="N2985">
        <v>3376</v>
      </c>
      <c r="O2985">
        <v>77637</v>
      </c>
    </row>
    <row r="2986" spans="1:15" x14ac:dyDescent="0.35">
      <c r="A2986">
        <v>2985</v>
      </c>
      <c r="B2986" s="2" t="s">
        <v>23</v>
      </c>
      <c r="C2986" s="2" t="s">
        <v>15</v>
      </c>
      <c r="D2986">
        <v>26</v>
      </c>
      <c r="E2986" s="2" t="s">
        <v>29</v>
      </c>
      <c r="F2986" s="2" t="s">
        <v>19</v>
      </c>
      <c r="G2986">
        <v>78229</v>
      </c>
      <c r="H2986" s="1">
        <v>45413</v>
      </c>
      <c r="I2986">
        <v>12</v>
      </c>
      <c r="J2986">
        <v>3</v>
      </c>
      <c r="K2986">
        <v>7823</v>
      </c>
      <c r="L2986">
        <v>3911</v>
      </c>
      <c r="M2986">
        <v>82141</v>
      </c>
      <c r="N2986">
        <v>3911</v>
      </c>
      <c r="O2986">
        <v>89963</v>
      </c>
    </row>
    <row r="2987" spans="1:15" x14ac:dyDescent="0.35">
      <c r="A2987">
        <v>2986</v>
      </c>
      <c r="B2987" s="2" t="s">
        <v>14</v>
      </c>
      <c r="C2987" s="2" t="s">
        <v>11</v>
      </c>
      <c r="D2987">
        <v>50</v>
      </c>
      <c r="E2987" s="2" t="s">
        <v>29</v>
      </c>
      <c r="F2987" s="2" t="s">
        <v>19</v>
      </c>
      <c r="G2987">
        <v>22987</v>
      </c>
      <c r="H2987" s="1">
        <v>45055</v>
      </c>
      <c r="I2987">
        <v>5</v>
      </c>
      <c r="J2987">
        <v>4</v>
      </c>
      <c r="K2987">
        <v>2299</v>
      </c>
      <c r="L2987">
        <v>1149</v>
      </c>
      <c r="M2987">
        <v>24137</v>
      </c>
      <c r="N2987">
        <v>0</v>
      </c>
      <c r="O2987">
        <v>25286</v>
      </c>
    </row>
    <row r="2988" spans="1:15" x14ac:dyDescent="0.35">
      <c r="A2988">
        <v>2987</v>
      </c>
      <c r="B2988" s="2" t="s">
        <v>20</v>
      </c>
      <c r="C2988" s="2" t="s">
        <v>15</v>
      </c>
      <c r="D2988">
        <v>44</v>
      </c>
      <c r="E2988" s="2" t="s">
        <v>29</v>
      </c>
      <c r="F2988" s="2" t="s">
        <v>17</v>
      </c>
      <c r="G2988">
        <v>74803</v>
      </c>
      <c r="H2988" s="1">
        <v>45178</v>
      </c>
      <c r="I2988">
        <v>16</v>
      </c>
      <c r="J2988">
        <v>4</v>
      </c>
      <c r="K2988">
        <v>7480</v>
      </c>
      <c r="L2988">
        <v>3740</v>
      </c>
      <c r="M2988">
        <v>78543</v>
      </c>
      <c r="N2988">
        <v>3740</v>
      </c>
      <c r="O2988">
        <v>86023</v>
      </c>
    </row>
    <row r="2989" spans="1:15" x14ac:dyDescent="0.35">
      <c r="A2989">
        <v>2988</v>
      </c>
      <c r="B2989" s="2" t="s">
        <v>22</v>
      </c>
      <c r="C2989" s="2" t="s">
        <v>15</v>
      </c>
      <c r="D2989">
        <v>39</v>
      </c>
      <c r="E2989" s="2" t="s">
        <v>24</v>
      </c>
      <c r="F2989" s="2" t="s">
        <v>13</v>
      </c>
      <c r="G2989">
        <v>83768</v>
      </c>
      <c r="H2989" s="1">
        <v>44600</v>
      </c>
      <c r="I2989">
        <v>14</v>
      </c>
      <c r="J2989">
        <v>2</v>
      </c>
      <c r="K2989">
        <v>8377</v>
      </c>
      <c r="L2989">
        <v>4188</v>
      </c>
      <c r="M2989">
        <v>87957</v>
      </c>
      <c r="N2989">
        <v>4188</v>
      </c>
      <c r="O2989">
        <v>96333</v>
      </c>
    </row>
    <row r="2990" spans="1:15" x14ac:dyDescent="0.35">
      <c r="A2990">
        <v>2989</v>
      </c>
      <c r="B2990" s="2" t="s">
        <v>27</v>
      </c>
      <c r="C2990" s="2" t="s">
        <v>11</v>
      </c>
      <c r="D2990">
        <v>60</v>
      </c>
      <c r="E2990" s="2" t="s">
        <v>12</v>
      </c>
      <c r="F2990" s="2" t="s">
        <v>17</v>
      </c>
      <c r="G2990">
        <v>21405</v>
      </c>
      <c r="H2990" s="1">
        <v>44903</v>
      </c>
      <c r="I2990">
        <v>15</v>
      </c>
      <c r="J2990">
        <v>2</v>
      </c>
      <c r="K2990">
        <v>2140</v>
      </c>
      <c r="L2990">
        <v>1070</v>
      </c>
      <c r="M2990">
        <v>22475</v>
      </c>
      <c r="N2990">
        <v>1070</v>
      </c>
      <c r="O2990">
        <v>24615</v>
      </c>
    </row>
    <row r="2991" spans="1:15" x14ac:dyDescent="0.35">
      <c r="A2991">
        <v>2990</v>
      </c>
      <c r="B2991" s="2" t="s">
        <v>26</v>
      </c>
      <c r="C2991" s="2" t="s">
        <v>11</v>
      </c>
      <c r="D2991">
        <v>25</v>
      </c>
      <c r="E2991" s="2" t="s">
        <v>24</v>
      </c>
      <c r="F2991" s="2" t="s">
        <v>21</v>
      </c>
      <c r="G2991">
        <v>32238</v>
      </c>
      <c r="H2991" s="1">
        <v>44664</v>
      </c>
      <c r="I2991">
        <v>4</v>
      </c>
      <c r="J2991">
        <v>2</v>
      </c>
      <c r="K2991">
        <v>3224</v>
      </c>
      <c r="L2991">
        <v>1612</v>
      </c>
      <c r="M2991">
        <v>33850</v>
      </c>
      <c r="N2991">
        <v>0</v>
      </c>
      <c r="O2991">
        <v>35462</v>
      </c>
    </row>
    <row r="2992" spans="1:15" x14ac:dyDescent="0.35">
      <c r="A2992">
        <v>2991</v>
      </c>
      <c r="B2992" s="2" t="s">
        <v>31</v>
      </c>
      <c r="C2992" s="2" t="s">
        <v>11</v>
      </c>
      <c r="D2992">
        <v>24</v>
      </c>
      <c r="E2992" s="2" t="s">
        <v>24</v>
      </c>
      <c r="F2992" s="2" t="s">
        <v>21</v>
      </c>
      <c r="G2992">
        <v>98923</v>
      </c>
      <c r="H2992" s="1">
        <v>45080</v>
      </c>
      <c r="I2992">
        <v>5</v>
      </c>
      <c r="J2992">
        <v>1</v>
      </c>
      <c r="K2992">
        <v>9892</v>
      </c>
      <c r="L2992">
        <v>4946</v>
      </c>
      <c r="M2992">
        <v>103869</v>
      </c>
      <c r="N2992">
        <v>0</v>
      </c>
      <c r="O2992">
        <v>108815</v>
      </c>
    </row>
    <row r="2993" spans="1:15" x14ac:dyDescent="0.35">
      <c r="A2993">
        <v>2992</v>
      </c>
      <c r="B2993" s="2" t="s">
        <v>14</v>
      </c>
      <c r="C2993" s="2" t="s">
        <v>11</v>
      </c>
      <c r="D2993">
        <v>56</v>
      </c>
      <c r="E2993" s="2" t="s">
        <v>16</v>
      </c>
      <c r="F2993" s="2" t="s">
        <v>21</v>
      </c>
      <c r="G2993">
        <v>31100</v>
      </c>
      <c r="H2993" s="1">
        <v>44964</v>
      </c>
      <c r="I2993">
        <v>10</v>
      </c>
      <c r="J2993">
        <v>1</v>
      </c>
      <c r="K2993">
        <v>3110</v>
      </c>
      <c r="L2993">
        <v>1555</v>
      </c>
      <c r="M2993">
        <v>32655</v>
      </c>
      <c r="N2993">
        <v>1555</v>
      </c>
      <c r="O2993">
        <v>35765</v>
      </c>
    </row>
    <row r="2994" spans="1:15" x14ac:dyDescent="0.35">
      <c r="A2994">
        <v>2993</v>
      </c>
      <c r="B2994" s="2" t="s">
        <v>14</v>
      </c>
      <c r="C2994" s="2" t="s">
        <v>15</v>
      </c>
      <c r="D2994">
        <v>44</v>
      </c>
      <c r="E2994" s="2" t="s">
        <v>12</v>
      </c>
      <c r="F2994" s="2" t="s">
        <v>25</v>
      </c>
      <c r="G2994">
        <v>50591</v>
      </c>
      <c r="H2994" s="1">
        <v>45017</v>
      </c>
      <c r="I2994">
        <v>20</v>
      </c>
      <c r="J2994">
        <v>4</v>
      </c>
      <c r="K2994">
        <v>5059</v>
      </c>
      <c r="L2994">
        <v>2530</v>
      </c>
      <c r="M2994">
        <v>53120</v>
      </c>
      <c r="N2994">
        <v>2530</v>
      </c>
      <c r="O2994">
        <v>58180</v>
      </c>
    </row>
    <row r="2995" spans="1:15" x14ac:dyDescent="0.35">
      <c r="A2995">
        <v>2994</v>
      </c>
      <c r="B2995" s="2" t="s">
        <v>30</v>
      </c>
      <c r="C2995" s="2" t="s">
        <v>11</v>
      </c>
      <c r="D2995">
        <v>43</v>
      </c>
      <c r="E2995" s="2" t="s">
        <v>28</v>
      </c>
      <c r="F2995" s="2" t="s">
        <v>13</v>
      </c>
      <c r="G2995">
        <v>54123</v>
      </c>
      <c r="H2995" s="1">
        <v>45139</v>
      </c>
      <c r="I2995">
        <v>19</v>
      </c>
      <c r="J2995">
        <v>2</v>
      </c>
      <c r="K2995">
        <v>5412</v>
      </c>
      <c r="L2995">
        <v>2706</v>
      </c>
      <c r="M2995">
        <v>56829</v>
      </c>
      <c r="N2995">
        <v>2706</v>
      </c>
      <c r="O2995">
        <v>62241</v>
      </c>
    </row>
    <row r="2996" spans="1:15" x14ac:dyDescent="0.35">
      <c r="A2996">
        <v>2995</v>
      </c>
      <c r="B2996" s="2" t="s">
        <v>31</v>
      </c>
      <c r="C2996" s="2" t="s">
        <v>11</v>
      </c>
      <c r="D2996">
        <v>34</v>
      </c>
      <c r="E2996" s="2" t="s">
        <v>28</v>
      </c>
      <c r="F2996" s="2" t="s">
        <v>17</v>
      </c>
      <c r="G2996">
        <v>30597</v>
      </c>
      <c r="H2996" s="1">
        <v>45131</v>
      </c>
      <c r="I2996">
        <v>15</v>
      </c>
      <c r="J2996">
        <v>1</v>
      </c>
      <c r="K2996">
        <v>3060</v>
      </c>
      <c r="L2996">
        <v>1530</v>
      </c>
      <c r="M2996">
        <v>32127</v>
      </c>
      <c r="N2996">
        <v>1530</v>
      </c>
      <c r="O2996">
        <v>35187</v>
      </c>
    </row>
    <row r="2997" spans="1:15" x14ac:dyDescent="0.35">
      <c r="A2997">
        <v>2996</v>
      </c>
      <c r="B2997" s="2" t="s">
        <v>14</v>
      </c>
      <c r="C2997" s="2" t="s">
        <v>11</v>
      </c>
      <c r="D2997">
        <v>24</v>
      </c>
      <c r="E2997" s="2" t="s">
        <v>28</v>
      </c>
      <c r="F2997" s="2" t="s">
        <v>13</v>
      </c>
      <c r="G2997">
        <v>92864</v>
      </c>
      <c r="H2997" s="1">
        <v>45206</v>
      </c>
      <c r="I2997">
        <v>4</v>
      </c>
      <c r="J2997">
        <v>1</v>
      </c>
      <c r="K2997">
        <v>9286</v>
      </c>
      <c r="L2997">
        <v>4643</v>
      </c>
      <c r="M2997">
        <v>97507</v>
      </c>
      <c r="N2997">
        <v>0</v>
      </c>
      <c r="O2997">
        <v>102150</v>
      </c>
    </row>
    <row r="2998" spans="1:15" x14ac:dyDescent="0.35">
      <c r="A2998">
        <v>2997</v>
      </c>
      <c r="B2998" s="2" t="s">
        <v>22</v>
      </c>
      <c r="C2998" s="2" t="s">
        <v>11</v>
      </c>
      <c r="D2998">
        <v>52</v>
      </c>
      <c r="E2998" s="2" t="s">
        <v>28</v>
      </c>
      <c r="F2998" s="2" t="s">
        <v>25</v>
      </c>
      <c r="G2998">
        <v>45605</v>
      </c>
      <c r="H2998" s="1">
        <v>44566</v>
      </c>
      <c r="I2998">
        <v>2</v>
      </c>
      <c r="J2998">
        <v>2</v>
      </c>
      <c r="K2998">
        <v>4560</v>
      </c>
      <c r="L2998">
        <v>2280</v>
      </c>
      <c r="M2998">
        <v>47885</v>
      </c>
      <c r="N2998">
        <v>0</v>
      </c>
      <c r="O2998">
        <v>50165</v>
      </c>
    </row>
    <row r="2999" spans="1:15" x14ac:dyDescent="0.35">
      <c r="A2999">
        <v>2998</v>
      </c>
      <c r="B2999" s="2" t="s">
        <v>18</v>
      </c>
      <c r="C2999" s="2" t="s">
        <v>15</v>
      </c>
      <c r="D2999">
        <v>41</v>
      </c>
      <c r="E2999" s="2" t="s">
        <v>28</v>
      </c>
      <c r="F2999" s="2" t="s">
        <v>19</v>
      </c>
      <c r="G2999">
        <v>57121</v>
      </c>
      <c r="H2999" s="1">
        <v>45552</v>
      </c>
      <c r="I2999">
        <v>13</v>
      </c>
      <c r="J2999">
        <v>5</v>
      </c>
      <c r="K2999">
        <v>5712</v>
      </c>
      <c r="L2999">
        <v>2856</v>
      </c>
      <c r="M2999">
        <v>59977</v>
      </c>
      <c r="N2999">
        <v>2856</v>
      </c>
      <c r="O2999">
        <v>65689</v>
      </c>
    </row>
    <row r="3000" spans="1:15" x14ac:dyDescent="0.35">
      <c r="A3000">
        <v>2999</v>
      </c>
      <c r="B3000" s="2" t="s">
        <v>14</v>
      </c>
      <c r="C3000" s="2" t="s">
        <v>11</v>
      </c>
      <c r="D3000">
        <v>40</v>
      </c>
      <c r="E3000" s="2" t="s">
        <v>12</v>
      </c>
      <c r="F3000" s="2" t="s">
        <v>17</v>
      </c>
      <c r="G3000">
        <v>74430</v>
      </c>
      <c r="H3000" s="1">
        <v>45369</v>
      </c>
      <c r="I3000">
        <v>13</v>
      </c>
      <c r="J3000">
        <v>1</v>
      </c>
      <c r="K3000">
        <v>7443</v>
      </c>
      <c r="L3000">
        <v>3722</v>
      </c>
      <c r="M3000">
        <v>78151</v>
      </c>
      <c r="N3000">
        <v>3722</v>
      </c>
      <c r="O3000">
        <v>85595</v>
      </c>
    </row>
    <row r="3001" spans="1:15" x14ac:dyDescent="0.35">
      <c r="A3001">
        <v>3000</v>
      </c>
      <c r="B3001" s="2" t="s">
        <v>23</v>
      </c>
      <c r="C3001" s="2" t="s">
        <v>15</v>
      </c>
      <c r="D3001">
        <v>26</v>
      </c>
      <c r="E3001" s="2" t="s">
        <v>29</v>
      </c>
      <c r="F3001" s="2" t="s">
        <v>13</v>
      </c>
      <c r="G3001">
        <v>95205</v>
      </c>
      <c r="H3001" s="1">
        <v>44608</v>
      </c>
      <c r="I3001">
        <v>12</v>
      </c>
      <c r="J3001">
        <v>2</v>
      </c>
      <c r="K3001">
        <v>9520</v>
      </c>
      <c r="L3001">
        <v>4760</v>
      </c>
      <c r="M3001">
        <v>99965</v>
      </c>
      <c r="N3001">
        <v>4760</v>
      </c>
      <c r="O3001">
        <v>109485</v>
      </c>
    </row>
    <row r="3002" spans="1:15" x14ac:dyDescent="0.35">
      <c r="A3002">
        <v>3001</v>
      </c>
      <c r="B3002" s="2" t="s">
        <v>31</v>
      </c>
      <c r="C3002" s="2" t="s">
        <v>15</v>
      </c>
      <c r="D3002">
        <v>45</v>
      </c>
      <c r="E3002" s="2" t="s">
        <v>29</v>
      </c>
      <c r="F3002" s="2" t="s">
        <v>25</v>
      </c>
      <c r="G3002">
        <v>51202</v>
      </c>
      <c r="H3002" s="1">
        <v>45358</v>
      </c>
      <c r="I3002">
        <v>11</v>
      </c>
      <c r="J3002">
        <v>4</v>
      </c>
      <c r="K3002">
        <v>5120</v>
      </c>
      <c r="L3002">
        <v>2560</v>
      </c>
      <c r="M3002">
        <v>53762</v>
      </c>
      <c r="N3002">
        <v>2560</v>
      </c>
      <c r="O3002">
        <v>58882</v>
      </c>
    </row>
    <row r="3003" spans="1:15" x14ac:dyDescent="0.35">
      <c r="A3003">
        <v>3002</v>
      </c>
      <c r="B3003" s="2" t="s">
        <v>20</v>
      </c>
      <c r="C3003" s="2" t="s">
        <v>11</v>
      </c>
      <c r="D3003">
        <v>27</v>
      </c>
      <c r="E3003" s="2" t="s">
        <v>24</v>
      </c>
      <c r="F3003" s="2" t="s">
        <v>13</v>
      </c>
      <c r="G3003">
        <v>23352</v>
      </c>
      <c r="H3003" s="1">
        <v>44879</v>
      </c>
      <c r="I3003">
        <v>19</v>
      </c>
      <c r="J3003">
        <v>3</v>
      </c>
      <c r="K3003">
        <v>2335</v>
      </c>
      <c r="L3003">
        <v>1168</v>
      </c>
      <c r="M3003">
        <v>24519</v>
      </c>
      <c r="N3003">
        <v>1168</v>
      </c>
      <c r="O3003">
        <v>26855</v>
      </c>
    </row>
    <row r="3004" spans="1:15" x14ac:dyDescent="0.35">
      <c r="A3004">
        <v>3003</v>
      </c>
      <c r="B3004" s="2" t="s">
        <v>18</v>
      </c>
      <c r="C3004" s="2" t="s">
        <v>11</v>
      </c>
      <c r="D3004">
        <v>43</v>
      </c>
      <c r="E3004" s="2" t="s">
        <v>16</v>
      </c>
      <c r="F3004" s="2" t="s">
        <v>21</v>
      </c>
      <c r="G3004">
        <v>79885</v>
      </c>
      <c r="H3004" s="1">
        <v>44746</v>
      </c>
      <c r="I3004">
        <v>2</v>
      </c>
      <c r="J3004">
        <v>3</v>
      </c>
      <c r="K3004">
        <v>7988</v>
      </c>
      <c r="L3004">
        <v>3994</v>
      </c>
      <c r="M3004">
        <v>83879</v>
      </c>
      <c r="N3004">
        <v>0</v>
      </c>
      <c r="O3004">
        <v>87873</v>
      </c>
    </row>
    <row r="3005" spans="1:15" x14ac:dyDescent="0.35">
      <c r="A3005">
        <v>3004</v>
      </c>
      <c r="B3005" s="2" t="s">
        <v>26</v>
      </c>
      <c r="C3005" s="2" t="s">
        <v>15</v>
      </c>
      <c r="D3005">
        <v>25</v>
      </c>
      <c r="E3005" s="2" t="s">
        <v>29</v>
      </c>
      <c r="F3005" s="2" t="s">
        <v>13</v>
      </c>
      <c r="G3005">
        <v>43923</v>
      </c>
      <c r="H3005" s="1">
        <v>44791</v>
      </c>
      <c r="I3005">
        <v>5</v>
      </c>
      <c r="J3005">
        <v>5</v>
      </c>
      <c r="K3005">
        <v>4392</v>
      </c>
      <c r="L3005">
        <v>2196</v>
      </c>
      <c r="M3005">
        <v>46119</v>
      </c>
      <c r="N3005">
        <v>0</v>
      </c>
      <c r="O3005">
        <v>48315</v>
      </c>
    </row>
    <row r="3006" spans="1:15" x14ac:dyDescent="0.35">
      <c r="A3006">
        <v>3005</v>
      </c>
      <c r="B3006" s="2" t="s">
        <v>10</v>
      </c>
      <c r="C3006" s="2" t="s">
        <v>15</v>
      </c>
      <c r="D3006">
        <v>34</v>
      </c>
      <c r="E3006" s="2" t="s">
        <v>24</v>
      </c>
      <c r="F3006" s="2" t="s">
        <v>21</v>
      </c>
      <c r="G3006">
        <v>35449</v>
      </c>
      <c r="H3006" s="1">
        <v>45163</v>
      </c>
      <c r="I3006">
        <v>10</v>
      </c>
      <c r="J3006">
        <v>1</v>
      </c>
      <c r="K3006">
        <v>3545</v>
      </c>
      <c r="L3006">
        <v>1772</v>
      </c>
      <c r="M3006">
        <v>37222</v>
      </c>
      <c r="N3006">
        <v>1772</v>
      </c>
      <c r="O3006">
        <v>40766</v>
      </c>
    </row>
    <row r="3007" spans="1:15" x14ac:dyDescent="0.35">
      <c r="A3007">
        <v>3006</v>
      </c>
      <c r="B3007" s="2" t="s">
        <v>27</v>
      </c>
      <c r="C3007" s="2" t="s">
        <v>15</v>
      </c>
      <c r="D3007">
        <v>27</v>
      </c>
      <c r="E3007" s="2" t="s">
        <v>16</v>
      </c>
      <c r="F3007" s="2" t="s">
        <v>17</v>
      </c>
      <c r="G3007">
        <v>43293</v>
      </c>
      <c r="H3007" s="1">
        <v>44933</v>
      </c>
      <c r="I3007">
        <v>5</v>
      </c>
      <c r="J3007">
        <v>4</v>
      </c>
      <c r="K3007">
        <v>4329</v>
      </c>
      <c r="L3007">
        <v>2165</v>
      </c>
      <c r="M3007">
        <v>45457</v>
      </c>
      <c r="N3007">
        <v>0</v>
      </c>
      <c r="O3007">
        <v>47622</v>
      </c>
    </row>
    <row r="3008" spans="1:15" x14ac:dyDescent="0.35">
      <c r="A3008">
        <v>3007</v>
      </c>
      <c r="B3008" s="2" t="s">
        <v>31</v>
      </c>
      <c r="C3008" s="2" t="s">
        <v>15</v>
      </c>
      <c r="D3008">
        <v>37</v>
      </c>
      <c r="E3008" s="2" t="s">
        <v>12</v>
      </c>
      <c r="F3008" s="2" t="s">
        <v>21</v>
      </c>
      <c r="G3008">
        <v>29515</v>
      </c>
      <c r="H3008" s="1">
        <v>45155</v>
      </c>
      <c r="I3008">
        <v>12</v>
      </c>
      <c r="J3008">
        <v>2</v>
      </c>
      <c r="K3008">
        <v>2952</v>
      </c>
      <c r="L3008">
        <v>1476</v>
      </c>
      <c r="M3008">
        <v>30991</v>
      </c>
      <c r="N3008">
        <v>1476</v>
      </c>
      <c r="O3008">
        <v>33943</v>
      </c>
    </row>
    <row r="3009" spans="1:15" x14ac:dyDescent="0.35">
      <c r="A3009">
        <v>3008</v>
      </c>
      <c r="B3009" s="2" t="s">
        <v>20</v>
      </c>
      <c r="C3009" s="2" t="s">
        <v>15</v>
      </c>
      <c r="D3009">
        <v>36</v>
      </c>
      <c r="E3009" s="2" t="s">
        <v>24</v>
      </c>
      <c r="F3009" s="2" t="s">
        <v>13</v>
      </c>
      <c r="G3009">
        <v>72855</v>
      </c>
      <c r="H3009" s="1">
        <v>45020</v>
      </c>
      <c r="I3009">
        <v>6</v>
      </c>
      <c r="J3009">
        <v>4</v>
      </c>
      <c r="K3009">
        <v>7286</v>
      </c>
      <c r="L3009">
        <v>3643</v>
      </c>
      <c r="M3009">
        <v>76498</v>
      </c>
      <c r="N3009">
        <v>3643</v>
      </c>
      <c r="O3009">
        <v>83784</v>
      </c>
    </row>
    <row r="3010" spans="1:15" x14ac:dyDescent="0.35">
      <c r="A3010">
        <v>3009</v>
      </c>
      <c r="B3010" s="2" t="s">
        <v>14</v>
      </c>
      <c r="C3010" s="2" t="s">
        <v>15</v>
      </c>
      <c r="D3010">
        <v>36</v>
      </c>
      <c r="E3010" s="2" t="s">
        <v>12</v>
      </c>
      <c r="F3010" s="2" t="s">
        <v>25</v>
      </c>
      <c r="G3010">
        <v>73732</v>
      </c>
      <c r="H3010" s="1">
        <v>45247</v>
      </c>
      <c r="I3010">
        <v>8</v>
      </c>
      <c r="J3010">
        <v>4</v>
      </c>
      <c r="K3010">
        <v>7373</v>
      </c>
      <c r="L3010">
        <v>3687</v>
      </c>
      <c r="M3010">
        <v>77418</v>
      </c>
      <c r="N3010">
        <v>3687</v>
      </c>
      <c r="O3010">
        <v>84792</v>
      </c>
    </row>
    <row r="3011" spans="1:15" x14ac:dyDescent="0.35">
      <c r="A3011">
        <v>3010</v>
      </c>
      <c r="B3011" s="2" t="s">
        <v>22</v>
      </c>
      <c r="C3011" s="2" t="s">
        <v>11</v>
      </c>
      <c r="D3011">
        <v>29</v>
      </c>
      <c r="E3011" s="2" t="s">
        <v>24</v>
      </c>
      <c r="F3011" s="2" t="s">
        <v>13</v>
      </c>
      <c r="G3011">
        <v>96006</v>
      </c>
      <c r="H3011" s="1">
        <v>45436</v>
      </c>
      <c r="I3011">
        <v>2</v>
      </c>
      <c r="J3011">
        <v>3</v>
      </c>
      <c r="K3011">
        <v>9601</v>
      </c>
      <c r="L3011">
        <v>4800</v>
      </c>
      <c r="M3011">
        <v>100807</v>
      </c>
      <c r="N3011">
        <v>0</v>
      </c>
      <c r="O3011">
        <v>105607</v>
      </c>
    </row>
    <row r="3012" spans="1:15" x14ac:dyDescent="0.35">
      <c r="A3012">
        <v>3011</v>
      </c>
      <c r="B3012" s="2" t="s">
        <v>20</v>
      </c>
      <c r="C3012" s="2" t="s">
        <v>11</v>
      </c>
      <c r="D3012">
        <v>29</v>
      </c>
      <c r="E3012" s="2" t="s">
        <v>16</v>
      </c>
      <c r="F3012" s="2" t="s">
        <v>21</v>
      </c>
      <c r="G3012">
        <v>76958</v>
      </c>
      <c r="H3012" s="1">
        <v>44776</v>
      </c>
      <c r="I3012">
        <v>8</v>
      </c>
      <c r="J3012">
        <v>2</v>
      </c>
      <c r="K3012">
        <v>7696</v>
      </c>
      <c r="L3012">
        <v>3848</v>
      </c>
      <c r="M3012">
        <v>80806</v>
      </c>
      <c r="N3012">
        <v>3848</v>
      </c>
      <c r="O3012">
        <v>88502</v>
      </c>
    </row>
    <row r="3013" spans="1:15" x14ac:dyDescent="0.35">
      <c r="A3013">
        <v>3012</v>
      </c>
      <c r="B3013" s="2" t="s">
        <v>22</v>
      </c>
      <c r="C3013" s="2" t="s">
        <v>15</v>
      </c>
      <c r="D3013">
        <v>51</v>
      </c>
      <c r="E3013" s="2" t="s">
        <v>16</v>
      </c>
      <c r="F3013" s="2" t="s">
        <v>19</v>
      </c>
      <c r="G3013">
        <v>62484</v>
      </c>
      <c r="H3013" s="1">
        <v>45131</v>
      </c>
      <c r="I3013">
        <v>3</v>
      </c>
      <c r="J3013">
        <v>4</v>
      </c>
      <c r="K3013">
        <v>6248</v>
      </c>
      <c r="L3013">
        <v>3124</v>
      </c>
      <c r="M3013">
        <v>65608</v>
      </c>
      <c r="N3013">
        <v>0</v>
      </c>
      <c r="O3013">
        <v>68732</v>
      </c>
    </row>
    <row r="3014" spans="1:15" x14ac:dyDescent="0.35">
      <c r="A3014">
        <v>3013</v>
      </c>
      <c r="B3014" s="2" t="s">
        <v>30</v>
      </c>
      <c r="C3014" s="2" t="s">
        <v>11</v>
      </c>
      <c r="D3014">
        <v>34</v>
      </c>
      <c r="E3014" s="2" t="s">
        <v>16</v>
      </c>
      <c r="F3014" s="2" t="s">
        <v>25</v>
      </c>
      <c r="G3014">
        <v>38580</v>
      </c>
      <c r="H3014" s="1">
        <v>45477</v>
      </c>
      <c r="I3014">
        <v>17</v>
      </c>
      <c r="J3014">
        <v>5</v>
      </c>
      <c r="K3014">
        <v>3858</v>
      </c>
      <c r="L3014">
        <v>1929</v>
      </c>
      <c r="M3014">
        <v>40509</v>
      </c>
      <c r="N3014">
        <v>1929</v>
      </c>
      <c r="O3014">
        <v>44367</v>
      </c>
    </row>
    <row r="3015" spans="1:15" x14ac:dyDescent="0.35">
      <c r="A3015">
        <v>3014</v>
      </c>
      <c r="B3015" s="2" t="s">
        <v>31</v>
      </c>
      <c r="C3015" s="2" t="s">
        <v>15</v>
      </c>
      <c r="D3015">
        <v>25</v>
      </c>
      <c r="E3015" s="2" t="s">
        <v>12</v>
      </c>
      <c r="F3015" s="2" t="s">
        <v>19</v>
      </c>
      <c r="G3015">
        <v>35960</v>
      </c>
      <c r="H3015" s="1">
        <v>44690</v>
      </c>
      <c r="I3015">
        <v>11</v>
      </c>
      <c r="J3015">
        <v>1</v>
      </c>
      <c r="K3015">
        <v>3596</v>
      </c>
      <c r="L3015">
        <v>1798</v>
      </c>
      <c r="M3015">
        <v>37758</v>
      </c>
      <c r="N3015">
        <v>1798</v>
      </c>
      <c r="O3015">
        <v>41354</v>
      </c>
    </row>
    <row r="3016" spans="1:15" x14ac:dyDescent="0.35">
      <c r="A3016">
        <v>3015</v>
      </c>
      <c r="B3016" s="2" t="s">
        <v>20</v>
      </c>
      <c r="C3016" s="2" t="s">
        <v>11</v>
      </c>
      <c r="D3016">
        <v>26</v>
      </c>
      <c r="E3016" s="2" t="s">
        <v>28</v>
      </c>
      <c r="F3016" s="2" t="s">
        <v>21</v>
      </c>
      <c r="G3016">
        <v>30041</v>
      </c>
      <c r="H3016" s="1">
        <v>44898</v>
      </c>
      <c r="I3016">
        <v>4</v>
      </c>
      <c r="J3016">
        <v>5</v>
      </c>
      <c r="K3016">
        <v>3004</v>
      </c>
      <c r="L3016">
        <v>1502</v>
      </c>
      <c r="M3016">
        <v>31543</v>
      </c>
      <c r="N3016">
        <v>0</v>
      </c>
      <c r="O3016">
        <v>33045</v>
      </c>
    </row>
    <row r="3017" spans="1:15" x14ac:dyDescent="0.35">
      <c r="A3017">
        <v>3016</v>
      </c>
      <c r="B3017" s="2" t="s">
        <v>27</v>
      </c>
      <c r="C3017" s="2" t="s">
        <v>15</v>
      </c>
      <c r="D3017">
        <v>43</v>
      </c>
      <c r="E3017" s="2" t="s">
        <v>29</v>
      </c>
      <c r="F3017" s="2" t="s">
        <v>19</v>
      </c>
      <c r="G3017">
        <v>81182</v>
      </c>
      <c r="H3017" s="1">
        <v>44572</v>
      </c>
      <c r="I3017">
        <v>1</v>
      </c>
      <c r="J3017">
        <v>3</v>
      </c>
      <c r="K3017">
        <v>8118</v>
      </c>
      <c r="L3017">
        <v>4059</v>
      </c>
      <c r="M3017">
        <v>85241</v>
      </c>
      <c r="N3017">
        <v>0</v>
      </c>
      <c r="O3017">
        <v>89300</v>
      </c>
    </row>
    <row r="3018" spans="1:15" x14ac:dyDescent="0.35">
      <c r="A3018">
        <v>3017</v>
      </c>
      <c r="B3018" s="2" t="s">
        <v>22</v>
      </c>
      <c r="C3018" s="2" t="s">
        <v>15</v>
      </c>
      <c r="D3018">
        <v>46</v>
      </c>
      <c r="E3018" s="2" t="s">
        <v>16</v>
      </c>
      <c r="F3018" s="2" t="s">
        <v>19</v>
      </c>
      <c r="G3018">
        <v>66074</v>
      </c>
      <c r="H3018" s="1">
        <v>45491</v>
      </c>
      <c r="I3018">
        <v>11</v>
      </c>
      <c r="J3018">
        <v>2</v>
      </c>
      <c r="K3018">
        <v>6607</v>
      </c>
      <c r="L3018">
        <v>3304</v>
      </c>
      <c r="M3018">
        <v>69377</v>
      </c>
      <c r="N3018">
        <v>3304</v>
      </c>
      <c r="O3018">
        <v>75985</v>
      </c>
    </row>
    <row r="3019" spans="1:15" x14ac:dyDescent="0.35">
      <c r="A3019">
        <v>3018</v>
      </c>
      <c r="B3019" s="2" t="s">
        <v>18</v>
      </c>
      <c r="C3019" s="2" t="s">
        <v>11</v>
      </c>
      <c r="D3019">
        <v>43</v>
      </c>
      <c r="E3019" s="2" t="s">
        <v>28</v>
      </c>
      <c r="F3019" s="2" t="s">
        <v>17</v>
      </c>
      <c r="G3019">
        <v>73389</v>
      </c>
      <c r="H3019" s="1">
        <v>44988</v>
      </c>
      <c r="I3019">
        <v>16</v>
      </c>
      <c r="J3019">
        <v>5</v>
      </c>
      <c r="K3019">
        <v>7339</v>
      </c>
      <c r="L3019">
        <v>3669</v>
      </c>
      <c r="M3019">
        <v>77059</v>
      </c>
      <c r="N3019">
        <v>3669</v>
      </c>
      <c r="O3019">
        <v>84397</v>
      </c>
    </row>
    <row r="3020" spans="1:15" x14ac:dyDescent="0.35">
      <c r="A3020">
        <v>3019</v>
      </c>
      <c r="B3020" s="2" t="s">
        <v>22</v>
      </c>
      <c r="C3020" s="2" t="s">
        <v>15</v>
      </c>
      <c r="D3020">
        <v>45</v>
      </c>
      <c r="E3020" s="2" t="s">
        <v>29</v>
      </c>
      <c r="F3020" s="2" t="s">
        <v>13</v>
      </c>
      <c r="G3020">
        <v>20151</v>
      </c>
      <c r="H3020" s="1">
        <v>45244</v>
      </c>
      <c r="I3020">
        <v>10</v>
      </c>
      <c r="J3020">
        <v>3</v>
      </c>
      <c r="K3020">
        <v>2015</v>
      </c>
      <c r="L3020">
        <v>1008</v>
      </c>
      <c r="M3020">
        <v>21158</v>
      </c>
      <c r="N3020">
        <v>1008</v>
      </c>
      <c r="O3020">
        <v>23174</v>
      </c>
    </row>
    <row r="3021" spans="1:15" x14ac:dyDescent="0.35">
      <c r="A3021">
        <v>3020</v>
      </c>
      <c r="B3021" s="2" t="s">
        <v>27</v>
      </c>
      <c r="C3021" s="2" t="s">
        <v>15</v>
      </c>
      <c r="D3021">
        <v>59</v>
      </c>
      <c r="E3021" s="2" t="s">
        <v>28</v>
      </c>
      <c r="F3021" s="2" t="s">
        <v>19</v>
      </c>
      <c r="G3021">
        <v>89522</v>
      </c>
      <c r="H3021" s="1">
        <v>45237</v>
      </c>
      <c r="I3021">
        <v>5</v>
      </c>
      <c r="J3021">
        <v>5</v>
      </c>
      <c r="K3021">
        <v>8952</v>
      </c>
      <c r="L3021">
        <v>4476</v>
      </c>
      <c r="M3021">
        <v>93998</v>
      </c>
      <c r="N3021">
        <v>0</v>
      </c>
      <c r="O3021">
        <v>98474</v>
      </c>
    </row>
    <row r="3022" spans="1:15" x14ac:dyDescent="0.35">
      <c r="A3022">
        <v>3021</v>
      </c>
      <c r="B3022" s="2" t="s">
        <v>22</v>
      </c>
      <c r="C3022" s="2" t="s">
        <v>15</v>
      </c>
      <c r="D3022">
        <v>30</v>
      </c>
      <c r="E3022" s="2" t="s">
        <v>29</v>
      </c>
      <c r="F3022" s="2" t="s">
        <v>21</v>
      </c>
      <c r="G3022">
        <v>64028</v>
      </c>
      <c r="H3022" s="1">
        <v>44791</v>
      </c>
      <c r="I3022">
        <v>13</v>
      </c>
      <c r="J3022">
        <v>2</v>
      </c>
      <c r="K3022">
        <v>6403</v>
      </c>
      <c r="L3022">
        <v>3201</v>
      </c>
      <c r="M3022">
        <v>67230</v>
      </c>
      <c r="N3022">
        <v>3201</v>
      </c>
      <c r="O3022">
        <v>73632</v>
      </c>
    </row>
    <row r="3023" spans="1:15" x14ac:dyDescent="0.35">
      <c r="A3023">
        <v>3022</v>
      </c>
      <c r="B3023" s="2" t="s">
        <v>10</v>
      </c>
      <c r="C3023" s="2" t="s">
        <v>11</v>
      </c>
      <c r="D3023">
        <v>32</v>
      </c>
      <c r="E3023" s="2" t="s">
        <v>29</v>
      </c>
      <c r="F3023" s="2" t="s">
        <v>19</v>
      </c>
      <c r="G3023">
        <v>31741</v>
      </c>
      <c r="H3023" s="1">
        <v>44745</v>
      </c>
      <c r="I3023">
        <v>12</v>
      </c>
      <c r="J3023">
        <v>2</v>
      </c>
      <c r="K3023">
        <v>3174</v>
      </c>
      <c r="L3023">
        <v>1587</v>
      </c>
      <c r="M3023">
        <v>33328</v>
      </c>
      <c r="N3023">
        <v>1587</v>
      </c>
      <c r="O3023">
        <v>36502</v>
      </c>
    </row>
    <row r="3024" spans="1:15" x14ac:dyDescent="0.35">
      <c r="A3024">
        <v>3023</v>
      </c>
      <c r="B3024" s="2" t="s">
        <v>20</v>
      </c>
      <c r="C3024" s="2" t="s">
        <v>15</v>
      </c>
      <c r="D3024">
        <v>25</v>
      </c>
      <c r="E3024" s="2" t="s">
        <v>29</v>
      </c>
      <c r="F3024" s="2" t="s">
        <v>21</v>
      </c>
      <c r="G3024">
        <v>87340</v>
      </c>
      <c r="H3024" s="1">
        <v>45175</v>
      </c>
      <c r="I3024">
        <v>11</v>
      </c>
      <c r="J3024">
        <v>2</v>
      </c>
      <c r="K3024">
        <v>8734</v>
      </c>
      <c r="L3024">
        <v>4367</v>
      </c>
      <c r="M3024">
        <v>91707</v>
      </c>
      <c r="N3024">
        <v>4367</v>
      </c>
      <c r="O3024">
        <v>100441</v>
      </c>
    </row>
    <row r="3025" spans="1:15" x14ac:dyDescent="0.35">
      <c r="A3025">
        <v>3024</v>
      </c>
      <c r="B3025" s="2" t="s">
        <v>26</v>
      </c>
      <c r="C3025" s="2" t="s">
        <v>15</v>
      </c>
      <c r="D3025">
        <v>32</v>
      </c>
      <c r="E3025" s="2" t="s">
        <v>28</v>
      </c>
      <c r="F3025" s="2" t="s">
        <v>13</v>
      </c>
      <c r="G3025">
        <v>81376</v>
      </c>
      <c r="H3025" s="1">
        <v>44973</v>
      </c>
      <c r="I3025">
        <v>17</v>
      </c>
      <c r="J3025">
        <v>5</v>
      </c>
      <c r="K3025">
        <v>8138</v>
      </c>
      <c r="L3025">
        <v>4069</v>
      </c>
      <c r="M3025">
        <v>85445</v>
      </c>
      <c r="N3025">
        <v>4069</v>
      </c>
      <c r="O3025">
        <v>93583</v>
      </c>
    </row>
    <row r="3026" spans="1:15" x14ac:dyDescent="0.35">
      <c r="A3026">
        <v>3025</v>
      </c>
      <c r="B3026" s="2" t="s">
        <v>27</v>
      </c>
      <c r="C3026" s="2" t="s">
        <v>15</v>
      </c>
      <c r="D3026">
        <v>24</v>
      </c>
      <c r="E3026" s="2" t="s">
        <v>12</v>
      </c>
      <c r="F3026" s="2" t="s">
        <v>17</v>
      </c>
      <c r="G3026">
        <v>45678</v>
      </c>
      <c r="H3026" s="1">
        <v>45370</v>
      </c>
      <c r="I3026">
        <v>13</v>
      </c>
      <c r="J3026">
        <v>4</v>
      </c>
      <c r="K3026">
        <v>4568</v>
      </c>
      <c r="L3026">
        <v>2284</v>
      </c>
      <c r="M3026">
        <v>47962</v>
      </c>
      <c r="N3026">
        <v>2284</v>
      </c>
      <c r="O3026">
        <v>52530</v>
      </c>
    </row>
    <row r="3027" spans="1:15" x14ac:dyDescent="0.35">
      <c r="A3027">
        <v>3026</v>
      </c>
      <c r="B3027" s="2" t="s">
        <v>22</v>
      </c>
      <c r="C3027" s="2" t="s">
        <v>11</v>
      </c>
      <c r="D3027">
        <v>54</v>
      </c>
      <c r="E3027" s="2" t="s">
        <v>16</v>
      </c>
      <c r="F3027" s="2" t="s">
        <v>17</v>
      </c>
      <c r="G3027">
        <v>89015</v>
      </c>
      <c r="H3027" s="1">
        <v>45342</v>
      </c>
      <c r="I3027">
        <v>11</v>
      </c>
      <c r="J3027">
        <v>2</v>
      </c>
      <c r="K3027">
        <v>8902</v>
      </c>
      <c r="L3027">
        <v>4451</v>
      </c>
      <c r="M3027">
        <v>93466</v>
      </c>
      <c r="N3027">
        <v>4451</v>
      </c>
      <c r="O3027">
        <v>102368</v>
      </c>
    </row>
    <row r="3028" spans="1:15" x14ac:dyDescent="0.35">
      <c r="A3028">
        <v>3027</v>
      </c>
      <c r="B3028" s="2" t="s">
        <v>27</v>
      </c>
      <c r="C3028" s="2" t="s">
        <v>11</v>
      </c>
      <c r="D3028">
        <v>24</v>
      </c>
      <c r="E3028" s="2" t="s">
        <v>29</v>
      </c>
      <c r="F3028" s="2" t="s">
        <v>19</v>
      </c>
      <c r="G3028">
        <v>91284</v>
      </c>
      <c r="H3028" s="1">
        <v>45107</v>
      </c>
      <c r="I3028">
        <v>13</v>
      </c>
      <c r="J3028">
        <v>1</v>
      </c>
      <c r="K3028">
        <v>9128</v>
      </c>
      <c r="L3028">
        <v>4564</v>
      </c>
      <c r="M3028">
        <v>95848</v>
      </c>
      <c r="N3028">
        <v>4564</v>
      </c>
      <c r="O3028">
        <v>104976</v>
      </c>
    </row>
    <row r="3029" spans="1:15" x14ac:dyDescent="0.35">
      <c r="A3029">
        <v>3028</v>
      </c>
      <c r="B3029" s="2" t="s">
        <v>23</v>
      </c>
      <c r="C3029" s="2" t="s">
        <v>15</v>
      </c>
      <c r="D3029">
        <v>50</v>
      </c>
      <c r="E3029" s="2" t="s">
        <v>24</v>
      </c>
      <c r="F3029" s="2" t="s">
        <v>25</v>
      </c>
      <c r="G3029">
        <v>20322</v>
      </c>
      <c r="H3029" s="1">
        <v>45276</v>
      </c>
      <c r="I3029">
        <v>17</v>
      </c>
      <c r="J3029">
        <v>5</v>
      </c>
      <c r="K3029">
        <v>2032</v>
      </c>
      <c r="L3029">
        <v>1016</v>
      </c>
      <c r="M3029">
        <v>21338</v>
      </c>
      <c r="N3029">
        <v>1016</v>
      </c>
      <c r="O3029">
        <v>23370</v>
      </c>
    </row>
    <row r="3030" spans="1:15" x14ac:dyDescent="0.35">
      <c r="A3030">
        <v>3029</v>
      </c>
      <c r="B3030" s="2" t="s">
        <v>27</v>
      </c>
      <c r="C3030" s="2" t="s">
        <v>15</v>
      </c>
      <c r="D3030">
        <v>50</v>
      </c>
      <c r="E3030" s="2" t="s">
        <v>12</v>
      </c>
      <c r="F3030" s="2" t="s">
        <v>17</v>
      </c>
      <c r="G3030">
        <v>24710</v>
      </c>
      <c r="H3030" s="1">
        <v>44943</v>
      </c>
      <c r="I3030">
        <v>3</v>
      </c>
      <c r="J3030">
        <v>5</v>
      </c>
      <c r="K3030">
        <v>2471</v>
      </c>
      <c r="L3030">
        <v>1236</v>
      </c>
      <c r="M3030">
        <v>25945</v>
      </c>
      <c r="N3030">
        <v>0</v>
      </c>
      <c r="O3030">
        <v>27181</v>
      </c>
    </row>
    <row r="3031" spans="1:15" x14ac:dyDescent="0.35">
      <c r="A3031">
        <v>3030</v>
      </c>
      <c r="B3031" s="2" t="s">
        <v>27</v>
      </c>
      <c r="C3031" s="2" t="s">
        <v>11</v>
      </c>
      <c r="D3031">
        <v>45</v>
      </c>
      <c r="E3031" s="2" t="s">
        <v>24</v>
      </c>
      <c r="F3031" s="2" t="s">
        <v>25</v>
      </c>
      <c r="G3031">
        <v>62188</v>
      </c>
      <c r="H3031" s="1">
        <v>45311</v>
      </c>
      <c r="I3031">
        <v>2</v>
      </c>
      <c r="J3031">
        <v>5</v>
      </c>
      <c r="K3031">
        <v>6219</v>
      </c>
      <c r="L3031">
        <v>3109</v>
      </c>
      <c r="M3031">
        <v>65298</v>
      </c>
      <c r="N3031">
        <v>0</v>
      </c>
      <c r="O3031">
        <v>68407</v>
      </c>
    </row>
    <row r="3032" spans="1:15" x14ac:dyDescent="0.35">
      <c r="A3032">
        <v>3031</v>
      </c>
      <c r="B3032" s="2" t="s">
        <v>18</v>
      </c>
      <c r="C3032" s="2" t="s">
        <v>15</v>
      </c>
      <c r="D3032">
        <v>21</v>
      </c>
      <c r="E3032" s="2" t="s">
        <v>28</v>
      </c>
      <c r="F3032" s="2" t="s">
        <v>25</v>
      </c>
      <c r="G3032">
        <v>80892</v>
      </c>
      <c r="H3032" s="1">
        <v>44678</v>
      </c>
      <c r="I3032">
        <v>18</v>
      </c>
      <c r="J3032">
        <v>1</v>
      </c>
      <c r="K3032">
        <v>8089</v>
      </c>
      <c r="L3032">
        <v>4045</v>
      </c>
      <c r="M3032">
        <v>84936</v>
      </c>
      <c r="N3032">
        <v>4045</v>
      </c>
      <c r="O3032">
        <v>93026</v>
      </c>
    </row>
    <row r="3033" spans="1:15" x14ac:dyDescent="0.35">
      <c r="A3033">
        <v>3032</v>
      </c>
      <c r="B3033" s="2" t="s">
        <v>26</v>
      </c>
      <c r="C3033" s="2" t="s">
        <v>11</v>
      </c>
      <c r="D3033">
        <v>59</v>
      </c>
      <c r="E3033" s="2" t="s">
        <v>16</v>
      </c>
      <c r="F3033" s="2" t="s">
        <v>19</v>
      </c>
      <c r="G3033">
        <v>45472</v>
      </c>
      <c r="H3033" s="1">
        <v>44578</v>
      </c>
      <c r="I3033">
        <v>2</v>
      </c>
      <c r="J3033">
        <v>1</v>
      </c>
      <c r="K3033">
        <v>4547</v>
      </c>
      <c r="L3033">
        <v>2274</v>
      </c>
      <c r="M3033">
        <v>47745</v>
      </c>
      <c r="N3033">
        <v>0</v>
      </c>
      <c r="O3033">
        <v>50019</v>
      </c>
    </row>
    <row r="3034" spans="1:15" x14ac:dyDescent="0.35">
      <c r="A3034">
        <v>3033</v>
      </c>
      <c r="B3034" s="2" t="s">
        <v>22</v>
      </c>
      <c r="C3034" s="2" t="s">
        <v>15</v>
      </c>
      <c r="D3034">
        <v>37</v>
      </c>
      <c r="E3034" s="2" t="s">
        <v>24</v>
      </c>
      <c r="F3034" s="2" t="s">
        <v>17</v>
      </c>
      <c r="G3034">
        <v>75383</v>
      </c>
      <c r="H3034" s="1">
        <v>45088</v>
      </c>
      <c r="I3034">
        <v>6</v>
      </c>
      <c r="J3034">
        <v>5</v>
      </c>
      <c r="K3034">
        <v>7538</v>
      </c>
      <c r="L3034">
        <v>3769</v>
      </c>
      <c r="M3034">
        <v>79152</v>
      </c>
      <c r="N3034">
        <v>3769</v>
      </c>
      <c r="O3034">
        <v>86690</v>
      </c>
    </row>
    <row r="3035" spans="1:15" x14ac:dyDescent="0.35">
      <c r="A3035">
        <v>3034</v>
      </c>
      <c r="B3035" s="2" t="s">
        <v>22</v>
      </c>
      <c r="C3035" s="2" t="s">
        <v>15</v>
      </c>
      <c r="D3035">
        <v>55</v>
      </c>
      <c r="E3035" s="2" t="s">
        <v>29</v>
      </c>
      <c r="F3035" s="2" t="s">
        <v>17</v>
      </c>
      <c r="G3035">
        <v>85067</v>
      </c>
      <c r="H3035" s="1">
        <v>45269</v>
      </c>
      <c r="I3035">
        <v>18</v>
      </c>
      <c r="J3035">
        <v>4</v>
      </c>
      <c r="K3035">
        <v>8507</v>
      </c>
      <c r="L3035">
        <v>4253</v>
      </c>
      <c r="M3035">
        <v>89321</v>
      </c>
      <c r="N3035">
        <v>4253</v>
      </c>
      <c r="O3035">
        <v>97827</v>
      </c>
    </row>
    <row r="3036" spans="1:15" x14ac:dyDescent="0.35">
      <c r="A3036">
        <v>3035</v>
      </c>
      <c r="B3036" s="2" t="s">
        <v>20</v>
      </c>
      <c r="C3036" s="2" t="s">
        <v>11</v>
      </c>
      <c r="D3036">
        <v>51</v>
      </c>
      <c r="E3036" s="2" t="s">
        <v>29</v>
      </c>
      <c r="F3036" s="2" t="s">
        <v>25</v>
      </c>
      <c r="G3036">
        <v>84826</v>
      </c>
      <c r="H3036" s="1">
        <v>44625</v>
      </c>
      <c r="I3036">
        <v>20</v>
      </c>
      <c r="J3036">
        <v>5</v>
      </c>
      <c r="K3036">
        <v>8483</v>
      </c>
      <c r="L3036">
        <v>4241</v>
      </c>
      <c r="M3036">
        <v>89068</v>
      </c>
      <c r="N3036">
        <v>4241</v>
      </c>
      <c r="O3036">
        <v>97550</v>
      </c>
    </row>
    <row r="3037" spans="1:15" x14ac:dyDescent="0.35">
      <c r="A3037">
        <v>3036</v>
      </c>
      <c r="B3037" s="2" t="s">
        <v>27</v>
      </c>
      <c r="C3037" s="2" t="s">
        <v>15</v>
      </c>
      <c r="D3037">
        <v>53</v>
      </c>
      <c r="E3037" s="2" t="s">
        <v>28</v>
      </c>
      <c r="F3037" s="2" t="s">
        <v>19</v>
      </c>
      <c r="G3037">
        <v>66946</v>
      </c>
      <c r="H3037" s="1">
        <v>45312</v>
      </c>
      <c r="I3037">
        <v>19</v>
      </c>
      <c r="J3037">
        <v>2</v>
      </c>
      <c r="K3037">
        <v>6695</v>
      </c>
      <c r="L3037">
        <v>3347</v>
      </c>
      <c r="M3037">
        <v>70294</v>
      </c>
      <c r="N3037">
        <v>3347</v>
      </c>
      <c r="O3037">
        <v>76988</v>
      </c>
    </row>
    <row r="3038" spans="1:15" x14ac:dyDescent="0.35">
      <c r="A3038">
        <v>3037</v>
      </c>
      <c r="B3038" s="2" t="s">
        <v>20</v>
      </c>
      <c r="C3038" s="2" t="s">
        <v>15</v>
      </c>
      <c r="D3038">
        <v>34</v>
      </c>
      <c r="E3038" s="2" t="s">
        <v>16</v>
      </c>
      <c r="F3038" s="2" t="s">
        <v>25</v>
      </c>
      <c r="G3038">
        <v>26797</v>
      </c>
      <c r="H3038" s="1">
        <v>44792</v>
      </c>
      <c r="I3038">
        <v>17</v>
      </c>
      <c r="J3038">
        <v>2</v>
      </c>
      <c r="K3038">
        <v>2680</v>
      </c>
      <c r="L3038">
        <v>1340</v>
      </c>
      <c r="M3038">
        <v>28137</v>
      </c>
      <c r="N3038">
        <v>1340</v>
      </c>
      <c r="O3038">
        <v>30817</v>
      </c>
    </row>
    <row r="3039" spans="1:15" x14ac:dyDescent="0.35">
      <c r="A3039">
        <v>3038</v>
      </c>
      <c r="B3039" s="2" t="s">
        <v>23</v>
      </c>
      <c r="C3039" s="2" t="s">
        <v>15</v>
      </c>
      <c r="D3039">
        <v>25</v>
      </c>
      <c r="E3039" s="2" t="s">
        <v>28</v>
      </c>
      <c r="F3039" s="2" t="s">
        <v>19</v>
      </c>
      <c r="G3039">
        <v>53182</v>
      </c>
      <c r="H3039" s="1">
        <v>45083</v>
      </c>
      <c r="I3039">
        <v>9</v>
      </c>
      <c r="J3039">
        <v>5</v>
      </c>
      <c r="K3039">
        <v>5318</v>
      </c>
      <c r="L3039">
        <v>2659</v>
      </c>
      <c r="M3039">
        <v>55841</v>
      </c>
      <c r="N3039">
        <v>2659</v>
      </c>
      <c r="O3039">
        <v>61159</v>
      </c>
    </row>
    <row r="3040" spans="1:15" x14ac:dyDescent="0.35">
      <c r="A3040">
        <v>3039</v>
      </c>
      <c r="B3040" s="2" t="s">
        <v>18</v>
      </c>
      <c r="C3040" s="2" t="s">
        <v>15</v>
      </c>
      <c r="D3040">
        <v>44</v>
      </c>
      <c r="E3040" s="2" t="s">
        <v>12</v>
      </c>
      <c r="F3040" s="2" t="s">
        <v>21</v>
      </c>
      <c r="G3040">
        <v>98679</v>
      </c>
      <c r="H3040" s="1">
        <v>44626</v>
      </c>
      <c r="I3040">
        <v>20</v>
      </c>
      <c r="J3040">
        <v>1</v>
      </c>
      <c r="K3040">
        <v>9868</v>
      </c>
      <c r="L3040">
        <v>4934</v>
      </c>
      <c r="M3040">
        <v>103613</v>
      </c>
      <c r="N3040">
        <v>4934</v>
      </c>
      <c r="O3040">
        <v>113481</v>
      </c>
    </row>
    <row r="3041" spans="1:15" x14ac:dyDescent="0.35">
      <c r="A3041">
        <v>3040</v>
      </c>
      <c r="B3041" s="2" t="s">
        <v>26</v>
      </c>
      <c r="C3041" s="2" t="s">
        <v>15</v>
      </c>
      <c r="D3041">
        <v>54</v>
      </c>
      <c r="E3041" s="2" t="s">
        <v>28</v>
      </c>
      <c r="F3041" s="2" t="s">
        <v>17</v>
      </c>
      <c r="G3041">
        <v>94031</v>
      </c>
      <c r="H3041" s="1">
        <v>45034</v>
      </c>
      <c r="I3041">
        <v>7</v>
      </c>
      <c r="J3041">
        <v>2</v>
      </c>
      <c r="K3041">
        <v>9403</v>
      </c>
      <c r="L3041">
        <v>4702</v>
      </c>
      <c r="M3041">
        <v>98732</v>
      </c>
      <c r="N3041">
        <v>4702</v>
      </c>
      <c r="O3041">
        <v>108136</v>
      </c>
    </row>
    <row r="3042" spans="1:15" x14ac:dyDescent="0.35">
      <c r="A3042">
        <v>3041</v>
      </c>
      <c r="B3042" s="2" t="s">
        <v>23</v>
      </c>
      <c r="C3042" s="2" t="s">
        <v>11</v>
      </c>
      <c r="D3042">
        <v>26</v>
      </c>
      <c r="E3042" s="2" t="s">
        <v>16</v>
      </c>
      <c r="F3042" s="2" t="s">
        <v>25</v>
      </c>
      <c r="G3042">
        <v>95272</v>
      </c>
      <c r="H3042" s="1">
        <v>45394</v>
      </c>
      <c r="I3042">
        <v>14</v>
      </c>
      <c r="J3042">
        <v>3</v>
      </c>
      <c r="K3042">
        <v>9527</v>
      </c>
      <c r="L3042">
        <v>4764</v>
      </c>
      <c r="M3042">
        <v>100035</v>
      </c>
      <c r="N3042">
        <v>4764</v>
      </c>
      <c r="O3042">
        <v>109563</v>
      </c>
    </row>
    <row r="3043" spans="1:15" x14ac:dyDescent="0.35">
      <c r="A3043">
        <v>3042</v>
      </c>
      <c r="B3043" s="2" t="s">
        <v>31</v>
      </c>
      <c r="C3043" s="2" t="s">
        <v>15</v>
      </c>
      <c r="D3043">
        <v>30</v>
      </c>
      <c r="E3043" s="2" t="s">
        <v>16</v>
      </c>
      <c r="F3043" s="2" t="s">
        <v>19</v>
      </c>
      <c r="G3043">
        <v>47772</v>
      </c>
      <c r="H3043" s="1">
        <v>44975</v>
      </c>
      <c r="I3043">
        <v>13</v>
      </c>
      <c r="J3043">
        <v>2</v>
      </c>
      <c r="K3043">
        <v>4777</v>
      </c>
      <c r="L3043">
        <v>2389</v>
      </c>
      <c r="M3043">
        <v>50160</v>
      </c>
      <c r="N3043">
        <v>2389</v>
      </c>
      <c r="O3043">
        <v>54938</v>
      </c>
    </row>
    <row r="3044" spans="1:15" x14ac:dyDescent="0.35">
      <c r="A3044">
        <v>3043</v>
      </c>
      <c r="B3044" s="2" t="s">
        <v>10</v>
      </c>
      <c r="C3044" s="2" t="s">
        <v>15</v>
      </c>
      <c r="D3044">
        <v>60</v>
      </c>
      <c r="E3044" s="2" t="s">
        <v>12</v>
      </c>
      <c r="F3044" s="2" t="s">
        <v>19</v>
      </c>
      <c r="G3044">
        <v>72371</v>
      </c>
      <c r="H3044" s="1">
        <v>45510</v>
      </c>
      <c r="I3044">
        <v>3</v>
      </c>
      <c r="J3044">
        <v>1</v>
      </c>
      <c r="K3044">
        <v>7237</v>
      </c>
      <c r="L3044">
        <v>3619</v>
      </c>
      <c r="M3044">
        <v>75989</v>
      </c>
      <c r="N3044">
        <v>0</v>
      </c>
      <c r="O3044">
        <v>79608</v>
      </c>
    </row>
    <row r="3045" spans="1:15" x14ac:dyDescent="0.35">
      <c r="A3045">
        <v>3044</v>
      </c>
      <c r="B3045" s="2" t="s">
        <v>18</v>
      </c>
      <c r="C3045" s="2" t="s">
        <v>15</v>
      </c>
      <c r="D3045">
        <v>54</v>
      </c>
      <c r="E3045" s="2" t="s">
        <v>12</v>
      </c>
      <c r="F3045" s="2" t="s">
        <v>19</v>
      </c>
      <c r="G3045">
        <v>46505</v>
      </c>
      <c r="H3045" s="1">
        <v>44663</v>
      </c>
      <c r="I3045">
        <v>11</v>
      </c>
      <c r="J3045">
        <v>5</v>
      </c>
      <c r="K3045">
        <v>4650</v>
      </c>
      <c r="L3045">
        <v>2325</v>
      </c>
      <c r="M3045">
        <v>48830</v>
      </c>
      <c r="N3045">
        <v>2325</v>
      </c>
      <c r="O3045">
        <v>53480</v>
      </c>
    </row>
    <row r="3046" spans="1:15" x14ac:dyDescent="0.35">
      <c r="A3046">
        <v>3045</v>
      </c>
      <c r="B3046" s="2" t="s">
        <v>20</v>
      </c>
      <c r="C3046" s="2" t="s">
        <v>15</v>
      </c>
      <c r="D3046">
        <v>52</v>
      </c>
      <c r="E3046" s="2" t="s">
        <v>29</v>
      </c>
      <c r="F3046" s="2" t="s">
        <v>13</v>
      </c>
      <c r="G3046">
        <v>91381</v>
      </c>
      <c r="H3046" s="1">
        <v>44969</v>
      </c>
      <c r="I3046">
        <v>16</v>
      </c>
      <c r="J3046">
        <v>4</v>
      </c>
      <c r="K3046">
        <v>9138</v>
      </c>
      <c r="L3046">
        <v>4569</v>
      </c>
      <c r="M3046">
        <v>95950</v>
      </c>
      <c r="N3046">
        <v>4569</v>
      </c>
      <c r="O3046">
        <v>105088</v>
      </c>
    </row>
    <row r="3047" spans="1:15" x14ac:dyDescent="0.35">
      <c r="A3047">
        <v>3046</v>
      </c>
      <c r="B3047" s="2" t="s">
        <v>22</v>
      </c>
      <c r="C3047" s="2" t="s">
        <v>15</v>
      </c>
      <c r="D3047">
        <v>32</v>
      </c>
      <c r="E3047" s="2" t="s">
        <v>29</v>
      </c>
      <c r="F3047" s="2" t="s">
        <v>19</v>
      </c>
      <c r="G3047">
        <v>30885</v>
      </c>
      <c r="H3047" s="1">
        <v>45214</v>
      </c>
      <c r="I3047">
        <v>2</v>
      </c>
      <c r="J3047">
        <v>5</v>
      </c>
      <c r="K3047">
        <v>3088</v>
      </c>
      <c r="L3047">
        <v>1544</v>
      </c>
      <c r="M3047">
        <v>32429</v>
      </c>
      <c r="N3047">
        <v>0</v>
      </c>
      <c r="O3047">
        <v>33973</v>
      </c>
    </row>
    <row r="3048" spans="1:15" x14ac:dyDescent="0.35">
      <c r="A3048">
        <v>3047</v>
      </c>
      <c r="B3048" s="2" t="s">
        <v>20</v>
      </c>
      <c r="C3048" s="2" t="s">
        <v>11</v>
      </c>
      <c r="D3048">
        <v>36</v>
      </c>
      <c r="E3048" s="2" t="s">
        <v>28</v>
      </c>
      <c r="F3048" s="2" t="s">
        <v>19</v>
      </c>
      <c r="G3048">
        <v>95523</v>
      </c>
      <c r="H3048" s="1">
        <v>45257</v>
      </c>
      <c r="I3048">
        <v>4</v>
      </c>
      <c r="J3048">
        <v>4</v>
      </c>
      <c r="K3048">
        <v>9552</v>
      </c>
      <c r="L3048">
        <v>4776</v>
      </c>
      <c r="M3048">
        <v>100299</v>
      </c>
      <c r="N3048">
        <v>0</v>
      </c>
      <c r="O3048">
        <v>105075</v>
      </c>
    </row>
    <row r="3049" spans="1:15" x14ac:dyDescent="0.35">
      <c r="A3049">
        <v>3048</v>
      </c>
      <c r="B3049" s="2" t="s">
        <v>10</v>
      </c>
      <c r="C3049" s="2" t="s">
        <v>11</v>
      </c>
      <c r="D3049">
        <v>48</v>
      </c>
      <c r="E3049" s="2" t="s">
        <v>12</v>
      </c>
      <c r="F3049" s="2" t="s">
        <v>25</v>
      </c>
      <c r="G3049">
        <v>33461</v>
      </c>
      <c r="H3049" s="1">
        <v>45355</v>
      </c>
      <c r="I3049">
        <v>3</v>
      </c>
      <c r="J3049">
        <v>1</v>
      </c>
      <c r="K3049">
        <v>3346</v>
      </c>
      <c r="L3049">
        <v>1673</v>
      </c>
      <c r="M3049">
        <v>35134</v>
      </c>
      <c r="N3049">
        <v>0</v>
      </c>
      <c r="O3049">
        <v>36807</v>
      </c>
    </row>
    <row r="3050" spans="1:15" x14ac:dyDescent="0.35">
      <c r="A3050">
        <v>3049</v>
      </c>
      <c r="B3050" s="2" t="s">
        <v>30</v>
      </c>
      <c r="C3050" s="2" t="s">
        <v>15</v>
      </c>
      <c r="D3050">
        <v>57</v>
      </c>
      <c r="E3050" s="2" t="s">
        <v>28</v>
      </c>
      <c r="F3050" s="2" t="s">
        <v>21</v>
      </c>
      <c r="G3050">
        <v>85852</v>
      </c>
      <c r="H3050" s="1">
        <v>45147</v>
      </c>
      <c r="I3050">
        <v>16</v>
      </c>
      <c r="J3050">
        <v>2</v>
      </c>
      <c r="K3050">
        <v>8585</v>
      </c>
      <c r="L3050">
        <v>4293</v>
      </c>
      <c r="M3050">
        <v>90144</v>
      </c>
      <c r="N3050">
        <v>4293</v>
      </c>
      <c r="O3050">
        <v>98730</v>
      </c>
    </row>
    <row r="3051" spans="1:15" x14ac:dyDescent="0.35">
      <c r="A3051">
        <v>3050</v>
      </c>
      <c r="B3051" s="2" t="s">
        <v>22</v>
      </c>
      <c r="C3051" s="2" t="s">
        <v>15</v>
      </c>
      <c r="D3051">
        <v>33</v>
      </c>
      <c r="E3051" s="2" t="s">
        <v>16</v>
      </c>
      <c r="F3051" s="2" t="s">
        <v>17</v>
      </c>
      <c r="G3051">
        <v>57122</v>
      </c>
      <c r="H3051" s="1">
        <v>45422</v>
      </c>
      <c r="I3051">
        <v>13</v>
      </c>
      <c r="J3051">
        <v>2</v>
      </c>
      <c r="K3051">
        <v>5712</v>
      </c>
      <c r="L3051">
        <v>2856</v>
      </c>
      <c r="M3051">
        <v>59978</v>
      </c>
      <c r="N3051">
        <v>2856</v>
      </c>
      <c r="O3051">
        <v>65690</v>
      </c>
    </row>
    <row r="3052" spans="1:15" x14ac:dyDescent="0.35">
      <c r="A3052">
        <v>3051</v>
      </c>
      <c r="B3052" s="2" t="s">
        <v>26</v>
      </c>
      <c r="C3052" s="2" t="s">
        <v>15</v>
      </c>
      <c r="D3052">
        <v>36</v>
      </c>
      <c r="E3052" s="2" t="s">
        <v>12</v>
      </c>
      <c r="F3052" s="2" t="s">
        <v>17</v>
      </c>
      <c r="G3052">
        <v>98402</v>
      </c>
      <c r="H3052" s="1">
        <v>45238</v>
      </c>
      <c r="I3052">
        <v>2</v>
      </c>
      <c r="J3052">
        <v>4</v>
      </c>
      <c r="K3052">
        <v>9840</v>
      </c>
      <c r="L3052">
        <v>4920</v>
      </c>
      <c r="M3052">
        <v>103322</v>
      </c>
      <c r="N3052">
        <v>0</v>
      </c>
      <c r="O3052">
        <v>108242</v>
      </c>
    </row>
    <row r="3053" spans="1:15" x14ac:dyDescent="0.35">
      <c r="A3053">
        <v>3052</v>
      </c>
      <c r="B3053" s="2" t="s">
        <v>26</v>
      </c>
      <c r="C3053" s="2" t="s">
        <v>11</v>
      </c>
      <c r="D3053">
        <v>60</v>
      </c>
      <c r="E3053" s="2" t="s">
        <v>28</v>
      </c>
      <c r="F3053" s="2" t="s">
        <v>19</v>
      </c>
      <c r="G3053">
        <v>29944</v>
      </c>
      <c r="H3053" s="1">
        <v>44868</v>
      </c>
      <c r="I3053">
        <v>4</v>
      </c>
      <c r="J3053">
        <v>2</v>
      </c>
      <c r="K3053">
        <v>2994</v>
      </c>
      <c r="L3053">
        <v>1497</v>
      </c>
      <c r="M3053">
        <v>31441</v>
      </c>
      <c r="N3053">
        <v>0</v>
      </c>
      <c r="O3053">
        <v>32938</v>
      </c>
    </row>
    <row r="3054" spans="1:15" x14ac:dyDescent="0.35">
      <c r="A3054">
        <v>3053</v>
      </c>
      <c r="B3054" s="2" t="s">
        <v>27</v>
      </c>
      <c r="C3054" s="2" t="s">
        <v>15</v>
      </c>
      <c r="D3054">
        <v>51</v>
      </c>
      <c r="E3054" s="2" t="s">
        <v>29</v>
      </c>
      <c r="F3054" s="2" t="s">
        <v>21</v>
      </c>
      <c r="G3054">
        <v>69127</v>
      </c>
      <c r="H3054" s="1">
        <v>45551</v>
      </c>
      <c r="I3054">
        <v>1</v>
      </c>
      <c r="J3054">
        <v>2</v>
      </c>
      <c r="K3054">
        <v>6913</v>
      </c>
      <c r="L3054">
        <v>3456</v>
      </c>
      <c r="M3054">
        <v>72584</v>
      </c>
      <c r="N3054">
        <v>0</v>
      </c>
      <c r="O3054">
        <v>76040</v>
      </c>
    </row>
    <row r="3055" spans="1:15" x14ac:dyDescent="0.35">
      <c r="A3055">
        <v>3054</v>
      </c>
      <c r="B3055" s="2" t="s">
        <v>23</v>
      </c>
      <c r="C3055" s="2" t="s">
        <v>15</v>
      </c>
      <c r="D3055">
        <v>23</v>
      </c>
      <c r="E3055" s="2" t="s">
        <v>24</v>
      </c>
      <c r="F3055" s="2" t="s">
        <v>25</v>
      </c>
      <c r="G3055">
        <v>29267</v>
      </c>
      <c r="H3055" s="1">
        <v>45205</v>
      </c>
      <c r="I3055">
        <v>14</v>
      </c>
      <c r="J3055">
        <v>5</v>
      </c>
      <c r="K3055">
        <v>2927</v>
      </c>
      <c r="L3055">
        <v>1463</v>
      </c>
      <c r="M3055">
        <v>30731</v>
      </c>
      <c r="N3055">
        <v>1463</v>
      </c>
      <c r="O3055">
        <v>33657</v>
      </c>
    </row>
    <row r="3056" spans="1:15" x14ac:dyDescent="0.35">
      <c r="A3056">
        <v>3055</v>
      </c>
      <c r="B3056" s="2" t="s">
        <v>31</v>
      </c>
      <c r="C3056" s="2" t="s">
        <v>15</v>
      </c>
      <c r="D3056">
        <v>37</v>
      </c>
      <c r="E3056" s="2" t="s">
        <v>16</v>
      </c>
      <c r="F3056" s="2" t="s">
        <v>17</v>
      </c>
      <c r="G3056">
        <v>32096</v>
      </c>
      <c r="H3056" s="1">
        <v>44731</v>
      </c>
      <c r="I3056">
        <v>2</v>
      </c>
      <c r="J3056">
        <v>1</v>
      </c>
      <c r="K3056">
        <v>3210</v>
      </c>
      <c r="L3056">
        <v>1605</v>
      </c>
      <c r="M3056">
        <v>33701</v>
      </c>
      <c r="N3056">
        <v>0</v>
      </c>
      <c r="O3056">
        <v>35306</v>
      </c>
    </row>
    <row r="3057" spans="1:15" x14ac:dyDescent="0.35">
      <c r="A3057">
        <v>3056</v>
      </c>
      <c r="B3057" s="2" t="s">
        <v>27</v>
      </c>
      <c r="C3057" s="2" t="s">
        <v>11</v>
      </c>
      <c r="D3057">
        <v>34</v>
      </c>
      <c r="E3057" s="2" t="s">
        <v>28</v>
      </c>
      <c r="F3057" s="2" t="s">
        <v>25</v>
      </c>
      <c r="G3057">
        <v>63781</v>
      </c>
      <c r="H3057" s="1">
        <v>44604</v>
      </c>
      <c r="I3057">
        <v>8</v>
      </c>
      <c r="J3057">
        <v>1</v>
      </c>
      <c r="K3057">
        <v>6378</v>
      </c>
      <c r="L3057">
        <v>3189</v>
      </c>
      <c r="M3057">
        <v>66970</v>
      </c>
      <c r="N3057">
        <v>3189</v>
      </c>
      <c r="O3057">
        <v>73348</v>
      </c>
    </row>
    <row r="3058" spans="1:15" x14ac:dyDescent="0.35">
      <c r="A3058">
        <v>3057</v>
      </c>
      <c r="B3058" s="2" t="s">
        <v>18</v>
      </c>
      <c r="C3058" s="2" t="s">
        <v>11</v>
      </c>
      <c r="D3058">
        <v>40</v>
      </c>
      <c r="E3058" s="2" t="s">
        <v>12</v>
      </c>
      <c r="F3058" s="2" t="s">
        <v>17</v>
      </c>
      <c r="G3058">
        <v>27823</v>
      </c>
      <c r="H3058" s="1">
        <v>44754</v>
      </c>
      <c r="I3058">
        <v>1</v>
      </c>
      <c r="J3058">
        <v>4</v>
      </c>
      <c r="K3058">
        <v>2782</v>
      </c>
      <c r="L3058">
        <v>1391</v>
      </c>
      <c r="M3058">
        <v>29214</v>
      </c>
      <c r="N3058">
        <v>0</v>
      </c>
      <c r="O3058">
        <v>30605</v>
      </c>
    </row>
    <row r="3059" spans="1:15" x14ac:dyDescent="0.35">
      <c r="A3059">
        <v>3058</v>
      </c>
      <c r="B3059" s="2" t="s">
        <v>30</v>
      </c>
      <c r="C3059" s="2" t="s">
        <v>11</v>
      </c>
      <c r="D3059">
        <v>51</v>
      </c>
      <c r="E3059" s="2" t="s">
        <v>12</v>
      </c>
      <c r="F3059" s="2" t="s">
        <v>25</v>
      </c>
      <c r="G3059">
        <v>73649</v>
      </c>
      <c r="H3059" s="1">
        <v>45429</v>
      </c>
      <c r="I3059">
        <v>1</v>
      </c>
      <c r="J3059">
        <v>1</v>
      </c>
      <c r="K3059">
        <v>7365</v>
      </c>
      <c r="L3059">
        <v>3682</v>
      </c>
      <c r="M3059">
        <v>77332</v>
      </c>
      <c r="N3059">
        <v>0</v>
      </c>
      <c r="O3059">
        <v>81014</v>
      </c>
    </row>
    <row r="3060" spans="1:15" x14ac:dyDescent="0.35">
      <c r="A3060">
        <v>3059</v>
      </c>
      <c r="B3060" s="2" t="s">
        <v>30</v>
      </c>
      <c r="C3060" s="2" t="s">
        <v>11</v>
      </c>
      <c r="D3060">
        <v>45</v>
      </c>
      <c r="E3060" s="2" t="s">
        <v>29</v>
      </c>
      <c r="F3060" s="2" t="s">
        <v>25</v>
      </c>
      <c r="G3060">
        <v>91765</v>
      </c>
      <c r="H3060" s="1">
        <v>44646</v>
      </c>
      <c r="I3060">
        <v>1</v>
      </c>
      <c r="J3060">
        <v>2</v>
      </c>
      <c r="K3060">
        <v>9176</v>
      </c>
      <c r="L3060">
        <v>4588</v>
      </c>
      <c r="M3060">
        <v>96353</v>
      </c>
      <c r="N3060">
        <v>0</v>
      </c>
      <c r="O3060">
        <v>100941</v>
      </c>
    </row>
    <row r="3061" spans="1:15" x14ac:dyDescent="0.35">
      <c r="A3061">
        <v>3060</v>
      </c>
      <c r="B3061" s="2" t="s">
        <v>26</v>
      </c>
      <c r="C3061" s="2" t="s">
        <v>11</v>
      </c>
      <c r="D3061">
        <v>46</v>
      </c>
      <c r="E3061" s="2" t="s">
        <v>16</v>
      </c>
      <c r="F3061" s="2" t="s">
        <v>21</v>
      </c>
      <c r="G3061">
        <v>47081</v>
      </c>
      <c r="H3061" s="1">
        <v>44874</v>
      </c>
      <c r="I3061">
        <v>3</v>
      </c>
      <c r="J3061">
        <v>5</v>
      </c>
      <c r="K3061">
        <v>4708</v>
      </c>
      <c r="L3061">
        <v>2354</v>
      </c>
      <c r="M3061">
        <v>49435</v>
      </c>
      <c r="N3061">
        <v>0</v>
      </c>
      <c r="O3061">
        <v>51789</v>
      </c>
    </row>
    <row r="3062" spans="1:15" x14ac:dyDescent="0.35">
      <c r="A3062">
        <v>3061</v>
      </c>
      <c r="B3062" s="2" t="s">
        <v>26</v>
      </c>
      <c r="C3062" s="2" t="s">
        <v>11</v>
      </c>
      <c r="D3062">
        <v>53</v>
      </c>
      <c r="E3062" s="2" t="s">
        <v>16</v>
      </c>
      <c r="F3062" s="2" t="s">
        <v>13</v>
      </c>
      <c r="G3062">
        <v>55253</v>
      </c>
      <c r="H3062" s="1">
        <v>45308</v>
      </c>
      <c r="I3062">
        <v>19</v>
      </c>
      <c r="J3062">
        <v>3</v>
      </c>
      <c r="K3062">
        <v>5525</v>
      </c>
      <c r="L3062">
        <v>2763</v>
      </c>
      <c r="M3062">
        <v>58015</v>
      </c>
      <c r="N3062">
        <v>2763</v>
      </c>
      <c r="O3062">
        <v>63541</v>
      </c>
    </row>
    <row r="3063" spans="1:15" x14ac:dyDescent="0.35">
      <c r="A3063">
        <v>3062</v>
      </c>
      <c r="B3063" s="2" t="s">
        <v>30</v>
      </c>
      <c r="C3063" s="2" t="s">
        <v>11</v>
      </c>
      <c r="D3063">
        <v>23</v>
      </c>
      <c r="E3063" s="2" t="s">
        <v>28</v>
      </c>
      <c r="F3063" s="2" t="s">
        <v>17</v>
      </c>
      <c r="G3063">
        <v>22656</v>
      </c>
      <c r="H3063" s="1">
        <v>45011</v>
      </c>
      <c r="I3063">
        <v>15</v>
      </c>
      <c r="J3063">
        <v>5</v>
      </c>
      <c r="K3063">
        <v>2266</v>
      </c>
      <c r="L3063">
        <v>1133</v>
      </c>
      <c r="M3063">
        <v>23789</v>
      </c>
      <c r="N3063">
        <v>1133</v>
      </c>
      <c r="O3063">
        <v>26055</v>
      </c>
    </row>
    <row r="3064" spans="1:15" x14ac:dyDescent="0.35">
      <c r="A3064">
        <v>3063</v>
      </c>
      <c r="B3064" s="2" t="s">
        <v>26</v>
      </c>
      <c r="C3064" s="2" t="s">
        <v>15</v>
      </c>
      <c r="D3064">
        <v>33</v>
      </c>
      <c r="E3064" s="2" t="s">
        <v>16</v>
      </c>
      <c r="F3064" s="2" t="s">
        <v>21</v>
      </c>
      <c r="G3064">
        <v>68199</v>
      </c>
      <c r="H3064" s="1">
        <v>45106</v>
      </c>
      <c r="I3064">
        <v>17</v>
      </c>
      <c r="J3064">
        <v>5</v>
      </c>
      <c r="K3064">
        <v>6820</v>
      </c>
      <c r="L3064">
        <v>3410</v>
      </c>
      <c r="M3064">
        <v>71609</v>
      </c>
      <c r="N3064">
        <v>3410</v>
      </c>
      <c r="O3064">
        <v>78429</v>
      </c>
    </row>
    <row r="3065" spans="1:15" x14ac:dyDescent="0.35">
      <c r="A3065">
        <v>3064</v>
      </c>
      <c r="B3065" s="2" t="s">
        <v>27</v>
      </c>
      <c r="C3065" s="2" t="s">
        <v>11</v>
      </c>
      <c r="D3065">
        <v>53</v>
      </c>
      <c r="E3065" s="2" t="s">
        <v>12</v>
      </c>
      <c r="F3065" s="2" t="s">
        <v>17</v>
      </c>
      <c r="G3065">
        <v>51991</v>
      </c>
      <c r="H3065" s="1">
        <v>45352</v>
      </c>
      <c r="I3065">
        <v>13</v>
      </c>
      <c r="J3065">
        <v>1</v>
      </c>
      <c r="K3065">
        <v>5199</v>
      </c>
      <c r="L3065">
        <v>2600</v>
      </c>
      <c r="M3065">
        <v>54590</v>
      </c>
      <c r="N3065">
        <v>2600</v>
      </c>
      <c r="O3065">
        <v>59790</v>
      </c>
    </row>
    <row r="3066" spans="1:15" x14ac:dyDescent="0.35">
      <c r="A3066">
        <v>3065</v>
      </c>
      <c r="B3066" s="2" t="s">
        <v>30</v>
      </c>
      <c r="C3066" s="2" t="s">
        <v>11</v>
      </c>
      <c r="D3066">
        <v>27</v>
      </c>
      <c r="E3066" s="2" t="s">
        <v>16</v>
      </c>
      <c r="F3066" s="2" t="s">
        <v>19</v>
      </c>
      <c r="G3066">
        <v>32418</v>
      </c>
      <c r="H3066" s="1">
        <v>44608</v>
      </c>
      <c r="I3066">
        <v>19</v>
      </c>
      <c r="J3066">
        <v>2</v>
      </c>
      <c r="K3066">
        <v>3242</v>
      </c>
      <c r="L3066">
        <v>1621</v>
      </c>
      <c r="M3066">
        <v>34039</v>
      </c>
      <c r="N3066">
        <v>1621</v>
      </c>
      <c r="O3066">
        <v>37281</v>
      </c>
    </row>
    <row r="3067" spans="1:15" x14ac:dyDescent="0.35">
      <c r="A3067">
        <v>3066</v>
      </c>
      <c r="B3067" s="2" t="s">
        <v>14</v>
      </c>
      <c r="C3067" s="2" t="s">
        <v>11</v>
      </c>
      <c r="D3067">
        <v>32</v>
      </c>
      <c r="E3067" s="2" t="s">
        <v>29</v>
      </c>
      <c r="F3067" s="2" t="s">
        <v>25</v>
      </c>
      <c r="G3067">
        <v>97655</v>
      </c>
      <c r="H3067" s="1">
        <v>45069</v>
      </c>
      <c r="I3067">
        <v>7</v>
      </c>
      <c r="J3067">
        <v>1</v>
      </c>
      <c r="K3067">
        <v>9766</v>
      </c>
      <c r="L3067">
        <v>4883</v>
      </c>
      <c r="M3067">
        <v>102538</v>
      </c>
      <c r="N3067">
        <v>4883</v>
      </c>
      <c r="O3067">
        <v>112304</v>
      </c>
    </row>
    <row r="3068" spans="1:15" x14ac:dyDescent="0.35">
      <c r="A3068">
        <v>3067</v>
      </c>
      <c r="B3068" s="2" t="s">
        <v>18</v>
      </c>
      <c r="C3068" s="2" t="s">
        <v>11</v>
      </c>
      <c r="D3068">
        <v>37</v>
      </c>
      <c r="E3068" s="2" t="s">
        <v>16</v>
      </c>
      <c r="F3068" s="2" t="s">
        <v>13</v>
      </c>
      <c r="G3068">
        <v>99368</v>
      </c>
      <c r="H3068" s="1">
        <v>44808</v>
      </c>
      <c r="I3068">
        <v>13</v>
      </c>
      <c r="J3068">
        <v>5</v>
      </c>
      <c r="K3068">
        <v>9937</v>
      </c>
      <c r="L3068">
        <v>4968</v>
      </c>
      <c r="M3068">
        <v>104337</v>
      </c>
      <c r="N3068">
        <v>4968</v>
      </c>
      <c r="O3068">
        <v>114273</v>
      </c>
    </row>
    <row r="3069" spans="1:15" x14ac:dyDescent="0.35">
      <c r="A3069">
        <v>3068</v>
      </c>
      <c r="B3069" s="2" t="s">
        <v>30</v>
      </c>
      <c r="C3069" s="2" t="s">
        <v>11</v>
      </c>
      <c r="D3069">
        <v>60</v>
      </c>
      <c r="E3069" s="2" t="s">
        <v>28</v>
      </c>
      <c r="F3069" s="2" t="s">
        <v>13</v>
      </c>
      <c r="G3069">
        <v>28657</v>
      </c>
      <c r="H3069" s="1">
        <v>45142</v>
      </c>
      <c r="I3069">
        <v>11</v>
      </c>
      <c r="J3069">
        <v>3</v>
      </c>
      <c r="K3069">
        <v>2866</v>
      </c>
      <c r="L3069">
        <v>1433</v>
      </c>
      <c r="M3069">
        <v>30090</v>
      </c>
      <c r="N3069">
        <v>1433</v>
      </c>
      <c r="O3069">
        <v>32956</v>
      </c>
    </row>
    <row r="3070" spans="1:15" x14ac:dyDescent="0.35">
      <c r="A3070">
        <v>3069</v>
      </c>
      <c r="B3070" s="2" t="s">
        <v>23</v>
      </c>
      <c r="C3070" s="2" t="s">
        <v>15</v>
      </c>
      <c r="D3070">
        <v>54</v>
      </c>
      <c r="E3070" s="2" t="s">
        <v>12</v>
      </c>
      <c r="F3070" s="2" t="s">
        <v>19</v>
      </c>
      <c r="G3070">
        <v>58438</v>
      </c>
      <c r="H3070" s="1">
        <v>45392</v>
      </c>
      <c r="I3070">
        <v>6</v>
      </c>
      <c r="J3070">
        <v>5</v>
      </c>
      <c r="K3070">
        <v>5844</v>
      </c>
      <c r="L3070">
        <v>2922</v>
      </c>
      <c r="M3070">
        <v>61360</v>
      </c>
      <c r="N3070">
        <v>2922</v>
      </c>
      <c r="O3070">
        <v>67204</v>
      </c>
    </row>
    <row r="3071" spans="1:15" x14ac:dyDescent="0.35">
      <c r="A3071">
        <v>3070</v>
      </c>
      <c r="B3071" s="2" t="s">
        <v>31</v>
      </c>
      <c r="C3071" s="2" t="s">
        <v>15</v>
      </c>
      <c r="D3071">
        <v>22</v>
      </c>
      <c r="E3071" s="2" t="s">
        <v>16</v>
      </c>
      <c r="F3071" s="2" t="s">
        <v>17</v>
      </c>
      <c r="G3071">
        <v>81148</v>
      </c>
      <c r="H3071" s="1">
        <v>45120</v>
      </c>
      <c r="I3071">
        <v>2</v>
      </c>
      <c r="J3071">
        <v>1</v>
      </c>
      <c r="K3071">
        <v>8115</v>
      </c>
      <c r="L3071">
        <v>4057</v>
      </c>
      <c r="M3071">
        <v>85206</v>
      </c>
      <c r="N3071">
        <v>0</v>
      </c>
      <c r="O3071">
        <v>89263</v>
      </c>
    </row>
    <row r="3072" spans="1:15" x14ac:dyDescent="0.35">
      <c r="A3072">
        <v>3071</v>
      </c>
      <c r="B3072" s="2" t="s">
        <v>20</v>
      </c>
      <c r="C3072" s="2" t="s">
        <v>15</v>
      </c>
      <c r="D3072">
        <v>41</v>
      </c>
      <c r="E3072" s="2" t="s">
        <v>12</v>
      </c>
      <c r="F3072" s="2" t="s">
        <v>19</v>
      </c>
      <c r="G3072">
        <v>39536</v>
      </c>
      <c r="H3072" s="1">
        <v>44682</v>
      </c>
      <c r="I3072">
        <v>19</v>
      </c>
      <c r="J3072">
        <v>5</v>
      </c>
      <c r="K3072">
        <v>3954</v>
      </c>
      <c r="L3072">
        <v>1977</v>
      </c>
      <c r="M3072">
        <v>41513</v>
      </c>
      <c r="N3072">
        <v>1977</v>
      </c>
      <c r="O3072">
        <v>45467</v>
      </c>
    </row>
    <row r="3073" spans="1:15" x14ac:dyDescent="0.35">
      <c r="A3073">
        <v>3072</v>
      </c>
      <c r="B3073" s="2" t="s">
        <v>18</v>
      </c>
      <c r="C3073" s="2" t="s">
        <v>11</v>
      </c>
      <c r="D3073">
        <v>39</v>
      </c>
      <c r="E3073" s="2" t="s">
        <v>29</v>
      </c>
      <c r="F3073" s="2" t="s">
        <v>25</v>
      </c>
      <c r="G3073">
        <v>21911</v>
      </c>
      <c r="H3073" s="1">
        <v>45433</v>
      </c>
      <c r="I3073">
        <v>15</v>
      </c>
      <c r="J3073">
        <v>4</v>
      </c>
      <c r="K3073">
        <v>2191</v>
      </c>
      <c r="L3073">
        <v>1096</v>
      </c>
      <c r="M3073">
        <v>23006</v>
      </c>
      <c r="N3073">
        <v>1096</v>
      </c>
      <c r="O3073">
        <v>25198</v>
      </c>
    </row>
    <row r="3074" spans="1:15" x14ac:dyDescent="0.35">
      <c r="A3074">
        <v>3073</v>
      </c>
      <c r="B3074" s="2" t="s">
        <v>10</v>
      </c>
      <c r="C3074" s="2" t="s">
        <v>11</v>
      </c>
      <c r="D3074">
        <v>54</v>
      </c>
      <c r="E3074" s="2" t="s">
        <v>29</v>
      </c>
      <c r="F3074" s="2" t="s">
        <v>13</v>
      </c>
      <c r="G3074">
        <v>81676</v>
      </c>
      <c r="H3074" s="1">
        <v>44675</v>
      </c>
      <c r="I3074">
        <v>15</v>
      </c>
      <c r="J3074">
        <v>4</v>
      </c>
      <c r="K3074">
        <v>8168</v>
      </c>
      <c r="L3074">
        <v>4084</v>
      </c>
      <c r="M3074">
        <v>85760</v>
      </c>
      <c r="N3074">
        <v>4084</v>
      </c>
      <c r="O3074">
        <v>93928</v>
      </c>
    </row>
    <row r="3075" spans="1:15" x14ac:dyDescent="0.35">
      <c r="A3075">
        <v>3074</v>
      </c>
      <c r="B3075" s="2" t="s">
        <v>20</v>
      </c>
      <c r="C3075" s="2" t="s">
        <v>11</v>
      </c>
      <c r="D3075">
        <v>59</v>
      </c>
      <c r="E3075" s="2" t="s">
        <v>16</v>
      </c>
      <c r="F3075" s="2" t="s">
        <v>25</v>
      </c>
      <c r="G3075">
        <v>66076</v>
      </c>
      <c r="H3075" s="1">
        <v>45026</v>
      </c>
      <c r="I3075">
        <v>8</v>
      </c>
      <c r="J3075">
        <v>3</v>
      </c>
      <c r="K3075">
        <v>6608</v>
      </c>
      <c r="L3075">
        <v>3304</v>
      </c>
      <c r="M3075">
        <v>69380</v>
      </c>
      <c r="N3075">
        <v>3304</v>
      </c>
      <c r="O3075">
        <v>75988</v>
      </c>
    </row>
    <row r="3076" spans="1:15" x14ac:dyDescent="0.35">
      <c r="A3076">
        <v>3075</v>
      </c>
      <c r="B3076" s="2" t="s">
        <v>22</v>
      </c>
      <c r="C3076" s="2" t="s">
        <v>11</v>
      </c>
      <c r="D3076">
        <v>42</v>
      </c>
      <c r="E3076" s="2" t="s">
        <v>29</v>
      </c>
      <c r="F3076" s="2" t="s">
        <v>19</v>
      </c>
      <c r="G3076">
        <v>38036</v>
      </c>
      <c r="H3076" s="1">
        <v>45260</v>
      </c>
      <c r="I3076">
        <v>15</v>
      </c>
      <c r="J3076">
        <v>5</v>
      </c>
      <c r="K3076">
        <v>3804</v>
      </c>
      <c r="L3076">
        <v>1902</v>
      </c>
      <c r="M3076">
        <v>39938</v>
      </c>
      <c r="N3076">
        <v>1902</v>
      </c>
      <c r="O3076">
        <v>43742</v>
      </c>
    </row>
    <row r="3077" spans="1:15" x14ac:dyDescent="0.35">
      <c r="A3077">
        <v>3076</v>
      </c>
      <c r="B3077" s="2" t="s">
        <v>20</v>
      </c>
      <c r="C3077" s="2" t="s">
        <v>15</v>
      </c>
      <c r="D3077">
        <v>21</v>
      </c>
      <c r="E3077" s="2" t="s">
        <v>16</v>
      </c>
      <c r="F3077" s="2" t="s">
        <v>17</v>
      </c>
      <c r="G3077">
        <v>57095</v>
      </c>
      <c r="H3077" s="1">
        <v>45031</v>
      </c>
      <c r="I3077">
        <v>12</v>
      </c>
      <c r="J3077">
        <v>1</v>
      </c>
      <c r="K3077">
        <v>5710</v>
      </c>
      <c r="L3077">
        <v>2855</v>
      </c>
      <c r="M3077">
        <v>59950</v>
      </c>
      <c r="N3077">
        <v>2855</v>
      </c>
      <c r="O3077">
        <v>65660</v>
      </c>
    </row>
    <row r="3078" spans="1:15" x14ac:dyDescent="0.35">
      <c r="A3078">
        <v>3077</v>
      </c>
      <c r="B3078" s="2" t="s">
        <v>31</v>
      </c>
      <c r="C3078" s="2" t="s">
        <v>11</v>
      </c>
      <c r="D3078">
        <v>42</v>
      </c>
      <c r="E3078" s="2" t="s">
        <v>29</v>
      </c>
      <c r="F3078" s="2" t="s">
        <v>25</v>
      </c>
      <c r="G3078">
        <v>56837</v>
      </c>
      <c r="H3078" s="1">
        <v>45298</v>
      </c>
      <c r="I3078">
        <v>9</v>
      </c>
      <c r="J3078">
        <v>3</v>
      </c>
      <c r="K3078">
        <v>5684</v>
      </c>
      <c r="L3078">
        <v>2842</v>
      </c>
      <c r="M3078">
        <v>59679</v>
      </c>
      <c r="N3078">
        <v>2842</v>
      </c>
      <c r="O3078">
        <v>65363</v>
      </c>
    </row>
    <row r="3079" spans="1:15" x14ac:dyDescent="0.35">
      <c r="A3079">
        <v>3078</v>
      </c>
      <c r="B3079" s="2" t="s">
        <v>10</v>
      </c>
      <c r="C3079" s="2" t="s">
        <v>11</v>
      </c>
      <c r="D3079">
        <v>40</v>
      </c>
      <c r="E3079" s="2" t="s">
        <v>24</v>
      </c>
      <c r="F3079" s="2" t="s">
        <v>17</v>
      </c>
      <c r="G3079">
        <v>48268</v>
      </c>
      <c r="H3079" s="1">
        <v>45539</v>
      </c>
      <c r="I3079">
        <v>11</v>
      </c>
      <c r="J3079">
        <v>2</v>
      </c>
      <c r="K3079">
        <v>4827</v>
      </c>
      <c r="L3079">
        <v>2413</v>
      </c>
      <c r="M3079">
        <v>50682</v>
      </c>
      <c r="N3079">
        <v>2413</v>
      </c>
      <c r="O3079">
        <v>55508</v>
      </c>
    </row>
    <row r="3080" spans="1:15" x14ac:dyDescent="0.35">
      <c r="A3080">
        <v>3079</v>
      </c>
      <c r="B3080" s="2" t="s">
        <v>20</v>
      </c>
      <c r="C3080" s="2" t="s">
        <v>15</v>
      </c>
      <c r="D3080">
        <v>50</v>
      </c>
      <c r="E3080" s="2" t="s">
        <v>28</v>
      </c>
      <c r="F3080" s="2" t="s">
        <v>13</v>
      </c>
      <c r="G3080">
        <v>44390</v>
      </c>
      <c r="H3080" s="1">
        <v>45337</v>
      </c>
      <c r="I3080">
        <v>6</v>
      </c>
      <c r="J3080">
        <v>5</v>
      </c>
      <c r="K3080">
        <v>4439</v>
      </c>
      <c r="L3080">
        <v>2220</v>
      </c>
      <c r="M3080">
        <v>46609</v>
      </c>
      <c r="N3080">
        <v>2220</v>
      </c>
      <c r="O3080">
        <v>51049</v>
      </c>
    </row>
    <row r="3081" spans="1:15" x14ac:dyDescent="0.35">
      <c r="A3081">
        <v>3080</v>
      </c>
      <c r="B3081" s="2" t="s">
        <v>22</v>
      </c>
      <c r="C3081" s="2" t="s">
        <v>15</v>
      </c>
      <c r="D3081">
        <v>52</v>
      </c>
      <c r="E3081" s="2" t="s">
        <v>12</v>
      </c>
      <c r="F3081" s="2" t="s">
        <v>19</v>
      </c>
      <c r="G3081">
        <v>35191</v>
      </c>
      <c r="H3081" s="1">
        <v>45208</v>
      </c>
      <c r="I3081">
        <v>7</v>
      </c>
      <c r="J3081">
        <v>5</v>
      </c>
      <c r="K3081">
        <v>3519</v>
      </c>
      <c r="L3081">
        <v>1760</v>
      </c>
      <c r="M3081">
        <v>36950</v>
      </c>
      <c r="N3081">
        <v>1760</v>
      </c>
      <c r="O3081">
        <v>40470</v>
      </c>
    </row>
    <row r="3082" spans="1:15" x14ac:dyDescent="0.35">
      <c r="A3082">
        <v>3081</v>
      </c>
      <c r="B3082" s="2" t="s">
        <v>31</v>
      </c>
      <c r="C3082" s="2" t="s">
        <v>11</v>
      </c>
      <c r="D3082">
        <v>37</v>
      </c>
      <c r="E3082" s="2" t="s">
        <v>16</v>
      </c>
      <c r="F3082" s="2" t="s">
        <v>17</v>
      </c>
      <c r="G3082">
        <v>59859</v>
      </c>
      <c r="H3082" s="1">
        <v>44790</v>
      </c>
      <c r="I3082">
        <v>19</v>
      </c>
      <c r="J3082">
        <v>5</v>
      </c>
      <c r="K3082">
        <v>5986</v>
      </c>
      <c r="L3082">
        <v>2993</v>
      </c>
      <c r="M3082">
        <v>62852</v>
      </c>
      <c r="N3082">
        <v>2993</v>
      </c>
      <c r="O3082">
        <v>68838</v>
      </c>
    </row>
    <row r="3083" spans="1:15" x14ac:dyDescent="0.35">
      <c r="A3083">
        <v>3082</v>
      </c>
      <c r="B3083" s="2" t="s">
        <v>22</v>
      </c>
      <c r="C3083" s="2" t="s">
        <v>15</v>
      </c>
      <c r="D3083">
        <v>33</v>
      </c>
      <c r="E3083" s="2" t="s">
        <v>28</v>
      </c>
      <c r="F3083" s="2" t="s">
        <v>13</v>
      </c>
      <c r="G3083">
        <v>67703</v>
      </c>
      <c r="H3083" s="1">
        <v>45119</v>
      </c>
      <c r="I3083">
        <v>17</v>
      </c>
      <c r="J3083">
        <v>1</v>
      </c>
      <c r="K3083">
        <v>6770</v>
      </c>
      <c r="L3083">
        <v>3385</v>
      </c>
      <c r="M3083">
        <v>71088</v>
      </c>
      <c r="N3083">
        <v>3385</v>
      </c>
      <c r="O3083">
        <v>77858</v>
      </c>
    </row>
    <row r="3084" spans="1:15" x14ac:dyDescent="0.35">
      <c r="A3084">
        <v>3083</v>
      </c>
      <c r="B3084" s="2" t="s">
        <v>20</v>
      </c>
      <c r="C3084" s="2" t="s">
        <v>11</v>
      </c>
      <c r="D3084">
        <v>52</v>
      </c>
      <c r="E3084" s="2" t="s">
        <v>16</v>
      </c>
      <c r="F3084" s="2" t="s">
        <v>21</v>
      </c>
      <c r="G3084">
        <v>72845</v>
      </c>
      <c r="H3084" s="1">
        <v>45099</v>
      </c>
      <c r="I3084">
        <v>16</v>
      </c>
      <c r="J3084">
        <v>3</v>
      </c>
      <c r="K3084">
        <v>7284</v>
      </c>
      <c r="L3084">
        <v>3642</v>
      </c>
      <c r="M3084">
        <v>76487</v>
      </c>
      <c r="N3084">
        <v>3642</v>
      </c>
      <c r="O3084">
        <v>83771</v>
      </c>
    </row>
    <row r="3085" spans="1:15" x14ac:dyDescent="0.35">
      <c r="A3085">
        <v>3084</v>
      </c>
      <c r="B3085" s="2" t="s">
        <v>20</v>
      </c>
      <c r="C3085" s="2" t="s">
        <v>15</v>
      </c>
      <c r="D3085">
        <v>29</v>
      </c>
      <c r="E3085" s="2" t="s">
        <v>12</v>
      </c>
      <c r="F3085" s="2" t="s">
        <v>25</v>
      </c>
      <c r="G3085">
        <v>61822</v>
      </c>
      <c r="H3085" s="1">
        <v>44730</v>
      </c>
      <c r="I3085">
        <v>13</v>
      </c>
      <c r="J3085">
        <v>2</v>
      </c>
      <c r="K3085">
        <v>6182</v>
      </c>
      <c r="L3085">
        <v>3091</v>
      </c>
      <c r="M3085">
        <v>64913</v>
      </c>
      <c r="N3085">
        <v>3091</v>
      </c>
      <c r="O3085">
        <v>71095</v>
      </c>
    </row>
    <row r="3086" spans="1:15" x14ac:dyDescent="0.35">
      <c r="A3086">
        <v>3085</v>
      </c>
      <c r="B3086" s="2" t="s">
        <v>10</v>
      </c>
      <c r="C3086" s="2" t="s">
        <v>15</v>
      </c>
      <c r="D3086">
        <v>57</v>
      </c>
      <c r="E3086" s="2" t="s">
        <v>16</v>
      </c>
      <c r="F3086" s="2" t="s">
        <v>19</v>
      </c>
      <c r="G3086">
        <v>42063</v>
      </c>
      <c r="H3086" s="1">
        <v>45534</v>
      </c>
      <c r="I3086">
        <v>2</v>
      </c>
      <c r="J3086">
        <v>1</v>
      </c>
      <c r="K3086">
        <v>4206</v>
      </c>
      <c r="L3086">
        <v>2103</v>
      </c>
      <c r="M3086">
        <v>44166</v>
      </c>
      <c r="N3086">
        <v>0</v>
      </c>
      <c r="O3086">
        <v>46269</v>
      </c>
    </row>
    <row r="3087" spans="1:15" x14ac:dyDescent="0.35">
      <c r="A3087">
        <v>3086</v>
      </c>
      <c r="B3087" s="2" t="s">
        <v>26</v>
      </c>
      <c r="C3087" s="2" t="s">
        <v>15</v>
      </c>
      <c r="D3087">
        <v>39</v>
      </c>
      <c r="E3087" s="2" t="s">
        <v>29</v>
      </c>
      <c r="F3087" s="2" t="s">
        <v>19</v>
      </c>
      <c r="G3087">
        <v>53967</v>
      </c>
      <c r="H3087" s="1">
        <v>44877</v>
      </c>
      <c r="I3087">
        <v>14</v>
      </c>
      <c r="J3087">
        <v>1</v>
      </c>
      <c r="K3087">
        <v>5397</v>
      </c>
      <c r="L3087">
        <v>2698</v>
      </c>
      <c r="M3087">
        <v>56666</v>
      </c>
      <c r="N3087">
        <v>2698</v>
      </c>
      <c r="O3087">
        <v>62062</v>
      </c>
    </row>
    <row r="3088" spans="1:15" x14ac:dyDescent="0.35">
      <c r="A3088">
        <v>3087</v>
      </c>
      <c r="B3088" s="2" t="s">
        <v>20</v>
      </c>
      <c r="C3088" s="2" t="s">
        <v>11</v>
      </c>
      <c r="D3088">
        <v>48</v>
      </c>
      <c r="E3088" s="2" t="s">
        <v>16</v>
      </c>
      <c r="F3088" s="2" t="s">
        <v>19</v>
      </c>
      <c r="G3088">
        <v>57363</v>
      </c>
      <c r="H3088" s="1">
        <v>45550</v>
      </c>
      <c r="I3088">
        <v>12</v>
      </c>
      <c r="J3088">
        <v>5</v>
      </c>
      <c r="K3088">
        <v>5736</v>
      </c>
      <c r="L3088">
        <v>2868</v>
      </c>
      <c r="M3088">
        <v>60231</v>
      </c>
      <c r="N3088">
        <v>2868</v>
      </c>
      <c r="O3088">
        <v>65967</v>
      </c>
    </row>
    <row r="3089" spans="1:15" x14ac:dyDescent="0.35">
      <c r="A3089">
        <v>3088</v>
      </c>
      <c r="B3089" s="2" t="s">
        <v>30</v>
      </c>
      <c r="C3089" s="2" t="s">
        <v>15</v>
      </c>
      <c r="D3089">
        <v>56</v>
      </c>
      <c r="E3089" s="2" t="s">
        <v>29</v>
      </c>
      <c r="F3089" s="2" t="s">
        <v>13</v>
      </c>
      <c r="G3089">
        <v>32528</v>
      </c>
      <c r="H3089" s="1">
        <v>45419</v>
      </c>
      <c r="I3089">
        <v>2</v>
      </c>
      <c r="J3089">
        <v>5</v>
      </c>
      <c r="K3089">
        <v>3253</v>
      </c>
      <c r="L3089">
        <v>1626</v>
      </c>
      <c r="M3089">
        <v>34155</v>
      </c>
      <c r="N3089">
        <v>0</v>
      </c>
      <c r="O3089">
        <v>35781</v>
      </c>
    </row>
    <row r="3090" spans="1:15" x14ac:dyDescent="0.35">
      <c r="A3090">
        <v>3089</v>
      </c>
      <c r="B3090" s="2" t="s">
        <v>18</v>
      </c>
      <c r="C3090" s="2" t="s">
        <v>11</v>
      </c>
      <c r="D3090">
        <v>21</v>
      </c>
      <c r="E3090" s="2" t="s">
        <v>28</v>
      </c>
      <c r="F3090" s="2" t="s">
        <v>17</v>
      </c>
      <c r="G3090">
        <v>74525</v>
      </c>
      <c r="H3090" s="1">
        <v>44821</v>
      </c>
      <c r="I3090">
        <v>4</v>
      </c>
      <c r="J3090">
        <v>1</v>
      </c>
      <c r="K3090">
        <v>7452</v>
      </c>
      <c r="L3090">
        <v>3726</v>
      </c>
      <c r="M3090">
        <v>78251</v>
      </c>
      <c r="N3090">
        <v>0</v>
      </c>
      <c r="O3090">
        <v>81977</v>
      </c>
    </row>
    <row r="3091" spans="1:15" x14ac:dyDescent="0.35">
      <c r="A3091">
        <v>3090</v>
      </c>
      <c r="B3091" s="2" t="s">
        <v>20</v>
      </c>
      <c r="C3091" s="2" t="s">
        <v>11</v>
      </c>
      <c r="D3091">
        <v>60</v>
      </c>
      <c r="E3091" s="2" t="s">
        <v>16</v>
      </c>
      <c r="F3091" s="2" t="s">
        <v>13</v>
      </c>
      <c r="G3091">
        <v>25591</v>
      </c>
      <c r="H3091" s="1">
        <v>44835</v>
      </c>
      <c r="I3091">
        <v>11</v>
      </c>
      <c r="J3091">
        <v>2</v>
      </c>
      <c r="K3091">
        <v>2559</v>
      </c>
      <c r="L3091">
        <v>1280</v>
      </c>
      <c r="M3091">
        <v>26870</v>
      </c>
      <c r="N3091">
        <v>1280</v>
      </c>
      <c r="O3091">
        <v>29430</v>
      </c>
    </row>
    <row r="3092" spans="1:15" x14ac:dyDescent="0.35">
      <c r="A3092">
        <v>3091</v>
      </c>
      <c r="B3092" s="2" t="s">
        <v>10</v>
      </c>
      <c r="C3092" s="2" t="s">
        <v>15</v>
      </c>
      <c r="D3092">
        <v>32</v>
      </c>
      <c r="E3092" s="2" t="s">
        <v>28</v>
      </c>
      <c r="F3092" s="2" t="s">
        <v>17</v>
      </c>
      <c r="G3092">
        <v>90557</v>
      </c>
      <c r="H3092" s="1">
        <v>44676</v>
      </c>
      <c r="I3092">
        <v>1</v>
      </c>
      <c r="J3092">
        <v>3</v>
      </c>
      <c r="K3092">
        <v>9056</v>
      </c>
      <c r="L3092">
        <v>4528</v>
      </c>
      <c r="M3092">
        <v>95085</v>
      </c>
      <c r="N3092">
        <v>0</v>
      </c>
      <c r="O3092">
        <v>99613</v>
      </c>
    </row>
    <row r="3093" spans="1:15" x14ac:dyDescent="0.35">
      <c r="A3093">
        <v>3092</v>
      </c>
      <c r="B3093" s="2" t="s">
        <v>23</v>
      </c>
      <c r="C3093" s="2" t="s">
        <v>15</v>
      </c>
      <c r="D3093">
        <v>29</v>
      </c>
      <c r="E3093" s="2" t="s">
        <v>29</v>
      </c>
      <c r="F3093" s="2" t="s">
        <v>25</v>
      </c>
      <c r="G3093">
        <v>75892</v>
      </c>
      <c r="H3093" s="1">
        <v>44915</v>
      </c>
      <c r="I3093">
        <v>8</v>
      </c>
      <c r="J3093">
        <v>4</v>
      </c>
      <c r="K3093">
        <v>7589</v>
      </c>
      <c r="L3093">
        <v>3795</v>
      </c>
      <c r="M3093">
        <v>79686</v>
      </c>
      <c r="N3093">
        <v>3795</v>
      </c>
      <c r="O3093">
        <v>87276</v>
      </c>
    </row>
    <row r="3094" spans="1:15" x14ac:dyDescent="0.35">
      <c r="A3094">
        <v>3093</v>
      </c>
      <c r="B3094" s="2" t="s">
        <v>10</v>
      </c>
      <c r="C3094" s="2" t="s">
        <v>11</v>
      </c>
      <c r="D3094">
        <v>54</v>
      </c>
      <c r="E3094" s="2" t="s">
        <v>29</v>
      </c>
      <c r="F3094" s="2" t="s">
        <v>21</v>
      </c>
      <c r="G3094">
        <v>29237</v>
      </c>
      <c r="H3094" s="1">
        <v>44870</v>
      </c>
      <c r="I3094">
        <v>2</v>
      </c>
      <c r="J3094">
        <v>4</v>
      </c>
      <c r="K3094">
        <v>2924</v>
      </c>
      <c r="L3094">
        <v>1462</v>
      </c>
      <c r="M3094">
        <v>30699</v>
      </c>
      <c r="N3094">
        <v>0</v>
      </c>
      <c r="O3094">
        <v>32161</v>
      </c>
    </row>
    <row r="3095" spans="1:15" x14ac:dyDescent="0.35">
      <c r="A3095">
        <v>3094</v>
      </c>
      <c r="B3095" s="2" t="s">
        <v>30</v>
      </c>
      <c r="C3095" s="2" t="s">
        <v>11</v>
      </c>
      <c r="D3095">
        <v>23</v>
      </c>
      <c r="E3095" s="2" t="s">
        <v>24</v>
      </c>
      <c r="F3095" s="2" t="s">
        <v>13</v>
      </c>
      <c r="G3095">
        <v>73904</v>
      </c>
      <c r="H3095" s="1">
        <v>44782</v>
      </c>
      <c r="I3095">
        <v>14</v>
      </c>
      <c r="J3095">
        <v>3</v>
      </c>
      <c r="K3095">
        <v>7390</v>
      </c>
      <c r="L3095">
        <v>3695</v>
      </c>
      <c r="M3095">
        <v>77599</v>
      </c>
      <c r="N3095">
        <v>3695</v>
      </c>
      <c r="O3095">
        <v>84989</v>
      </c>
    </row>
    <row r="3096" spans="1:15" x14ac:dyDescent="0.35">
      <c r="A3096">
        <v>3095</v>
      </c>
      <c r="B3096" s="2" t="s">
        <v>27</v>
      </c>
      <c r="C3096" s="2" t="s">
        <v>15</v>
      </c>
      <c r="D3096">
        <v>57</v>
      </c>
      <c r="E3096" s="2" t="s">
        <v>16</v>
      </c>
      <c r="F3096" s="2" t="s">
        <v>19</v>
      </c>
      <c r="G3096">
        <v>62187</v>
      </c>
      <c r="H3096" s="1">
        <v>45533</v>
      </c>
      <c r="I3096">
        <v>12</v>
      </c>
      <c r="J3096">
        <v>1</v>
      </c>
      <c r="K3096">
        <v>6219</v>
      </c>
      <c r="L3096">
        <v>3109</v>
      </c>
      <c r="M3096">
        <v>65297</v>
      </c>
      <c r="N3096">
        <v>3109</v>
      </c>
      <c r="O3096">
        <v>71515</v>
      </c>
    </row>
    <row r="3097" spans="1:15" x14ac:dyDescent="0.35">
      <c r="A3097">
        <v>3096</v>
      </c>
      <c r="B3097" s="2" t="s">
        <v>30</v>
      </c>
      <c r="C3097" s="2" t="s">
        <v>11</v>
      </c>
      <c r="D3097">
        <v>28</v>
      </c>
      <c r="E3097" s="2" t="s">
        <v>29</v>
      </c>
      <c r="F3097" s="2" t="s">
        <v>25</v>
      </c>
      <c r="G3097">
        <v>54100</v>
      </c>
      <c r="H3097" s="1">
        <v>45109</v>
      </c>
      <c r="I3097">
        <v>11</v>
      </c>
      <c r="J3097">
        <v>2</v>
      </c>
      <c r="K3097">
        <v>5410</v>
      </c>
      <c r="L3097">
        <v>2705</v>
      </c>
      <c r="M3097">
        <v>56805</v>
      </c>
      <c r="N3097">
        <v>2705</v>
      </c>
      <c r="O3097">
        <v>62215</v>
      </c>
    </row>
    <row r="3098" spans="1:15" x14ac:dyDescent="0.35">
      <c r="A3098">
        <v>3097</v>
      </c>
      <c r="B3098" s="2" t="s">
        <v>27</v>
      </c>
      <c r="C3098" s="2" t="s">
        <v>11</v>
      </c>
      <c r="D3098">
        <v>27</v>
      </c>
      <c r="E3098" s="2" t="s">
        <v>28</v>
      </c>
      <c r="F3098" s="2" t="s">
        <v>17</v>
      </c>
      <c r="G3098">
        <v>66225</v>
      </c>
      <c r="H3098" s="1">
        <v>44571</v>
      </c>
      <c r="I3098">
        <v>14</v>
      </c>
      <c r="J3098">
        <v>5</v>
      </c>
      <c r="K3098">
        <v>6622</v>
      </c>
      <c r="L3098">
        <v>3311</v>
      </c>
      <c r="M3098">
        <v>69536</v>
      </c>
      <c r="N3098">
        <v>3311</v>
      </c>
      <c r="O3098">
        <v>76158</v>
      </c>
    </row>
    <row r="3099" spans="1:15" x14ac:dyDescent="0.35">
      <c r="A3099">
        <v>3098</v>
      </c>
      <c r="B3099" s="2" t="s">
        <v>30</v>
      </c>
      <c r="C3099" s="2" t="s">
        <v>11</v>
      </c>
      <c r="D3099">
        <v>58</v>
      </c>
      <c r="E3099" s="2" t="s">
        <v>29</v>
      </c>
      <c r="F3099" s="2" t="s">
        <v>17</v>
      </c>
      <c r="G3099">
        <v>49849</v>
      </c>
      <c r="H3099" s="1">
        <v>45498</v>
      </c>
      <c r="I3099">
        <v>7</v>
      </c>
      <c r="J3099">
        <v>4</v>
      </c>
      <c r="K3099">
        <v>4985</v>
      </c>
      <c r="L3099">
        <v>2492</v>
      </c>
      <c r="M3099">
        <v>52342</v>
      </c>
      <c r="N3099">
        <v>2492</v>
      </c>
      <c r="O3099">
        <v>57326</v>
      </c>
    </row>
    <row r="3100" spans="1:15" x14ac:dyDescent="0.35">
      <c r="A3100">
        <v>3099</v>
      </c>
      <c r="B3100" s="2" t="s">
        <v>10</v>
      </c>
      <c r="C3100" s="2" t="s">
        <v>11</v>
      </c>
      <c r="D3100">
        <v>60</v>
      </c>
      <c r="E3100" s="2" t="s">
        <v>16</v>
      </c>
      <c r="F3100" s="2" t="s">
        <v>21</v>
      </c>
      <c r="G3100">
        <v>33815</v>
      </c>
      <c r="H3100" s="1">
        <v>45260</v>
      </c>
      <c r="I3100">
        <v>12</v>
      </c>
      <c r="J3100">
        <v>2</v>
      </c>
      <c r="K3100">
        <v>3382</v>
      </c>
      <c r="L3100">
        <v>1691</v>
      </c>
      <c r="M3100">
        <v>35506</v>
      </c>
      <c r="N3100">
        <v>1691</v>
      </c>
      <c r="O3100">
        <v>38888</v>
      </c>
    </row>
    <row r="3101" spans="1:15" x14ac:dyDescent="0.35">
      <c r="A3101">
        <v>3100</v>
      </c>
      <c r="B3101" s="2" t="s">
        <v>18</v>
      </c>
      <c r="C3101" s="2" t="s">
        <v>15</v>
      </c>
      <c r="D3101">
        <v>31</v>
      </c>
      <c r="E3101" s="2" t="s">
        <v>24</v>
      </c>
      <c r="F3101" s="2" t="s">
        <v>21</v>
      </c>
      <c r="G3101">
        <v>60721</v>
      </c>
      <c r="H3101" s="1">
        <v>44618</v>
      </c>
      <c r="I3101">
        <v>11</v>
      </c>
      <c r="J3101">
        <v>3</v>
      </c>
      <c r="K3101">
        <v>6072</v>
      </c>
      <c r="L3101">
        <v>3036</v>
      </c>
      <c r="M3101">
        <v>63757</v>
      </c>
      <c r="N3101">
        <v>3036</v>
      </c>
      <c r="O3101">
        <v>69829</v>
      </c>
    </row>
    <row r="3102" spans="1:15" x14ac:dyDescent="0.35">
      <c r="A3102">
        <v>3101</v>
      </c>
      <c r="B3102" s="2" t="s">
        <v>18</v>
      </c>
      <c r="C3102" s="2" t="s">
        <v>11</v>
      </c>
      <c r="D3102">
        <v>38</v>
      </c>
      <c r="E3102" s="2" t="s">
        <v>29</v>
      </c>
      <c r="F3102" s="2" t="s">
        <v>21</v>
      </c>
      <c r="G3102">
        <v>96391</v>
      </c>
      <c r="H3102" s="1">
        <v>44749</v>
      </c>
      <c r="I3102">
        <v>17</v>
      </c>
      <c r="J3102">
        <v>3</v>
      </c>
      <c r="K3102">
        <v>9639</v>
      </c>
      <c r="L3102">
        <v>4820</v>
      </c>
      <c r="M3102">
        <v>101210</v>
      </c>
      <c r="N3102">
        <v>4820</v>
      </c>
      <c r="O3102">
        <v>110850</v>
      </c>
    </row>
    <row r="3103" spans="1:15" x14ac:dyDescent="0.35">
      <c r="A3103">
        <v>3102</v>
      </c>
      <c r="B3103" s="2" t="s">
        <v>31</v>
      </c>
      <c r="C3103" s="2" t="s">
        <v>11</v>
      </c>
      <c r="D3103">
        <v>51</v>
      </c>
      <c r="E3103" s="2" t="s">
        <v>12</v>
      </c>
      <c r="F3103" s="2" t="s">
        <v>25</v>
      </c>
      <c r="G3103">
        <v>31193</v>
      </c>
      <c r="H3103" s="1">
        <v>44959</v>
      </c>
      <c r="I3103">
        <v>14</v>
      </c>
      <c r="J3103">
        <v>4</v>
      </c>
      <c r="K3103">
        <v>3119</v>
      </c>
      <c r="L3103">
        <v>1560</v>
      </c>
      <c r="M3103">
        <v>32752</v>
      </c>
      <c r="N3103">
        <v>1560</v>
      </c>
      <c r="O3103">
        <v>35872</v>
      </c>
    </row>
    <row r="3104" spans="1:15" x14ac:dyDescent="0.35">
      <c r="A3104">
        <v>3103</v>
      </c>
      <c r="B3104" s="2" t="s">
        <v>31</v>
      </c>
      <c r="C3104" s="2" t="s">
        <v>11</v>
      </c>
      <c r="D3104">
        <v>24</v>
      </c>
      <c r="E3104" s="2" t="s">
        <v>24</v>
      </c>
      <c r="F3104" s="2" t="s">
        <v>17</v>
      </c>
      <c r="G3104">
        <v>75770</v>
      </c>
      <c r="H3104" s="1">
        <v>45444</v>
      </c>
      <c r="I3104">
        <v>6</v>
      </c>
      <c r="J3104">
        <v>1</v>
      </c>
      <c r="K3104">
        <v>7577</v>
      </c>
      <c r="L3104">
        <v>3788</v>
      </c>
      <c r="M3104">
        <v>79559</v>
      </c>
      <c r="N3104">
        <v>3788</v>
      </c>
      <c r="O3104">
        <v>87135</v>
      </c>
    </row>
    <row r="3105" spans="1:15" x14ac:dyDescent="0.35">
      <c r="A3105">
        <v>3104</v>
      </c>
      <c r="B3105" s="2" t="s">
        <v>22</v>
      </c>
      <c r="C3105" s="2" t="s">
        <v>11</v>
      </c>
      <c r="D3105">
        <v>56</v>
      </c>
      <c r="E3105" s="2" t="s">
        <v>29</v>
      </c>
      <c r="F3105" s="2" t="s">
        <v>17</v>
      </c>
      <c r="G3105">
        <v>49121</v>
      </c>
      <c r="H3105" s="1">
        <v>45088</v>
      </c>
      <c r="I3105">
        <v>1</v>
      </c>
      <c r="J3105">
        <v>4</v>
      </c>
      <c r="K3105">
        <v>4912</v>
      </c>
      <c r="L3105">
        <v>2456</v>
      </c>
      <c r="M3105">
        <v>51577</v>
      </c>
      <c r="N3105">
        <v>0</v>
      </c>
      <c r="O3105">
        <v>54033</v>
      </c>
    </row>
    <row r="3106" spans="1:15" x14ac:dyDescent="0.35">
      <c r="A3106">
        <v>3105</v>
      </c>
      <c r="B3106" s="2" t="s">
        <v>20</v>
      </c>
      <c r="C3106" s="2" t="s">
        <v>11</v>
      </c>
      <c r="D3106">
        <v>36</v>
      </c>
      <c r="E3106" s="2" t="s">
        <v>16</v>
      </c>
      <c r="F3106" s="2" t="s">
        <v>13</v>
      </c>
      <c r="G3106">
        <v>24526</v>
      </c>
      <c r="H3106" s="1">
        <v>45247</v>
      </c>
      <c r="I3106">
        <v>17</v>
      </c>
      <c r="J3106">
        <v>1</v>
      </c>
      <c r="K3106">
        <v>2453</v>
      </c>
      <c r="L3106">
        <v>1226</v>
      </c>
      <c r="M3106">
        <v>25753</v>
      </c>
      <c r="N3106">
        <v>1226</v>
      </c>
      <c r="O3106">
        <v>28205</v>
      </c>
    </row>
    <row r="3107" spans="1:15" x14ac:dyDescent="0.35">
      <c r="A3107">
        <v>3106</v>
      </c>
      <c r="B3107" s="2" t="s">
        <v>26</v>
      </c>
      <c r="C3107" s="2" t="s">
        <v>11</v>
      </c>
      <c r="D3107">
        <v>32</v>
      </c>
      <c r="E3107" s="2" t="s">
        <v>29</v>
      </c>
      <c r="F3107" s="2" t="s">
        <v>17</v>
      </c>
      <c r="G3107">
        <v>35841</v>
      </c>
      <c r="H3107" s="1">
        <v>45231</v>
      </c>
      <c r="I3107">
        <v>17</v>
      </c>
      <c r="J3107">
        <v>3</v>
      </c>
      <c r="K3107">
        <v>3584</v>
      </c>
      <c r="L3107">
        <v>1792</v>
      </c>
      <c r="M3107">
        <v>37633</v>
      </c>
      <c r="N3107">
        <v>1792</v>
      </c>
      <c r="O3107">
        <v>41217</v>
      </c>
    </row>
    <row r="3108" spans="1:15" x14ac:dyDescent="0.35">
      <c r="A3108">
        <v>3107</v>
      </c>
      <c r="B3108" s="2" t="s">
        <v>26</v>
      </c>
      <c r="C3108" s="2" t="s">
        <v>15</v>
      </c>
      <c r="D3108">
        <v>35</v>
      </c>
      <c r="E3108" s="2" t="s">
        <v>24</v>
      </c>
      <c r="F3108" s="2" t="s">
        <v>13</v>
      </c>
      <c r="G3108">
        <v>97049</v>
      </c>
      <c r="H3108" s="1">
        <v>45131</v>
      </c>
      <c r="I3108">
        <v>6</v>
      </c>
      <c r="J3108">
        <v>2</v>
      </c>
      <c r="K3108">
        <v>9705</v>
      </c>
      <c r="L3108">
        <v>4852</v>
      </c>
      <c r="M3108">
        <v>101902</v>
      </c>
      <c r="N3108">
        <v>4852</v>
      </c>
      <c r="O3108">
        <v>111606</v>
      </c>
    </row>
    <row r="3109" spans="1:15" x14ac:dyDescent="0.35">
      <c r="A3109">
        <v>3108</v>
      </c>
      <c r="B3109" s="2" t="s">
        <v>14</v>
      </c>
      <c r="C3109" s="2" t="s">
        <v>11</v>
      </c>
      <c r="D3109">
        <v>39</v>
      </c>
      <c r="E3109" s="2" t="s">
        <v>12</v>
      </c>
      <c r="F3109" s="2" t="s">
        <v>25</v>
      </c>
      <c r="G3109">
        <v>21280</v>
      </c>
      <c r="H3109" s="1">
        <v>44749</v>
      </c>
      <c r="I3109">
        <v>19</v>
      </c>
      <c r="J3109">
        <v>4</v>
      </c>
      <c r="K3109">
        <v>2128</v>
      </c>
      <c r="L3109">
        <v>1064</v>
      </c>
      <c r="M3109">
        <v>22344</v>
      </c>
      <c r="N3109">
        <v>1064</v>
      </c>
      <c r="O3109">
        <v>24472</v>
      </c>
    </row>
    <row r="3110" spans="1:15" x14ac:dyDescent="0.35">
      <c r="A3110">
        <v>3109</v>
      </c>
      <c r="B3110" s="2" t="s">
        <v>10</v>
      </c>
      <c r="C3110" s="2" t="s">
        <v>11</v>
      </c>
      <c r="D3110">
        <v>38</v>
      </c>
      <c r="E3110" s="2" t="s">
        <v>24</v>
      </c>
      <c r="F3110" s="2" t="s">
        <v>13</v>
      </c>
      <c r="G3110">
        <v>26152</v>
      </c>
      <c r="H3110" s="1">
        <v>44709</v>
      </c>
      <c r="I3110">
        <v>19</v>
      </c>
      <c r="J3110">
        <v>1</v>
      </c>
      <c r="K3110">
        <v>2615</v>
      </c>
      <c r="L3110">
        <v>1308</v>
      </c>
      <c r="M3110">
        <v>27459</v>
      </c>
      <c r="N3110">
        <v>1308</v>
      </c>
      <c r="O3110">
        <v>30075</v>
      </c>
    </row>
    <row r="3111" spans="1:15" x14ac:dyDescent="0.35">
      <c r="A3111">
        <v>3110</v>
      </c>
      <c r="B3111" s="2" t="s">
        <v>18</v>
      </c>
      <c r="C3111" s="2" t="s">
        <v>11</v>
      </c>
      <c r="D3111">
        <v>28</v>
      </c>
      <c r="E3111" s="2" t="s">
        <v>16</v>
      </c>
      <c r="F3111" s="2" t="s">
        <v>17</v>
      </c>
      <c r="G3111">
        <v>38633</v>
      </c>
      <c r="H3111" s="1">
        <v>44962</v>
      </c>
      <c r="I3111">
        <v>2</v>
      </c>
      <c r="J3111">
        <v>2</v>
      </c>
      <c r="K3111">
        <v>3863</v>
      </c>
      <c r="L3111">
        <v>1932</v>
      </c>
      <c r="M3111">
        <v>40564</v>
      </c>
      <c r="N3111">
        <v>0</v>
      </c>
      <c r="O3111">
        <v>42496</v>
      </c>
    </row>
    <row r="3112" spans="1:15" x14ac:dyDescent="0.35">
      <c r="A3112">
        <v>3111</v>
      </c>
      <c r="B3112" s="2" t="s">
        <v>18</v>
      </c>
      <c r="C3112" s="2" t="s">
        <v>15</v>
      </c>
      <c r="D3112">
        <v>45</v>
      </c>
      <c r="E3112" s="2" t="s">
        <v>12</v>
      </c>
      <c r="F3112" s="2" t="s">
        <v>13</v>
      </c>
      <c r="G3112">
        <v>62114</v>
      </c>
      <c r="H3112" s="1">
        <v>44586</v>
      </c>
      <c r="I3112">
        <v>19</v>
      </c>
      <c r="J3112">
        <v>5</v>
      </c>
      <c r="K3112">
        <v>6211</v>
      </c>
      <c r="L3112">
        <v>3106</v>
      </c>
      <c r="M3112">
        <v>65219</v>
      </c>
      <c r="N3112">
        <v>3106</v>
      </c>
      <c r="O3112">
        <v>71431</v>
      </c>
    </row>
    <row r="3113" spans="1:15" x14ac:dyDescent="0.35">
      <c r="A3113">
        <v>3112</v>
      </c>
      <c r="B3113" s="2" t="s">
        <v>23</v>
      </c>
      <c r="C3113" s="2" t="s">
        <v>15</v>
      </c>
      <c r="D3113">
        <v>52</v>
      </c>
      <c r="E3113" s="2" t="s">
        <v>29</v>
      </c>
      <c r="F3113" s="2" t="s">
        <v>17</v>
      </c>
      <c r="G3113">
        <v>35680</v>
      </c>
      <c r="H3113" s="1">
        <v>45338</v>
      </c>
      <c r="I3113">
        <v>6</v>
      </c>
      <c r="J3113">
        <v>5</v>
      </c>
      <c r="K3113">
        <v>3568</v>
      </c>
      <c r="L3113">
        <v>1784</v>
      </c>
      <c r="M3113">
        <v>37464</v>
      </c>
      <c r="N3113">
        <v>1784</v>
      </c>
      <c r="O3113">
        <v>41032</v>
      </c>
    </row>
    <row r="3114" spans="1:15" x14ac:dyDescent="0.35">
      <c r="A3114">
        <v>3113</v>
      </c>
      <c r="B3114" s="2" t="s">
        <v>26</v>
      </c>
      <c r="C3114" s="2" t="s">
        <v>15</v>
      </c>
      <c r="D3114">
        <v>47</v>
      </c>
      <c r="E3114" s="2" t="s">
        <v>16</v>
      </c>
      <c r="F3114" s="2" t="s">
        <v>13</v>
      </c>
      <c r="G3114">
        <v>88257</v>
      </c>
      <c r="H3114" s="1">
        <v>45537</v>
      </c>
      <c r="I3114">
        <v>6</v>
      </c>
      <c r="J3114">
        <v>2</v>
      </c>
      <c r="K3114">
        <v>8826</v>
      </c>
      <c r="L3114">
        <v>4413</v>
      </c>
      <c r="M3114">
        <v>92670</v>
      </c>
      <c r="N3114">
        <v>4413</v>
      </c>
      <c r="O3114">
        <v>101496</v>
      </c>
    </row>
    <row r="3115" spans="1:15" x14ac:dyDescent="0.35">
      <c r="A3115">
        <v>3114</v>
      </c>
      <c r="B3115" s="2" t="s">
        <v>10</v>
      </c>
      <c r="C3115" s="2" t="s">
        <v>11</v>
      </c>
      <c r="D3115">
        <v>43</v>
      </c>
      <c r="E3115" s="2" t="s">
        <v>29</v>
      </c>
      <c r="F3115" s="2" t="s">
        <v>17</v>
      </c>
      <c r="G3115">
        <v>86118</v>
      </c>
      <c r="H3115" s="1">
        <v>45194</v>
      </c>
      <c r="I3115">
        <v>2</v>
      </c>
      <c r="J3115">
        <v>4</v>
      </c>
      <c r="K3115">
        <v>8612</v>
      </c>
      <c r="L3115">
        <v>4306</v>
      </c>
      <c r="M3115">
        <v>90424</v>
      </c>
      <c r="N3115">
        <v>0</v>
      </c>
      <c r="O3115">
        <v>94730</v>
      </c>
    </row>
    <row r="3116" spans="1:15" x14ac:dyDescent="0.35">
      <c r="A3116">
        <v>3115</v>
      </c>
      <c r="B3116" s="2" t="s">
        <v>27</v>
      </c>
      <c r="C3116" s="2" t="s">
        <v>11</v>
      </c>
      <c r="D3116">
        <v>27</v>
      </c>
      <c r="E3116" s="2" t="s">
        <v>29</v>
      </c>
      <c r="F3116" s="2" t="s">
        <v>17</v>
      </c>
      <c r="G3116">
        <v>73857</v>
      </c>
      <c r="H3116" s="1">
        <v>45488</v>
      </c>
      <c r="I3116">
        <v>18</v>
      </c>
      <c r="J3116">
        <v>4</v>
      </c>
      <c r="K3116">
        <v>7386</v>
      </c>
      <c r="L3116">
        <v>3693</v>
      </c>
      <c r="M3116">
        <v>77550</v>
      </c>
      <c r="N3116">
        <v>3693</v>
      </c>
      <c r="O3116">
        <v>84936</v>
      </c>
    </row>
    <row r="3117" spans="1:15" x14ac:dyDescent="0.35">
      <c r="A3117">
        <v>3116</v>
      </c>
      <c r="B3117" s="2" t="s">
        <v>23</v>
      </c>
      <c r="C3117" s="2" t="s">
        <v>11</v>
      </c>
      <c r="D3117">
        <v>32</v>
      </c>
      <c r="E3117" s="2" t="s">
        <v>24</v>
      </c>
      <c r="F3117" s="2" t="s">
        <v>21</v>
      </c>
      <c r="G3117">
        <v>71077</v>
      </c>
      <c r="H3117" s="1">
        <v>44675</v>
      </c>
      <c r="I3117">
        <v>9</v>
      </c>
      <c r="J3117">
        <v>3</v>
      </c>
      <c r="K3117">
        <v>7108</v>
      </c>
      <c r="L3117">
        <v>3554</v>
      </c>
      <c r="M3117">
        <v>74631</v>
      </c>
      <c r="N3117">
        <v>3554</v>
      </c>
      <c r="O3117">
        <v>81739</v>
      </c>
    </row>
    <row r="3118" spans="1:15" x14ac:dyDescent="0.35">
      <c r="A3118">
        <v>3117</v>
      </c>
      <c r="B3118" s="2" t="s">
        <v>20</v>
      </c>
      <c r="C3118" s="2" t="s">
        <v>15</v>
      </c>
      <c r="D3118">
        <v>23</v>
      </c>
      <c r="E3118" s="2" t="s">
        <v>29</v>
      </c>
      <c r="F3118" s="2" t="s">
        <v>13</v>
      </c>
      <c r="G3118">
        <v>81895</v>
      </c>
      <c r="H3118" s="1">
        <v>44773</v>
      </c>
      <c r="I3118">
        <v>16</v>
      </c>
      <c r="J3118">
        <v>3</v>
      </c>
      <c r="K3118">
        <v>8190</v>
      </c>
      <c r="L3118">
        <v>4095</v>
      </c>
      <c r="M3118">
        <v>85990</v>
      </c>
      <c r="N3118">
        <v>4095</v>
      </c>
      <c r="O3118">
        <v>94180</v>
      </c>
    </row>
    <row r="3119" spans="1:15" x14ac:dyDescent="0.35">
      <c r="A3119">
        <v>3118</v>
      </c>
      <c r="B3119" s="2" t="s">
        <v>31</v>
      </c>
      <c r="C3119" s="2" t="s">
        <v>15</v>
      </c>
      <c r="D3119">
        <v>30</v>
      </c>
      <c r="E3119" s="2" t="s">
        <v>16</v>
      </c>
      <c r="F3119" s="2" t="s">
        <v>19</v>
      </c>
      <c r="G3119">
        <v>93823</v>
      </c>
      <c r="H3119" s="1">
        <v>45007</v>
      </c>
      <c r="I3119">
        <v>19</v>
      </c>
      <c r="J3119">
        <v>4</v>
      </c>
      <c r="K3119">
        <v>9382</v>
      </c>
      <c r="L3119">
        <v>4691</v>
      </c>
      <c r="M3119">
        <v>98514</v>
      </c>
      <c r="N3119">
        <v>4691</v>
      </c>
      <c r="O3119">
        <v>107896</v>
      </c>
    </row>
    <row r="3120" spans="1:15" x14ac:dyDescent="0.35">
      <c r="A3120">
        <v>3119</v>
      </c>
      <c r="B3120" s="2" t="s">
        <v>27</v>
      </c>
      <c r="C3120" s="2" t="s">
        <v>15</v>
      </c>
      <c r="D3120">
        <v>43</v>
      </c>
      <c r="E3120" s="2" t="s">
        <v>12</v>
      </c>
      <c r="F3120" s="2" t="s">
        <v>21</v>
      </c>
      <c r="G3120">
        <v>71831</v>
      </c>
      <c r="H3120" s="1">
        <v>45185</v>
      </c>
      <c r="I3120">
        <v>9</v>
      </c>
      <c r="J3120">
        <v>4</v>
      </c>
      <c r="K3120">
        <v>7183</v>
      </c>
      <c r="L3120">
        <v>3592</v>
      </c>
      <c r="M3120">
        <v>75422</v>
      </c>
      <c r="N3120">
        <v>3592</v>
      </c>
      <c r="O3120">
        <v>82606</v>
      </c>
    </row>
    <row r="3121" spans="1:15" x14ac:dyDescent="0.35">
      <c r="A3121">
        <v>3120</v>
      </c>
      <c r="B3121" s="2" t="s">
        <v>31</v>
      </c>
      <c r="C3121" s="2" t="s">
        <v>15</v>
      </c>
      <c r="D3121">
        <v>22</v>
      </c>
      <c r="E3121" s="2" t="s">
        <v>12</v>
      </c>
      <c r="F3121" s="2" t="s">
        <v>17</v>
      </c>
      <c r="G3121">
        <v>47011</v>
      </c>
      <c r="H3121" s="1">
        <v>45534</v>
      </c>
      <c r="I3121">
        <v>13</v>
      </c>
      <c r="J3121">
        <v>1</v>
      </c>
      <c r="K3121">
        <v>4701</v>
      </c>
      <c r="L3121">
        <v>2351</v>
      </c>
      <c r="M3121">
        <v>49361</v>
      </c>
      <c r="N3121">
        <v>2351</v>
      </c>
      <c r="O3121">
        <v>54063</v>
      </c>
    </row>
    <row r="3122" spans="1:15" x14ac:dyDescent="0.35">
      <c r="A3122">
        <v>3121</v>
      </c>
      <c r="B3122" s="2" t="s">
        <v>20</v>
      </c>
      <c r="C3122" s="2" t="s">
        <v>11</v>
      </c>
      <c r="D3122">
        <v>39</v>
      </c>
      <c r="E3122" s="2" t="s">
        <v>24</v>
      </c>
      <c r="F3122" s="2" t="s">
        <v>25</v>
      </c>
      <c r="G3122">
        <v>22752</v>
      </c>
      <c r="H3122" s="1">
        <v>45512</v>
      </c>
      <c r="I3122">
        <v>6</v>
      </c>
      <c r="J3122">
        <v>4</v>
      </c>
      <c r="K3122">
        <v>2275</v>
      </c>
      <c r="L3122">
        <v>1138</v>
      </c>
      <c r="M3122">
        <v>23889</v>
      </c>
      <c r="N3122">
        <v>1138</v>
      </c>
      <c r="O3122">
        <v>26165</v>
      </c>
    </row>
    <row r="3123" spans="1:15" x14ac:dyDescent="0.35">
      <c r="A3123">
        <v>3122</v>
      </c>
      <c r="B3123" s="2" t="s">
        <v>10</v>
      </c>
      <c r="C3123" s="2" t="s">
        <v>11</v>
      </c>
      <c r="D3123">
        <v>60</v>
      </c>
      <c r="E3123" s="2" t="s">
        <v>29</v>
      </c>
      <c r="F3123" s="2" t="s">
        <v>13</v>
      </c>
      <c r="G3123">
        <v>49162</v>
      </c>
      <c r="H3123" s="1">
        <v>45360</v>
      </c>
      <c r="I3123">
        <v>6</v>
      </c>
      <c r="J3123">
        <v>1</v>
      </c>
      <c r="K3123">
        <v>4916</v>
      </c>
      <c r="L3123">
        <v>2458</v>
      </c>
      <c r="M3123">
        <v>51620</v>
      </c>
      <c r="N3123">
        <v>2458</v>
      </c>
      <c r="O3123">
        <v>56536</v>
      </c>
    </row>
    <row r="3124" spans="1:15" x14ac:dyDescent="0.35">
      <c r="A3124">
        <v>3123</v>
      </c>
      <c r="B3124" s="2" t="s">
        <v>30</v>
      </c>
      <c r="C3124" s="2" t="s">
        <v>11</v>
      </c>
      <c r="D3124">
        <v>52</v>
      </c>
      <c r="E3124" s="2" t="s">
        <v>29</v>
      </c>
      <c r="F3124" s="2" t="s">
        <v>21</v>
      </c>
      <c r="G3124">
        <v>50575</v>
      </c>
      <c r="H3124" s="1">
        <v>44973</v>
      </c>
      <c r="I3124">
        <v>12</v>
      </c>
      <c r="J3124">
        <v>1</v>
      </c>
      <c r="K3124">
        <v>5058</v>
      </c>
      <c r="L3124">
        <v>2529</v>
      </c>
      <c r="M3124">
        <v>53104</v>
      </c>
      <c r="N3124">
        <v>2529</v>
      </c>
      <c r="O3124">
        <v>58162</v>
      </c>
    </row>
    <row r="3125" spans="1:15" x14ac:dyDescent="0.35">
      <c r="A3125">
        <v>3124</v>
      </c>
      <c r="B3125" s="2" t="s">
        <v>26</v>
      </c>
      <c r="C3125" s="2" t="s">
        <v>11</v>
      </c>
      <c r="D3125">
        <v>59</v>
      </c>
      <c r="E3125" s="2" t="s">
        <v>12</v>
      </c>
      <c r="F3125" s="2" t="s">
        <v>17</v>
      </c>
      <c r="G3125">
        <v>97988</v>
      </c>
      <c r="H3125" s="1">
        <v>45097</v>
      </c>
      <c r="I3125">
        <v>16</v>
      </c>
      <c r="J3125">
        <v>2</v>
      </c>
      <c r="K3125">
        <v>9799</v>
      </c>
      <c r="L3125">
        <v>4899</v>
      </c>
      <c r="M3125">
        <v>102888</v>
      </c>
      <c r="N3125">
        <v>4899</v>
      </c>
      <c r="O3125">
        <v>112686</v>
      </c>
    </row>
    <row r="3126" spans="1:15" x14ac:dyDescent="0.35">
      <c r="A3126">
        <v>3125</v>
      </c>
      <c r="B3126" s="2" t="s">
        <v>18</v>
      </c>
      <c r="C3126" s="2" t="s">
        <v>15</v>
      </c>
      <c r="D3126">
        <v>55</v>
      </c>
      <c r="E3126" s="2" t="s">
        <v>16</v>
      </c>
      <c r="F3126" s="2" t="s">
        <v>13</v>
      </c>
      <c r="G3126">
        <v>51062</v>
      </c>
      <c r="H3126" s="1">
        <v>44674</v>
      </c>
      <c r="I3126">
        <v>5</v>
      </c>
      <c r="J3126">
        <v>2</v>
      </c>
      <c r="K3126">
        <v>5106</v>
      </c>
      <c r="L3126">
        <v>2553</v>
      </c>
      <c r="M3126">
        <v>53615</v>
      </c>
      <c r="N3126">
        <v>0</v>
      </c>
      <c r="O3126">
        <v>56168</v>
      </c>
    </row>
    <row r="3127" spans="1:15" x14ac:dyDescent="0.35">
      <c r="A3127">
        <v>3126</v>
      </c>
      <c r="B3127" s="2" t="s">
        <v>22</v>
      </c>
      <c r="C3127" s="2" t="s">
        <v>11</v>
      </c>
      <c r="D3127">
        <v>57</v>
      </c>
      <c r="E3127" s="2" t="s">
        <v>24</v>
      </c>
      <c r="F3127" s="2" t="s">
        <v>21</v>
      </c>
      <c r="G3127">
        <v>91127</v>
      </c>
      <c r="H3127" s="1">
        <v>44770</v>
      </c>
      <c r="I3127">
        <v>10</v>
      </c>
      <c r="J3127">
        <v>5</v>
      </c>
      <c r="K3127">
        <v>9113</v>
      </c>
      <c r="L3127">
        <v>4556</v>
      </c>
      <c r="M3127">
        <v>95684</v>
      </c>
      <c r="N3127">
        <v>4556</v>
      </c>
      <c r="O3127">
        <v>104796</v>
      </c>
    </row>
    <row r="3128" spans="1:15" x14ac:dyDescent="0.35">
      <c r="A3128">
        <v>3127</v>
      </c>
      <c r="B3128" s="2" t="s">
        <v>30</v>
      </c>
      <c r="C3128" s="2" t="s">
        <v>15</v>
      </c>
      <c r="D3128">
        <v>23</v>
      </c>
      <c r="E3128" s="2" t="s">
        <v>28</v>
      </c>
      <c r="F3128" s="2" t="s">
        <v>13</v>
      </c>
      <c r="G3128">
        <v>44542</v>
      </c>
      <c r="H3128" s="1">
        <v>45446</v>
      </c>
      <c r="I3128">
        <v>6</v>
      </c>
      <c r="J3128">
        <v>3</v>
      </c>
      <c r="K3128">
        <v>4454</v>
      </c>
      <c r="L3128">
        <v>2227</v>
      </c>
      <c r="M3128">
        <v>46769</v>
      </c>
      <c r="N3128">
        <v>2227</v>
      </c>
      <c r="O3128">
        <v>51223</v>
      </c>
    </row>
    <row r="3129" spans="1:15" x14ac:dyDescent="0.35">
      <c r="A3129">
        <v>3128</v>
      </c>
      <c r="B3129" s="2" t="s">
        <v>14</v>
      </c>
      <c r="C3129" s="2" t="s">
        <v>15</v>
      </c>
      <c r="D3129">
        <v>21</v>
      </c>
      <c r="E3129" s="2" t="s">
        <v>16</v>
      </c>
      <c r="F3129" s="2" t="s">
        <v>25</v>
      </c>
      <c r="G3129">
        <v>63016</v>
      </c>
      <c r="H3129" s="1">
        <v>45008</v>
      </c>
      <c r="I3129">
        <v>19</v>
      </c>
      <c r="J3129">
        <v>3</v>
      </c>
      <c r="K3129">
        <v>6302</v>
      </c>
      <c r="L3129">
        <v>3151</v>
      </c>
      <c r="M3129">
        <v>66167</v>
      </c>
      <c r="N3129">
        <v>3151</v>
      </c>
      <c r="O3129">
        <v>72469</v>
      </c>
    </row>
    <row r="3130" spans="1:15" x14ac:dyDescent="0.35">
      <c r="A3130">
        <v>3129</v>
      </c>
      <c r="B3130" s="2" t="s">
        <v>10</v>
      </c>
      <c r="C3130" s="2" t="s">
        <v>15</v>
      </c>
      <c r="D3130">
        <v>45</v>
      </c>
      <c r="E3130" s="2" t="s">
        <v>12</v>
      </c>
      <c r="F3130" s="2" t="s">
        <v>21</v>
      </c>
      <c r="G3130">
        <v>71806</v>
      </c>
      <c r="H3130" s="1">
        <v>45086</v>
      </c>
      <c r="I3130">
        <v>13</v>
      </c>
      <c r="J3130">
        <v>3</v>
      </c>
      <c r="K3130">
        <v>7181</v>
      </c>
      <c r="L3130">
        <v>3590</v>
      </c>
      <c r="M3130">
        <v>75397</v>
      </c>
      <c r="N3130">
        <v>3590</v>
      </c>
      <c r="O3130">
        <v>82577</v>
      </c>
    </row>
    <row r="3131" spans="1:15" x14ac:dyDescent="0.35">
      <c r="A3131">
        <v>3130</v>
      </c>
      <c r="B3131" s="2" t="s">
        <v>10</v>
      </c>
      <c r="C3131" s="2" t="s">
        <v>11</v>
      </c>
      <c r="D3131">
        <v>28</v>
      </c>
      <c r="E3131" s="2" t="s">
        <v>24</v>
      </c>
      <c r="F3131" s="2" t="s">
        <v>17</v>
      </c>
      <c r="G3131">
        <v>48911</v>
      </c>
      <c r="H3131" s="1">
        <v>45416</v>
      </c>
      <c r="I3131">
        <v>3</v>
      </c>
      <c r="J3131">
        <v>2</v>
      </c>
      <c r="K3131">
        <v>4891</v>
      </c>
      <c r="L3131">
        <v>2446</v>
      </c>
      <c r="M3131">
        <v>51356</v>
      </c>
      <c r="N3131">
        <v>0</v>
      </c>
      <c r="O3131">
        <v>53802</v>
      </c>
    </row>
    <row r="3132" spans="1:15" x14ac:dyDescent="0.35">
      <c r="A3132">
        <v>3131</v>
      </c>
      <c r="B3132" s="2" t="s">
        <v>23</v>
      </c>
      <c r="C3132" s="2" t="s">
        <v>11</v>
      </c>
      <c r="D3132">
        <v>36</v>
      </c>
      <c r="E3132" s="2" t="s">
        <v>16</v>
      </c>
      <c r="F3132" s="2" t="s">
        <v>13</v>
      </c>
      <c r="G3132">
        <v>54569</v>
      </c>
      <c r="H3132" s="1">
        <v>45436</v>
      </c>
      <c r="I3132">
        <v>15</v>
      </c>
      <c r="J3132">
        <v>5</v>
      </c>
      <c r="K3132">
        <v>5457</v>
      </c>
      <c r="L3132">
        <v>2728</v>
      </c>
      <c r="M3132">
        <v>57298</v>
      </c>
      <c r="N3132">
        <v>2728</v>
      </c>
      <c r="O3132">
        <v>62754</v>
      </c>
    </row>
    <row r="3133" spans="1:15" x14ac:dyDescent="0.35">
      <c r="A3133">
        <v>3132</v>
      </c>
      <c r="B3133" s="2" t="s">
        <v>27</v>
      </c>
      <c r="C3133" s="2" t="s">
        <v>15</v>
      </c>
      <c r="D3133">
        <v>30</v>
      </c>
      <c r="E3133" s="2" t="s">
        <v>12</v>
      </c>
      <c r="F3133" s="2" t="s">
        <v>21</v>
      </c>
      <c r="G3133">
        <v>37074</v>
      </c>
      <c r="H3133" s="1">
        <v>45164</v>
      </c>
      <c r="I3133">
        <v>10</v>
      </c>
      <c r="J3133">
        <v>2</v>
      </c>
      <c r="K3133">
        <v>3707</v>
      </c>
      <c r="L3133">
        <v>1854</v>
      </c>
      <c r="M3133">
        <v>38927</v>
      </c>
      <c r="N3133">
        <v>1854</v>
      </c>
      <c r="O3133">
        <v>42635</v>
      </c>
    </row>
    <row r="3134" spans="1:15" x14ac:dyDescent="0.35">
      <c r="A3134">
        <v>3133</v>
      </c>
      <c r="B3134" s="2" t="s">
        <v>23</v>
      </c>
      <c r="C3134" s="2" t="s">
        <v>11</v>
      </c>
      <c r="D3134">
        <v>26</v>
      </c>
      <c r="E3134" s="2" t="s">
        <v>16</v>
      </c>
      <c r="F3134" s="2" t="s">
        <v>25</v>
      </c>
      <c r="G3134">
        <v>92696</v>
      </c>
      <c r="H3134" s="1">
        <v>44828</v>
      </c>
      <c r="I3134">
        <v>17</v>
      </c>
      <c r="J3134">
        <v>1</v>
      </c>
      <c r="K3134">
        <v>9270</v>
      </c>
      <c r="L3134">
        <v>4635</v>
      </c>
      <c r="M3134">
        <v>97331</v>
      </c>
      <c r="N3134">
        <v>4635</v>
      </c>
      <c r="O3134">
        <v>106601</v>
      </c>
    </row>
    <row r="3135" spans="1:15" x14ac:dyDescent="0.35">
      <c r="A3135">
        <v>3134</v>
      </c>
      <c r="B3135" s="2" t="s">
        <v>10</v>
      </c>
      <c r="C3135" s="2" t="s">
        <v>11</v>
      </c>
      <c r="D3135">
        <v>52</v>
      </c>
      <c r="E3135" s="2" t="s">
        <v>29</v>
      </c>
      <c r="F3135" s="2" t="s">
        <v>17</v>
      </c>
      <c r="G3135">
        <v>85325</v>
      </c>
      <c r="H3135" s="1">
        <v>45298</v>
      </c>
      <c r="I3135">
        <v>12</v>
      </c>
      <c r="J3135">
        <v>2</v>
      </c>
      <c r="K3135">
        <v>8532</v>
      </c>
      <c r="L3135">
        <v>4266</v>
      </c>
      <c r="M3135">
        <v>89591</v>
      </c>
      <c r="N3135">
        <v>4266</v>
      </c>
      <c r="O3135">
        <v>98123</v>
      </c>
    </row>
    <row r="3136" spans="1:15" x14ac:dyDescent="0.35">
      <c r="A3136">
        <v>3135</v>
      </c>
      <c r="B3136" s="2" t="s">
        <v>31</v>
      </c>
      <c r="C3136" s="2" t="s">
        <v>15</v>
      </c>
      <c r="D3136">
        <v>56</v>
      </c>
      <c r="E3136" s="2" t="s">
        <v>24</v>
      </c>
      <c r="F3136" s="2" t="s">
        <v>25</v>
      </c>
      <c r="G3136">
        <v>53503</v>
      </c>
      <c r="H3136" s="1">
        <v>44902</v>
      </c>
      <c r="I3136">
        <v>12</v>
      </c>
      <c r="J3136">
        <v>2</v>
      </c>
      <c r="K3136">
        <v>5350</v>
      </c>
      <c r="L3136">
        <v>2675</v>
      </c>
      <c r="M3136">
        <v>56178</v>
      </c>
      <c r="N3136">
        <v>2675</v>
      </c>
      <c r="O3136">
        <v>61528</v>
      </c>
    </row>
    <row r="3137" spans="1:15" x14ac:dyDescent="0.35">
      <c r="A3137">
        <v>3136</v>
      </c>
      <c r="B3137" s="2" t="s">
        <v>20</v>
      </c>
      <c r="C3137" s="2" t="s">
        <v>15</v>
      </c>
      <c r="D3137">
        <v>59</v>
      </c>
      <c r="E3137" s="2" t="s">
        <v>29</v>
      </c>
      <c r="F3137" s="2" t="s">
        <v>17</v>
      </c>
      <c r="G3137">
        <v>92464</v>
      </c>
      <c r="H3137" s="1">
        <v>45458</v>
      </c>
      <c r="I3137">
        <v>20</v>
      </c>
      <c r="J3137">
        <v>3</v>
      </c>
      <c r="K3137">
        <v>9246</v>
      </c>
      <c r="L3137">
        <v>4623</v>
      </c>
      <c r="M3137">
        <v>97087</v>
      </c>
      <c r="N3137">
        <v>4623</v>
      </c>
      <c r="O3137">
        <v>106333</v>
      </c>
    </row>
    <row r="3138" spans="1:15" x14ac:dyDescent="0.35">
      <c r="A3138">
        <v>3137</v>
      </c>
      <c r="B3138" s="2" t="s">
        <v>31</v>
      </c>
      <c r="C3138" s="2" t="s">
        <v>11</v>
      </c>
      <c r="D3138">
        <v>57</v>
      </c>
      <c r="E3138" s="2" t="s">
        <v>12</v>
      </c>
      <c r="F3138" s="2" t="s">
        <v>17</v>
      </c>
      <c r="G3138">
        <v>33398</v>
      </c>
      <c r="H3138" s="1">
        <v>44692</v>
      </c>
      <c r="I3138">
        <v>3</v>
      </c>
      <c r="J3138">
        <v>3</v>
      </c>
      <c r="K3138">
        <v>3340</v>
      </c>
      <c r="L3138">
        <v>1670</v>
      </c>
      <c r="M3138">
        <v>35068</v>
      </c>
      <c r="N3138">
        <v>0</v>
      </c>
      <c r="O3138">
        <v>36738</v>
      </c>
    </row>
    <row r="3139" spans="1:15" x14ac:dyDescent="0.35">
      <c r="A3139">
        <v>3138</v>
      </c>
      <c r="B3139" s="2" t="s">
        <v>27</v>
      </c>
      <c r="C3139" s="2" t="s">
        <v>11</v>
      </c>
      <c r="D3139">
        <v>30</v>
      </c>
      <c r="E3139" s="2" t="s">
        <v>29</v>
      </c>
      <c r="F3139" s="2" t="s">
        <v>19</v>
      </c>
      <c r="G3139">
        <v>50062</v>
      </c>
      <c r="H3139" s="1">
        <v>44980</v>
      </c>
      <c r="I3139">
        <v>17</v>
      </c>
      <c r="J3139">
        <v>1</v>
      </c>
      <c r="K3139">
        <v>5006</v>
      </c>
      <c r="L3139">
        <v>2503</v>
      </c>
      <c r="M3139">
        <v>52565</v>
      </c>
      <c r="N3139">
        <v>2503</v>
      </c>
      <c r="O3139">
        <v>57571</v>
      </c>
    </row>
    <row r="3140" spans="1:15" x14ac:dyDescent="0.35">
      <c r="A3140">
        <v>3139</v>
      </c>
      <c r="B3140" s="2" t="s">
        <v>18</v>
      </c>
      <c r="C3140" s="2" t="s">
        <v>15</v>
      </c>
      <c r="D3140">
        <v>43</v>
      </c>
      <c r="E3140" s="2" t="s">
        <v>16</v>
      </c>
      <c r="F3140" s="2" t="s">
        <v>17</v>
      </c>
      <c r="G3140">
        <v>22423</v>
      </c>
      <c r="H3140" s="1">
        <v>45097</v>
      </c>
      <c r="I3140">
        <v>5</v>
      </c>
      <c r="J3140">
        <v>5</v>
      </c>
      <c r="K3140">
        <v>2242</v>
      </c>
      <c r="L3140">
        <v>1121</v>
      </c>
      <c r="M3140">
        <v>23544</v>
      </c>
      <c r="N3140">
        <v>0</v>
      </c>
      <c r="O3140">
        <v>24665</v>
      </c>
    </row>
    <row r="3141" spans="1:15" x14ac:dyDescent="0.35">
      <c r="A3141">
        <v>3140</v>
      </c>
      <c r="B3141" s="2" t="s">
        <v>30</v>
      </c>
      <c r="C3141" s="2" t="s">
        <v>11</v>
      </c>
      <c r="D3141">
        <v>26</v>
      </c>
      <c r="E3141" s="2" t="s">
        <v>12</v>
      </c>
      <c r="F3141" s="2" t="s">
        <v>13</v>
      </c>
      <c r="G3141">
        <v>48787</v>
      </c>
      <c r="H3141" s="1">
        <v>45393</v>
      </c>
      <c r="I3141">
        <v>17</v>
      </c>
      <c r="J3141">
        <v>5</v>
      </c>
      <c r="K3141">
        <v>4879</v>
      </c>
      <c r="L3141">
        <v>2439</v>
      </c>
      <c r="M3141">
        <v>51227</v>
      </c>
      <c r="N3141">
        <v>2439</v>
      </c>
      <c r="O3141">
        <v>56105</v>
      </c>
    </row>
    <row r="3142" spans="1:15" x14ac:dyDescent="0.35">
      <c r="A3142">
        <v>3141</v>
      </c>
      <c r="B3142" s="2" t="s">
        <v>30</v>
      </c>
      <c r="C3142" s="2" t="s">
        <v>15</v>
      </c>
      <c r="D3142">
        <v>52</v>
      </c>
      <c r="E3142" s="2" t="s">
        <v>28</v>
      </c>
      <c r="F3142" s="2" t="s">
        <v>13</v>
      </c>
      <c r="G3142">
        <v>85510</v>
      </c>
      <c r="H3142" s="1">
        <v>45133</v>
      </c>
      <c r="I3142">
        <v>11</v>
      </c>
      <c r="J3142">
        <v>5</v>
      </c>
      <c r="K3142">
        <v>8551</v>
      </c>
      <c r="L3142">
        <v>4276</v>
      </c>
      <c r="M3142">
        <v>89785</v>
      </c>
      <c r="N3142">
        <v>4276</v>
      </c>
      <c r="O3142">
        <v>98337</v>
      </c>
    </row>
    <row r="3143" spans="1:15" x14ac:dyDescent="0.35">
      <c r="A3143">
        <v>3142</v>
      </c>
      <c r="B3143" s="2" t="s">
        <v>10</v>
      </c>
      <c r="C3143" s="2" t="s">
        <v>15</v>
      </c>
      <c r="D3143">
        <v>48</v>
      </c>
      <c r="E3143" s="2" t="s">
        <v>24</v>
      </c>
      <c r="F3143" s="2" t="s">
        <v>17</v>
      </c>
      <c r="G3143">
        <v>77547</v>
      </c>
      <c r="H3143" s="1">
        <v>45002</v>
      </c>
      <c r="I3143">
        <v>13</v>
      </c>
      <c r="J3143">
        <v>3</v>
      </c>
      <c r="K3143">
        <v>7755</v>
      </c>
      <c r="L3143">
        <v>3877</v>
      </c>
      <c r="M3143">
        <v>81425</v>
      </c>
      <c r="N3143">
        <v>3877</v>
      </c>
      <c r="O3143">
        <v>89179</v>
      </c>
    </row>
    <row r="3144" spans="1:15" x14ac:dyDescent="0.35">
      <c r="A3144">
        <v>3143</v>
      </c>
      <c r="B3144" s="2" t="s">
        <v>20</v>
      </c>
      <c r="C3144" s="2" t="s">
        <v>11</v>
      </c>
      <c r="D3144">
        <v>42</v>
      </c>
      <c r="E3144" s="2" t="s">
        <v>16</v>
      </c>
      <c r="F3144" s="2" t="s">
        <v>19</v>
      </c>
      <c r="G3144">
        <v>37542</v>
      </c>
      <c r="H3144" s="1">
        <v>45513</v>
      </c>
      <c r="I3144">
        <v>19</v>
      </c>
      <c r="J3144">
        <v>5</v>
      </c>
      <c r="K3144">
        <v>3754</v>
      </c>
      <c r="L3144">
        <v>1877</v>
      </c>
      <c r="M3144">
        <v>39419</v>
      </c>
      <c r="N3144">
        <v>1877</v>
      </c>
      <c r="O3144">
        <v>43173</v>
      </c>
    </row>
    <row r="3145" spans="1:15" x14ac:dyDescent="0.35">
      <c r="A3145">
        <v>3144</v>
      </c>
      <c r="B3145" s="2" t="s">
        <v>14</v>
      </c>
      <c r="C3145" s="2" t="s">
        <v>15</v>
      </c>
      <c r="D3145">
        <v>32</v>
      </c>
      <c r="E3145" s="2" t="s">
        <v>12</v>
      </c>
      <c r="F3145" s="2" t="s">
        <v>21</v>
      </c>
      <c r="G3145">
        <v>73779</v>
      </c>
      <c r="H3145" s="1">
        <v>45509</v>
      </c>
      <c r="I3145">
        <v>13</v>
      </c>
      <c r="J3145">
        <v>2</v>
      </c>
      <c r="K3145">
        <v>7378</v>
      </c>
      <c r="L3145">
        <v>3689</v>
      </c>
      <c r="M3145">
        <v>77468</v>
      </c>
      <c r="N3145">
        <v>3689</v>
      </c>
      <c r="O3145">
        <v>84846</v>
      </c>
    </row>
    <row r="3146" spans="1:15" x14ac:dyDescent="0.35">
      <c r="A3146">
        <v>3145</v>
      </c>
      <c r="B3146" s="2" t="s">
        <v>20</v>
      </c>
      <c r="C3146" s="2" t="s">
        <v>15</v>
      </c>
      <c r="D3146">
        <v>39</v>
      </c>
      <c r="E3146" s="2" t="s">
        <v>29</v>
      </c>
      <c r="F3146" s="2" t="s">
        <v>17</v>
      </c>
      <c r="G3146">
        <v>44268</v>
      </c>
      <c r="H3146" s="1">
        <v>44684</v>
      </c>
      <c r="I3146">
        <v>13</v>
      </c>
      <c r="J3146">
        <v>3</v>
      </c>
      <c r="K3146">
        <v>4427</v>
      </c>
      <c r="L3146">
        <v>2213</v>
      </c>
      <c r="M3146">
        <v>46482</v>
      </c>
      <c r="N3146">
        <v>2213</v>
      </c>
      <c r="O3146">
        <v>50908</v>
      </c>
    </row>
    <row r="3147" spans="1:15" x14ac:dyDescent="0.35">
      <c r="A3147">
        <v>3146</v>
      </c>
      <c r="B3147" s="2" t="s">
        <v>10</v>
      </c>
      <c r="C3147" s="2" t="s">
        <v>15</v>
      </c>
      <c r="D3147">
        <v>44</v>
      </c>
      <c r="E3147" s="2" t="s">
        <v>28</v>
      </c>
      <c r="F3147" s="2" t="s">
        <v>21</v>
      </c>
      <c r="G3147">
        <v>54463</v>
      </c>
      <c r="H3147" s="1">
        <v>44732</v>
      </c>
      <c r="I3147">
        <v>15</v>
      </c>
      <c r="J3147">
        <v>4</v>
      </c>
      <c r="K3147">
        <v>5446</v>
      </c>
      <c r="L3147">
        <v>2723</v>
      </c>
      <c r="M3147">
        <v>57186</v>
      </c>
      <c r="N3147">
        <v>2723</v>
      </c>
      <c r="O3147">
        <v>62632</v>
      </c>
    </row>
    <row r="3148" spans="1:15" x14ac:dyDescent="0.35">
      <c r="A3148">
        <v>3147</v>
      </c>
      <c r="B3148" s="2" t="s">
        <v>26</v>
      </c>
      <c r="C3148" s="2" t="s">
        <v>11</v>
      </c>
      <c r="D3148">
        <v>40</v>
      </c>
      <c r="E3148" s="2" t="s">
        <v>16</v>
      </c>
      <c r="F3148" s="2" t="s">
        <v>17</v>
      </c>
      <c r="G3148">
        <v>97889</v>
      </c>
      <c r="H3148" s="1">
        <v>45477</v>
      </c>
      <c r="I3148">
        <v>4</v>
      </c>
      <c r="J3148">
        <v>3</v>
      </c>
      <c r="K3148">
        <v>9789</v>
      </c>
      <c r="L3148">
        <v>4894</v>
      </c>
      <c r="M3148">
        <v>102784</v>
      </c>
      <c r="N3148">
        <v>0</v>
      </c>
      <c r="O3148">
        <v>107678</v>
      </c>
    </row>
    <row r="3149" spans="1:15" x14ac:dyDescent="0.35">
      <c r="A3149">
        <v>3148</v>
      </c>
      <c r="B3149" s="2" t="s">
        <v>30</v>
      </c>
      <c r="C3149" s="2" t="s">
        <v>15</v>
      </c>
      <c r="D3149">
        <v>31</v>
      </c>
      <c r="E3149" s="2" t="s">
        <v>12</v>
      </c>
      <c r="F3149" s="2" t="s">
        <v>17</v>
      </c>
      <c r="G3149">
        <v>32756</v>
      </c>
      <c r="H3149" s="1">
        <v>44717</v>
      </c>
      <c r="I3149">
        <v>2</v>
      </c>
      <c r="J3149">
        <v>2</v>
      </c>
      <c r="K3149">
        <v>3276</v>
      </c>
      <c r="L3149">
        <v>1638</v>
      </c>
      <c r="M3149">
        <v>34394</v>
      </c>
      <c r="N3149">
        <v>0</v>
      </c>
      <c r="O3149">
        <v>36032</v>
      </c>
    </row>
    <row r="3150" spans="1:15" x14ac:dyDescent="0.35">
      <c r="A3150">
        <v>3149</v>
      </c>
      <c r="B3150" s="2" t="s">
        <v>23</v>
      </c>
      <c r="C3150" s="2" t="s">
        <v>15</v>
      </c>
      <c r="D3150">
        <v>40</v>
      </c>
      <c r="E3150" s="2" t="s">
        <v>12</v>
      </c>
      <c r="F3150" s="2" t="s">
        <v>25</v>
      </c>
      <c r="G3150">
        <v>91146</v>
      </c>
      <c r="H3150" s="1">
        <v>45018</v>
      </c>
      <c r="I3150">
        <v>12</v>
      </c>
      <c r="J3150">
        <v>5</v>
      </c>
      <c r="K3150">
        <v>9115</v>
      </c>
      <c r="L3150">
        <v>4557</v>
      </c>
      <c r="M3150">
        <v>95704</v>
      </c>
      <c r="N3150">
        <v>4557</v>
      </c>
      <c r="O3150">
        <v>104818</v>
      </c>
    </row>
    <row r="3151" spans="1:15" x14ac:dyDescent="0.35">
      <c r="A3151">
        <v>3150</v>
      </c>
      <c r="B3151" s="2" t="s">
        <v>26</v>
      </c>
      <c r="C3151" s="2" t="s">
        <v>15</v>
      </c>
      <c r="D3151">
        <v>25</v>
      </c>
      <c r="E3151" s="2" t="s">
        <v>28</v>
      </c>
      <c r="F3151" s="2" t="s">
        <v>17</v>
      </c>
      <c r="G3151">
        <v>40609</v>
      </c>
      <c r="H3151" s="1">
        <v>45315</v>
      </c>
      <c r="I3151">
        <v>8</v>
      </c>
      <c r="J3151">
        <v>4</v>
      </c>
      <c r="K3151">
        <v>4061</v>
      </c>
      <c r="L3151">
        <v>2030</v>
      </c>
      <c r="M3151">
        <v>42640</v>
      </c>
      <c r="N3151">
        <v>2030</v>
      </c>
      <c r="O3151">
        <v>46700</v>
      </c>
    </row>
    <row r="3152" spans="1:15" x14ac:dyDescent="0.35">
      <c r="A3152">
        <v>3151</v>
      </c>
      <c r="B3152" s="2" t="s">
        <v>27</v>
      </c>
      <c r="C3152" s="2" t="s">
        <v>11</v>
      </c>
      <c r="D3152">
        <v>29</v>
      </c>
      <c r="E3152" s="2" t="s">
        <v>16</v>
      </c>
      <c r="F3152" s="2" t="s">
        <v>25</v>
      </c>
      <c r="G3152">
        <v>83817</v>
      </c>
      <c r="H3152" s="1">
        <v>44711</v>
      </c>
      <c r="I3152">
        <v>19</v>
      </c>
      <c r="J3152">
        <v>1</v>
      </c>
      <c r="K3152">
        <v>8382</v>
      </c>
      <c r="L3152">
        <v>4191</v>
      </c>
      <c r="M3152">
        <v>88008</v>
      </c>
      <c r="N3152">
        <v>4191</v>
      </c>
      <c r="O3152">
        <v>96390</v>
      </c>
    </row>
    <row r="3153" spans="1:15" x14ac:dyDescent="0.35">
      <c r="A3153">
        <v>3152</v>
      </c>
      <c r="B3153" s="2" t="s">
        <v>18</v>
      </c>
      <c r="C3153" s="2" t="s">
        <v>11</v>
      </c>
      <c r="D3153">
        <v>25</v>
      </c>
      <c r="E3153" s="2" t="s">
        <v>24</v>
      </c>
      <c r="F3153" s="2" t="s">
        <v>13</v>
      </c>
      <c r="G3153">
        <v>94921</v>
      </c>
      <c r="H3153" s="1">
        <v>45475</v>
      </c>
      <c r="I3153">
        <v>7</v>
      </c>
      <c r="J3153">
        <v>1</v>
      </c>
      <c r="K3153">
        <v>9492</v>
      </c>
      <c r="L3153">
        <v>4746</v>
      </c>
      <c r="M3153">
        <v>99667</v>
      </c>
      <c r="N3153">
        <v>4746</v>
      </c>
      <c r="O3153">
        <v>109159</v>
      </c>
    </row>
    <row r="3154" spans="1:15" x14ac:dyDescent="0.35">
      <c r="A3154">
        <v>3153</v>
      </c>
      <c r="B3154" s="2" t="s">
        <v>31</v>
      </c>
      <c r="C3154" s="2" t="s">
        <v>11</v>
      </c>
      <c r="D3154">
        <v>44</v>
      </c>
      <c r="E3154" s="2" t="s">
        <v>12</v>
      </c>
      <c r="F3154" s="2" t="s">
        <v>17</v>
      </c>
      <c r="G3154">
        <v>71459</v>
      </c>
      <c r="H3154" s="1">
        <v>45129</v>
      </c>
      <c r="I3154">
        <v>1</v>
      </c>
      <c r="J3154">
        <v>1</v>
      </c>
      <c r="K3154">
        <v>7146</v>
      </c>
      <c r="L3154">
        <v>3573</v>
      </c>
      <c r="M3154">
        <v>75032</v>
      </c>
      <c r="N3154">
        <v>0</v>
      </c>
      <c r="O3154">
        <v>78605</v>
      </c>
    </row>
    <row r="3155" spans="1:15" x14ac:dyDescent="0.35">
      <c r="A3155">
        <v>3154</v>
      </c>
      <c r="B3155" s="2" t="s">
        <v>30</v>
      </c>
      <c r="C3155" s="2" t="s">
        <v>11</v>
      </c>
      <c r="D3155">
        <v>59</v>
      </c>
      <c r="E3155" s="2" t="s">
        <v>12</v>
      </c>
      <c r="F3155" s="2" t="s">
        <v>21</v>
      </c>
      <c r="G3155">
        <v>94960</v>
      </c>
      <c r="H3155" s="1">
        <v>45489</v>
      </c>
      <c r="I3155">
        <v>3</v>
      </c>
      <c r="J3155">
        <v>1</v>
      </c>
      <c r="K3155">
        <v>9496</v>
      </c>
      <c r="L3155">
        <v>4748</v>
      </c>
      <c r="M3155">
        <v>99708</v>
      </c>
      <c r="N3155">
        <v>0</v>
      </c>
      <c r="O3155">
        <v>104456</v>
      </c>
    </row>
    <row r="3156" spans="1:15" x14ac:dyDescent="0.35">
      <c r="A3156">
        <v>3155</v>
      </c>
      <c r="B3156" s="2" t="s">
        <v>14</v>
      </c>
      <c r="C3156" s="2" t="s">
        <v>15</v>
      </c>
      <c r="D3156">
        <v>49</v>
      </c>
      <c r="E3156" s="2" t="s">
        <v>28</v>
      </c>
      <c r="F3156" s="2" t="s">
        <v>17</v>
      </c>
      <c r="G3156">
        <v>57365</v>
      </c>
      <c r="H3156" s="1">
        <v>45420</v>
      </c>
      <c r="I3156">
        <v>14</v>
      </c>
      <c r="J3156">
        <v>3</v>
      </c>
      <c r="K3156">
        <v>5736</v>
      </c>
      <c r="L3156">
        <v>2868</v>
      </c>
      <c r="M3156">
        <v>60233</v>
      </c>
      <c r="N3156">
        <v>2868</v>
      </c>
      <c r="O3156">
        <v>65969</v>
      </c>
    </row>
    <row r="3157" spans="1:15" x14ac:dyDescent="0.35">
      <c r="A3157">
        <v>3156</v>
      </c>
      <c r="B3157" s="2" t="s">
        <v>23</v>
      </c>
      <c r="C3157" s="2" t="s">
        <v>11</v>
      </c>
      <c r="D3157">
        <v>27</v>
      </c>
      <c r="E3157" s="2" t="s">
        <v>24</v>
      </c>
      <c r="F3157" s="2" t="s">
        <v>21</v>
      </c>
      <c r="G3157">
        <v>21494</v>
      </c>
      <c r="H3157" s="1">
        <v>44844</v>
      </c>
      <c r="I3157">
        <v>13</v>
      </c>
      <c r="J3157">
        <v>5</v>
      </c>
      <c r="K3157">
        <v>2149</v>
      </c>
      <c r="L3157">
        <v>1075</v>
      </c>
      <c r="M3157">
        <v>22568</v>
      </c>
      <c r="N3157">
        <v>1075</v>
      </c>
      <c r="O3157">
        <v>24718</v>
      </c>
    </row>
    <row r="3158" spans="1:15" x14ac:dyDescent="0.35">
      <c r="A3158">
        <v>3157</v>
      </c>
      <c r="B3158" s="2" t="s">
        <v>14</v>
      </c>
      <c r="C3158" s="2" t="s">
        <v>11</v>
      </c>
      <c r="D3158">
        <v>44</v>
      </c>
      <c r="E3158" s="2" t="s">
        <v>12</v>
      </c>
      <c r="F3158" s="2" t="s">
        <v>19</v>
      </c>
      <c r="G3158">
        <v>52560</v>
      </c>
      <c r="H3158" s="1">
        <v>45527</v>
      </c>
      <c r="I3158">
        <v>4</v>
      </c>
      <c r="J3158">
        <v>5</v>
      </c>
      <c r="K3158">
        <v>5256</v>
      </c>
      <c r="L3158">
        <v>2628</v>
      </c>
      <c r="M3158">
        <v>55188</v>
      </c>
      <c r="N3158">
        <v>0</v>
      </c>
      <c r="O3158">
        <v>57816</v>
      </c>
    </row>
    <row r="3159" spans="1:15" x14ac:dyDescent="0.35">
      <c r="A3159">
        <v>3158</v>
      </c>
      <c r="B3159" s="2" t="s">
        <v>26</v>
      </c>
      <c r="C3159" s="2" t="s">
        <v>11</v>
      </c>
      <c r="D3159">
        <v>40</v>
      </c>
      <c r="E3159" s="2" t="s">
        <v>28</v>
      </c>
      <c r="F3159" s="2" t="s">
        <v>13</v>
      </c>
      <c r="G3159">
        <v>92419</v>
      </c>
      <c r="H3159" s="1">
        <v>45269</v>
      </c>
      <c r="I3159">
        <v>3</v>
      </c>
      <c r="J3159">
        <v>2</v>
      </c>
      <c r="K3159">
        <v>9242</v>
      </c>
      <c r="L3159">
        <v>4621</v>
      </c>
      <c r="M3159">
        <v>97040</v>
      </c>
      <c r="N3159">
        <v>0</v>
      </c>
      <c r="O3159">
        <v>101661</v>
      </c>
    </row>
    <row r="3160" spans="1:15" x14ac:dyDescent="0.35">
      <c r="A3160">
        <v>3159</v>
      </c>
      <c r="B3160" s="2" t="s">
        <v>20</v>
      </c>
      <c r="C3160" s="2" t="s">
        <v>15</v>
      </c>
      <c r="D3160">
        <v>41</v>
      </c>
      <c r="E3160" s="2" t="s">
        <v>29</v>
      </c>
      <c r="F3160" s="2" t="s">
        <v>21</v>
      </c>
      <c r="G3160">
        <v>71137</v>
      </c>
      <c r="H3160" s="1">
        <v>45039</v>
      </c>
      <c r="I3160">
        <v>8</v>
      </c>
      <c r="J3160">
        <v>1</v>
      </c>
      <c r="K3160">
        <v>7114</v>
      </c>
      <c r="L3160">
        <v>3557</v>
      </c>
      <c r="M3160">
        <v>74694</v>
      </c>
      <c r="N3160">
        <v>3557</v>
      </c>
      <c r="O3160">
        <v>81808</v>
      </c>
    </row>
    <row r="3161" spans="1:15" x14ac:dyDescent="0.35">
      <c r="A3161">
        <v>3160</v>
      </c>
      <c r="B3161" s="2" t="s">
        <v>31</v>
      </c>
      <c r="C3161" s="2" t="s">
        <v>15</v>
      </c>
      <c r="D3161">
        <v>49</v>
      </c>
      <c r="E3161" s="2" t="s">
        <v>12</v>
      </c>
      <c r="F3161" s="2" t="s">
        <v>19</v>
      </c>
      <c r="G3161">
        <v>74920</v>
      </c>
      <c r="H3161" s="1">
        <v>45312</v>
      </c>
      <c r="I3161">
        <v>9</v>
      </c>
      <c r="J3161">
        <v>2</v>
      </c>
      <c r="K3161">
        <v>7492</v>
      </c>
      <c r="L3161">
        <v>3746</v>
      </c>
      <c r="M3161">
        <v>78666</v>
      </c>
      <c r="N3161">
        <v>3746</v>
      </c>
      <c r="O3161">
        <v>86158</v>
      </c>
    </row>
    <row r="3162" spans="1:15" x14ac:dyDescent="0.35">
      <c r="A3162">
        <v>3161</v>
      </c>
      <c r="B3162" s="2" t="s">
        <v>14</v>
      </c>
      <c r="C3162" s="2" t="s">
        <v>15</v>
      </c>
      <c r="D3162">
        <v>40</v>
      </c>
      <c r="E3162" s="2" t="s">
        <v>16</v>
      </c>
      <c r="F3162" s="2" t="s">
        <v>13</v>
      </c>
      <c r="G3162">
        <v>89171</v>
      </c>
      <c r="H3162" s="1">
        <v>44739</v>
      </c>
      <c r="I3162">
        <v>8</v>
      </c>
      <c r="J3162">
        <v>5</v>
      </c>
      <c r="K3162">
        <v>8917</v>
      </c>
      <c r="L3162">
        <v>4459</v>
      </c>
      <c r="M3162">
        <v>93629</v>
      </c>
      <c r="N3162">
        <v>4459</v>
      </c>
      <c r="O3162">
        <v>102547</v>
      </c>
    </row>
    <row r="3163" spans="1:15" x14ac:dyDescent="0.35">
      <c r="A3163">
        <v>3162</v>
      </c>
      <c r="B3163" s="2" t="s">
        <v>10</v>
      </c>
      <c r="C3163" s="2" t="s">
        <v>11</v>
      </c>
      <c r="D3163">
        <v>29</v>
      </c>
      <c r="E3163" s="2" t="s">
        <v>16</v>
      </c>
      <c r="F3163" s="2" t="s">
        <v>17</v>
      </c>
      <c r="G3163">
        <v>96462</v>
      </c>
      <c r="H3163" s="1">
        <v>44936</v>
      </c>
      <c r="I3163">
        <v>20</v>
      </c>
      <c r="J3163">
        <v>5</v>
      </c>
      <c r="K3163">
        <v>9646</v>
      </c>
      <c r="L3163">
        <v>4823</v>
      </c>
      <c r="M3163">
        <v>101285</v>
      </c>
      <c r="N3163">
        <v>4823</v>
      </c>
      <c r="O3163">
        <v>110931</v>
      </c>
    </row>
    <row r="3164" spans="1:15" x14ac:dyDescent="0.35">
      <c r="A3164">
        <v>3163</v>
      </c>
      <c r="B3164" s="2" t="s">
        <v>14</v>
      </c>
      <c r="C3164" s="2" t="s">
        <v>11</v>
      </c>
      <c r="D3164">
        <v>48</v>
      </c>
      <c r="E3164" s="2" t="s">
        <v>29</v>
      </c>
      <c r="F3164" s="2" t="s">
        <v>25</v>
      </c>
      <c r="G3164">
        <v>38632</v>
      </c>
      <c r="H3164" s="1">
        <v>45453</v>
      </c>
      <c r="I3164">
        <v>4</v>
      </c>
      <c r="J3164">
        <v>3</v>
      </c>
      <c r="K3164">
        <v>3863</v>
      </c>
      <c r="L3164">
        <v>1932</v>
      </c>
      <c r="M3164">
        <v>40563</v>
      </c>
      <c r="N3164">
        <v>0</v>
      </c>
      <c r="O3164">
        <v>42495</v>
      </c>
    </row>
    <row r="3165" spans="1:15" x14ac:dyDescent="0.35">
      <c r="A3165">
        <v>3164</v>
      </c>
      <c r="B3165" s="2" t="s">
        <v>30</v>
      </c>
      <c r="C3165" s="2" t="s">
        <v>11</v>
      </c>
      <c r="D3165">
        <v>40</v>
      </c>
      <c r="E3165" s="2" t="s">
        <v>12</v>
      </c>
      <c r="F3165" s="2" t="s">
        <v>25</v>
      </c>
      <c r="G3165">
        <v>22221</v>
      </c>
      <c r="H3165" s="1">
        <v>45321</v>
      </c>
      <c r="I3165">
        <v>14</v>
      </c>
      <c r="J3165">
        <v>1</v>
      </c>
      <c r="K3165">
        <v>2222</v>
      </c>
      <c r="L3165">
        <v>1111</v>
      </c>
      <c r="M3165">
        <v>23332</v>
      </c>
      <c r="N3165">
        <v>1111</v>
      </c>
      <c r="O3165">
        <v>25554</v>
      </c>
    </row>
    <row r="3166" spans="1:15" x14ac:dyDescent="0.35">
      <c r="A3166">
        <v>3165</v>
      </c>
      <c r="B3166" s="2" t="s">
        <v>27</v>
      </c>
      <c r="C3166" s="2" t="s">
        <v>15</v>
      </c>
      <c r="D3166">
        <v>51</v>
      </c>
      <c r="E3166" s="2" t="s">
        <v>29</v>
      </c>
      <c r="F3166" s="2" t="s">
        <v>13</v>
      </c>
      <c r="G3166">
        <v>66691</v>
      </c>
      <c r="H3166" s="1">
        <v>44822</v>
      </c>
      <c r="I3166">
        <v>17</v>
      </c>
      <c r="J3166">
        <v>4</v>
      </c>
      <c r="K3166">
        <v>6669</v>
      </c>
      <c r="L3166">
        <v>3335</v>
      </c>
      <c r="M3166">
        <v>70025</v>
      </c>
      <c r="N3166">
        <v>3335</v>
      </c>
      <c r="O3166">
        <v>76695</v>
      </c>
    </row>
    <row r="3167" spans="1:15" x14ac:dyDescent="0.35">
      <c r="A3167">
        <v>3166</v>
      </c>
      <c r="B3167" s="2" t="s">
        <v>31</v>
      </c>
      <c r="C3167" s="2" t="s">
        <v>11</v>
      </c>
      <c r="D3167">
        <v>42</v>
      </c>
      <c r="E3167" s="2" t="s">
        <v>28</v>
      </c>
      <c r="F3167" s="2" t="s">
        <v>21</v>
      </c>
      <c r="G3167">
        <v>93379</v>
      </c>
      <c r="H3167" s="1">
        <v>44976</v>
      </c>
      <c r="I3167">
        <v>18</v>
      </c>
      <c r="J3167">
        <v>1</v>
      </c>
      <c r="K3167">
        <v>9338</v>
      </c>
      <c r="L3167">
        <v>4669</v>
      </c>
      <c r="M3167">
        <v>98048</v>
      </c>
      <c r="N3167">
        <v>4669</v>
      </c>
      <c r="O3167">
        <v>107386</v>
      </c>
    </row>
    <row r="3168" spans="1:15" x14ac:dyDescent="0.35">
      <c r="A3168">
        <v>3167</v>
      </c>
      <c r="B3168" s="2" t="s">
        <v>30</v>
      </c>
      <c r="C3168" s="2" t="s">
        <v>15</v>
      </c>
      <c r="D3168">
        <v>56</v>
      </c>
      <c r="E3168" s="2" t="s">
        <v>29</v>
      </c>
      <c r="F3168" s="2" t="s">
        <v>17</v>
      </c>
      <c r="G3168">
        <v>25511</v>
      </c>
      <c r="H3168" s="1">
        <v>44700</v>
      </c>
      <c r="I3168">
        <v>18</v>
      </c>
      <c r="J3168">
        <v>3</v>
      </c>
      <c r="K3168">
        <v>2551</v>
      </c>
      <c r="L3168">
        <v>1276</v>
      </c>
      <c r="M3168">
        <v>26786</v>
      </c>
      <c r="N3168">
        <v>1276</v>
      </c>
      <c r="O3168">
        <v>29338</v>
      </c>
    </row>
    <row r="3169" spans="1:15" x14ac:dyDescent="0.35">
      <c r="A3169">
        <v>3168</v>
      </c>
      <c r="B3169" s="2" t="s">
        <v>22</v>
      </c>
      <c r="C3169" s="2" t="s">
        <v>15</v>
      </c>
      <c r="D3169">
        <v>57</v>
      </c>
      <c r="E3169" s="2" t="s">
        <v>29</v>
      </c>
      <c r="F3169" s="2" t="s">
        <v>17</v>
      </c>
      <c r="G3169">
        <v>20634</v>
      </c>
      <c r="H3169" s="1">
        <v>44572</v>
      </c>
      <c r="I3169">
        <v>1</v>
      </c>
      <c r="J3169">
        <v>2</v>
      </c>
      <c r="K3169">
        <v>2063</v>
      </c>
      <c r="L3169">
        <v>1032</v>
      </c>
      <c r="M3169">
        <v>21665</v>
      </c>
      <c r="N3169">
        <v>0</v>
      </c>
      <c r="O3169">
        <v>22697</v>
      </c>
    </row>
    <row r="3170" spans="1:15" x14ac:dyDescent="0.35">
      <c r="A3170">
        <v>3169</v>
      </c>
      <c r="B3170" s="2" t="s">
        <v>23</v>
      </c>
      <c r="C3170" s="2" t="s">
        <v>15</v>
      </c>
      <c r="D3170">
        <v>21</v>
      </c>
      <c r="E3170" s="2" t="s">
        <v>28</v>
      </c>
      <c r="F3170" s="2" t="s">
        <v>13</v>
      </c>
      <c r="G3170">
        <v>33781</v>
      </c>
      <c r="H3170" s="1">
        <v>45107</v>
      </c>
      <c r="I3170">
        <v>8</v>
      </c>
      <c r="J3170">
        <v>4</v>
      </c>
      <c r="K3170">
        <v>3378</v>
      </c>
      <c r="L3170">
        <v>1689</v>
      </c>
      <c r="M3170">
        <v>35470</v>
      </c>
      <c r="N3170">
        <v>1689</v>
      </c>
      <c r="O3170">
        <v>38848</v>
      </c>
    </row>
    <row r="3171" spans="1:15" x14ac:dyDescent="0.35">
      <c r="A3171">
        <v>3170</v>
      </c>
      <c r="B3171" s="2" t="s">
        <v>10</v>
      </c>
      <c r="C3171" s="2" t="s">
        <v>11</v>
      </c>
      <c r="D3171">
        <v>40</v>
      </c>
      <c r="E3171" s="2" t="s">
        <v>24</v>
      </c>
      <c r="F3171" s="2" t="s">
        <v>21</v>
      </c>
      <c r="G3171">
        <v>77050</v>
      </c>
      <c r="H3171" s="1">
        <v>44941</v>
      </c>
      <c r="I3171">
        <v>15</v>
      </c>
      <c r="J3171">
        <v>2</v>
      </c>
      <c r="K3171">
        <v>7705</v>
      </c>
      <c r="L3171">
        <v>3852</v>
      </c>
      <c r="M3171">
        <v>80903</v>
      </c>
      <c r="N3171">
        <v>3852</v>
      </c>
      <c r="O3171">
        <v>88607</v>
      </c>
    </row>
    <row r="3172" spans="1:15" x14ac:dyDescent="0.35">
      <c r="A3172">
        <v>3171</v>
      </c>
      <c r="B3172" s="2" t="s">
        <v>10</v>
      </c>
      <c r="C3172" s="2" t="s">
        <v>11</v>
      </c>
      <c r="D3172">
        <v>57</v>
      </c>
      <c r="E3172" s="2" t="s">
        <v>12</v>
      </c>
      <c r="F3172" s="2" t="s">
        <v>13</v>
      </c>
      <c r="G3172">
        <v>84763</v>
      </c>
      <c r="H3172" s="1">
        <v>44708</v>
      </c>
      <c r="I3172">
        <v>3</v>
      </c>
      <c r="J3172">
        <v>3</v>
      </c>
      <c r="K3172">
        <v>8476</v>
      </c>
      <c r="L3172">
        <v>4238</v>
      </c>
      <c r="M3172">
        <v>89001</v>
      </c>
      <c r="N3172">
        <v>0</v>
      </c>
      <c r="O3172">
        <v>93239</v>
      </c>
    </row>
    <row r="3173" spans="1:15" x14ac:dyDescent="0.35">
      <c r="A3173">
        <v>3172</v>
      </c>
      <c r="B3173" s="2" t="s">
        <v>22</v>
      </c>
      <c r="C3173" s="2" t="s">
        <v>15</v>
      </c>
      <c r="D3173">
        <v>40</v>
      </c>
      <c r="E3173" s="2" t="s">
        <v>24</v>
      </c>
      <c r="F3173" s="2" t="s">
        <v>13</v>
      </c>
      <c r="G3173">
        <v>82591</v>
      </c>
      <c r="H3173" s="1">
        <v>44802</v>
      </c>
      <c r="I3173">
        <v>5</v>
      </c>
      <c r="J3173">
        <v>2</v>
      </c>
      <c r="K3173">
        <v>8259</v>
      </c>
      <c r="L3173">
        <v>4130</v>
      </c>
      <c r="M3173">
        <v>86720</v>
      </c>
      <c r="N3173">
        <v>0</v>
      </c>
      <c r="O3173">
        <v>90850</v>
      </c>
    </row>
    <row r="3174" spans="1:15" x14ac:dyDescent="0.35">
      <c r="A3174">
        <v>3173</v>
      </c>
      <c r="B3174" s="2" t="s">
        <v>30</v>
      </c>
      <c r="C3174" s="2" t="s">
        <v>15</v>
      </c>
      <c r="D3174">
        <v>34</v>
      </c>
      <c r="E3174" s="2" t="s">
        <v>12</v>
      </c>
      <c r="F3174" s="2" t="s">
        <v>13</v>
      </c>
      <c r="G3174">
        <v>24764</v>
      </c>
      <c r="H3174" s="1">
        <v>45257</v>
      </c>
      <c r="I3174">
        <v>9</v>
      </c>
      <c r="J3174">
        <v>5</v>
      </c>
      <c r="K3174">
        <v>2476</v>
      </c>
      <c r="L3174">
        <v>1238</v>
      </c>
      <c r="M3174">
        <v>26002</v>
      </c>
      <c r="N3174">
        <v>1238</v>
      </c>
      <c r="O3174">
        <v>28478</v>
      </c>
    </row>
    <row r="3175" spans="1:15" x14ac:dyDescent="0.35">
      <c r="A3175">
        <v>3174</v>
      </c>
      <c r="B3175" s="2" t="s">
        <v>10</v>
      </c>
      <c r="C3175" s="2" t="s">
        <v>11</v>
      </c>
      <c r="D3175">
        <v>42</v>
      </c>
      <c r="E3175" s="2" t="s">
        <v>28</v>
      </c>
      <c r="F3175" s="2" t="s">
        <v>17</v>
      </c>
      <c r="G3175">
        <v>75578</v>
      </c>
      <c r="H3175" s="1">
        <v>44998</v>
      </c>
      <c r="I3175">
        <v>13</v>
      </c>
      <c r="J3175">
        <v>3</v>
      </c>
      <c r="K3175">
        <v>7558</v>
      </c>
      <c r="L3175">
        <v>3779</v>
      </c>
      <c r="M3175">
        <v>79357</v>
      </c>
      <c r="N3175">
        <v>3779</v>
      </c>
      <c r="O3175">
        <v>86915</v>
      </c>
    </row>
    <row r="3176" spans="1:15" x14ac:dyDescent="0.35">
      <c r="A3176">
        <v>3175</v>
      </c>
      <c r="B3176" s="2" t="s">
        <v>10</v>
      </c>
      <c r="C3176" s="2" t="s">
        <v>15</v>
      </c>
      <c r="D3176">
        <v>45</v>
      </c>
      <c r="E3176" s="2" t="s">
        <v>28</v>
      </c>
      <c r="F3176" s="2" t="s">
        <v>19</v>
      </c>
      <c r="G3176">
        <v>67991</v>
      </c>
      <c r="H3176" s="1">
        <v>45046</v>
      </c>
      <c r="I3176">
        <v>6</v>
      </c>
      <c r="J3176">
        <v>3</v>
      </c>
      <c r="K3176">
        <v>6799</v>
      </c>
      <c r="L3176">
        <v>3400</v>
      </c>
      <c r="M3176">
        <v>71390</v>
      </c>
      <c r="N3176">
        <v>3400</v>
      </c>
      <c r="O3176">
        <v>78190</v>
      </c>
    </row>
    <row r="3177" spans="1:15" x14ac:dyDescent="0.35">
      <c r="A3177">
        <v>3176</v>
      </c>
      <c r="B3177" s="2" t="s">
        <v>18</v>
      </c>
      <c r="C3177" s="2" t="s">
        <v>15</v>
      </c>
      <c r="D3177">
        <v>21</v>
      </c>
      <c r="E3177" s="2" t="s">
        <v>12</v>
      </c>
      <c r="F3177" s="2" t="s">
        <v>17</v>
      </c>
      <c r="G3177">
        <v>24587</v>
      </c>
      <c r="H3177" s="1">
        <v>44945</v>
      </c>
      <c r="I3177">
        <v>2</v>
      </c>
      <c r="J3177">
        <v>3</v>
      </c>
      <c r="K3177">
        <v>2459</v>
      </c>
      <c r="L3177">
        <v>1229</v>
      </c>
      <c r="M3177">
        <v>25817</v>
      </c>
      <c r="N3177">
        <v>0</v>
      </c>
      <c r="O3177">
        <v>27046</v>
      </c>
    </row>
    <row r="3178" spans="1:15" x14ac:dyDescent="0.35">
      <c r="A3178">
        <v>3177</v>
      </c>
      <c r="B3178" s="2" t="s">
        <v>20</v>
      </c>
      <c r="C3178" s="2" t="s">
        <v>11</v>
      </c>
      <c r="D3178">
        <v>24</v>
      </c>
      <c r="E3178" s="2" t="s">
        <v>12</v>
      </c>
      <c r="F3178" s="2" t="s">
        <v>25</v>
      </c>
      <c r="G3178">
        <v>45970</v>
      </c>
      <c r="H3178" s="1">
        <v>44785</v>
      </c>
      <c r="I3178">
        <v>5</v>
      </c>
      <c r="J3178">
        <v>1</v>
      </c>
      <c r="K3178">
        <v>4597</v>
      </c>
      <c r="L3178">
        <v>2298</v>
      </c>
      <c r="M3178">
        <v>48269</v>
      </c>
      <c r="N3178">
        <v>0</v>
      </c>
      <c r="O3178">
        <v>50567</v>
      </c>
    </row>
    <row r="3179" spans="1:15" x14ac:dyDescent="0.35">
      <c r="A3179">
        <v>3178</v>
      </c>
      <c r="B3179" s="2" t="s">
        <v>23</v>
      </c>
      <c r="C3179" s="2" t="s">
        <v>11</v>
      </c>
      <c r="D3179">
        <v>35</v>
      </c>
      <c r="E3179" s="2" t="s">
        <v>28</v>
      </c>
      <c r="F3179" s="2" t="s">
        <v>21</v>
      </c>
      <c r="G3179">
        <v>86661</v>
      </c>
      <c r="H3179" s="1">
        <v>45358</v>
      </c>
      <c r="I3179">
        <v>7</v>
      </c>
      <c r="J3179">
        <v>3</v>
      </c>
      <c r="K3179">
        <v>8666</v>
      </c>
      <c r="L3179">
        <v>4333</v>
      </c>
      <c r="M3179">
        <v>90994</v>
      </c>
      <c r="N3179">
        <v>4333</v>
      </c>
      <c r="O3179">
        <v>99660</v>
      </c>
    </row>
    <row r="3180" spans="1:15" x14ac:dyDescent="0.35">
      <c r="A3180">
        <v>3179</v>
      </c>
      <c r="B3180" s="2" t="s">
        <v>27</v>
      </c>
      <c r="C3180" s="2" t="s">
        <v>15</v>
      </c>
      <c r="D3180">
        <v>28</v>
      </c>
      <c r="E3180" s="2" t="s">
        <v>12</v>
      </c>
      <c r="F3180" s="2" t="s">
        <v>17</v>
      </c>
      <c r="G3180">
        <v>79056</v>
      </c>
      <c r="H3180" s="1">
        <v>44664</v>
      </c>
      <c r="I3180">
        <v>2</v>
      </c>
      <c r="J3180">
        <v>1</v>
      </c>
      <c r="K3180">
        <v>7906</v>
      </c>
      <c r="L3180">
        <v>3953</v>
      </c>
      <c r="M3180">
        <v>83009</v>
      </c>
      <c r="N3180">
        <v>0</v>
      </c>
      <c r="O3180">
        <v>86962</v>
      </c>
    </row>
    <row r="3181" spans="1:15" x14ac:dyDescent="0.35">
      <c r="A3181">
        <v>3180</v>
      </c>
      <c r="B3181" s="2" t="s">
        <v>20</v>
      </c>
      <c r="C3181" s="2" t="s">
        <v>15</v>
      </c>
      <c r="D3181">
        <v>32</v>
      </c>
      <c r="E3181" s="2" t="s">
        <v>12</v>
      </c>
      <c r="F3181" s="2" t="s">
        <v>21</v>
      </c>
      <c r="G3181">
        <v>88571</v>
      </c>
      <c r="H3181" s="1">
        <v>44736</v>
      </c>
      <c r="I3181">
        <v>14</v>
      </c>
      <c r="J3181">
        <v>1</v>
      </c>
      <c r="K3181">
        <v>8857</v>
      </c>
      <c r="L3181">
        <v>4429</v>
      </c>
      <c r="M3181">
        <v>92999</v>
      </c>
      <c r="N3181">
        <v>4429</v>
      </c>
      <c r="O3181">
        <v>101857</v>
      </c>
    </row>
    <row r="3182" spans="1:15" x14ac:dyDescent="0.35">
      <c r="A3182">
        <v>3181</v>
      </c>
      <c r="B3182" s="2" t="s">
        <v>14</v>
      </c>
      <c r="C3182" s="2" t="s">
        <v>11</v>
      </c>
      <c r="D3182">
        <v>34</v>
      </c>
      <c r="E3182" s="2" t="s">
        <v>12</v>
      </c>
      <c r="F3182" s="2" t="s">
        <v>19</v>
      </c>
      <c r="G3182">
        <v>69612</v>
      </c>
      <c r="H3182" s="1">
        <v>45454</v>
      </c>
      <c r="I3182">
        <v>13</v>
      </c>
      <c r="J3182">
        <v>2</v>
      </c>
      <c r="K3182">
        <v>6961</v>
      </c>
      <c r="L3182">
        <v>3481</v>
      </c>
      <c r="M3182">
        <v>73092</v>
      </c>
      <c r="N3182">
        <v>3481</v>
      </c>
      <c r="O3182">
        <v>80054</v>
      </c>
    </row>
    <row r="3183" spans="1:15" x14ac:dyDescent="0.35">
      <c r="A3183">
        <v>3182</v>
      </c>
      <c r="B3183" s="2" t="s">
        <v>26</v>
      </c>
      <c r="C3183" s="2" t="s">
        <v>11</v>
      </c>
      <c r="D3183">
        <v>37</v>
      </c>
      <c r="E3183" s="2" t="s">
        <v>12</v>
      </c>
      <c r="F3183" s="2" t="s">
        <v>25</v>
      </c>
      <c r="G3183">
        <v>41570</v>
      </c>
      <c r="H3183" s="1">
        <v>45264</v>
      </c>
      <c r="I3183">
        <v>12</v>
      </c>
      <c r="J3183">
        <v>4</v>
      </c>
      <c r="K3183">
        <v>4157</v>
      </c>
      <c r="L3183">
        <v>2078</v>
      </c>
      <c r="M3183">
        <v>43649</v>
      </c>
      <c r="N3183">
        <v>2078</v>
      </c>
      <c r="O3183">
        <v>47805</v>
      </c>
    </row>
    <row r="3184" spans="1:15" x14ac:dyDescent="0.35">
      <c r="A3184">
        <v>3183</v>
      </c>
      <c r="B3184" s="2" t="s">
        <v>20</v>
      </c>
      <c r="C3184" s="2" t="s">
        <v>15</v>
      </c>
      <c r="D3184">
        <v>56</v>
      </c>
      <c r="E3184" s="2" t="s">
        <v>29</v>
      </c>
      <c r="F3184" s="2" t="s">
        <v>13</v>
      </c>
      <c r="G3184">
        <v>37621</v>
      </c>
      <c r="H3184" s="1">
        <v>45479</v>
      </c>
      <c r="I3184">
        <v>20</v>
      </c>
      <c r="J3184">
        <v>2</v>
      </c>
      <c r="K3184">
        <v>3762</v>
      </c>
      <c r="L3184">
        <v>1881</v>
      </c>
      <c r="M3184">
        <v>39502</v>
      </c>
      <c r="N3184">
        <v>1881</v>
      </c>
      <c r="O3184">
        <v>43264</v>
      </c>
    </row>
    <row r="3185" spans="1:15" x14ac:dyDescent="0.35">
      <c r="A3185">
        <v>3184</v>
      </c>
      <c r="B3185" s="2" t="s">
        <v>14</v>
      </c>
      <c r="C3185" s="2" t="s">
        <v>11</v>
      </c>
      <c r="D3185">
        <v>60</v>
      </c>
      <c r="E3185" s="2" t="s">
        <v>12</v>
      </c>
      <c r="F3185" s="2" t="s">
        <v>25</v>
      </c>
      <c r="G3185">
        <v>20888</v>
      </c>
      <c r="H3185" s="1">
        <v>44694</v>
      </c>
      <c r="I3185">
        <v>15</v>
      </c>
      <c r="J3185">
        <v>5</v>
      </c>
      <c r="K3185">
        <v>2089</v>
      </c>
      <c r="L3185">
        <v>1044</v>
      </c>
      <c r="M3185">
        <v>21933</v>
      </c>
      <c r="N3185">
        <v>1044</v>
      </c>
      <c r="O3185">
        <v>24021</v>
      </c>
    </row>
    <row r="3186" spans="1:15" x14ac:dyDescent="0.35">
      <c r="A3186">
        <v>3185</v>
      </c>
      <c r="B3186" s="2" t="s">
        <v>10</v>
      </c>
      <c r="C3186" s="2" t="s">
        <v>11</v>
      </c>
      <c r="D3186">
        <v>34</v>
      </c>
      <c r="E3186" s="2" t="s">
        <v>24</v>
      </c>
      <c r="F3186" s="2" t="s">
        <v>21</v>
      </c>
      <c r="G3186">
        <v>42870</v>
      </c>
      <c r="H3186" s="1">
        <v>45433</v>
      </c>
      <c r="I3186">
        <v>8</v>
      </c>
      <c r="J3186">
        <v>2</v>
      </c>
      <c r="K3186">
        <v>4287</v>
      </c>
      <c r="L3186">
        <v>2144</v>
      </c>
      <c r="M3186">
        <v>45013</v>
      </c>
      <c r="N3186">
        <v>2144</v>
      </c>
      <c r="O3186">
        <v>49301</v>
      </c>
    </row>
    <row r="3187" spans="1:15" x14ac:dyDescent="0.35">
      <c r="A3187">
        <v>3186</v>
      </c>
      <c r="B3187" s="2" t="s">
        <v>31</v>
      </c>
      <c r="C3187" s="2" t="s">
        <v>11</v>
      </c>
      <c r="D3187">
        <v>34</v>
      </c>
      <c r="E3187" s="2" t="s">
        <v>16</v>
      </c>
      <c r="F3187" s="2" t="s">
        <v>25</v>
      </c>
      <c r="G3187">
        <v>84995</v>
      </c>
      <c r="H3187" s="1">
        <v>44627</v>
      </c>
      <c r="I3187">
        <v>7</v>
      </c>
      <c r="J3187">
        <v>2</v>
      </c>
      <c r="K3187">
        <v>8500</v>
      </c>
      <c r="L3187">
        <v>4250</v>
      </c>
      <c r="M3187">
        <v>89245</v>
      </c>
      <c r="N3187">
        <v>4250</v>
      </c>
      <c r="O3187">
        <v>97745</v>
      </c>
    </row>
    <row r="3188" spans="1:15" x14ac:dyDescent="0.35">
      <c r="A3188">
        <v>3187</v>
      </c>
      <c r="B3188" s="2" t="s">
        <v>18</v>
      </c>
      <c r="C3188" s="2" t="s">
        <v>11</v>
      </c>
      <c r="D3188">
        <v>23</v>
      </c>
      <c r="E3188" s="2" t="s">
        <v>16</v>
      </c>
      <c r="F3188" s="2" t="s">
        <v>19</v>
      </c>
      <c r="G3188">
        <v>64127</v>
      </c>
      <c r="H3188" s="1">
        <v>45451</v>
      </c>
      <c r="I3188">
        <v>15</v>
      </c>
      <c r="J3188">
        <v>4</v>
      </c>
      <c r="K3188">
        <v>6413</v>
      </c>
      <c r="L3188">
        <v>3206</v>
      </c>
      <c r="M3188">
        <v>67334</v>
      </c>
      <c r="N3188">
        <v>3206</v>
      </c>
      <c r="O3188">
        <v>73746</v>
      </c>
    </row>
    <row r="3189" spans="1:15" x14ac:dyDescent="0.35">
      <c r="A3189">
        <v>3188</v>
      </c>
      <c r="B3189" s="2" t="s">
        <v>31</v>
      </c>
      <c r="C3189" s="2" t="s">
        <v>15</v>
      </c>
      <c r="D3189">
        <v>43</v>
      </c>
      <c r="E3189" s="2" t="s">
        <v>12</v>
      </c>
      <c r="F3189" s="2" t="s">
        <v>13</v>
      </c>
      <c r="G3189">
        <v>75171</v>
      </c>
      <c r="H3189" s="1">
        <v>44575</v>
      </c>
      <c r="I3189">
        <v>19</v>
      </c>
      <c r="J3189">
        <v>1</v>
      </c>
      <c r="K3189">
        <v>7517</v>
      </c>
      <c r="L3189">
        <v>3759</v>
      </c>
      <c r="M3189">
        <v>78929</v>
      </c>
      <c r="N3189">
        <v>3759</v>
      </c>
      <c r="O3189">
        <v>86447</v>
      </c>
    </row>
    <row r="3190" spans="1:15" x14ac:dyDescent="0.35">
      <c r="A3190">
        <v>3189</v>
      </c>
      <c r="B3190" s="2" t="s">
        <v>22</v>
      </c>
      <c r="C3190" s="2" t="s">
        <v>11</v>
      </c>
      <c r="D3190">
        <v>29</v>
      </c>
      <c r="E3190" s="2" t="s">
        <v>16</v>
      </c>
      <c r="F3190" s="2" t="s">
        <v>21</v>
      </c>
      <c r="G3190">
        <v>77883</v>
      </c>
      <c r="H3190" s="1">
        <v>45158</v>
      </c>
      <c r="I3190">
        <v>6</v>
      </c>
      <c r="J3190">
        <v>2</v>
      </c>
      <c r="K3190">
        <v>7788</v>
      </c>
      <c r="L3190">
        <v>3894</v>
      </c>
      <c r="M3190">
        <v>81777</v>
      </c>
      <c r="N3190">
        <v>3894</v>
      </c>
      <c r="O3190">
        <v>89565</v>
      </c>
    </row>
    <row r="3191" spans="1:15" x14ac:dyDescent="0.35">
      <c r="A3191">
        <v>3190</v>
      </c>
      <c r="B3191" s="2" t="s">
        <v>23</v>
      </c>
      <c r="C3191" s="2" t="s">
        <v>15</v>
      </c>
      <c r="D3191">
        <v>42</v>
      </c>
      <c r="E3191" s="2" t="s">
        <v>29</v>
      </c>
      <c r="F3191" s="2" t="s">
        <v>17</v>
      </c>
      <c r="G3191">
        <v>71265</v>
      </c>
      <c r="H3191" s="1">
        <v>44909</v>
      </c>
      <c r="I3191">
        <v>2</v>
      </c>
      <c r="J3191">
        <v>3</v>
      </c>
      <c r="K3191">
        <v>7126</v>
      </c>
      <c r="L3191">
        <v>3563</v>
      </c>
      <c r="M3191">
        <v>74828</v>
      </c>
      <c r="N3191">
        <v>0</v>
      </c>
      <c r="O3191">
        <v>78391</v>
      </c>
    </row>
    <row r="3192" spans="1:15" x14ac:dyDescent="0.35">
      <c r="A3192">
        <v>3191</v>
      </c>
      <c r="B3192" s="2" t="s">
        <v>27</v>
      </c>
      <c r="C3192" s="2" t="s">
        <v>11</v>
      </c>
      <c r="D3192">
        <v>29</v>
      </c>
      <c r="E3192" s="2" t="s">
        <v>28</v>
      </c>
      <c r="F3192" s="2" t="s">
        <v>17</v>
      </c>
      <c r="G3192">
        <v>72544</v>
      </c>
      <c r="H3192" s="1">
        <v>45048</v>
      </c>
      <c r="I3192">
        <v>9</v>
      </c>
      <c r="J3192">
        <v>1</v>
      </c>
      <c r="K3192">
        <v>7254</v>
      </c>
      <c r="L3192">
        <v>3627</v>
      </c>
      <c r="M3192">
        <v>76171</v>
      </c>
      <c r="N3192">
        <v>3627</v>
      </c>
      <c r="O3192">
        <v>83425</v>
      </c>
    </row>
    <row r="3193" spans="1:15" x14ac:dyDescent="0.35">
      <c r="A3193">
        <v>3192</v>
      </c>
      <c r="B3193" s="2" t="s">
        <v>30</v>
      </c>
      <c r="C3193" s="2" t="s">
        <v>11</v>
      </c>
      <c r="D3193">
        <v>30</v>
      </c>
      <c r="E3193" s="2" t="s">
        <v>29</v>
      </c>
      <c r="F3193" s="2" t="s">
        <v>13</v>
      </c>
      <c r="G3193">
        <v>21640</v>
      </c>
      <c r="H3193" s="1">
        <v>45170</v>
      </c>
      <c r="I3193">
        <v>16</v>
      </c>
      <c r="J3193">
        <v>3</v>
      </c>
      <c r="K3193">
        <v>2164</v>
      </c>
      <c r="L3193">
        <v>1082</v>
      </c>
      <c r="M3193">
        <v>22722</v>
      </c>
      <c r="N3193">
        <v>1082</v>
      </c>
      <c r="O3193">
        <v>24886</v>
      </c>
    </row>
    <row r="3194" spans="1:15" x14ac:dyDescent="0.35">
      <c r="A3194">
        <v>3193</v>
      </c>
      <c r="B3194" s="2" t="s">
        <v>27</v>
      </c>
      <c r="C3194" s="2" t="s">
        <v>15</v>
      </c>
      <c r="D3194">
        <v>59</v>
      </c>
      <c r="E3194" s="2" t="s">
        <v>28</v>
      </c>
      <c r="F3194" s="2" t="s">
        <v>17</v>
      </c>
      <c r="G3194">
        <v>52447</v>
      </c>
      <c r="H3194" s="1">
        <v>45147</v>
      </c>
      <c r="I3194">
        <v>1</v>
      </c>
      <c r="J3194">
        <v>4</v>
      </c>
      <c r="K3194">
        <v>5245</v>
      </c>
      <c r="L3194">
        <v>2622</v>
      </c>
      <c r="M3194">
        <v>55070</v>
      </c>
      <c r="N3194">
        <v>0</v>
      </c>
      <c r="O3194">
        <v>57692</v>
      </c>
    </row>
    <row r="3195" spans="1:15" x14ac:dyDescent="0.35">
      <c r="A3195">
        <v>3194</v>
      </c>
      <c r="B3195" s="2" t="s">
        <v>31</v>
      </c>
      <c r="C3195" s="2" t="s">
        <v>15</v>
      </c>
      <c r="D3195">
        <v>48</v>
      </c>
      <c r="E3195" s="2" t="s">
        <v>24</v>
      </c>
      <c r="F3195" s="2" t="s">
        <v>17</v>
      </c>
      <c r="G3195">
        <v>46647</v>
      </c>
      <c r="H3195" s="1">
        <v>44766</v>
      </c>
      <c r="I3195">
        <v>14</v>
      </c>
      <c r="J3195">
        <v>3</v>
      </c>
      <c r="K3195">
        <v>4665</v>
      </c>
      <c r="L3195">
        <v>2332</v>
      </c>
      <c r="M3195">
        <v>48980</v>
      </c>
      <c r="N3195">
        <v>2332</v>
      </c>
      <c r="O3195">
        <v>53644</v>
      </c>
    </row>
    <row r="3196" spans="1:15" x14ac:dyDescent="0.35">
      <c r="A3196">
        <v>3195</v>
      </c>
      <c r="B3196" s="2" t="s">
        <v>26</v>
      </c>
      <c r="C3196" s="2" t="s">
        <v>15</v>
      </c>
      <c r="D3196">
        <v>42</v>
      </c>
      <c r="E3196" s="2" t="s">
        <v>12</v>
      </c>
      <c r="F3196" s="2" t="s">
        <v>25</v>
      </c>
      <c r="G3196">
        <v>48304</v>
      </c>
      <c r="H3196" s="1">
        <v>45019</v>
      </c>
      <c r="I3196">
        <v>3</v>
      </c>
      <c r="J3196">
        <v>5</v>
      </c>
      <c r="K3196">
        <v>4830</v>
      </c>
      <c r="L3196">
        <v>2415</v>
      </c>
      <c r="M3196">
        <v>50719</v>
      </c>
      <c r="N3196">
        <v>0</v>
      </c>
      <c r="O3196">
        <v>53134</v>
      </c>
    </row>
    <row r="3197" spans="1:15" x14ac:dyDescent="0.35">
      <c r="A3197">
        <v>3196</v>
      </c>
      <c r="B3197" s="2" t="s">
        <v>30</v>
      </c>
      <c r="C3197" s="2" t="s">
        <v>11</v>
      </c>
      <c r="D3197">
        <v>27</v>
      </c>
      <c r="E3197" s="2" t="s">
        <v>12</v>
      </c>
      <c r="F3197" s="2" t="s">
        <v>13</v>
      </c>
      <c r="G3197">
        <v>58679</v>
      </c>
      <c r="H3197" s="1">
        <v>45431</v>
      </c>
      <c r="I3197">
        <v>19</v>
      </c>
      <c r="J3197">
        <v>5</v>
      </c>
      <c r="K3197">
        <v>5868</v>
      </c>
      <c r="L3197">
        <v>2934</v>
      </c>
      <c r="M3197">
        <v>61613</v>
      </c>
      <c r="N3197">
        <v>2934</v>
      </c>
      <c r="O3197">
        <v>67481</v>
      </c>
    </row>
    <row r="3198" spans="1:15" x14ac:dyDescent="0.35">
      <c r="A3198">
        <v>3197</v>
      </c>
      <c r="B3198" s="2" t="s">
        <v>27</v>
      </c>
      <c r="C3198" s="2" t="s">
        <v>15</v>
      </c>
      <c r="D3198">
        <v>40</v>
      </c>
      <c r="E3198" s="2" t="s">
        <v>12</v>
      </c>
      <c r="F3198" s="2" t="s">
        <v>21</v>
      </c>
      <c r="G3198">
        <v>50717</v>
      </c>
      <c r="H3198" s="1">
        <v>45004</v>
      </c>
      <c r="I3198">
        <v>1</v>
      </c>
      <c r="J3198">
        <v>3</v>
      </c>
      <c r="K3198">
        <v>5072</v>
      </c>
      <c r="L3198">
        <v>2536</v>
      </c>
      <c r="M3198">
        <v>53253</v>
      </c>
      <c r="N3198">
        <v>0</v>
      </c>
      <c r="O3198">
        <v>55789</v>
      </c>
    </row>
    <row r="3199" spans="1:15" x14ac:dyDescent="0.35">
      <c r="A3199">
        <v>3198</v>
      </c>
      <c r="B3199" s="2" t="s">
        <v>14</v>
      </c>
      <c r="C3199" s="2" t="s">
        <v>15</v>
      </c>
      <c r="D3199">
        <v>41</v>
      </c>
      <c r="E3199" s="2" t="s">
        <v>29</v>
      </c>
      <c r="F3199" s="2" t="s">
        <v>21</v>
      </c>
      <c r="G3199">
        <v>60324</v>
      </c>
      <c r="H3199" s="1">
        <v>45522</v>
      </c>
      <c r="I3199">
        <v>13</v>
      </c>
      <c r="J3199">
        <v>1</v>
      </c>
      <c r="K3199">
        <v>6032</v>
      </c>
      <c r="L3199">
        <v>3016</v>
      </c>
      <c r="M3199">
        <v>63340</v>
      </c>
      <c r="N3199">
        <v>3016</v>
      </c>
      <c r="O3199">
        <v>69372</v>
      </c>
    </row>
    <row r="3200" spans="1:15" x14ac:dyDescent="0.35">
      <c r="A3200">
        <v>3199</v>
      </c>
      <c r="B3200" s="2" t="s">
        <v>26</v>
      </c>
      <c r="C3200" s="2" t="s">
        <v>11</v>
      </c>
      <c r="D3200">
        <v>48</v>
      </c>
      <c r="E3200" s="2" t="s">
        <v>12</v>
      </c>
      <c r="F3200" s="2" t="s">
        <v>19</v>
      </c>
      <c r="G3200">
        <v>28278</v>
      </c>
      <c r="H3200" s="1">
        <v>45160</v>
      </c>
      <c r="I3200">
        <v>13</v>
      </c>
      <c r="J3200">
        <v>1</v>
      </c>
      <c r="K3200">
        <v>2828</v>
      </c>
      <c r="L3200">
        <v>1414</v>
      </c>
      <c r="M3200">
        <v>29692</v>
      </c>
      <c r="N3200">
        <v>1414</v>
      </c>
      <c r="O3200">
        <v>32520</v>
      </c>
    </row>
    <row r="3201" spans="1:15" x14ac:dyDescent="0.35">
      <c r="A3201">
        <v>3200</v>
      </c>
      <c r="B3201" s="2" t="s">
        <v>14</v>
      </c>
      <c r="C3201" s="2" t="s">
        <v>11</v>
      </c>
      <c r="D3201">
        <v>35</v>
      </c>
      <c r="E3201" s="2" t="s">
        <v>16</v>
      </c>
      <c r="F3201" s="2" t="s">
        <v>19</v>
      </c>
      <c r="G3201">
        <v>89603</v>
      </c>
      <c r="H3201" s="1">
        <v>45291</v>
      </c>
      <c r="I3201">
        <v>9</v>
      </c>
      <c r="J3201">
        <v>3</v>
      </c>
      <c r="K3201">
        <v>8960</v>
      </c>
      <c r="L3201">
        <v>4480</v>
      </c>
      <c r="M3201">
        <v>94083</v>
      </c>
      <c r="N3201">
        <v>4480</v>
      </c>
      <c r="O3201">
        <v>103043</v>
      </c>
    </row>
    <row r="3202" spans="1:15" x14ac:dyDescent="0.35">
      <c r="A3202">
        <v>3201</v>
      </c>
      <c r="B3202" s="2" t="s">
        <v>22</v>
      </c>
      <c r="C3202" s="2" t="s">
        <v>11</v>
      </c>
      <c r="D3202">
        <v>33</v>
      </c>
      <c r="E3202" s="2" t="s">
        <v>28</v>
      </c>
      <c r="F3202" s="2" t="s">
        <v>21</v>
      </c>
      <c r="G3202">
        <v>92128</v>
      </c>
      <c r="H3202" s="1">
        <v>45355</v>
      </c>
      <c r="I3202">
        <v>18</v>
      </c>
      <c r="J3202">
        <v>1</v>
      </c>
      <c r="K3202">
        <v>9213</v>
      </c>
      <c r="L3202">
        <v>4606</v>
      </c>
      <c r="M3202">
        <v>96735</v>
      </c>
      <c r="N3202">
        <v>4606</v>
      </c>
      <c r="O3202">
        <v>105947</v>
      </c>
    </row>
    <row r="3203" spans="1:15" x14ac:dyDescent="0.35">
      <c r="A3203">
        <v>3202</v>
      </c>
      <c r="B3203" s="2" t="s">
        <v>22</v>
      </c>
      <c r="C3203" s="2" t="s">
        <v>15</v>
      </c>
      <c r="D3203">
        <v>38</v>
      </c>
      <c r="E3203" s="2" t="s">
        <v>12</v>
      </c>
      <c r="F3203" s="2" t="s">
        <v>19</v>
      </c>
      <c r="G3203">
        <v>57193</v>
      </c>
      <c r="H3203" s="1">
        <v>45466</v>
      </c>
      <c r="I3203">
        <v>6</v>
      </c>
      <c r="J3203">
        <v>2</v>
      </c>
      <c r="K3203">
        <v>5719</v>
      </c>
      <c r="L3203">
        <v>2860</v>
      </c>
      <c r="M3203">
        <v>60052</v>
      </c>
      <c r="N3203">
        <v>2860</v>
      </c>
      <c r="O3203">
        <v>65772</v>
      </c>
    </row>
    <row r="3204" spans="1:15" x14ac:dyDescent="0.35">
      <c r="A3204">
        <v>3203</v>
      </c>
      <c r="B3204" s="2" t="s">
        <v>26</v>
      </c>
      <c r="C3204" s="2" t="s">
        <v>11</v>
      </c>
      <c r="D3204">
        <v>54</v>
      </c>
      <c r="E3204" s="2" t="s">
        <v>28</v>
      </c>
      <c r="F3204" s="2" t="s">
        <v>19</v>
      </c>
      <c r="G3204">
        <v>59238</v>
      </c>
      <c r="H3204" s="1">
        <v>45056</v>
      </c>
      <c r="I3204">
        <v>11</v>
      </c>
      <c r="J3204">
        <v>4</v>
      </c>
      <c r="K3204">
        <v>5924</v>
      </c>
      <c r="L3204">
        <v>2962</v>
      </c>
      <c r="M3204">
        <v>62200</v>
      </c>
      <c r="N3204">
        <v>2962</v>
      </c>
      <c r="O3204">
        <v>68124</v>
      </c>
    </row>
    <row r="3205" spans="1:15" x14ac:dyDescent="0.35">
      <c r="A3205">
        <v>3204</v>
      </c>
      <c r="B3205" s="2" t="s">
        <v>18</v>
      </c>
      <c r="C3205" s="2" t="s">
        <v>11</v>
      </c>
      <c r="D3205">
        <v>36</v>
      </c>
      <c r="E3205" s="2" t="s">
        <v>24</v>
      </c>
      <c r="F3205" s="2" t="s">
        <v>21</v>
      </c>
      <c r="G3205">
        <v>25331</v>
      </c>
      <c r="H3205" s="1">
        <v>44775</v>
      </c>
      <c r="I3205">
        <v>2</v>
      </c>
      <c r="J3205">
        <v>2</v>
      </c>
      <c r="K3205">
        <v>2533</v>
      </c>
      <c r="L3205">
        <v>1267</v>
      </c>
      <c r="M3205">
        <v>26597</v>
      </c>
      <c r="N3205">
        <v>0</v>
      </c>
      <c r="O3205">
        <v>27864</v>
      </c>
    </row>
    <row r="3206" spans="1:15" x14ac:dyDescent="0.35">
      <c r="A3206">
        <v>3205</v>
      </c>
      <c r="B3206" s="2" t="s">
        <v>31</v>
      </c>
      <c r="C3206" s="2" t="s">
        <v>15</v>
      </c>
      <c r="D3206">
        <v>42</v>
      </c>
      <c r="E3206" s="2" t="s">
        <v>16</v>
      </c>
      <c r="F3206" s="2" t="s">
        <v>19</v>
      </c>
      <c r="G3206">
        <v>64918</v>
      </c>
      <c r="H3206" s="1">
        <v>45380</v>
      </c>
      <c r="I3206">
        <v>4</v>
      </c>
      <c r="J3206">
        <v>1</v>
      </c>
      <c r="K3206">
        <v>6492</v>
      </c>
      <c r="L3206">
        <v>3246</v>
      </c>
      <c r="M3206">
        <v>68164</v>
      </c>
      <c r="N3206">
        <v>0</v>
      </c>
      <c r="O3206">
        <v>71410</v>
      </c>
    </row>
    <row r="3207" spans="1:15" x14ac:dyDescent="0.35">
      <c r="A3207">
        <v>3206</v>
      </c>
      <c r="B3207" s="2" t="s">
        <v>26</v>
      </c>
      <c r="C3207" s="2" t="s">
        <v>11</v>
      </c>
      <c r="D3207">
        <v>48</v>
      </c>
      <c r="E3207" s="2" t="s">
        <v>12</v>
      </c>
      <c r="F3207" s="2" t="s">
        <v>25</v>
      </c>
      <c r="G3207">
        <v>22949</v>
      </c>
      <c r="H3207" s="1">
        <v>45226</v>
      </c>
      <c r="I3207">
        <v>10</v>
      </c>
      <c r="J3207">
        <v>1</v>
      </c>
      <c r="K3207">
        <v>2295</v>
      </c>
      <c r="L3207">
        <v>1147</v>
      </c>
      <c r="M3207">
        <v>24097</v>
      </c>
      <c r="N3207">
        <v>1147</v>
      </c>
      <c r="O3207">
        <v>26391</v>
      </c>
    </row>
    <row r="3208" spans="1:15" x14ac:dyDescent="0.35">
      <c r="A3208">
        <v>3207</v>
      </c>
      <c r="B3208" s="2" t="s">
        <v>22</v>
      </c>
      <c r="C3208" s="2" t="s">
        <v>15</v>
      </c>
      <c r="D3208">
        <v>36</v>
      </c>
      <c r="E3208" s="2" t="s">
        <v>29</v>
      </c>
      <c r="F3208" s="2" t="s">
        <v>17</v>
      </c>
      <c r="G3208">
        <v>81346</v>
      </c>
      <c r="H3208" s="1">
        <v>45504</v>
      </c>
      <c r="I3208">
        <v>19</v>
      </c>
      <c r="J3208">
        <v>5</v>
      </c>
      <c r="K3208">
        <v>8135</v>
      </c>
      <c r="L3208">
        <v>4067</v>
      </c>
      <c r="M3208">
        <v>85414</v>
      </c>
      <c r="N3208">
        <v>4067</v>
      </c>
      <c r="O3208">
        <v>93548</v>
      </c>
    </row>
    <row r="3209" spans="1:15" x14ac:dyDescent="0.35">
      <c r="A3209">
        <v>3208</v>
      </c>
      <c r="B3209" s="2" t="s">
        <v>26</v>
      </c>
      <c r="C3209" s="2" t="s">
        <v>11</v>
      </c>
      <c r="D3209">
        <v>40</v>
      </c>
      <c r="E3209" s="2" t="s">
        <v>16</v>
      </c>
      <c r="F3209" s="2" t="s">
        <v>13</v>
      </c>
      <c r="G3209">
        <v>67220</v>
      </c>
      <c r="H3209" s="1">
        <v>44943</v>
      </c>
      <c r="I3209">
        <v>13</v>
      </c>
      <c r="J3209">
        <v>1</v>
      </c>
      <c r="K3209">
        <v>6722</v>
      </c>
      <c r="L3209">
        <v>3361</v>
      </c>
      <c r="M3209">
        <v>70581</v>
      </c>
      <c r="N3209">
        <v>3361</v>
      </c>
      <c r="O3209">
        <v>77303</v>
      </c>
    </row>
    <row r="3210" spans="1:15" x14ac:dyDescent="0.35">
      <c r="A3210">
        <v>3209</v>
      </c>
      <c r="B3210" s="2" t="s">
        <v>10</v>
      </c>
      <c r="C3210" s="2" t="s">
        <v>15</v>
      </c>
      <c r="D3210">
        <v>24</v>
      </c>
      <c r="E3210" s="2" t="s">
        <v>28</v>
      </c>
      <c r="F3210" s="2" t="s">
        <v>25</v>
      </c>
      <c r="G3210">
        <v>92712</v>
      </c>
      <c r="H3210" s="1">
        <v>44958</v>
      </c>
      <c r="I3210">
        <v>14</v>
      </c>
      <c r="J3210">
        <v>2</v>
      </c>
      <c r="K3210">
        <v>9271</v>
      </c>
      <c r="L3210">
        <v>4636</v>
      </c>
      <c r="M3210">
        <v>97347</v>
      </c>
      <c r="N3210">
        <v>4636</v>
      </c>
      <c r="O3210">
        <v>106619</v>
      </c>
    </row>
    <row r="3211" spans="1:15" x14ac:dyDescent="0.35">
      <c r="A3211">
        <v>3210</v>
      </c>
      <c r="B3211" s="2" t="s">
        <v>23</v>
      </c>
      <c r="C3211" s="2" t="s">
        <v>11</v>
      </c>
      <c r="D3211">
        <v>41</v>
      </c>
      <c r="E3211" s="2" t="s">
        <v>12</v>
      </c>
      <c r="F3211" s="2" t="s">
        <v>25</v>
      </c>
      <c r="G3211">
        <v>68917</v>
      </c>
      <c r="H3211" s="1">
        <v>45311</v>
      </c>
      <c r="I3211">
        <v>13</v>
      </c>
      <c r="J3211">
        <v>3</v>
      </c>
      <c r="K3211">
        <v>6892</v>
      </c>
      <c r="L3211">
        <v>3446</v>
      </c>
      <c r="M3211">
        <v>72363</v>
      </c>
      <c r="N3211">
        <v>3446</v>
      </c>
      <c r="O3211">
        <v>79255</v>
      </c>
    </row>
    <row r="3212" spans="1:15" x14ac:dyDescent="0.35">
      <c r="A3212">
        <v>3211</v>
      </c>
      <c r="B3212" s="2" t="s">
        <v>18</v>
      </c>
      <c r="C3212" s="2" t="s">
        <v>11</v>
      </c>
      <c r="D3212">
        <v>29</v>
      </c>
      <c r="E3212" s="2" t="s">
        <v>12</v>
      </c>
      <c r="F3212" s="2" t="s">
        <v>21</v>
      </c>
      <c r="G3212">
        <v>52128</v>
      </c>
      <c r="H3212" s="1">
        <v>44676</v>
      </c>
      <c r="I3212">
        <v>6</v>
      </c>
      <c r="J3212">
        <v>5</v>
      </c>
      <c r="K3212">
        <v>5213</v>
      </c>
      <c r="L3212">
        <v>2606</v>
      </c>
      <c r="M3212">
        <v>54735</v>
      </c>
      <c r="N3212">
        <v>2606</v>
      </c>
      <c r="O3212">
        <v>59947</v>
      </c>
    </row>
    <row r="3213" spans="1:15" x14ac:dyDescent="0.35">
      <c r="A3213">
        <v>3212</v>
      </c>
      <c r="B3213" s="2" t="s">
        <v>22</v>
      </c>
      <c r="C3213" s="2" t="s">
        <v>15</v>
      </c>
      <c r="D3213">
        <v>31</v>
      </c>
      <c r="E3213" s="2" t="s">
        <v>16</v>
      </c>
      <c r="F3213" s="2" t="s">
        <v>17</v>
      </c>
      <c r="G3213">
        <v>51981</v>
      </c>
      <c r="H3213" s="1">
        <v>45282</v>
      </c>
      <c r="I3213">
        <v>1</v>
      </c>
      <c r="J3213">
        <v>4</v>
      </c>
      <c r="K3213">
        <v>5198</v>
      </c>
      <c r="L3213">
        <v>2599</v>
      </c>
      <c r="M3213">
        <v>54580</v>
      </c>
      <c r="N3213">
        <v>0</v>
      </c>
      <c r="O3213">
        <v>57179</v>
      </c>
    </row>
    <row r="3214" spans="1:15" x14ac:dyDescent="0.35">
      <c r="A3214">
        <v>3213</v>
      </c>
      <c r="B3214" s="2" t="s">
        <v>18</v>
      </c>
      <c r="C3214" s="2" t="s">
        <v>11</v>
      </c>
      <c r="D3214">
        <v>31</v>
      </c>
      <c r="E3214" s="2" t="s">
        <v>28</v>
      </c>
      <c r="F3214" s="2" t="s">
        <v>25</v>
      </c>
      <c r="G3214">
        <v>58092</v>
      </c>
      <c r="H3214" s="1">
        <v>45486</v>
      </c>
      <c r="I3214">
        <v>18</v>
      </c>
      <c r="J3214">
        <v>1</v>
      </c>
      <c r="K3214">
        <v>5809</v>
      </c>
      <c r="L3214">
        <v>2905</v>
      </c>
      <c r="M3214">
        <v>60996</v>
      </c>
      <c r="N3214">
        <v>2905</v>
      </c>
      <c r="O3214">
        <v>66806</v>
      </c>
    </row>
    <row r="3215" spans="1:15" x14ac:dyDescent="0.35">
      <c r="A3215">
        <v>3214</v>
      </c>
      <c r="B3215" s="2" t="s">
        <v>26</v>
      </c>
      <c r="C3215" s="2" t="s">
        <v>15</v>
      </c>
      <c r="D3215">
        <v>56</v>
      </c>
      <c r="E3215" s="2" t="s">
        <v>12</v>
      </c>
      <c r="F3215" s="2" t="s">
        <v>21</v>
      </c>
      <c r="G3215">
        <v>94983</v>
      </c>
      <c r="H3215" s="1">
        <v>45117</v>
      </c>
      <c r="I3215">
        <v>18</v>
      </c>
      <c r="J3215">
        <v>2</v>
      </c>
      <c r="K3215">
        <v>9498</v>
      </c>
      <c r="L3215">
        <v>4749</v>
      </c>
      <c r="M3215">
        <v>99732</v>
      </c>
      <c r="N3215">
        <v>4749</v>
      </c>
      <c r="O3215">
        <v>109230</v>
      </c>
    </row>
    <row r="3216" spans="1:15" x14ac:dyDescent="0.35">
      <c r="A3216">
        <v>3215</v>
      </c>
      <c r="B3216" s="2" t="s">
        <v>22</v>
      </c>
      <c r="C3216" s="2" t="s">
        <v>11</v>
      </c>
      <c r="D3216">
        <v>26</v>
      </c>
      <c r="E3216" s="2" t="s">
        <v>28</v>
      </c>
      <c r="F3216" s="2" t="s">
        <v>25</v>
      </c>
      <c r="G3216">
        <v>64025</v>
      </c>
      <c r="H3216" s="1">
        <v>45394</v>
      </c>
      <c r="I3216">
        <v>15</v>
      </c>
      <c r="J3216">
        <v>4</v>
      </c>
      <c r="K3216">
        <v>6402</v>
      </c>
      <c r="L3216">
        <v>3201</v>
      </c>
      <c r="M3216">
        <v>67226</v>
      </c>
      <c r="N3216">
        <v>3201</v>
      </c>
      <c r="O3216">
        <v>73628</v>
      </c>
    </row>
    <row r="3217" spans="1:15" x14ac:dyDescent="0.35">
      <c r="A3217">
        <v>3216</v>
      </c>
      <c r="B3217" s="2" t="s">
        <v>27</v>
      </c>
      <c r="C3217" s="2" t="s">
        <v>15</v>
      </c>
      <c r="D3217">
        <v>36</v>
      </c>
      <c r="E3217" s="2" t="s">
        <v>29</v>
      </c>
      <c r="F3217" s="2" t="s">
        <v>25</v>
      </c>
      <c r="G3217">
        <v>77798</v>
      </c>
      <c r="H3217" s="1">
        <v>45206</v>
      </c>
      <c r="I3217">
        <v>19</v>
      </c>
      <c r="J3217">
        <v>5</v>
      </c>
      <c r="K3217">
        <v>7780</v>
      </c>
      <c r="L3217">
        <v>3890</v>
      </c>
      <c r="M3217">
        <v>81688</v>
      </c>
      <c r="N3217">
        <v>3890</v>
      </c>
      <c r="O3217">
        <v>89468</v>
      </c>
    </row>
    <row r="3218" spans="1:15" x14ac:dyDescent="0.35">
      <c r="A3218">
        <v>3217</v>
      </c>
      <c r="B3218" s="2" t="s">
        <v>20</v>
      </c>
      <c r="C3218" s="2" t="s">
        <v>11</v>
      </c>
      <c r="D3218">
        <v>56</v>
      </c>
      <c r="E3218" s="2" t="s">
        <v>16</v>
      </c>
      <c r="F3218" s="2" t="s">
        <v>17</v>
      </c>
      <c r="G3218">
        <v>93329</v>
      </c>
      <c r="H3218" s="1">
        <v>45318</v>
      </c>
      <c r="I3218">
        <v>20</v>
      </c>
      <c r="J3218">
        <v>4</v>
      </c>
      <c r="K3218">
        <v>9333</v>
      </c>
      <c r="L3218">
        <v>4666</v>
      </c>
      <c r="M3218">
        <v>97996</v>
      </c>
      <c r="N3218">
        <v>4666</v>
      </c>
      <c r="O3218">
        <v>107328</v>
      </c>
    </row>
    <row r="3219" spans="1:15" x14ac:dyDescent="0.35">
      <c r="A3219">
        <v>3218</v>
      </c>
      <c r="B3219" s="2" t="s">
        <v>14</v>
      </c>
      <c r="C3219" s="2" t="s">
        <v>11</v>
      </c>
      <c r="D3219">
        <v>26</v>
      </c>
      <c r="E3219" s="2" t="s">
        <v>24</v>
      </c>
      <c r="F3219" s="2" t="s">
        <v>21</v>
      </c>
      <c r="G3219">
        <v>78143</v>
      </c>
      <c r="H3219" s="1">
        <v>45562</v>
      </c>
      <c r="I3219">
        <v>6</v>
      </c>
      <c r="J3219">
        <v>3</v>
      </c>
      <c r="K3219">
        <v>7814</v>
      </c>
      <c r="L3219">
        <v>3907</v>
      </c>
      <c r="M3219">
        <v>82050</v>
      </c>
      <c r="N3219">
        <v>3907</v>
      </c>
      <c r="O3219">
        <v>89864</v>
      </c>
    </row>
    <row r="3220" spans="1:15" x14ac:dyDescent="0.35">
      <c r="A3220">
        <v>3219</v>
      </c>
      <c r="B3220" s="2" t="s">
        <v>14</v>
      </c>
      <c r="C3220" s="2" t="s">
        <v>11</v>
      </c>
      <c r="D3220">
        <v>35</v>
      </c>
      <c r="E3220" s="2" t="s">
        <v>16</v>
      </c>
      <c r="F3220" s="2" t="s">
        <v>17</v>
      </c>
      <c r="G3220">
        <v>34784</v>
      </c>
      <c r="H3220" s="1">
        <v>45189</v>
      </c>
      <c r="I3220">
        <v>4</v>
      </c>
      <c r="J3220">
        <v>3</v>
      </c>
      <c r="K3220">
        <v>3478</v>
      </c>
      <c r="L3220">
        <v>1739</v>
      </c>
      <c r="M3220">
        <v>36523</v>
      </c>
      <c r="N3220">
        <v>0</v>
      </c>
      <c r="O3220">
        <v>38262</v>
      </c>
    </row>
    <row r="3221" spans="1:15" x14ac:dyDescent="0.35">
      <c r="A3221">
        <v>3220</v>
      </c>
      <c r="B3221" s="2" t="s">
        <v>22</v>
      </c>
      <c r="C3221" s="2" t="s">
        <v>15</v>
      </c>
      <c r="D3221">
        <v>59</v>
      </c>
      <c r="E3221" s="2" t="s">
        <v>29</v>
      </c>
      <c r="F3221" s="2" t="s">
        <v>19</v>
      </c>
      <c r="G3221">
        <v>79398</v>
      </c>
      <c r="H3221" s="1">
        <v>45096</v>
      </c>
      <c r="I3221">
        <v>17</v>
      </c>
      <c r="J3221">
        <v>5</v>
      </c>
      <c r="K3221">
        <v>7940</v>
      </c>
      <c r="L3221">
        <v>3970</v>
      </c>
      <c r="M3221">
        <v>83368</v>
      </c>
      <c r="N3221">
        <v>3970</v>
      </c>
      <c r="O3221">
        <v>91308</v>
      </c>
    </row>
    <row r="3222" spans="1:15" x14ac:dyDescent="0.35">
      <c r="A3222">
        <v>3221</v>
      </c>
      <c r="B3222" s="2" t="s">
        <v>22</v>
      </c>
      <c r="C3222" s="2" t="s">
        <v>15</v>
      </c>
      <c r="D3222">
        <v>23</v>
      </c>
      <c r="E3222" s="2" t="s">
        <v>12</v>
      </c>
      <c r="F3222" s="2" t="s">
        <v>19</v>
      </c>
      <c r="G3222">
        <v>85509</v>
      </c>
      <c r="H3222" s="1">
        <v>44741</v>
      </c>
      <c r="I3222">
        <v>19</v>
      </c>
      <c r="J3222">
        <v>4</v>
      </c>
      <c r="K3222">
        <v>8551</v>
      </c>
      <c r="L3222">
        <v>4275</v>
      </c>
      <c r="M3222">
        <v>89785</v>
      </c>
      <c r="N3222">
        <v>4275</v>
      </c>
      <c r="O3222">
        <v>98335</v>
      </c>
    </row>
    <row r="3223" spans="1:15" x14ac:dyDescent="0.35">
      <c r="A3223">
        <v>3222</v>
      </c>
      <c r="B3223" s="2" t="s">
        <v>14</v>
      </c>
      <c r="C3223" s="2" t="s">
        <v>11</v>
      </c>
      <c r="D3223">
        <v>31</v>
      </c>
      <c r="E3223" s="2" t="s">
        <v>28</v>
      </c>
      <c r="F3223" s="2" t="s">
        <v>19</v>
      </c>
      <c r="G3223">
        <v>46590</v>
      </c>
      <c r="H3223" s="1">
        <v>44844</v>
      </c>
      <c r="I3223">
        <v>15</v>
      </c>
      <c r="J3223">
        <v>5</v>
      </c>
      <c r="K3223">
        <v>4659</v>
      </c>
      <c r="L3223">
        <v>2330</v>
      </c>
      <c r="M3223">
        <v>48919</v>
      </c>
      <c r="N3223">
        <v>2330</v>
      </c>
      <c r="O3223">
        <v>53579</v>
      </c>
    </row>
    <row r="3224" spans="1:15" x14ac:dyDescent="0.35">
      <c r="A3224">
        <v>3223</v>
      </c>
      <c r="B3224" s="2" t="s">
        <v>31</v>
      </c>
      <c r="C3224" s="2" t="s">
        <v>11</v>
      </c>
      <c r="D3224">
        <v>55</v>
      </c>
      <c r="E3224" s="2" t="s">
        <v>24</v>
      </c>
      <c r="F3224" s="2" t="s">
        <v>19</v>
      </c>
      <c r="G3224">
        <v>92320</v>
      </c>
      <c r="H3224" s="1">
        <v>44820</v>
      </c>
      <c r="I3224">
        <v>6</v>
      </c>
      <c r="J3224">
        <v>3</v>
      </c>
      <c r="K3224">
        <v>9232</v>
      </c>
      <c r="L3224">
        <v>4616</v>
      </c>
      <c r="M3224">
        <v>96936</v>
      </c>
      <c r="N3224">
        <v>4616</v>
      </c>
      <c r="O3224">
        <v>106168</v>
      </c>
    </row>
    <row r="3225" spans="1:15" x14ac:dyDescent="0.35">
      <c r="A3225">
        <v>3224</v>
      </c>
      <c r="B3225" s="2" t="s">
        <v>30</v>
      </c>
      <c r="C3225" s="2" t="s">
        <v>15</v>
      </c>
      <c r="D3225">
        <v>28</v>
      </c>
      <c r="E3225" s="2" t="s">
        <v>24</v>
      </c>
      <c r="F3225" s="2" t="s">
        <v>21</v>
      </c>
      <c r="G3225">
        <v>87718</v>
      </c>
      <c r="H3225" s="1">
        <v>45376</v>
      </c>
      <c r="I3225">
        <v>12</v>
      </c>
      <c r="J3225">
        <v>1</v>
      </c>
      <c r="K3225">
        <v>8772</v>
      </c>
      <c r="L3225">
        <v>4386</v>
      </c>
      <c r="M3225">
        <v>92104</v>
      </c>
      <c r="N3225">
        <v>4386</v>
      </c>
      <c r="O3225">
        <v>100876</v>
      </c>
    </row>
    <row r="3226" spans="1:15" x14ac:dyDescent="0.35">
      <c r="A3226">
        <v>3225</v>
      </c>
      <c r="B3226" s="2" t="s">
        <v>23</v>
      </c>
      <c r="C3226" s="2" t="s">
        <v>11</v>
      </c>
      <c r="D3226">
        <v>54</v>
      </c>
      <c r="E3226" s="2" t="s">
        <v>28</v>
      </c>
      <c r="F3226" s="2" t="s">
        <v>19</v>
      </c>
      <c r="G3226">
        <v>96453</v>
      </c>
      <c r="H3226" s="1">
        <v>45205</v>
      </c>
      <c r="I3226">
        <v>15</v>
      </c>
      <c r="J3226">
        <v>1</v>
      </c>
      <c r="K3226">
        <v>9645</v>
      </c>
      <c r="L3226">
        <v>4823</v>
      </c>
      <c r="M3226">
        <v>101275</v>
      </c>
      <c r="N3226">
        <v>4823</v>
      </c>
      <c r="O3226">
        <v>110921</v>
      </c>
    </row>
    <row r="3227" spans="1:15" x14ac:dyDescent="0.35">
      <c r="A3227">
        <v>3226</v>
      </c>
      <c r="B3227" s="2" t="s">
        <v>27</v>
      </c>
      <c r="C3227" s="2" t="s">
        <v>15</v>
      </c>
      <c r="D3227">
        <v>38</v>
      </c>
      <c r="E3227" s="2" t="s">
        <v>29</v>
      </c>
      <c r="F3227" s="2" t="s">
        <v>25</v>
      </c>
      <c r="G3227">
        <v>22521</v>
      </c>
      <c r="H3227" s="1">
        <v>44811</v>
      </c>
      <c r="I3227">
        <v>14</v>
      </c>
      <c r="J3227">
        <v>4</v>
      </c>
      <c r="K3227">
        <v>2252</v>
      </c>
      <c r="L3227">
        <v>1126</v>
      </c>
      <c r="M3227">
        <v>23647</v>
      </c>
      <c r="N3227">
        <v>1126</v>
      </c>
      <c r="O3227">
        <v>25899</v>
      </c>
    </row>
    <row r="3228" spans="1:15" x14ac:dyDescent="0.35">
      <c r="A3228">
        <v>3227</v>
      </c>
      <c r="B3228" s="2" t="s">
        <v>23</v>
      </c>
      <c r="C3228" s="2" t="s">
        <v>15</v>
      </c>
      <c r="D3228">
        <v>34</v>
      </c>
      <c r="E3228" s="2" t="s">
        <v>24</v>
      </c>
      <c r="F3228" s="2" t="s">
        <v>21</v>
      </c>
      <c r="G3228">
        <v>47781</v>
      </c>
      <c r="H3228" s="1">
        <v>45132</v>
      </c>
      <c r="I3228">
        <v>11</v>
      </c>
      <c r="J3228">
        <v>1</v>
      </c>
      <c r="K3228">
        <v>4778</v>
      </c>
      <c r="L3228">
        <v>2389</v>
      </c>
      <c r="M3228">
        <v>50170</v>
      </c>
      <c r="N3228">
        <v>2389</v>
      </c>
      <c r="O3228">
        <v>54948</v>
      </c>
    </row>
    <row r="3229" spans="1:15" x14ac:dyDescent="0.35">
      <c r="A3229">
        <v>3228</v>
      </c>
      <c r="B3229" s="2" t="s">
        <v>27</v>
      </c>
      <c r="C3229" s="2" t="s">
        <v>11</v>
      </c>
      <c r="D3229">
        <v>34</v>
      </c>
      <c r="E3229" s="2" t="s">
        <v>12</v>
      </c>
      <c r="F3229" s="2" t="s">
        <v>25</v>
      </c>
      <c r="G3229">
        <v>43848</v>
      </c>
      <c r="H3229" s="1">
        <v>45184</v>
      </c>
      <c r="I3229">
        <v>7</v>
      </c>
      <c r="J3229">
        <v>4</v>
      </c>
      <c r="K3229">
        <v>4385</v>
      </c>
      <c r="L3229">
        <v>2192</v>
      </c>
      <c r="M3229">
        <v>46041</v>
      </c>
      <c r="N3229">
        <v>2192</v>
      </c>
      <c r="O3229">
        <v>50425</v>
      </c>
    </row>
    <row r="3230" spans="1:15" x14ac:dyDescent="0.35">
      <c r="A3230">
        <v>3229</v>
      </c>
      <c r="B3230" s="2" t="s">
        <v>14</v>
      </c>
      <c r="C3230" s="2" t="s">
        <v>15</v>
      </c>
      <c r="D3230">
        <v>57</v>
      </c>
      <c r="E3230" s="2" t="s">
        <v>12</v>
      </c>
      <c r="F3230" s="2" t="s">
        <v>25</v>
      </c>
      <c r="G3230">
        <v>26931</v>
      </c>
      <c r="H3230" s="1">
        <v>45345</v>
      </c>
      <c r="I3230">
        <v>3</v>
      </c>
      <c r="J3230">
        <v>1</v>
      </c>
      <c r="K3230">
        <v>2693</v>
      </c>
      <c r="L3230">
        <v>1347</v>
      </c>
      <c r="M3230">
        <v>28277</v>
      </c>
      <c r="N3230">
        <v>0</v>
      </c>
      <c r="O3230">
        <v>29624</v>
      </c>
    </row>
    <row r="3231" spans="1:15" x14ac:dyDescent="0.35">
      <c r="A3231">
        <v>3230</v>
      </c>
      <c r="B3231" s="2" t="s">
        <v>22</v>
      </c>
      <c r="C3231" s="2" t="s">
        <v>11</v>
      </c>
      <c r="D3231">
        <v>41</v>
      </c>
      <c r="E3231" s="2" t="s">
        <v>28</v>
      </c>
      <c r="F3231" s="2" t="s">
        <v>21</v>
      </c>
      <c r="G3231">
        <v>82888</v>
      </c>
      <c r="H3231" s="1">
        <v>44852</v>
      </c>
      <c r="I3231">
        <v>18</v>
      </c>
      <c r="J3231">
        <v>1</v>
      </c>
      <c r="K3231">
        <v>8289</v>
      </c>
      <c r="L3231">
        <v>4144</v>
      </c>
      <c r="M3231">
        <v>87033</v>
      </c>
      <c r="N3231">
        <v>4144</v>
      </c>
      <c r="O3231">
        <v>95321</v>
      </c>
    </row>
    <row r="3232" spans="1:15" x14ac:dyDescent="0.35">
      <c r="A3232">
        <v>3231</v>
      </c>
      <c r="B3232" s="2" t="s">
        <v>31</v>
      </c>
      <c r="C3232" s="2" t="s">
        <v>11</v>
      </c>
      <c r="D3232">
        <v>35</v>
      </c>
      <c r="E3232" s="2" t="s">
        <v>16</v>
      </c>
      <c r="F3232" s="2" t="s">
        <v>21</v>
      </c>
      <c r="G3232">
        <v>34100</v>
      </c>
      <c r="H3232" s="1">
        <v>44745</v>
      </c>
      <c r="I3232">
        <v>8</v>
      </c>
      <c r="J3232">
        <v>3</v>
      </c>
      <c r="K3232">
        <v>3410</v>
      </c>
      <c r="L3232">
        <v>1705</v>
      </c>
      <c r="M3232">
        <v>35805</v>
      </c>
      <c r="N3232">
        <v>1705</v>
      </c>
      <c r="O3232">
        <v>39215</v>
      </c>
    </row>
    <row r="3233" spans="1:15" x14ac:dyDescent="0.35">
      <c r="A3233">
        <v>3232</v>
      </c>
      <c r="B3233" s="2" t="s">
        <v>10</v>
      </c>
      <c r="C3233" s="2" t="s">
        <v>11</v>
      </c>
      <c r="D3233">
        <v>52</v>
      </c>
      <c r="E3233" s="2" t="s">
        <v>28</v>
      </c>
      <c r="F3233" s="2" t="s">
        <v>25</v>
      </c>
      <c r="G3233">
        <v>28782</v>
      </c>
      <c r="H3233" s="1">
        <v>44857</v>
      </c>
      <c r="I3233">
        <v>3</v>
      </c>
      <c r="J3233">
        <v>3</v>
      </c>
      <c r="K3233">
        <v>2878</v>
      </c>
      <c r="L3233">
        <v>1439</v>
      </c>
      <c r="M3233">
        <v>30221</v>
      </c>
      <c r="N3233">
        <v>0</v>
      </c>
      <c r="O3233">
        <v>31660</v>
      </c>
    </row>
    <row r="3234" spans="1:15" x14ac:dyDescent="0.35">
      <c r="A3234">
        <v>3233</v>
      </c>
      <c r="B3234" s="2" t="s">
        <v>20</v>
      </c>
      <c r="C3234" s="2" t="s">
        <v>11</v>
      </c>
      <c r="D3234">
        <v>35</v>
      </c>
      <c r="E3234" s="2" t="s">
        <v>28</v>
      </c>
      <c r="F3234" s="2" t="s">
        <v>19</v>
      </c>
      <c r="G3234">
        <v>30241</v>
      </c>
      <c r="H3234" s="1">
        <v>44614</v>
      </c>
      <c r="I3234">
        <v>11</v>
      </c>
      <c r="J3234">
        <v>1</v>
      </c>
      <c r="K3234">
        <v>3024</v>
      </c>
      <c r="L3234">
        <v>1512</v>
      </c>
      <c r="M3234">
        <v>31753</v>
      </c>
      <c r="N3234">
        <v>1512</v>
      </c>
      <c r="O3234">
        <v>34777</v>
      </c>
    </row>
    <row r="3235" spans="1:15" x14ac:dyDescent="0.35">
      <c r="A3235">
        <v>3234</v>
      </c>
      <c r="B3235" s="2" t="s">
        <v>20</v>
      </c>
      <c r="C3235" s="2" t="s">
        <v>15</v>
      </c>
      <c r="D3235">
        <v>54</v>
      </c>
      <c r="E3235" s="2" t="s">
        <v>28</v>
      </c>
      <c r="F3235" s="2" t="s">
        <v>13</v>
      </c>
      <c r="G3235">
        <v>23494</v>
      </c>
      <c r="H3235" s="1">
        <v>44707</v>
      </c>
      <c r="I3235">
        <v>12</v>
      </c>
      <c r="J3235">
        <v>2</v>
      </c>
      <c r="K3235">
        <v>2349</v>
      </c>
      <c r="L3235">
        <v>1175</v>
      </c>
      <c r="M3235">
        <v>24668</v>
      </c>
      <c r="N3235">
        <v>1175</v>
      </c>
      <c r="O3235">
        <v>27018</v>
      </c>
    </row>
    <row r="3236" spans="1:15" x14ac:dyDescent="0.35">
      <c r="A3236">
        <v>3235</v>
      </c>
      <c r="B3236" s="2" t="s">
        <v>31</v>
      </c>
      <c r="C3236" s="2" t="s">
        <v>11</v>
      </c>
      <c r="D3236">
        <v>32</v>
      </c>
      <c r="E3236" s="2" t="s">
        <v>12</v>
      </c>
      <c r="F3236" s="2" t="s">
        <v>13</v>
      </c>
      <c r="G3236">
        <v>26830</v>
      </c>
      <c r="H3236" s="1">
        <v>44899</v>
      </c>
      <c r="I3236">
        <v>16</v>
      </c>
      <c r="J3236">
        <v>2</v>
      </c>
      <c r="K3236">
        <v>2683</v>
      </c>
      <c r="L3236">
        <v>1342</v>
      </c>
      <c r="M3236">
        <v>28171</v>
      </c>
      <c r="N3236">
        <v>1342</v>
      </c>
      <c r="O3236">
        <v>30855</v>
      </c>
    </row>
    <row r="3237" spans="1:15" x14ac:dyDescent="0.35">
      <c r="A3237">
        <v>3236</v>
      </c>
      <c r="B3237" s="2" t="s">
        <v>31</v>
      </c>
      <c r="C3237" s="2" t="s">
        <v>15</v>
      </c>
      <c r="D3237">
        <v>36</v>
      </c>
      <c r="E3237" s="2" t="s">
        <v>29</v>
      </c>
      <c r="F3237" s="2" t="s">
        <v>17</v>
      </c>
      <c r="G3237">
        <v>67294</v>
      </c>
      <c r="H3237" s="1">
        <v>44581</v>
      </c>
      <c r="I3237">
        <v>10</v>
      </c>
      <c r="J3237">
        <v>2</v>
      </c>
      <c r="K3237">
        <v>6729</v>
      </c>
      <c r="L3237">
        <v>3365</v>
      </c>
      <c r="M3237">
        <v>70658</v>
      </c>
      <c r="N3237">
        <v>3365</v>
      </c>
      <c r="O3237">
        <v>77388</v>
      </c>
    </row>
    <row r="3238" spans="1:15" x14ac:dyDescent="0.35">
      <c r="A3238">
        <v>3237</v>
      </c>
      <c r="B3238" s="2" t="s">
        <v>23</v>
      </c>
      <c r="C3238" s="2" t="s">
        <v>15</v>
      </c>
      <c r="D3238">
        <v>26</v>
      </c>
      <c r="E3238" s="2" t="s">
        <v>16</v>
      </c>
      <c r="F3238" s="2" t="s">
        <v>25</v>
      </c>
      <c r="G3238">
        <v>96853</v>
      </c>
      <c r="H3238" s="1">
        <v>45510</v>
      </c>
      <c r="I3238">
        <v>1</v>
      </c>
      <c r="J3238">
        <v>1</v>
      </c>
      <c r="K3238">
        <v>9685</v>
      </c>
      <c r="L3238">
        <v>4843</v>
      </c>
      <c r="M3238">
        <v>101695</v>
      </c>
      <c r="N3238">
        <v>0</v>
      </c>
      <c r="O3238">
        <v>106538</v>
      </c>
    </row>
    <row r="3239" spans="1:15" x14ac:dyDescent="0.35">
      <c r="A3239">
        <v>3238</v>
      </c>
      <c r="B3239" s="2" t="s">
        <v>27</v>
      </c>
      <c r="C3239" s="2" t="s">
        <v>15</v>
      </c>
      <c r="D3239">
        <v>57</v>
      </c>
      <c r="E3239" s="2" t="s">
        <v>29</v>
      </c>
      <c r="F3239" s="2" t="s">
        <v>19</v>
      </c>
      <c r="G3239">
        <v>48197</v>
      </c>
      <c r="H3239" s="1">
        <v>45398</v>
      </c>
      <c r="I3239">
        <v>20</v>
      </c>
      <c r="J3239">
        <v>2</v>
      </c>
      <c r="K3239">
        <v>4820</v>
      </c>
      <c r="L3239">
        <v>2410</v>
      </c>
      <c r="M3239">
        <v>50607</v>
      </c>
      <c r="N3239">
        <v>2410</v>
      </c>
      <c r="O3239">
        <v>55427</v>
      </c>
    </row>
    <row r="3240" spans="1:15" x14ac:dyDescent="0.35">
      <c r="A3240">
        <v>3239</v>
      </c>
      <c r="B3240" s="2" t="s">
        <v>20</v>
      </c>
      <c r="C3240" s="2" t="s">
        <v>11</v>
      </c>
      <c r="D3240">
        <v>24</v>
      </c>
      <c r="E3240" s="2" t="s">
        <v>12</v>
      </c>
      <c r="F3240" s="2" t="s">
        <v>21</v>
      </c>
      <c r="G3240">
        <v>88331</v>
      </c>
      <c r="H3240" s="1">
        <v>45302</v>
      </c>
      <c r="I3240">
        <v>17</v>
      </c>
      <c r="J3240">
        <v>2</v>
      </c>
      <c r="K3240">
        <v>8833</v>
      </c>
      <c r="L3240">
        <v>4417</v>
      </c>
      <c r="M3240">
        <v>92747</v>
      </c>
      <c r="N3240">
        <v>4417</v>
      </c>
      <c r="O3240">
        <v>101581</v>
      </c>
    </row>
    <row r="3241" spans="1:15" x14ac:dyDescent="0.35">
      <c r="A3241">
        <v>3240</v>
      </c>
      <c r="B3241" s="2" t="s">
        <v>31</v>
      </c>
      <c r="C3241" s="2" t="s">
        <v>11</v>
      </c>
      <c r="D3241">
        <v>39</v>
      </c>
      <c r="E3241" s="2" t="s">
        <v>29</v>
      </c>
      <c r="F3241" s="2" t="s">
        <v>21</v>
      </c>
      <c r="G3241">
        <v>33111</v>
      </c>
      <c r="H3241" s="1">
        <v>45482</v>
      </c>
      <c r="I3241">
        <v>13</v>
      </c>
      <c r="J3241">
        <v>3</v>
      </c>
      <c r="K3241">
        <v>3311</v>
      </c>
      <c r="L3241">
        <v>1656</v>
      </c>
      <c r="M3241">
        <v>34766</v>
      </c>
      <c r="N3241">
        <v>1656</v>
      </c>
      <c r="O3241">
        <v>38078</v>
      </c>
    </row>
    <row r="3242" spans="1:15" x14ac:dyDescent="0.35">
      <c r="A3242">
        <v>3241</v>
      </c>
      <c r="B3242" s="2" t="s">
        <v>31</v>
      </c>
      <c r="C3242" s="2" t="s">
        <v>11</v>
      </c>
      <c r="D3242">
        <v>25</v>
      </c>
      <c r="E3242" s="2" t="s">
        <v>24</v>
      </c>
      <c r="F3242" s="2" t="s">
        <v>25</v>
      </c>
      <c r="G3242">
        <v>88320</v>
      </c>
      <c r="H3242" s="1">
        <v>45220</v>
      </c>
      <c r="I3242">
        <v>19</v>
      </c>
      <c r="J3242">
        <v>2</v>
      </c>
      <c r="K3242">
        <v>8832</v>
      </c>
      <c r="L3242">
        <v>4416</v>
      </c>
      <c r="M3242">
        <v>92736</v>
      </c>
      <c r="N3242">
        <v>4416</v>
      </c>
      <c r="O3242">
        <v>101568</v>
      </c>
    </row>
    <row r="3243" spans="1:15" x14ac:dyDescent="0.35">
      <c r="A3243">
        <v>3242</v>
      </c>
      <c r="B3243" s="2" t="s">
        <v>27</v>
      </c>
      <c r="C3243" s="2" t="s">
        <v>11</v>
      </c>
      <c r="D3243">
        <v>53</v>
      </c>
      <c r="E3243" s="2" t="s">
        <v>29</v>
      </c>
      <c r="F3243" s="2" t="s">
        <v>19</v>
      </c>
      <c r="G3243">
        <v>79273</v>
      </c>
      <c r="H3243" s="1">
        <v>45206</v>
      </c>
      <c r="I3243">
        <v>2</v>
      </c>
      <c r="J3243">
        <v>5</v>
      </c>
      <c r="K3243">
        <v>7927</v>
      </c>
      <c r="L3243">
        <v>3964</v>
      </c>
      <c r="M3243">
        <v>83236</v>
      </c>
      <c r="N3243">
        <v>0</v>
      </c>
      <c r="O3243">
        <v>87200</v>
      </c>
    </row>
    <row r="3244" spans="1:15" x14ac:dyDescent="0.35">
      <c r="A3244">
        <v>3243</v>
      </c>
      <c r="B3244" s="2" t="s">
        <v>22</v>
      </c>
      <c r="C3244" s="2" t="s">
        <v>15</v>
      </c>
      <c r="D3244">
        <v>24</v>
      </c>
      <c r="E3244" s="2" t="s">
        <v>12</v>
      </c>
      <c r="F3244" s="2" t="s">
        <v>13</v>
      </c>
      <c r="G3244">
        <v>43890</v>
      </c>
      <c r="H3244" s="1">
        <v>45069</v>
      </c>
      <c r="I3244">
        <v>1</v>
      </c>
      <c r="J3244">
        <v>2</v>
      </c>
      <c r="K3244">
        <v>4389</v>
      </c>
      <c r="L3244">
        <v>2194</v>
      </c>
      <c r="M3244">
        <v>46085</v>
      </c>
      <c r="N3244">
        <v>0</v>
      </c>
      <c r="O3244">
        <v>48279</v>
      </c>
    </row>
    <row r="3245" spans="1:15" x14ac:dyDescent="0.35">
      <c r="A3245">
        <v>3244</v>
      </c>
      <c r="B3245" s="2" t="s">
        <v>18</v>
      </c>
      <c r="C3245" s="2" t="s">
        <v>11</v>
      </c>
      <c r="D3245">
        <v>41</v>
      </c>
      <c r="E3245" s="2" t="s">
        <v>12</v>
      </c>
      <c r="F3245" s="2" t="s">
        <v>19</v>
      </c>
      <c r="G3245">
        <v>53369</v>
      </c>
      <c r="H3245" s="1">
        <v>44818</v>
      </c>
      <c r="I3245">
        <v>7</v>
      </c>
      <c r="J3245">
        <v>2</v>
      </c>
      <c r="K3245">
        <v>5337</v>
      </c>
      <c r="L3245">
        <v>2668</v>
      </c>
      <c r="M3245">
        <v>56038</v>
      </c>
      <c r="N3245">
        <v>2668</v>
      </c>
      <c r="O3245">
        <v>61374</v>
      </c>
    </row>
    <row r="3246" spans="1:15" x14ac:dyDescent="0.35">
      <c r="A3246">
        <v>3245</v>
      </c>
      <c r="B3246" s="2" t="s">
        <v>23</v>
      </c>
      <c r="C3246" s="2" t="s">
        <v>11</v>
      </c>
      <c r="D3246">
        <v>30</v>
      </c>
      <c r="E3246" s="2" t="s">
        <v>28</v>
      </c>
      <c r="F3246" s="2" t="s">
        <v>25</v>
      </c>
      <c r="G3246">
        <v>99665</v>
      </c>
      <c r="H3246" s="1">
        <v>45150</v>
      </c>
      <c r="I3246">
        <v>20</v>
      </c>
      <c r="J3246">
        <v>4</v>
      </c>
      <c r="K3246">
        <v>9966</v>
      </c>
      <c r="L3246">
        <v>4983</v>
      </c>
      <c r="M3246">
        <v>104648</v>
      </c>
      <c r="N3246">
        <v>4983</v>
      </c>
      <c r="O3246">
        <v>114614</v>
      </c>
    </row>
    <row r="3247" spans="1:15" x14ac:dyDescent="0.35">
      <c r="A3247">
        <v>3246</v>
      </c>
      <c r="B3247" s="2" t="s">
        <v>26</v>
      </c>
      <c r="C3247" s="2" t="s">
        <v>11</v>
      </c>
      <c r="D3247">
        <v>56</v>
      </c>
      <c r="E3247" s="2" t="s">
        <v>28</v>
      </c>
      <c r="F3247" s="2" t="s">
        <v>13</v>
      </c>
      <c r="G3247">
        <v>77663</v>
      </c>
      <c r="H3247" s="1">
        <v>45027</v>
      </c>
      <c r="I3247">
        <v>8</v>
      </c>
      <c r="J3247">
        <v>3</v>
      </c>
      <c r="K3247">
        <v>7766</v>
      </c>
      <c r="L3247">
        <v>3883</v>
      </c>
      <c r="M3247">
        <v>81546</v>
      </c>
      <c r="N3247">
        <v>3883</v>
      </c>
      <c r="O3247">
        <v>89312</v>
      </c>
    </row>
    <row r="3248" spans="1:15" x14ac:dyDescent="0.35">
      <c r="A3248">
        <v>3247</v>
      </c>
      <c r="B3248" s="2" t="s">
        <v>14</v>
      </c>
      <c r="C3248" s="2" t="s">
        <v>11</v>
      </c>
      <c r="D3248">
        <v>25</v>
      </c>
      <c r="E3248" s="2" t="s">
        <v>29</v>
      </c>
      <c r="F3248" s="2" t="s">
        <v>13</v>
      </c>
      <c r="G3248">
        <v>72283</v>
      </c>
      <c r="H3248" s="1">
        <v>45101</v>
      </c>
      <c r="I3248">
        <v>18</v>
      </c>
      <c r="J3248">
        <v>3</v>
      </c>
      <c r="K3248">
        <v>7228</v>
      </c>
      <c r="L3248">
        <v>3614</v>
      </c>
      <c r="M3248">
        <v>75897</v>
      </c>
      <c r="N3248">
        <v>3614</v>
      </c>
      <c r="O3248">
        <v>83125</v>
      </c>
    </row>
    <row r="3249" spans="1:15" x14ac:dyDescent="0.35">
      <c r="A3249">
        <v>3248</v>
      </c>
      <c r="B3249" s="2" t="s">
        <v>27</v>
      </c>
      <c r="C3249" s="2" t="s">
        <v>11</v>
      </c>
      <c r="D3249">
        <v>58</v>
      </c>
      <c r="E3249" s="2" t="s">
        <v>29</v>
      </c>
      <c r="F3249" s="2" t="s">
        <v>21</v>
      </c>
      <c r="G3249">
        <v>73468</v>
      </c>
      <c r="H3249" s="1">
        <v>45432</v>
      </c>
      <c r="I3249">
        <v>10</v>
      </c>
      <c r="J3249">
        <v>4</v>
      </c>
      <c r="K3249">
        <v>7347</v>
      </c>
      <c r="L3249">
        <v>3673</v>
      </c>
      <c r="M3249">
        <v>77142</v>
      </c>
      <c r="N3249">
        <v>3673</v>
      </c>
      <c r="O3249">
        <v>84488</v>
      </c>
    </row>
    <row r="3250" spans="1:15" x14ac:dyDescent="0.35">
      <c r="A3250">
        <v>3249</v>
      </c>
      <c r="B3250" s="2" t="s">
        <v>23</v>
      </c>
      <c r="C3250" s="2" t="s">
        <v>15</v>
      </c>
      <c r="D3250">
        <v>43</v>
      </c>
      <c r="E3250" s="2" t="s">
        <v>16</v>
      </c>
      <c r="F3250" s="2" t="s">
        <v>19</v>
      </c>
      <c r="G3250">
        <v>40633</v>
      </c>
      <c r="H3250" s="1">
        <v>45153</v>
      </c>
      <c r="I3250">
        <v>17</v>
      </c>
      <c r="J3250">
        <v>3</v>
      </c>
      <c r="K3250">
        <v>4063</v>
      </c>
      <c r="L3250">
        <v>2032</v>
      </c>
      <c r="M3250">
        <v>42664</v>
      </c>
      <c r="N3250">
        <v>2032</v>
      </c>
      <c r="O3250">
        <v>46728</v>
      </c>
    </row>
    <row r="3251" spans="1:15" x14ac:dyDescent="0.35">
      <c r="A3251">
        <v>3250</v>
      </c>
      <c r="B3251" s="2" t="s">
        <v>23</v>
      </c>
      <c r="C3251" s="2" t="s">
        <v>11</v>
      </c>
      <c r="D3251">
        <v>43</v>
      </c>
      <c r="E3251" s="2" t="s">
        <v>12</v>
      </c>
      <c r="F3251" s="2" t="s">
        <v>17</v>
      </c>
      <c r="G3251">
        <v>48926</v>
      </c>
      <c r="H3251" s="1">
        <v>45466</v>
      </c>
      <c r="I3251">
        <v>10</v>
      </c>
      <c r="J3251">
        <v>1</v>
      </c>
      <c r="K3251">
        <v>4893</v>
      </c>
      <c r="L3251">
        <v>2446</v>
      </c>
      <c r="M3251">
        <v>51373</v>
      </c>
      <c r="N3251">
        <v>2446</v>
      </c>
      <c r="O3251">
        <v>56265</v>
      </c>
    </row>
    <row r="3252" spans="1:15" x14ac:dyDescent="0.35">
      <c r="A3252">
        <v>3251</v>
      </c>
      <c r="B3252" s="2" t="s">
        <v>30</v>
      </c>
      <c r="C3252" s="2" t="s">
        <v>11</v>
      </c>
      <c r="D3252">
        <v>37</v>
      </c>
      <c r="E3252" s="2" t="s">
        <v>12</v>
      </c>
      <c r="F3252" s="2" t="s">
        <v>25</v>
      </c>
      <c r="G3252">
        <v>69205</v>
      </c>
      <c r="H3252" s="1">
        <v>44804</v>
      </c>
      <c r="I3252">
        <v>13</v>
      </c>
      <c r="J3252">
        <v>3</v>
      </c>
      <c r="K3252">
        <v>6920</v>
      </c>
      <c r="L3252">
        <v>3460</v>
      </c>
      <c r="M3252">
        <v>72665</v>
      </c>
      <c r="N3252">
        <v>3460</v>
      </c>
      <c r="O3252">
        <v>79585</v>
      </c>
    </row>
    <row r="3253" spans="1:15" x14ac:dyDescent="0.35">
      <c r="A3253">
        <v>3252</v>
      </c>
      <c r="B3253" s="2" t="s">
        <v>26</v>
      </c>
      <c r="C3253" s="2" t="s">
        <v>15</v>
      </c>
      <c r="D3253">
        <v>32</v>
      </c>
      <c r="E3253" s="2" t="s">
        <v>12</v>
      </c>
      <c r="F3253" s="2" t="s">
        <v>17</v>
      </c>
      <c r="G3253">
        <v>66272</v>
      </c>
      <c r="H3253" s="1">
        <v>44950</v>
      </c>
      <c r="I3253">
        <v>18</v>
      </c>
      <c r="J3253">
        <v>3</v>
      </c>
      <c r="K3253">
        <v>6627</v>
      </c>
      <c r="L3253">
        <v>3314</v>
      </c>
      <c r="M3253">
        <v>69585</v>
      </c>
      <c r="N3253">
        <v>3314</v>
      </c>
      <c r="O3253">
        <v>76213</v>
      </c>
    </row>
    <row r="3254" spans="1:15" x14ac:dyDescent="0.35">
      <c r="A3254">
        <v>3253</v>
      </c>
      <c r="B3254" s="2" t="s">
        <v>18</v>
      </c>
      <c r="C3254" s="2" t="s">
        <v>11</v>
      </c>
      <c r="D3254">
        <v>21</v>
      </c>
      <c r="E3254" s="2" t="s">
        <v>28</v>
      </c>
      <c r="F3254" s="2" t="s">
        <v>25</v>
      </c>
      <c r="G3254">
        <v>92564</v>
      </c>
      <c r="H3254" s="1">
        <v>44889</v>
      </c>
      <c r="I3254">
        <v>5</v>
      </c>
      <c r="J3254">
        <v>1</v>
      </c>
      <c r="K3254">
        <v>9256</v>
      </c>
      <c r="L3254">
        <v>4628</v>
      </c>
      <c r="M3254">
        <v>97192</v>
      </c>
      <c r="N3254">
        <v>0</v>
      </c>
      <c r="O3254">
        <v>101820</v>
      </c>
    </row>
    <row r="3255" spans="1:15" x14ac:dyDescent="0.35">
      <c r="A3255">
        <v>3254</v>
      </c>
      <c r="B3255" s="2" t="s">
        <v>22</v>
      </c>
      <c r="C3255" s="2" t="s">
        <v>11</v>
      </c>
      <c r="D3255">
        <v>57</v>
      </c>
      <c r="E3255" s="2" t="s">
        <v>16</v>
      </c>
      <c r="F3255" s="2" t="s">
        <v>21</v>
      </c>
      <c r="G3255">
        <v>41676</v>
      </c>
      <c r="H3255" s="1">
        <v>45096</v>
      </c>
      <c r="I3255">
        <v>20</v>
      </c>
      <c r="J3255">
        <v>1</v>
      </c>
      <c r="K3255">
        <v>4168</v>
      </c>
      <c r="L3255">
        <v>2084</v>
      </c>
      <c r="M3255">
        <v>43760</v>
      </c>
      <c r="N3255">
        <v>2084</v>
      </c>
      <c r="O3255">
        <v>47928</v>
      </c>
    </row>
    <row r="3256" spans="1:15" x14ac:dyDescent="0.35">
      <c r="A3256">
        <v>3255</v>
      </c>
      <c r="B3256" s="2" t="s">
        <v>26</v>
      </c>
      <c r="C3256" s="2" t="s">
        <v>11</v>
      </c>
      <c r="D3256">
        <v>28</v>
      </c>
      <c r="E3256" s="2" t="s">
        <v>28</v>
      </c>
      <c r="F3256" s="2" t="s">
        <v>19</v>
      </c>
      <c r="G3256">
        <v>95024</v>
      </c>
      <c r="H3256" s="1">
        <v>45324</v>
      </c>
      <c r="I3256">
        <v>7</v>
      </c>
      <c r="J3256">
        <v>5</v>
      </c>
      <c r="K3256">
        <v>9502</v>
      </c>
      <c r="L3256">
        <v>4751</v>
      </c>
      <c r="M3256">
        <v>99775</v>
      </c>
      <c r="N3256">
        <v>4751</v>
      </c>
      <c r="O3256">
        <v>109277</v>
      </c>
    </row>
    <row r="3257" spans="1:15" x14ac:dyDescent="0.35">
      <c r="A3257">
        <v>3256</v>
      </c>
      <c r="B3257" s="2" t="s">
        <v>20</v>
      </c>
      <c r="C3257" s="2" t="s">
        <v>11</v>
      </c>
      <c r="D3257">
        <v>34</v>
      </c>
      <c r="E3257" s="2" t="s">
        <v>28</v>
      </c>
      <c r="F3257" s="2" t="s">
        <v>19</v>
      </c>
      <c r="G3257">
        <v>80975</v>
      </c>
      <c r="H3257" s="1">
        <v>45353</v>
      </c>
      <c r="I3257">
        <v>19</v>
      </c>
      <c r="J3257">
        <v>4</v>
      </c>
      <c r="K3257">
        <v>8098</v>
      </c>
      <c r="L3257">
        <v>4049</v>
      </c>
      <c r="M3257">
        <v>85024</v>
      </c>
      <c r="N3257">
        <v>4049</v>
      </c>
      <c r="O3257">
        <v>93122</v>
      </c>
    </row>
    <row r="3258" spans="1:15" x14ac:dyDescent="0.35">
      <c r="A3258">
        <v>3257</v>
      </c>
      <c r="B3258" s="2" t="s">
        <v>22</v>
      </c>
      <c r="C3258" s="2" t="s">
        <v>15</v>
      </c>
      <c r="D3258">
        <v>36</v>
      </c>
      <c r="E3258" s="2" t="s">
        <v>28</v>
      </c>
      <c r="F3258" s="2" t="s">
        <v>25</v>
      </c>
      <c r="G3258">
        <v>43048</v>
      </c>
      <c r="H3258" s="1">
        <v>44991</v>
      </c>
      <c r="I3258">
        <v>8</v>
      </c>
      <c r="J3258">
        <v>1</v>
      </c>
      <c r="K3258">
        <v>4305</v>
      </c>
      <c r="L3258">
        <v>2152</v>
      </c>
      <c r="M3258">
        <v>45201</v>
      </c>
      <c r="N3258">
        <v>2152</v>
      </c>
      <c r="O3258">
        <v>49505</v>
      </c>
    </row>
    <row r="3259" spans="1:15" x14ac:dyDescent="0.35">
      <c r="A3259">
        <v>3258</v>
      </c>
      <c r="B3259" s="2" t="s">
        <v>26</v>
      </c>
      <c r="C3259" s="2" t="s">
        <v>15</v>
      </c>
      <c r="D3259">
        <v>36</v>
      </c>
      <c r="E3259" s="2" t="s">
        <v>16</v>
      </c>
      <c r="F3259" s="2" t="s">
        <v>13</v>
      </c>
      <c r="G3259">
        <v>39024</v>
      </c>
      <c r="H3259" s="1">
        <v>45511</v>
      </c>
      <c r="I3259">
        <v>1</v>
      </c>
      <c r="J3259">
        <v>5</v>
      </c>
      <c r="K3259">
        <v>3902</v>
      </c>
      <c r="L3259">
        <v>1951</v>
      </c>
      <c r="M3259">
        <v>40975</v>
      </c>
      <c r="N3259">
        <v>0</v>
      </c>
      <c r="O3259">
        <v>42926</v>
      </c>
    </row>
    <row r="3260" spans="1:15" x14ac:dyDescent="0.35">
      <c r="A3260">
        <v>3259</v>
      </c>
      <c r="B3260" s="2" t="s">
        <v>26</v>
      </c>
      <c r="C3260" s="2" t="s">
        <v>15</v>
      </c>
      <c r="D3260">
        <v>24</v>
      </c>
      <c r="E3260" s="2" t="s">
        <v>12</v>
      </c>
      <c r="F3260" s="2" t="s">
        <v>21</v>
      </c>
      <c r="G3260">
        <v>50046</v>
      </c>
      <c r="H3260" s="1">
        <v>45287</v>
      </c>
      <c r="I3260">
        <v>8</v>
      </c>
      <c r="J3260">
        <v>3</v>
      </c>
      <c r="K3260">
        <v>5005</v>
      </c>
      <c r="L3260">
        <v>2502</v>
      </c>
      <c r="M3260">
        <v>52549</v>
      </c>
      <c r="N3260">
        <v>2502</v>
      </c>
      <c r="O3260">
        <v>57553</v>
      </c>
    </row>
    <row r="3261" spans="1:15" x14ac:dyDescent="0.35">
      <c r="A3261">
        <v>3260</v>
      </c>
      <c r="B3261" s="2" t="s">
        <v>23</v>
      </c>
      <c r="C3261" s="2" t="s">
        <v>11</v>
      </c>
      <c r="D3261">
        <v>51</v>
      </c>
      <c r="E3261" s="2" t="s">
        <v>24</v>
      </c>
      <c r="F3261" s="2" t="s">
        <v>25</v>
      </c>
      <c r="G3261">
        <v>70092</v>
      </c>
      <c r="H3261" s="1">
        <v>44666</v>
      </c>
      <c r="I3261">
        <v>15</v>
      </c>
      <c r="J3261">
        <v>4</v>
      </c>
      <c r="K3261">
        <v>7009</v>
      </c>
      <c r="L3261">
        <v>3505</v>
      </c>
      <c r="M3261">
        <v>73596</v>
      </c>
      <c r="N3261">
        <v>3505</v>
      </c>
      <c r="O3261">
        <v>80606</v>
      </c>
    </row>
    <row r="3262" spans="1:15" x14ac:dyDescent="0.35">
      <c r="A3262">
        <v>3261</v>
      </c>
      <c r="B3262" s="2" t="s">
        <v>18</v>
      </c>
      <c r="C3262" s="2" t="s">
        <v>15</v>
      </c>
      <c r="D3262">
        <v>23</v>
      </c>
      <c r="E3262" s="2" t="s">
        <v>24</v>
      </c>
      <c r="F3262" s="2" t="s">
        <v>25</v>
      </c>
      <c r="G3262">
        <v>57050</v>
      </c>
      <c r="H3262" s="1">
        <v>44808</v>
      </c>
      <c r="I3262">
        <v>14</v>
      </c>
      <c r="J3262">
        <v>3</v>
      </c>
      <c r="K3262">
        <v>5705</v>
      </c>
      <c r="L3262">
        <v>2852</v>
      </c>
      <c r="M3262">
        <v>59903</v>
      </c>
      <c r="N3262">
        <v>2852</v>
      </c>
      <c r="O3262">
        <v>65607</v>
      </c>
    </row>
    <row r="3263" spans="1:15" x14ac:dyDescent="0.35">
      <c r="A3263">
        <v>3262</v>
      </c>
      <c r="B3263" s="2" t="s">
        <v>23</v>
      </c>
      <c r="C3263" s="2" t="s">
        <v>11</v>
      </c>
      <c r="D3263">
        <v>29</v>
      </c>
      <c r="E3263" s="2" t="s">
        <v>12</v>
      </c>
      <c r="F3263" s="2" t="s">
        <v>25</v>
      </c>
      <c r="G3263">
        <v>98075</v>
      </c>
      <c r="H3263" s="1">
        <v>45021</v>
      </c>
      <c r="I3263">
        <v>13</v>
      </c>
      <c r="J3263">
        <v>1</v>
      </c>
      <c r="K3263">
        <v>9808</v>
      </c>
      <c r="L3263">
        <v>4904</v>
      </c>
      <c r="M3263">
        <v>102979</v>
      </c>
      <c r="N3263">
        <v>4904</v>
      </c>
      <c r="O3263">
        <v>112787</v>
      </c>
    </row>
    <row r="3264" spans="1:15" x14ac:dyDescent="0.35">
      <c r="A3264">
        <v>3263</v>
      </c>
      <c r="B3264" s="2" t="s">
        <v>31</v>
      </c>
      <c r="C3264" s="2" t="s">
        <v>15</v>
      </c>
      <c r="D3264">
        <v>50</v>
      </c>
      <c r="E3264" s="2" t="s">
        <v>29</v>
      </c>
      <c r="F3264" s="2" t="s">
        <v>17</v>
      </c>
      <c r="G3264">
        <v>24577</v>
      </c>
      <c r="H3264" s="1">
        <v>45293</v>
      </c>
      <c r="I3264">
        <v>11</v>
      </c>
      <c r="J3264">
        <v>1</v>
      </c>
      <c r="K3264">
        <v>2458</v>
      </c>
      <c r="L3264">
        <v>1229</v>
      </c>
      <c r="M3264">
        <v>25806</v>
      </c>
      <c r="N3264">
        <v>1229</v>
      </c>
      <c r="O3264">
        <v>28264</v>
      </c>
    </row>
    <row r="3265" spans="1:15" x14ac:dyDescent="0.35">
      <c r="A3265">
        <v>3264</v>
      </c>
      <c r="B3265" s="2" t="s">
        <v>31</v>
      </c>
      <c r="C3265" s="2" t="s">
        <v>15</v>
      </c>
      <c r="D3265">
        <v>38</v>
      </c>
      <c r="E3265" s="2" t="s">
        <v>28</v>
      </c>
      <c r="F3265" s="2" t="s">
        <v>25</v>
      </c>
      <c r="G3265">
        <v>31610</v>
      </c>
      <c r="H3265" s="1">
        <v>44924</v>
      </c>
      <c r="I3265">
        <v>20</v>
      </c>
      <c r="J3265">
        <v>5</v>
      </c>
      <c r="K3265">
        <v>3161</v>
      </c>
      <c r="L3265">
        <v>1580</v>
      </c>
      <c r="M3265">
        <v>33191</v>
      </c>
      <c r="N3265">
        <v>1580</v>
      </c>
      <c r="O3265">
        <v>36351</v>
      </c>
    </row>
    <row r="3266" spans="1:15" x14ac:dyDescent="0.35">
      <c r="A3266">
        <v>3265</v>
      </c>
      <c r="B3266" s="2" t="s">
        <v>18</v>
      </c>
      <c r="C3266" s="2" t="s">
        <v>15</v>
      </c>
      <c r="D3266">
        <v>48</v>
      </c>
      <c r="E3266" s="2" t="s">
        <v>28</v>
      </c>
      <c r="F3266" s="2" t="s">
        <v>25</v>
      </c>
      <c r="G3266">
        <v>47500</v>
      </c>
      <c r="H3266" s="1">
        <v>45368</v>
      </c>
      <c r="I3266">
        <v>12</v>
      </c>
      <c r="J3266">
        <v>5</v>
      </c>
      <c r="K3266">
        <v>4750</v>
      </c>
      <c r="L3266">
        <v>2375</v>
      </c>
      <c r="M3266">
        <v>49875</v>
      </c>
      <c r="N3266">
        <v>2375</v>
      </c>
      <c r="O3266">
        <v>54625</v>
      </c>
    </row>
    <row r="3267" spans="1:15" x14ac:dyDescent="0.35">
      <c r="A3267">
        <v>3266</v>
      </c>
      <c r="B3267" s="2" t="s">
        <v>14</v>
      </c>
      <c r="C3267" s="2" t="s">
        <v>15</v>
      </c>
      <c r="D3267">
        <v>21</v>
      </c>
      <c r="E3267" s="2" t="s">
        <v>29</v>
      </c>
      <c r="F3267" s="2" t="s">
        <v>17</v>
      </c>
      <c r="G3267">
        <v>62935</v>
      </c>
      <c r="H3267" s="1">
        <v>45007</v>
      </c>
      <c r="I3267">
        <v>12</v>
      </c>
      <c r="J3267">
        <v>1</v>
      </c>
      <c r="K3267">
        <v>6294</v>
      </c>
      <c r="L3267">
        <v>3147</v>
      </c>
      <c r="M3267">
        <v>66082</v>
      </c>
      <c r="N3267">
        <v>3147</v>
      </c>
      <c r="O3267">
        <v>72376</v>
      </c>
    </row>
    <row r="3268" spans="1:15" x14ac:dyDescent="0.35">
      <c r="A3268">
        <v>3267</v>
      </c>
      <c r="B3268" s="2" t="s">
        <v>18</v>
      </c>
      <c r="C3268" s="2" t="s">
        <v>11</v>
      </c>
      <c r="D3268">
        <v>35</v>
      </c>
      <c r="E3268" s="2" t="s">
        <v>24</v>
      </c>
      <c r="F3268" s="2" t="s">
        <v>19</v>
      </c>
      <c r="G3268">
        <v>53057</v>
      </c>
      <c r="H3268" s="1">
        <v>45212</v>
      </c>
      <c r="I3268">
        <v>3</v>
      </c>
      <c r="J3268">
        <v>1</v>
      </c>
      <c r="K3268">
        <v>5306</v>
      </c>
      <c r="L3268">
        <v>2653</v>
      </c>
      <c r="M3268">
        <v>55710</v>
      </c>
      <c r="N3268">
        <v>0</v>
      </c>
      <c r="O3268">
        <v>58363</v>
      </c>
    </row>
    <row r="3269" spans="1:15" x14ac:dyDescent="0.35">
      <c r="A3269">
        <v>3268</v>
      </c>
      <c r="B3269" s="2" t="s">
        <v>30</v>
      </c>
      <c r="C3269" s="2" t="s">
        <v>11</v>
      </c>
      <c r="D3269">
        <v>44</v>
      </c>
      <c r="E3269" s="2" t="s">
        <v>24</v>
      </c>
      <c r="F3269" s="2" t="s">
        <v>21</v>
      </c>
      <c r="G3269">
        <v>52541</v>
      </c>
      <c r="H3269" s="1">
        <v>45351</v>
      </c>
      <c r="I3269">
        <v>14</v>
      </c>
      <c r="J3269">
        <v>4</v>
      </c>
      <c r="K3269">
        <v>5254</v>
      </c>
      <c r="L3269">
        <v>2627</v>
      </c>
      <c r="M3269">
        <v>55168</v>
      </c>
      <c r="N3269">
        <v>2627</v>
      </c>
      <c r="O3269">
        <v>60422</v>
      </c>
    </row>
    <row r="3270" spans="1:15" x14ac:dyDescent="0.35">
      <c r="A3270">
        <v>3269</v>
      </c>
      <c r="B3270" s="2" t="s">
        <v>18</v>
      </c>
      <c r="C3270" s="2" t="s">
        <v>15</v>
      </c>
      <c r="D3270">
        <v>53</v>
      </c>
      <c r="E3270" s="2" t="s">
        <v>16</v>
      </c>
      <c r="F3270" s="2" t="s">
        <v>13</v>
      </c>
      <c r="G3270">
        <v>28214</v>
      </c>
      <c r="H3270" s="1">
        <v>44923</v>
      </c>
      <c r="I3270">
        <v>2</v>
      </c>
      <c r="J3270">
        <v>2</v>
      </c>
      <c r="K3270">
        <v>2821</v>
      </c>
      <c r="L3270">
        <v>1411</v>
      </c>
      <c r="M3270">
        <v>29624</v>
      </c>
      <c r="N3270">
        <v>0</v>
      </c>
      <c r="O3270">
        <v>31035</v>
      </c>
    </row>
    <row r="3271" spans="1:15" x14ac:dyDescent="0.35">
      <c r="A3271">
        <v>3270</v>
      </c>
      <c r="B3271" s="2" t="s">
        <v>22</v>
      </c>
      <c r="C3271" s="2" t="s">
        <v>15</v>
      </c>
      <c r="D3271">
        <v>33</v>
      </c>
      <c r="E3271" s="2" t="s">
        <v>24</v>
      </c>
      <c r="F3271" s="2" t="s">
        <v>19</v>
      </c>
      <c r="G3271">
        <v>62026</v>
      </c>
      <c r="H3271" s="1">
        <v>45160</v>
      </c>
      <c r="I3271">
        <v>2</v>
      </c>
      <c r="J3271">
        <v>3</v>
      </c>
      <c r="K3271">
        <v>6203</v>
      </c>
      <c r="L3271">
        <v>3101</v>
      </c>
      <c r="M3271">
        <v>65128</v>
      </c>
      <c r="N3271">
        <v>0</v>
      </c>
      <c r="O3271">
        <v>68229</v>
      </c>
    </row>
    <row r="3272" spans="1:15" x14ac:dyDescent="0.35">
      <c r="A3272">
        <v>3271</v>
      </c>
      <c r="B3272" s="2" t="s">
        <v>31</v>
      </c>
      <c r="C3272" s="2" t="s">
        <v>15</v>
      </c>
      <c r="D3272">
        <v>26</v>
      </c>
      <c r="E3272" s="2" t="s">
        <v>16</v>
      </c>
      <c r="F3272" s="2" t="s">
        <v>25</v>
      </c>
      <c r="G3272">
        <v>72186</v>
      </c>
      <c r="H3272" s="1">
        <v>44735</v>
      </c>
      <c r="I3272">
        <v>18</v>
      </c>
      <c r="J3272">
        <v>4</v>
      </c>
      <c r="K3272">
        <v>7219</v>
      </c>
      <c r="L3272">
        <v>3609</v>
      </c>
      <c r="M3272">
        <v>75796</v>
      </c>
      <c r="N3272">
        <v>3609</v>
      </c>
      <c r="O3272">
        <v>83014</v>
      </c>
    </row>
    <row r="3273" spans="1:15" x14ac:dyDescent="0.35">
      <c r="A3273">
        <v>3272</v>
      </c>
      <c r="B3273" s="2" t="s">
        <v>27</v>
      </c>
      <c r="C3273" s="2" t="s">
        <v>15</v>
      </c>
      <c r="D3273">
        <v>32</v>
      </c>
      <c r="E3273" s="2" t="s">
        <v>28</v>
      </c>
      <c r="F3273" s="2" t="s">
        <v>19</v>
      </c>
      <c r="G3273">
        <v>42863</v>
      </c>
      <c r="H3273" s="1">
        <v>44952</v>
      </c>
      <c r="I3273">
        <v>11</v>
      </c>
      <c r="J3273">
        <v>3</v>
      </c>
      <c r="K3273">
        <v>4286</v>
      </c>
      <c r="L3273">
        <v>2143</v>
      </c>
      <c r="M3273">
        <v>45006</v>
      </c>
      <c r="N3273">
        <v>2143</v>
      </c>
      <c r="O3273">
        <v>49292</v>
      </c>
    </row>
    <row r="3274" spans="1:15" x14ac:dyDescent="0.35">
      <c r="A3274">
        <v>3273</v>
      </c>
      <c r="B3274" s="2" t="s">
        <v>31</v>
      </c>
      <c r="C3274" s="2" t="s">
        <v>15</v>
      </c>
      <c r="D3274">
        <v>58</v>
      </c>
      <c r="E3274" s="2" t="s">
        <v>28</v>
      </c>
      <c r="F3274" s="2" t="s">
        <v>13</v>
      </c>
      <c r="G3274">
        <v>43085</v>
      </c>
      <c r="H3274" s="1">
        <v>44603</v>
      </c>
      <c r="I3274">
        <v>19</v>
      </c>
      <c r="J3274">
        <v>1</v>
      </c>
      <c r="K3274">
        <v>4308</v>
      </c>
      <c r="L3274">
        <v>2154</v>
      </c>
      <c r="M3274">
        <v>45239</v>
      </c>
      <c r="N3274">
        <v>2154</v>
      </c>
      <c r="O3274">
        <v>49547</v>
      </c>
    </row>
    <row r="3275" spans="1:15" x14ac:dyDescent="0.35">
      <c r="A3275">
        <v>3274</v>
      </c>
      <c r="B3275" s="2" t="s">
        <v>14</v>
      </c>
      <c r="C3275" s="2" t="s">
        <v>15</v>
      </c>
      <c r="D3275">
        <v>28</v>
      </c>
      <c r="E3275" s="2" t="s">
        <v>29</v>
      </c>
      <c r="F3275" s="2" t="s">
        <v>21</v>
      </c>
      <c r="G3275">
        <v>78529</v>
      </c>
      <c r="H3275" s="1">
        <v>45226</v>
      </c>
      <c r="I3275">
        <v>18</v>
      </c>
      <c r="J3275">
        <v>1</v>
      </c>
      <c r="K3275">
        <v>7853</v>
      </c>
      <c r="L3275">
        <v>3926</v>
      </c>
      <c r="M3275">
        <v>82456</v>
      </c>
      <c r="N3275">
        <v>3926</v>
      </c>
      <c r="O3275">
        <v>90308</v>
      </c>
    </row>
    <row r="3276" spans="1:15" x14ac:dyDescent="0.35">
      <c r="A3276">
        <v>3275</v>
      </c>
      <c r="B3276" s="2" t="s">
        <v>26</v>
      </c>
      <c r="C3276" s="2" t="s">
        <v>15</v>
      </c>
      <c r="D3276">
        <v>36</v>
      </c>
      <c r="E3276" s="2" t="s">
        <v>16</v>
      </c>
      <c r="F3276" s="2" t="s">
        <v>17</v>
      </c>
      <c r="G3276">
        <v>58830</v>
      </c>
      <c r="H3276" s="1">
        <v>44566</v>
      </c>
      <c r="I3276">
        <v>4</v>
      </c>
      <c r="J3276">
        <v>1</v>
      </c>
      <c r="K3276">
        <v>5883</v>
      </c>
      <c r="L3276">
        <v>2942</v>
      </c>
      <c r="M3276">
        <v>61771</v>
      </c>
      <c r="N3276">
        <v>0</v>
      </c>
      <c r="O3276">
        <v>64713</v>
      </c>
    </row>
    <row r="3277" spans="1:15" x14ac:dyDescent="0.35">
      <c r="A3277">
        <v>3276</v>
      </c>
      <c r="B3277" s="2" t="s">
        <v>30</v>
      </c>
      <c r="C3277" s="2" t="s">
        <v>15</v>
      </c>
      <c r="D3277">
        <v>32</v>
      </c>
      <c r="E3277" s="2" t="s">
        <v>24</v>
      </c>
      <c r="F3277" s="2" t="s">
        <v>13</v>
      </c>
      <c r="G3277">
        <v>73804</v>
      </c>
      <c r="H3277" s="1">
        <v>44740</v>
      </c>
      <c r="I3277">
        <v>8</v>
      </c>
      <c r="J3277">
        <v>4</v>
      </c>
      <c r="K3277">
        <v>7380</v>
      </c>
      <c r="L3277">
        <v>3690</v>
      </c>
      <c r="M3277">
        <v>77494</v>
      </c>
      <c r="N3277">
        <v>3690</v>
      </c>
      <c r="O3277">
        <v>84874</v>
      </c>
    </row>
    <row r="3278" spans="1:15" x14ac:dyDescent="0.35">
      <c r="A3278">
        <v>3277</v>
      </c>
      <c r="B3278" s="2" t="s">
        <v>22</v>
      </c>
      <c r="C3278" s="2" t="s">
        <v>15</v>
      </c>
      <c r="D3278">
        <v>25</v>
      </c>
      <c r="E3278" s="2" t="s">
        <v>29</v>
      </c>
      <c r="F3278" s="2" t="s">
        <v>13</v>
      </c>
      <c r="G3278">
        <v>23834</v>
      </c>
      <c r="H3278" s="1">
        <v>45293</v>
      </c>
      <c r="I3278">
        <v>10</v>
      </c>
      <c r="J3278">
        <v>4</v>
      </c>
      <c r="K3278">
        <v>2383</v>
      </c>
      <c r="L3278">
        <v>1192</v>
      </c>
      <c r="M3278">
        <v>25025</v>
      </c>
      <c r="N3278">
        <v>1192</v>
      </c>
      <c r="O3278">
        <v>27409</v>
      </c>
    </row>
    <row r="3279" spans="1:15" x14ac:dyDescent="0.35">
      <c r="A3279">
        <v>3278</v>
      </c>
      <c r="B3279" s="2" t="s">
        <v>30</v>
      </c>
      <c r="C3279" s="2" t="s">
        <v>15</v>
      </c>
      <c r="D3279">
        <v>45</v>
      </c>
      <c r="E3279" s="2" t="s">
        <v>28</v>
      </c>
      <c r="F3279" s="2" t="s">
        <v>17</v>
      </c>
      <c r="G3279">
        <v>31466</v>
      </c>
      <c r="H3279" s="1">
        <v>44598</v>
      </c>
      <c r="I3279">
        <v>20</v>
      </c>
      <c r="J3279">
        <v>1</v>
      </c>
      <c r="K3279">
        <v>3147</v>
      </c>
      <c r="L3279">
        <v>1573</v>
      </c>
      <c r="M3279">
        <v>33040</v>
      </c>
      <c r="N3279">
        <v>1573</v>
      </c>
      <c r="O3279">
        <v>36186</v>
      </c>
    </row>
    <row r="3280" spans="1:15" x14ac:dyDescent="0.35">
      <c r="A3280">
        <v>3279</v>
      </c>
      <c r="B3280" s="2" t="s">
        <v>30</v>
      </c>
      <c r="C3280" s="2" t="s">
        <v>11</v>
      </c>
      <c r="D3280">
        <v>42</v>
      </c>
      <c r="E3280" s="2" t="s">
        <v>12</v>
      </c>
      <c r="F3280" s="2" t="s">
        <v>19</v>
      </c>
      <c r="G3280">
        <v>50104</v>
      </c>
      <c r="H3280" s="1">
        <v>45426</v>
      </c>
      <c r="I3280">
        <v>16</v>
      </c>
      <c r="J3280">
        <v>4</v>
      </c>
      <c r="K3280">
        <v>5010</v>
      </c>
      <c r="L3280">
        <v>2505</v>
      </c>
      <c r="M3280">
        <v>52609</v>
      </c>
      <c r="N3280">
        <v>2505</v>
      </c>
      <c r="O3280">
        <v>57619</v>
      </c>
    </row>
    <row r="3281" spans="1:15" x14ac:dyDescent="0.35">
      <c r="A3281">
        <v>3280</v>
      </c>
      <c r="B3281" s="2" t="s">
        <v>31</v>
      </c>
      <c r="C3281" s="2" t="s">
        <v>11</v>
      </c>
      <c r="D3281">
        <v>34</v>
      </c>
      <c r="E3281" s="2" t="s">
        <v>29</v>
      </c>
      <c r="F3281" s="2" t="s">
        <v>19</v>
      </c>
      <c r="G3281">
        <v>90374</v>
      </c>
      <c r="H3281" s="1">
        <v>45298</v>
      </c>
      <c r="I3281">
        <v>17</v>
      </c>
      <c r="J3281">
        <v>3</v>
      </c>
      <c r="K3281">
        <v>9037</v>
      </c>
      <c r="L3281">
        <v>4519</v>
      </c>
      <c r="M3281">
        <v>94892</v>
      </c>
      <c r="N3281">
        <v>4519</v>
      </c>
      <c r="O3281">
        <v>103930</v>
      </c>
    </row>
    <row r="3282" spans="1:15" x14ac:dyDescent="0.35">
      <c r="A3282">
        <v>3281</v>
      </c>
      <c r="B3282" s="2" t="s">
        <v>27</v>
      </c>
      <c r="C3282" s="2" t="s">
        <v>15</v>
      </c>
      <c r="D3282">
        <v>29</v>
      </c>
      <c r="E3282" s="2" t="s">
        <v>12</v>
      </c>
      <c r="F3282" s="2" t="s">
        <v>21</v>
      </c>
      <c r="G3282">
        <v>37366</v>
      </c>
      <c r="H3282" s="1">
        <v>44984</v>
      </c>
      <c r="I3282">
        <v>4</v>
      </c>
      <c r="J3282">
        <v>4</v>
      </c>
      <c r="K3282">
        <v>3737</v>
      </c>
      <c r="L3282">
        <v>1868</v>
      </c>
      <c r="M3282">
        <v>39235</v>
      </c>
      <c r="N3282">
        <v>0</v>
      </c>
      <c r="O3282">
        <v>41103</v>
      </c>
    </row>
    <row r="3283" spans="1:15" x14ac:dyDescent="0.35">
      <c r="A3283">
        <v>3282</v>
      </c>
      <c r="B3283" s="2" t="s">
        <v>14</v>
      </c>
      <c r="C3283" s="2" t="s">
        <v>11</v>
      </c>
      <c r="D3283">
        <v>52</v>
      </c>
      <c r="E3283" s="2" t="s">
        <v>12</v>
      </c>
      <c r="F3283" s="2" t="s">
        <v>13</v>
      </c>
      <c r="G3283">
        <v>96591</v>
      </c>
      <c r="H3283" s="1">
        <v>44868</v>
      </c>
      <c r="I3283">
        <v>15</v>
      </c>
      <c r="J3283">
        <v>2</v>
      </c>
      <c r="K3283">
        <v>9659</v>
      </c>
      <c r="L3283">
        <v>4830</v>
      </c>
      <c r="M3283">
        <v>101420</v>
      </c>
      <c r="N3283">
        <v>4830</v>
      </c>
      <c r="O3283">
        <v>111080</v>
      </c>
    </row>
    <row r="3284" spans="1:15" x14ac:dyDescent="0.35">
      <c r="A3284">
        <v>3283</v>
      </c>
      <c r="B3284" s="2" t="s">
        <v>10</v>
      </c>
      <c r="C3284" s="2" t="s">
        <v>15</v>
      </c>
      <c r="D3284">
        <v>51</v>
      </c>
      <c r="E3284" s="2" t="s">
        <v>16</v>
      </c>
      <c r="F3284" s="2" t="s">
        <v>19</v>
      </c>
      <c r="G3284">
        <v>87324</v>
      </c>
      <c r="H3284" s="1">
        <v>45020</v>
      </c>
      <c r="I3284">
        <v>18</v>
      </c>
      <c r="J3284">
        <v>3</v>
      </c>
      <c r="K3284">
        <v>8732</v>
      </c>
      <c r="L3284">
        <v>4366</v>
      </c>
      <c r="M3284">
        <v>91690</v>
      </c>
      <c r="N3284">
        <v>4366</v>
      </c>
      <c r="O3284">
        <v>100422</v>
      </c>
    </row>
    <row r="3285" spans="1:15" x14ac:dyDescent="0.35">
      <c r="A3285">
        <v>3284</v>
      </c>
      <c r="B3285" s="2" t="s">
        <v>31</v>
      </c>
      <c r="C3285" s="2" t="s">
        <v>15</v>
      </c>
      <c r="D3285">
        <v>53</v>
      </c>
      <c r="E3285" s="2" t="s">
        <v>29</v>
      </c>
      <c r="F3285" s="2" t="s">
        <v>25</v>
      </c>
      <c r="G3285">
        <v>94075</v>
      </c>
      <c r="H3285" s="1">
        <v>45386</v>
      </c>
      <c r="I3285">
        <v>10</v>
      </c>
      <c r="J3285">
        <v>1</v>
      </c>
      <c r="K3285">
        <v>9408</v>
      </c>
      <c r="L3285">
        <v>4704</v>
      </c>
      <c r="M3285">
        <v>98779</v>
      </c>
      <c r="N3285">
        <v>4704</v>
      </c>
      <c r="O3285">
        <v>108187</v>
      </c>
    </row>
    <row r="3286" spans="1:15" x14ac:dyDescent="0.35">
      <c r="A3286">
        <v>3285</v>
      </c>
      <c r="B3286" s="2" t="s">
        <v>20</v>
      </c>
      <c r="C3286" s="2" t="s">
        <v>11</v>
      </c>
      <c r="D3286">
        <v>25</v>
      </c>
      <c r="E3286" s="2" t="s">
        <v>12</v>
      </c>
      <c r="F3286" s="2" t="s">
        <v>17</v>
      </c>
      <c r="G3286">
        <v>46090</v>
      </c>
      <c r="H3286" s="1">
        <v>45562</v>
      </c>
      <c r="I3286">
        <v>7</v>
      </c>
      <c r="J3286">
        <v>3</v>
      </c>
      <c r="K3286">
        <v>4609</v>
      </c>
      <c r="L3286">
        <v>2304</v>
      </c>
      <c r="M3286">
        <v>48395</v>
      </c>
      <c r="N3286">
        <v>2304</v>
      </c>
      <c r="O3286">
        <v>53003</v>
      </c>
    </row>
    <row r="3287" spans="1:15" x14ac:dyDescent="0.35">
      <c r="A3287">
        <v>3286</v>
      </c>
      <c r="B3287" s="2" t="s">
        <v>23</v>
      </c>
      <c r="C3287" s="2" t="s">
        <v>15</v>
      </c>
      <c r="D3287">
        <v>37</v>
      </c>
      <c r="E3287" s="2" t="s">
        <v>12</v>
      </c>
      <c r="F3287" s="2" t="s">
        <v>13</v>
      </c>
      <c r="G3287">
        <v>29179</v>
      </c>
      <c r="H3287" s="1">
        <v>44569</v>
      </c>
      <c r="I3287">
        <v>15</v>
      </c>
      <c r="J3287">
        <v>1</v>
      </c>
      <c r="K3287">
        <v>2918</v>
      </c>
      <c r="L3287">
        <v>1459</v>
      </c>
      <c r="M3287">
        <v>30638</v>
      </c>
      <c r="N3287">
        <v>1459</v>
      </c>
      <c r="O3287">
        <v>33556</v>
      </c>
    </row>
    <row r="3288" spans="1:15" x14ac:dyDescent="0.35">
      <c r="A3288">
        <v>3287</v>
      </c>
      <c r="B3288" s="2" t="s">
        <v>23</v>
      </c>
      <c r="C3288" s="2" t="s">
        <v>11</v>
      </c>
      <c r="D3288">
        <v>55</v>
      </c>
      <c r="E3288" s="2" t="s">
        <v>16</v>
      </c>
      <c r="F3288" s="2" t="s">
        <v>17</v>
      </c>
      <c r="G3288">
        <v>34205</v>
      </c>
      <c r="H3288" s="1">
        <v>44853</v>
      </c>
      <c r="I3288">
        <v>2</v>
      </c>
      <c r="J3288">
        <v>3</v>
      </c>
      <c r="K3288">
        <v>3420</v>
      </c>
      <c r="L3288">
        <v>1710</v>
      </c>
      <c r="M3288">
        <v>35915</v>
      </c>
      <c r="N3288">
        <v>0</v>
      </c>
      <c r="O3288">
        <v>37625</v>
      </c>
    </row>
    <row r="3289" spans="1:15" x14ac:dyDescent="0.35">
      <c r="A3289">
        <v>3288</v>
      </c>
      <c r="B3289" s="2" t="s">
        <v>18</v>
      </c>
      <c r="C3289" s="2" t="s">
        <v>15</v>
      </c>
      <c r="D3289">
        <v>59</v>
      </c>
      <c r="E3289" s="2" t="s">
        <v>16</v>
      </c>
      <c r="F3289" s="2" t="s">
        <v>17</v>
      </c>
      <c r="G3289">
        <v>29222</v>
      </c>
      <c r="H3289" s="1">
        <v>45186</v>
      </c>
      <c r="I3289">
        <v>9</v>
      </c>
      <c r="J3289">
        <v>1</v>
      </c>
      <c r="K3289">
        <v>2922</v>
      </c>
      <c r="L3289">
        <v>1461</v>
      </c>
      <c r="M3289">
        <v>30683</v>
      </c>
      <c r="N3289">
        <v>1461</v>
      </c>
      <c r="O3289">
        <v>33605</v>
      </c>
    </row>
    <row r="3290" spans="1:15" x14ac:dyDescent="0.35">
      <c r="A3290">
        <v>3289</v>
      </c>
      <c r="B3290" s="2" t="s">
        <v>22</v>
      </c>
      <c r="C3290" s="2" t="s">
        <v>15</v>
      </c>
      <c r="D3290">
        <v>40</v>
      </c>
      <c r="E3290" s="2" t="s">
        <v>24</v>
      </c>
      <c r="F3290" s="2" t="s">
        <v>13</v>
      </c>
      <c r="G3290">
        <v>31811</v>
      </c>
      <c r="H3290" s="1">
        <v>44878</v>
      </c>
      <c r="I3290">
        <v>14</v>
      </c>
      <c r="J3290">
        <v>3</v>
      </c>
      <c r="K3290">
        <v>3181</v>
      </c>
      <c r="L3290">
        <v>1591</v>
      </c>
      <c r="M3290">
        <v>33401</v>
      </c>
      <c r="N3290">
        <v>1591</v>
      </c>
      <c r="O3290">
        <v>36583</v>
      </c>
    </row>
    <row r="3291" spans="1:15" x14ac:dyDescent="0.35">
      <c r="A3291">
        <v>3290</v>
      </c>
      <c r="B3291" s="2" t="s">
        <v>20</v>
      </c>
      <c r="C3291" s="2" t="s">
        <v>11</v>
      </c>
      <c r="D3291">
        <v>43</v>
      </c>
      <c r="E3291" s="2" t="s">
        <v>28</v>
      </c>
      <c r="F3291" s="2" t="s">
        <v>19</v>
      </c>
      <c r="G3291">
        <v>73372</v>
      </c>
      <c r="H3291" s="1">
        <v>45300</v>
      </c>
      <c r="I3291">
        <v>5</v>
      </c>
      <c r="J3291">
        <v>3</v>
      </c>
      <c r="K3291">
        <v>7337</v>
      </c>
      <c r="L3291">
        <v>3669</v>
      </c>
      <c r="M3291">
        <v>77040</v>
      </c>
      <c r="N3291">
        <v>0</v>
      </c>
      <c r="O3291">
        <v>80709</v>
      </c>
    </row>
    <row r="3292" spans="1:15" x14ac:dyDescent="0.35">
      <c r="A3292">
        <v>3291</v>
      </c>
      <c r="B3292" s="2" t="s">
        <v>10</v>
      </c>
      <c r="C3292" s="2" t="s">
        <v>11</v>
      </c>
      <c r="D3292">
        <v>26</v>
      </c>
      <c r="E3292" s="2" t="s">
        <v>29</v>
      </c>
      <c r="F3292" s="2" t="s">
        <v>13</v>
      </c>
      <c r="G3292">
        <v>82199</v>
      </c>
      <c r="H3292" s="1">
        <v>44600</v>
      </c>
      <c r="I3292">
        <v>1</v>
      </c>
      <c r="J3292">
        <v>4</v>
      </c>
      <c r="K3292">
        <v>8220</v>
      </c>
      <c r="L3292">
        <v>4110</v>
      </c>
      <c r="M3292">
        <v>86309</v>
      </c>
      <c r="N3292">
        <v>0</v>
      </c>
      <c r="O3292">
        <v>90419</v>
      </c>
    </row>
    <row r="3293" spans="1:15" x14ac:dyDescent="0.35">
      <c r="A3293">
        <v>3292</v>
      </c>
      <c r="B3293" s="2" t="s">
        <v>20</v>
      </c>
      <c r="C3293" s="2" t="s">
        <v>11</v>
      </c>
      <c r="D3293">
        <v>57</v>
      </c>
      <c r="E3293" s="2" t="s">
        <v>28</v>
      </c>
      <c r="F3293" s="2" t="s">
        <v>17</v>
      </c>
      <c r="G3293">
        <v>88033</v>
      </c>
      <c r="H3293" s="1">
        <v>44562</v>
      </c>
      <c r="I3293">
        <v>1</v>
      </c>
      <c r="J3293">
        <v>3</v>
      </c>
      <c r="K3293">
        <v>8803</v>
      </c>
      <c r="L3293">
        <v>4402</v>
      </c>
      <c r="M3293">
        <v>92434</v>
      </c>
      <c r="N3293">
        <v>0</v>
      </c>
      <c r="O3293">
        <v>96836</v>
      </c>
    </row>
    <row r="3294" spans="1:15" x14ac:dyDescent="0.35">
      <c r="A3294">
        <v>3293</v>
      </c>
      <c r="B3294" s="2" t="s">
        <v>26</v>
      </c>
      <c r="C3294" s="2" t="s">
        <v>11</v>
      </c>
      <c r="D3294">
        <v>46</v>
      </c>
      <c r="E3294" s="2" t="s">
        <v>16</v>
      </c>
      <c r="F3294" s="2" t="s">
        <v>19</v>
      </c>
      <c r="G3294">
        <v>59586</v>
      </c>
      <c r="H3294" s="1">
        <v>44861</v>
      </c>
      <c r="I3294">
        <v>18</v>
      </c>
      <c r="J3294">
        <v>3</v>
      </c>
      <c r="K3294">
        <v>5959</v>
      </c>
      <c r="L3294">
        <v>2979</v>
      </c>
      <c r="M3294">
        <v>62566</v>
      </c>
      <c r="N3294">
        <v>2979</v>
      </c>
      <c r="O3294">
        <v>68524</v>
      </c>
    </row>
    <row r="3295" spans="1:15" x14ac:dyDescent="0.35">
      <c r="A3295">
        <v>3294</v>
      </c>
      <c r="B3295" s="2" t="s">
        <v>20</v>
      </c>
      <c r="C3295" s="2" t="s">
        <v>15</v>
      </c>
      <c r="D3295">
        <v>54</v>
      </c>
      <c r="E3295" s="2" t="s">
        <v>16</v>
      </c>
      <c r="F3295" s="2" t="s">
        <v>17</v>
      </c>
      <c r="G3295">
        <v>88367</v>
      </c>
      <c r="H3295" s="1">
        <v>45470</v>
      </c>
      <c r="I3295">
        <v>10</v>
      </c>
      <c r="J3295">
        <v>4</v>
      </c>
      <c r="K3295">
        <v>8837</v>
      </c>
      <c r="L3295">
        <v>4418</v>
      </c>
      <c r="M3295">
        <v>92786</v>
      </c>
      <c r="N3295">
        <v>4418</v>
      </c>
      <c r="O3295">
        <v>101622</v>
      </c>
    </row>
    <row r="3296" spans="1:15" x14ac:dyDescent="0.35">
      <c r="A3296">
        <v>3295</v>
      </c>
      <c r="B3296" s="2" t="s">
        <v>10</v>
      </c>
      <c r="C3296" s="2" t="s">
        <v>11</v>
      </c>
      <c r="D3296">
        <v>38</v>
      </c>
      <c r="E3296" s="2" t="s">
        <v>12</v>
      </c>
      <c r="F3296" s="2" t="s">
        <v>13</v>
      </c>
      <c r="G3296">
        <v>26881</v>
      </c>
      <c r="H3296" s="1">
        <v>45340</v>
      </c>
      <c r="I3296">
        <v>18</v>
      </c>
      <c r="J3296">
        <v>3</v>
      </c>
      <c r="K3296">
        <v>2688</v>
      </c>
      <c r="L3296">
        <v>1344</v>
      </c>
      <c r="M3296">
        <v>28225</v>
      </c>
      <c r="N3296">
        <v>1344</v>
      </c>
      <c r="O3296">
        <v>30913</v>
      </c>
    </row>
    <row r="3297" spans="1:15" x14ac:dyDescent="0.35">
      <c r="A3297">
        <v>3296</v>
      </c>
      <c r="B3297" s="2" t="s">
        <v>27</v>
      </c>
      <c r="C3297" s="2" t="s">
        <v>15</v>
      </c>
      <c r="D3297">
        <v>50</v>
      </c>
      <c r="E3297" s="2" t="s">
        <v>24</v>
      </c>
      <c r="F3297" s="2" t="s">
        <v>19</v>
      </c>
      <c r="G3297">
        <v>89801</v>
      </c>
      <c r="H3297" s="1">
        <v>45223</v>
      </c>
      <c r="I3297">
        <v>11</v>
      </c>
      <c r="J3297">
        <v>4</v>
      </c>
      <c r="K3297">
        <v>8980</v>
      </c>
      <c r="L3297">
        <v>4490</v>
      </c>
      <c r="M3297">
        <v>94291</v>
      </c>
      <c r="N3297">
        <v>4490</v>
      </c>
      <c r="O3297">
        <v>103271</v>
      </c>
    </row>
    <row r="3298" spans="1:15" x14ac:dyDescent="0.35">
      <c r="A3298">
        <v>3297</v>
      </c>
      <c r="B3298" s="2" t="s">
        <v>27</v>
      </c>
      <c r="C3298" s="2" t="s">
        <v>15</v>
      </c>
      <c r="D3298">
        <v>54</v>
      </c>
      <c r="E3298" s="2" t="s">
        <v>12</v>
      </c>
      <c r="F3298" s="2" t="s">
        <v>17</v>
      </c>
      <c r="G3298">
        <v>63806</v>
      </c>
      <c r="H3298" s="1">
        <v>45290</v>
      </c>
      <c r="I3298">
        <v>14</v>
      </c>
      <c r="J3298">
        <v>4</v>
      </c>
      <c r="K3298">
        <v>6381</v>
      </c>
      <c r="L3298">
        <v>3190</v>
      </c>
      <c r="M3298">
        <v>66997</v>
      </c>
      <c r="N3298">
        <v>3190</v>
      </c>
      <c r="O3298">
        <v>73377</v>
      </c>
    </row>
    <row r="3299" spans="1:15" x14ac:dyDescent="0.35">
      <c r="A3299">
        <v>3298</v>
      </c>
      <c r="B3299" s="2" t="s">
        <v>18</v>
      </c>
      <c r="C3299" s="2" t="s">
        <v>11</v>
      </c>
      <c r="D3299">
        <v>52</v>
      </c>
      <c r="E3299" s="2" t="s">
        <v>12</v>
      </c>
      <c r="F3299" s="2" t="s">
        <v>25</v>
      </c>
      <c r="G3299">
        <v>48098</v>
      </c>
      <c r="H3299" s="1">
        <v>45259</v>
      </c>
      <c r="I3299">
        <v>15</v>
      </c>
      <c r="J3299">
        <v>2</v>
      </c>
      <c r="K3299">
        <v>4810</v>
      </c>
      <c r="L3299">
        <v>2405</v>
      </c>
      <c r="M3299">
        <v>50503</v>
      </c>
      <c r="N3299">
        <v>2405</v>
      </c>
      <c r="O3299">
        <v>55313</v>
      </c>
    </row>
    <row r="3300" spans="1:15" x14ac:dyDescent="0.35">
      <c r="A3300">
        <v>3299</v>
      </c>
      <c r="B3300" s="2" t="s">
        <v>22</v>
      </c>
      <c r="C3300" s="2" t="s">
        <v>11</v>
      </c>
      <c r="D3300">
        <v>52</v>
      </c>
      <c r="E3300" s="2" t="s">
        <v>16</v>
      </c>
      <c r="F3300" s="2" t="s">
        <v>13</v>
      </c>
      <c r="G3300">
        <v>28976</v>
      </c>
      <c r="H3300" s="1">
        <v>44723</v>
      </c>
      <c r="I3300">
        <v>7</v>
      </c>
      <c r="J3300">
        <v>1</v>
      </c>
      <c r="K3300">
        <v>2898</v>
      </c>
      <c r="L3300">
        <v>1449</v>
      </c>
      <c r="M3300">
        <v>30425</v>
      </c>
      <c r="N3300">
        <v>1449</v>
      </c>
      <c r="O3300">
        <v>33323</v>
      </c>
    </row>
    <row r="3301" spans="1:15" x14ac:dyDescent="0.35">
      <c r="A3301">
        <v>3300</v>
      </c>
      <c r="B3301" s="2" t="s">
        <v>14</v>
      </c>
      <c r="C3301" s="2" t="s">
        <v>15</v>
      </c>
      <c r="D3301">
        <v>41</v>
      </c>
      <c r="E3301" s="2" t="s">
        <v>12</v>
      </c>
      <c r="F3301" s="2" t="s">
        <v>17</v>
      </c>
      <c r="G3301">
        <v>38903</v>
      </c>
      <c r="H3301" s="1">
        <v>44905</v>
      </c>
      <c r="I3301">
        <v>17</v>
      </c>
      <c r="J3301">
        <v>3</v>
      </c>
      <c r="K3301">
        <v>3890</v>
      </c>
      <c r="L3301">
        <v>1945</v>
      </c>
      <c r="M3301">
        <v>40848</v>
      </c>
      <c r="N3301">
        <v>1945</v>
      </c>
      <c r="O3301">
        <v>44738</v>
      </c>
    </row>
    <row r="3302" spans="1:15" x14ac:dyDescent="0.35">
      <c r="A3302">
        <v>3301</v>
      </c>
      <c r="B3302" s="2" t="s">
        <v>31</v>
      </c>
      <c r="C3302" s="2" t="s">
        <v>15</v>
      </c>
      <c r="D3302">
        <v>40</v>
      </c>
      <c r="E3302" s="2" t="s">
        <v>16</v>
      </c>
      <c r="F3302" s="2" t="s">
        <v>21</v>
      </c>
      <c r="G3302">
        <v>82391</v>
      </c>
      <c r="H3302" s="1">
        <v>45091</v>
      </c>
      <c r="I3302">
        <v>14</v>
      </c>
      <c r="J3302">
        <v>2</v>
      </c>
      <c r="K3302">
        <v>8239</v>
      </c>
      <c r="L3302">
        <v>4120</v>
      </c>
      <c r="M3302">
        <v>86510</v>
      </c>
      <c r="N3302">
        <v>4120</v>
      </c>
      <c r="O3302">
        <v>94750</v>
      </c>
    </row>
    <row r="3303" spans="1:15" x14ac:dyDescent="0.35">
      <c r="A3303">
        <v>3302</v>
      </c>
      <c r="B3303" s="2" t="s">
        <v>26</v>
      </c>
      <c r="C3303" s="2" t="s">
        <v>11</v>
      </c>
      <c r="D3303">
        <v>28</v>
      </c>
      <c r="E3303" s="2" t="s">
        <v>16</v>
      </c>
      <c r="F3303" s="2" t="s">
        <v>19</v>
      </c>
      <c r="G3303">
        <v>44577</v>
      </c>
      <c r="H3303" s="1">
        <v>44949</v>
      </c>
      <c r="I3303">
        <v>14</v>
      </c>
      <c r="J3303">
        <v>2</v>
      </c>
      <c r="K3303">
        <v>4458</v>
      </c>
      <c r="L3303">
        <v>2229</v>
      </c>
      <c r="M3303">
        <v>46806</v>
      </c>
      <c r="N3303">
        <v>2229</v>
      </c>
      <c r="O3303">
        <v>51264</v>
      </c>
    </row>
    <row r="3304" spans="1:15" x14ac:dyDescent="0.35">
      <c r="A3304">
        <v>3303</v>
      </c>
      <c r="B3304" s="2" t="s">
        <v>27</v>
      </c>
      <c r="C3304" s="2" t="s">
        <v>11</v>
      </c>
      <c r="D3304">
        <v>37</v>
      </c>
      <c r="E3304" s="2" t="s">
        <v>12</v>
      </c>
      <c r="F3304" s="2" t="s">
        <v>17</v>
      </c>
      <c r="G3304">
        <v>24507</v>
      </c>
      <c r="H3304" s="1">
        <v>45523</v>
      </c>
      <c r="I3304">
        <v>17</v>
      </c>
      <c r="J3304">
        <v>5</v>
      </c>
      <c r="K3304">
        <v>2451</v>
      </c>
      <c r="L3304">
        <v>1225</v>
      </c>
      <c r="M3304">
        <v>25733</v>
      </c>
      <c r="N3304">
        <v>1225</v>
      </c>
      <c r="O3304">
        <v>28183</v>
      </c>
    </row>
    <row r="3305" spans="1:15" x14ac:dyDescent="0.35">
      <c r="A3305">
        <v>3304</v>
      </c>
      <c r="B3305" s="2" t="s">
        <v>18</v>
      </c>
      <c r="C3305" s="2" t="s">
        <v>11</v>
      </c>
      <c r="D3305">
        <v>21</v>
      </c>
      <c r="E3305" s="2" t="s">
        <v>28</v>
      </c>
      <c r="F3305" s="2" t="s">
        <v>19</v>
      </c>
      <c r="G3305">
        <v>41860</v>
      </c>
      <c r="H3305" s="1">
        <v>44894</v>
      </c>
      <c r="I3305">
        <v>15</v>
      </c>
      <c r="J3305">
        <v>3</v>
      </c>
      <c r="K3305">
        <v>4186</v>
      </c>
      <c r="L3305">
        <v>2093</v>
      </c>
      <c r="M3305">
        <v>43953</v>
      </c>
      <c r="N3305">
        <v>2093</v>
      </c>
      <c r="O3305">
        <v>48139</v>
      </c>
    </row>
    <row r="3306" spans="1:15" x14ac:dyDescent="0.35">
      <c r="A3306">
        <v>3305</v>
      </c>
      <c r="B3306" s="2" t="s">
        <v>26</v>
      </c>
      <c r="C3306" s="2" t="s">
        <v>11</v>
      </c>
      <c r="D3306">
        <v>36</v>
      </c>
      <c r="E3306" s="2" t="s">
        <v>12</v>
      </c>
      <c r="F3306" s="2" t="s">
        <v>19</v>
      </c>
      <c r="G3306">
        <v>63872</v>
      </c>
      <c r="H3306" s="1">
        <v>45357</v>
      </c>
      <c r="I3306">
        <v>8</v>
      </c>
      <c r="J3306">
        <v>1</v>
      </c>
      <c r="K3306">
        <v>6387</v>
      </c>
      <c r="L3306">
        <v>3194</v>
      </c>
      <c r="M3306">
        <v>67065</v>
      </c>
      <c r="N3306">
        <v>3194</v>
      </c>
      <c r="O3306">
        <v>73453</v>
      </c>
    </row>
    <row r="3307" spans="1:15" x14ac:dyDescent="0.35">
      <c r="A3307">
        <v>3306</v>
      </c>
      <c r="B3307" s="2" t="s">
        <v>18</v>
      </c>
      <c r="C3307" s="2" t="s">
        <v>15</v>
      </c>
      <c r="D3307">
        <v>29</v>
      </c>
      <c r="E3307" s="2" t="s">
        <v>12</v>
      </c>
      <c r="F3307" s="2" t="s">
        <v>13</v>
      </c>
      <c r="G3307">
        <v>76576</v>
      </c>
      <c r="H3307" s="1">
        <v>45035</v>
      </c>
      <c r="I3307">
        <v>18</v>
      </c>
      <c r="J3307">
        <v>2</v>
      </c>
      <c r="K3307">
        <v>7658</v>
      </c>
      <c r="L3307">
        <v>3829</v>
      </c>
      <c r="M3307">
        <v>80405</v>
      </c>
      <c r="N3307">
        <v>3829</v>
      </c>
      <c r="O3307">
        <v>88063</v>
      </c>
    </row>
    <row r="3308" spans="1:15" x14ac:dyDescent="0.35">
      <c r="A3308">
        <v>3307</v>
      </c>
      <c r="B3308" s="2" t="s">
        <v>14</v>
      </c>
      <c r="C3308" s="2" t="s">
        <v>15</v>
      </c>
      <c r="D3308">
        <v>56</v>
      </c>
      <c r="E3308" s="2" t="s">
        <v>16</v>
      </c>
      <c r="F3308" s="2" t="s">
        <v>25</v>
      </c>
      <c r="G3308">
        <v>75143</v>
      </c>
      <c r="H3308" s="1">
        <v>45274</v>
      </c>
      <c r="I3308">
        <v>12</v>
      </c>
      <c r="J3308">
        <v>1</v>
      </c>
      <c r="K3308">
        <v>7514</v>
      </c>
      <c r="L3308">
        <v>3757</v>
      </c>
      <c r="M3308">
        <v>78900</v>
      </c>
      <c r="N3308">
        <v>3757</v>
      </c>
      <c r="O3308">
        <v>86414</v>
      </c>
    </row>
    <row r="3309" spans="1:15" x14ac:dyDescent="0.35">
      <c r="A3309">
        <v>3308</v>
      </c>
      <c r="B3309" s="2" t="s">
        <v>22</v>
      </c>
      <c r="C3309" s="2" t="s">
        <v>15</v>
      </c>
      <c r="D3309">
        <v>39</v>
      </c>
      <c r="E3309" s="2" t="s">
        <v>24</v>
      </c>
      <c r="F3309" s="2" t="s">
        <v>21</v>
      </c>
      <c r="G3309">
        <v>86015</v>
      </c>
      <c r="H3309" s="1">
        <v>45227</v>
      </c>
      <c r="I3309">
        <v>14</v>
      </c>
      <c r="J3309">
        <v>5</v>
      </c>
      <c r="K3309">
        <v>8602</v>
      </c>
      <c r="L3309">
        <v>4301</v>
      </c>
      <c r="M3309">
        <v>90316</v>
      </c>
      <c r="N3309">
        <v>4301</v>
      </c>
      <c r="O3309">
        <v>98918</v>
      </c>
    </row>
    <row r="3310" spans="1:15" x14ac:dyDescent="0.35">
      <c r="A3310">
        <v>3309</v>
      </c>
      <c r="B3310" s="2" t="s">
        <v>31</v>
      </c>
      <c r="C3310" s="2" t="s">
        <v>15</v>
      </c>
      <c r="D3310">
        <v>60</v>
      </c>
      <c r="E3310" s="2" t="s">
        <v>28</v>
      </c>
      <c r="F3310" s="2" t="s">
        <v>17</v>
      </c>
      <c r="G3310">
        <v>93037</v>
      </c>
      <c r="H3310" s="1">
        <v>45512</v>
      </c>
      <c r="I3310">
        <v>15</v>
      </c>
      <c r="J3310">
        <v>1</v>
      </c>
      <c r="K3310">
        <v>9304</v>
      </c>
      <c r="L3310">
        <v>4652</v>
      </c>
      <c r="M3310">
        <v>97689</v>
      </c>
      <c r="N3310">
        <v>4652</v>
      </c>
      <c r="O3310">
        <v>106993</v>
      </c>
    </row>
    <row r="3311" spans="1:15" x14ac:dyDescent="0.35">
      <c r="A3311">
        <v>3310</v>
      </c>
      <c r="B3311" s="2" t="s">
        <v>23</v>
      </c>
      <c r="C3311" s="2" t="s">
        <v>11</v>
      </c>
      <c r="D3311">
        <v>53</v>
      </c>
      <c r="E3311" s="2" t="s">
        <v>12</v>
      </c>
      <c r="F3311" s="2" t="s">
        <v>19</v>
      </c>
      <c r="G3311">
        <v>77031</v>
      </c>
      <c r="H3311" s="1">
        <v>45444</v>
      </c>
      <c r="I3311">
        <v>8</v>
      </c>
      <c r="J3311">
        <v>3</v>
      </c>
      <c r="K3311">
        <v>7703</v>
      </c>
      <c r="L3311">
        <v>3852</v>
      </c>
      <c r="M3311">
        <v>80882</v>
      </c>
      <c r="N3311">
        <v>3852</v>
      </c>
      <c r="O3311">
        <v>88586</v>
      </c>
    </row>
    <row r="3312" spans="1:15" x14ac:dyDescent="0.35">
      <c r="A3312">
        <v>3311</v>
      </c>
      <c r="B3312" s="2" t="s">
        <v>14</v>
      </c>
      <c r="C3312" s="2" t="s">
        <v>15</v>
      </c>
      <c r="D3312">
        <v>55</v>
      </c>
      <c r="E3312" s="2" t="s">
        <v>12</v>
      </c>
      <c r="F3312" s="2" t="s">
        <v>17</v>
      </c>
      <c r="G3312">
        <v>89154</v>
      </c>
      <c r="H3312" s="1">
        <v>44616</v>
      </c>
      <c r="I3312">
        <v>12</v>
      </c>
      <c r="J3312">
        <v>5</v>
      </c>
      <c r="K3312">
        <v>8915</v>
      </c>
      <c r="L3312">
        <v>4458</v>
      </c>
      <c r="M3312">
        <v>93611</v>
      </c>
      <c r="N3312">
        <v>4458</v>
      </c>
      <c r="O3312">
        <v>102527</v>
      </c>
    </row>
    <row r="3313" spans="1:15" x14ac:dyDescent="0.35">
      <c r="A3313">
        <v>3312</v>
      </c>
      <c r="B3313" s="2" t="s">
        <v>27</v>
      </c>
      <c r="C3313" s="2" t="s">
        <v>15</v>
      </c>
      <c r="D3313">
        <v>21</v>
      </c>
      <c r="E3313" s="2" t="s">
        <v>16</v>
      </c>
      <c r="F3313" s="2" t="s">
        <v>25</v>
      </c>
      <c r="G3313">
        <v>45523</v>
      </c>
      <c r="H3313" s="1">
        <v>45192</v>
      </c>
      <c r="I3313">
        <v>17</v>
      </c>
      <c r="J3313">
        <v>5</v>
      </c>
      <c r="K3313">
        <v>4552</v>
      </c>
      <c r="L3313">
        <v>2276</v>
      </c>
      <c r="M3313">
        <v>47799</v>
      </c>
      <c r="N3313">
        <v>2276</v>
      </c>
      <c r="O3313">
        <v>52351</v>
      </c>
    </row>
    <row r="3314" spans="1:15" x14ac:dyDescent="0.35">
      <c r="A3314">
        <v>3313</v>
      </c>
      <c r="B3314" s="2" t="s">
        <v>18</v>
      </c>
      <c r="C3314" s="2" t="s">
        <v>15</v>
      </c>
      <c r="D3314">
        <v>23</v>
      </c>
      <c r="E3314" s="2" t="s">
        <v>12</v>
      </c>
      <c r="F3314" s="2" t="s">
        <v>17</v>
      </c>
      <c r="G3314">
        <v>23032</v>
      </c>
      <c r="H3314" s="1">
        <v>45536</v>
      </c>
      <c r="I3314">
        <v>17</v>
      </c>
      <c r="J3314">
        <v>1</v>
      </c>
      <c r="K3314">
        <v>2303</v>
      </c>
      <c r="L3314">
        <v>1152</v>
      </c>
      <c r="M3314">
        <v>24183</v>
      </c>
      <c r="N3314">
        <v>1152</v>
      </c>
      <c r="O3314">
        <v>26487</v>
      </c>
    </row>
    <row r="3315" spans="1:15" x14ac:dyDescent="0.35">
      <c r="A3315">
        <v>3314</v>
      </c>
      <c r="B3315" s="2" t="s">
        <v>10</v>
      </c>
      <c r="C3315" s="2" t="s">
        <v>11</v>
      </c>
      <c r="D3315">
        <v>22</v>
      </c>
      <c r="E3315" s="2" t="s">
        <v>28</v>
      </c>
      <c r="F3315" s="2" t="s">
        <v>17</v>
      </c>
      <c r="G3315">
        <v>77088</v>
      </c>
      <c r="H3315" s="1">
        <v>45485</v>
      </c>
      <c r="I3315">
        <v>18</v>
      </c>
      <c r="J3315">
        <v>4</v>
      </c>
      <c r="K3315">
        <v>7709</v>
      </c>
      <c r="L3315">
        <v>3854</v>
      </c>
      <c r="M3315">
        <v>80943</v>
      </c>
      <c r="N3315">
        <v>3854</v>
      </c>
      <c r="O3315">
        <v>88651</v>
      </c>
    </row>
    <row r="3316" spans="1:15" x14ac:dyDescent="0.35">
      <c r="A3316">
        <v>3315</v>
      </c>
      <c r="B3316" s="2" t="s">
        <v>30</v>
      </c>
      <c r="C3316" s="2" t="s">
        <v>15</v>
      </c>
      <c r="D3316">
        <v>46</v>
      </c>
      <c r="E3316" s="2" t="s">
        <v>28</v>
      </c>
      <c r="F3316" s="2" t="s">
        <v>13</v>
      </c>
      <c r="G3316">
        <v>63481</v>
      </c>
      <c r="H3316" s="1">
        <v>45247</v>
      </c>
      <c r="I3316">
        <v>15</v>
      </c>
      <c r="J3316">
        <v>2</v>
      </c>
      <c r="K3316">
        <v>6348</v>
      </c>
      <c r="L3316">
        <v>3174</v>
      </c>
      <c r="M3316">
        <v>66655</v>
      </c>
      <c r="N3316">
        <v>3174</v>
      </c>
      <c r="O3316">
        <v>73003</v>
      </c>
    </row>
    <row r="3317" spans="1:15" x14ac:dyDescent="0.35">
      <c r="A3317">
        <v>3316</v>
      </c>
      <c r="B3317" s="2" t="s">
        <v>23</v>
      </c>
      <c r="C3317" s="2" t="s">
        <v>11</v>
      </c>
      <c r="D3317">
        <v>53</v>
      </c>
      <c r="E3317" s="2" t="s">
        <v>16</v>
      </c>
      <c r="F3317" s="2" t="s">
        <v>19</v>
      </c>
      <c r="G3317">
        <v>97249</v>
      </c>
      <c r="H3317" s="1">
        <v>44812</v>
      </c>
      <c r="I3317">
        <v>3</v>
      </c>
      <c r="J3317">
        <v>1</v>
      </c>
      <c r="K3317">
        <v>9725</v>
      </c>
      <c r="L3317">
        <v>4862</v>
      </c>
      <c r="M3317">
        <v>102112</v>
      </c>
      <c r="N3317">
        <v>0</v>
      </c>
      <c r="O3317">
        <v>106974</v>
      </c>
    </row>
    <row r="3318" spans="1:15" x14ac:dyDescent="0.35">
      <c r="A3318">
        <v>3317</v>
      </c>
      <c r="B3318" s="2" t="s">
        <v>14</v>
      </c>
      <c r="C3318" s="2" t="s">
        <v>15</v>
      </c>
      <c r="D3318">
        <v>59</v>
      </c>
      <c r="E3318" s="2" t="s">
        <v>12</v>
      </c>
      <c r="F3318" s="2" t="s">
        <v>19</v>
      </c>
      <c r="G3318">
        <v>51474</v>
      </c>
      <c r="H3318" s="1">
        <v>44746</v>
      </c>
      <c r="I3318">
        <v>20</v>
      </c>
      <c r="J3318">
        <v>2</v>
      </c>
      <c r="K3318">
        <v>5147</v>
      </c>
      <c r="L3318">
        <v>2574</v>
      </c>
      <c r="M3318">
        <v>54047</v>
      </c>
      <c r="N3318">
        <v>2574</v>
      </c>
      <c r="O3318">
        <v>59195</v>
      </c>
    </row>
    <row r="3319" spans="1:15" x14ac:dyDescent="0.35">
      <c r="A3319">
        <v>3318</v>
      </c>
      <c r="B3319" s="2" t="s">
        <v>31</v>
      </c>
      <c r="C3319" s="2" t="s">
        <v>15</v>
      </c>
      <c r="D3319">
        <v>51</v>
      </c>
      <c r="E3319" s="2" t="s">
        <v>28</v>
      </c>
      <c r="F3319" s="2" t="s">
        <v>21</v>
      </c>
      <c r="G3319">
        <v>87031</v>
      </c>
      <c r="H3319" s="1">
        <v>45457</v>
      </c>
      <c r="I3319">
        <v>16</v>
      </c>
      <c r="J3319">
        <v>4</v>
      </c>
      <c r="K3319">
        <v>8703</v>
      </c>
      <c r="L3319">
        <v>4352</v>
      </c>
      <c r="M3319">
        <v>91382</v>
      </c>
      <c r="N3319">
        <v>4352</v>
      </c>
      <c r="O3319">
        <v>100086</v>
      </c>
    </row>
    <row r="3320" spans="1:15" x14ac:dyDescent="0.35">
      <c r="A3320">
        <v>3319</v>
      </c>
      <c r="B3320" s="2" t="s">
        <v>18</v>
      </c>
      <c r="C3320" s="2" t="s">
        <v>11</v>
      </c>
      <c r="D3320">
        <v>44</v>
      </c>
      <c r="E3320" s="2" t="s">
        <v>29</v>
      </c>
      <c r="F3320" s="2" t="s">
        <v>21</v>
      </c>
      <c r="G3320">
        <v>94116</v>
      </c>
      <c r="H3320" s="1">
        <v>44933</v>
      </c>
      <c r="I3320">
        <v>6</v>
      </c>
      <c r="J3320">
        <v>3</v>
      </c>
      <c r="K3320">
        <v>9412</v>
      </c>
      <c r="L3320">
        <v>4706</v>
      </c>
      <c r="M3320">
        <v>98822</v>
      </c>
      <c r="N3320">
        <v>4706</v>
      </c>
      <c r="O3320">
        <v>108234</v>
      </c>
    </row>
    <row r="3321" spans="1:15" x14ac:dyDescent="0.35">
      <c r="A3321">
        <v>3320</v>
      </c>
      <c r="B3321" s="2" t="s">
        <v>31</v>
      </c>
      <c r="C3321" s="2" t="s">
        <v>11</v>
      </c>
      <c r="D3321">
        <v>51</v>
      </c>
      <c r="E3321" s="2" t="s">
        <v>28</v>
      </c>
      <c r="F3321" s="2" t="s">
        <v>25</v>
      </c>
      <c r="G3321">
        <v>39280</v>
      </c>
      <c r="H3321" s="1">
        <v>44723</v>
      </c>
      <c r="I3321">
        <v>12</v>
      </c>
      <c r="J3321">
        <v>2</v>
      </c>
      <c r="K3321">
        <v>3928</v>
      </c>
      <c r="L3321">
        <v>1964</v>
      </c>
      <c r="M3321">
        <v>41244</v>
      </c>
      <c r="N3321">
        <v>1964</v>
      </c>
      <c r="O3321">
        <v>45172</v>
      </c>
    </row>
    <row r="3322" spans="1:15" x14ac:dyDescent="0.35">
      <c r="A3322">
        <v>3321</v>
      </c>
      <c r="B3322" s="2" t="s">
        <v>26</v>
      </c>
      <c r="C3322" s="2" t="s">
        <v>15</v>
      </c>
      <c r="D3322">
        <v>54</v>
      </c>
      <c r="E3322" s="2" t="s">
        <v>24</v>
      </c>
      <c r="F3322" s="2" t="s">
        <v>17</v>
      </c>
      <c r="G3322">
        <v>62493</v>
      </c>
      <c r="H3322" s="1">
        <v>44588</v>
      </c>
      <c r="I3322">
        <v>17</v>
      </c>
      <c r="J3322">
        <v>1</v>
      </c>
      <c r="K3322">
        <v>6249</v>
      </c>
      <c r="L3322">
        <v>3125</v>
      </c>
      <c r="M3322">
        <v>65617</v>
      </c>
      <c r="N3322">
        <v>3125</v>
      </c>
      <c r="O3322">
        <v>71867</v>
      </c>
    </row>
    <row r="3323" spans="1:15" x14ac:dyDescent="0.35">
      <c r="A3323">
        <v>3322</v>
      </c>
      <c r="B3323" s="2" t="s">
        <v>18</v>
      </c>
      <c r="C3323" s="2" t="s">
        <v>15</v>
      </c>
      <c r="D3323">
        <v>59</v>
      </c>
      <c r="E3323" s="2" t="s">
        <v>28</v>
      </c>
      <c r="F3323" s="2" t="s">
        <v>13</v>
      </c>
      <c r="G3323">
        <v>33876</v>
      </c>
      <c r="H3323" s="1">
        <v>44667</v>
      </c>
      <c r="I3323">
        <v>11</v>
      </c>
      <c r="J3323">
        <v>4</v>
      </c>
      <c r="K3323">
        <v>3388</v>
      </c>
      <c r="L3323">
        <v>1694</v>
      </c>
      <c r="M3323">
        <v>35570</v>
      </c>
      <c r="N3323">
        <v>1694</v>
      </c>
      <c r="O3323">
        <v>38958</v>
      </c>
    </row>
    <row r="3324" spans="1:15" x14ac:dyDescent="0.35">
      <c r="A3324">
        <v>3323</v>
      </c>
      <c r="B3324" s="2" t="s">
        <v>10</v>
      </c>
      <c r="C3324" s="2" t="s">
        <v>15</v>
      </c>
      <c r="D3324">
        <v>46</v>
      </c>
      <c r="E3324" s="2" t="s">
        <v>28</v>
      </c>
      <c r="F3324" s="2" t="s">
        <v>19</v>
      </c>
      <c r="G3324">
        <v>68601</v>
      </c>
      <c r="H3324" s="1">
        <v>45168</v>
      </c>
      <c r="I3324">
        <v>6</v>
      </c>
      <c r="J3324">
        <v>3</v>
      </c>
      <c r="K3324">
        <v>6860</v>
      </c>
      <c r="L3324">
        <v>3430</v>
      </c>
      <c r="M3324">
        <v>72031</v>
      </c>
      <c r="N3324">
        <v>3430</v>
      </c>
      <c r="O3324">
        <v>78891</v>
      </c>
    </row>
    <row r="3325" spans="1:15" x14ac:dyDescent="0.35">
      <c r="A3325">
        <v>3324</v>
      </c>
      <c r="B3325" s="2" t="s">
        <v>30</v>
      </c>
      <c r="C3325" s="2" t="s">
        <v>15</v>
      </c>
      <c r="D3325">
        <v>47</v>
      </c>
      <c r="E3325" s="2" t="s">
        <v>16</v>
      </c>
      <c r="F3325" s="2" t="s">
        <v>25</v>
      </c>
      <c r="G3325">
        <v>89509</v>
      </c>
      <c r="H3325" s="1">
        <v>44860</v>
      </c>
      <c r="I3325">
        <v>15</v>
      </c>
      <c r="J3325">
        <v>2</v>
      </c>
      <c r="K3325">
        <v>8951</v>
      </c>
      <c r="L3325">
        <v>4475</v>
      </c>
      <c r="M3325">
        <v>93985</v>
      </c>
      <c r="N3325">
        <v>4475</v>
      </c>
      <c r="O3325">
        <v>102935</v>
      </c>
    </row>
    <row r="3326" spans="1:15" x14ac:dyDescent="0.35">
      <c r="A3326">
        <v>3325</v>
      </c>
      <c r="B3326" s="2" t="s">
        <v>23</v>
      </c>
      <c r="C3326" s="2" t="s">
        <v>11</v>
      </c>
      <c r="D3326">
        <v>23</v>
      </c>
      <c r="E3326" s="2" t="s">
        <v>28</v>
      </c>
      <c r="F3326" s="2" t="s">
        <v>21</v>
      </c>
      <c r="G3326">
        <v>36998</v>
      </c>
      <c r="H3326" s="1">
        <v>45478</v>
      </c>
      <c r="I3326">
        <v>13</v>
      </c>
      <c r="J3326">
        <v>5</v>
      </c>
      <c r="K3326">
        <v>3700</v>
      </c>
      <c r="L3326">
        <v>1850</v>
      </c>
      <c r="M3326">
        <v>38848</v>
      </c>
      <c r="N3326">
        <v>1850</v>
      </c>
      <c r="O3326">
        <v>42548</v>
      </c>
    </row>
    <row r="3327" spans="1:15" x14ac:dyDescent="0.35">
      <c r="A3327">
        <v>3326</v>
      </c>
      <c r="B3327" s="2" t="s">
        <v>20</v>
      </c>
      <c r="C3327" s="2" t="s">
        <v>15</v>
      </c>
      <c r="D3327">
        <v>54</v>
      </c>
      <c r="E3327" s="2" t="s">
        <v>24</v>
      </c>
      <c r="F3327" s="2" t="s">
        <v>13</v>
      </c>
      <c r="G3327">
        <v>75998</v>
      </c>
      <c r="H3327" s="1">
        <v>44933</v>
      </c>
      <c r="I3327">
        <v>9</v>
      </c>
      <c r="J3327">
        <v>2</v>
      </c>
      <c r="K3327">
        <v>7600</v>
      </c>
      <c r="L3327">
        <v>3800</v>
      </c>
      <c r="M3327">
        <v>79798</v>
      </c>
      <c r="N3327">
        <v>3800</v>
      </c>
      <c r="O3327">
        <v>87398</v>
      </c>
    </row>
    <row r="3328" spans="1:15" x14ac:dyDescent="0.35">
      <c r="A3328">
        <v>3327</v>
      </c>
      <c r="B3328" s="2" t="s">
        <v>20</v>
      </c>
      <c r="C3328" s="2" t="s">
        <v>15</v>
      </c>
      <c r="D3328">
        <v>60</v>
      </c>
      <c r="E3328" s="2" t="s">
        <v>12</v>
      </c>
      <c r="F3328" s="2" t="s">
        <v>25</v>
      </c>
      <c r="G3328">
        <v>49763</v>
      </c>
      <c r="H3328" s="1">
        <v>44991</v>
      </c>
      <c r="I3328">
        <v>15</v>
      </c>
      <c r="J3328">
        <v>2</v>
      </c>
      <c r="K3328">
        <v>4976</v>
      </c>
      <c r="L3328">
        <v>2488</v>
      </c>
      <c r="M3328">
        <v>52251</v>
      </c>
      <c r="N3328">
        <v>2488</v>
      </c>
      <c r="O3328">
        <v>57227</v>
      </c>
    </row>
    <row r="3329" spans="1:15" x14ac:dyDescent="0.35">
      <c r="A3329">
        <v>3328</v>
      </c>
      <c r="B3329" s="2" t="s">
        <v>26</v>
      </c>
      <c r="C3329" s="2" t="s">
        <v>11</v>
      </c>
      <c r="D3329">
        <v>39</v>
      </c>
      <c r="E3329" s="2" t="s">
        <v>29</v>
      </c>
      <c r="F3329" s="2" t="s">
        <v>21</v>
      </c>
      <c r="G3329">
        <v>36402</v>
      </c>
      <c r="H3329" s="1">
        <v>45195</v>
      </c>
      <c r="I3329">
        <v>3</v>
      </c>
      <c r="J3329">
        <v>3</v>
      </c>
      <c r="K3329">
        <v>3640</v>
      </c>
      <c r="L3329">
        <v>1820</v>
      </c>
      <c r="M3329">
        <v>38222</v>
      </c>
      <c r="N3329">
        <v>0</v>
      </c>
      <c r="O3329">
        <v>40042</v>
      </c>
    </row>
    <row r="3330" spans="1:15" x14ac:dyDescent="0.35">
      <c r="A3330">
        <v>3329</v>
      </c>
      <c r="B3330" s="2" t="s">
        <v>31</v>
      </c>
      <c r="C3330" s="2" t="s">
        <v>15</v>
      </c>
      <c r="D3330">
        <v>35</v>
      </c>
      <c r="E3330" s="2" t="s">
        <v>12</v>
      </c>
      <c r="F3330" s="2" t="s">
        <v>21</v>
      </c>
      <c r="G3330">
        <v>35533</v>
      </c>
      <c r="H3330" s="1">
        <v>45399</v>
      </c>
      <c r="I3330">
        <v>19</v>
      </c>
      <c r="J3330">
        <v>1</v>
      </c>
      <c r="K3330">
        <v>3553</v>
      </c>
      <c r="L3330">
        <v>1777</v>
      </c>
      <c r="M3330">
        <v>37309</v>
      </c>
      <c r="N3330">
        <v>1777</v>
      </c>
      <c r="O3330">
        <v>40863</v>
      </c>
    </row>
    <row r="3331" spans="1:15" x14ac:dyDescent="0.35">
      <c r="A3331">
        <v>3330</v>
      </c>
      <c r="B3331" s="2" t="s">
        <v>30</v>
      </c>
      <c r="C3331" s="2" t="s">
        <v>11</v>
      </c>
      <c r="D3331">
        <v>46</v>
      </c>
      <c r="E3331" s="2" t="s">
        <v>16</v>
      </c>
      <c r="F3331" s="2" t="s">
        <v>19</v>
      </c>
      <c r="G3331">
        <v>62013</v>
      </c>
      <c r="H3331" s="1">
        <v>44672</v>
      </c>
      <c r="I3331">
        <v>16</v>
      </c>
      <c r="J3331">
        <v>5</v>
      </c>
      <c r="K3331">
        <v>6201</v>
      </c>
      <c r="L3331">
        <v>3101</v>
      </c>
      <c r="M3331">
        <v>65113</v>
      </c>
      <c r="N3331">
        <v>3101</v>
      </c>
      <c r="O3331">
        <v>71315</v>
      </c>
    </row>
    <row r="3332" spans="1:15" x14ac:dyDescent="0.35">
      <c r="A3332">
        <v>3331</v>
      </c>
      <c r="B3332" s="2" t="s">
        <v>23</v>
      </c>
      <c r="C3332" s="2" t="s">
        <v>15</v>
      </c>
      <c r="D3332">
        <v>30</v>
      </c>
      <c r="E3332" s="2" t="s">
        <v>12</v>
      </c>
      <c r="F3332" s="2" t="s">
        <v>21</v>
      </c>
      <c r="G3332">
        <v>75273</v>
      </c>
      <c r="H3332" s="1">
        <v>45155</v>
      </c>
      <c r="I3332">
        <v>19</v>
      </c>
      <c r="J3332">
        <v>1</v>
      </c>
      <c r="K3332">
        <v>7527</v>
      </c>
      <c r="L3332">
        <v>3764</v>
      </c>
      <c r="M3332">
        <v>79036</v>
      </c>
      <c r="N3332">
        <v>3764</v>
      </c>
      <c r="O3332">
        <v>86564</v>
      </c>
    </row>
    <row r="3333" spans="1:15" x14ac:dyDescent="0.35">
      <c r="A3333">
        <v>3332</v>
      </c>
      <c r="B3333" s="2" t="s">
        <v>27</v>
      </c>
      <c r="C3333" s="2" t="s">
        <v>11</v>
      </c>
      <c r="D3333">
        <v>44</v>
      </c>
      <c r="E3333" s="2" t="s">
        <v>29</v>
      </c>
      <c r="F3333" s="2" t="s">
        <v>17</v>
      </c>
      <c r="G3333">
        <v>93053</v>
      </c>
      <c r="H3333" s="1">
        <v>45498</v>
      </c>
      <c r="I3333">
        <v>15</v>
      </c>
      <c r="J3333">
        <v>3</v>
      </c>
      <c r="K3333">
        <v>9305</v>
      </c>
      <c r="L3333">
        <v>4653</v>
      </c>
      <c r="M3333">
        <v>97705</v>
      </c>
      <c r="N3333">
        <v>4653</v>
      </c>
      <c r="O3333">
        <v>107011</v>
      </c>
    </row>
    <row r="3334" spans="1:15" x14ac:dyDescent="0.35">
      <c r="A3334">
        <v>3333</v>
      </c>
      <c r="B3334" s="2" t="s">
        <v>14</v>
      </c>
      <c r="C3334" s="2" t="s">
        <v>11</v>
      </c>
      <c r="D3334">
        <v>56</v>
      </c>
      <c r="E3334" s="2" t="s">
        <v>28</v>
      </c>
      <c r="F3334" s="2" t="s">
        <v>25</v>
      </c>
      <c r="G3334">
        <v>67849</v>
      </c>
      <c r="H3334" s="1">
        <v>44948</v>
      </c>
      <c r="I3334">
        <v>10</v>
      </c>
      <c r="J3334">
        <v>1</v>
      </c>
      <c r="K3334">
        <v>6785</v>
      </c>
      <c r="L3334">
        <v>3392</v>
      </c>
      <c r="M3334">
        <v>71242</v>
      </c>
      <c r="N3334">
        <v>3392</v>
      </c>
      <c r="O3334">
        <v>78026</v>
      </c>
    </row>
    <row r="3335" spans="1:15" x14ac:dyDescent="0.35">
      <c r="A3335">
        <v>3334</v>
      </c>
      <c r="B3335" s="2" t="s">
        <v>18</v>
      </c>
      <c r="C3335" s="2" t="s">
        <v>15</v>
      </c>
      <c r="D3335">
        <v>39</v>
      </c>
      <c r="E3335" s="2" t="s">
        <v>29</v>
      </c>
      <c r="F3335" s="2" t="s">
        <v>21</v>
      </c>
      <c r="G3335">
        <v>47618</v>
      </c>
      <c r="H3335" s="1">
        <v>45429</v>
      </c>
      <c r="I3335">
        <v>7</v>
      </c>
      <c r="J3335">
        <v>3</v>
      </c>
      <c r="K3335">
        <v>4762</v>
      </c>
      <c r="L3335">
        <v>2381</v>
      </c>
      <c r="M3335">
        <v>49999</v>
      </c>
      <c r="N3335">
        <v>2381</v>
      </c>
      <c r="O3335">
        <v>54761</v>
      </c>
    </row>
    <row r="3336" spans="1:15" x14ac:dyDescent="0.35">
      <c r="A3336">
        <v>3335</v>
      </c>
      <c r="B3336" s="2" t="s">
        <v>26</v>
      </c>
      <c r="C3336" s="2" t="s">
        <v>11</v>
      </c>
      <c r="D3336">
        <v>25</v>
      </c>
      <c r="E3336" s="2" t="s">
        <v>28</v>
      </c>
      <c r="F3336" s="2" t="s">
        <v>25</v>
      </c>
      <c r="G3336">
        <v>91362</v>
      </c>
      <c r="H3336" s="1">
        <v>45275</v>
      </c>
      <c r="I3336">
        <v>14</v>
      </c>
      <c r="J3336">
        <v>2</v>
      </c>
      <c r="K3336">
        <v>9136</v>
      </c>
      <c r="L3336">
        <v>4568</v>
      </c>
      <c r="M3336">
        <v>95930</v>
      </c>
      <c r="N3336">
        <v>4568</v>
      </c>
      <c r="O3336">
        <v>105066</v>
      </c>
    </row>
    <row r="3337" spans="1:15" x14ac:dyDescent="0.35">
      <c r="A3337">
        <v>3336</v>
      </c>
      <c r="B3337" s="2" t="s">
        <v>20</v>
      </c>
      <c r="C3337" s="2" t="s">
        <v>15</v>
      </c>
      <c r="D3337">
        <v>52</v>
      </c>
      <c r="E3337" s="2" t="s">
        <v>24</v>
      </c>
      <c r="F3337" s="2" t="s">
        <v>19</v>
      </c>
      <c r="G3337">
        <v>41778</v>
      </c>
      <c r="H3337" s="1">
        <v>45282</v>
      </c>
      <c r="I3337">
        <v>3</v>
      </c>
      <c r="J3337">
        <v>5</v>
      </c>
      <c r="K3337">
        <v>4178</v>
      </c>
      <c r="L3337">
        <v>2089</v>
      </c>
      <c r="M3337">
        <v>43867</v>
      </c>
      <c r="N3337">
        <v>0</v>
      </c>
      <c r="O3337">
        <v>45956</v>
      </c>
    </row>
    <row r="3338" spans="1:15" x14ac:dyDescent="0.35">
      <c r="A3338">
        <v>3337</v>
      </c>
      <c r="B3338" s="2" t="s">
        <v>18</v>
      </c>
      <c r="C3338" s="2" t="s">
        <v>11</v>
      </c>
      <c r="D3338">
        <v>31</v>
      </c>
      <c r="E3338" s="2" t="s">
        <v>12</v>
      </c>
      <c r="F3338" s="2" t="s">
        <v>25</v>
      </c>
      <c r="G3338">
        <v>59846</v>
      </c>
      <c r="H3338" s="1">
        <v>44929</v>
      </c>
      <c r="I3338">
        <v>18</v>
      </c>
      <c r="J3338">
        <v>3</v>
      </c>
      <c r="K3338">
        <v>5985</v>
      </c>
      <c r="L3338">
        <v>2992</v>
      </c>
      <c r="M3338">
        <v>62839</v>
      </c>
      <c r="N3338">
        <v>2992</v>
      </c>
      <c r="O3338">
        <v>68823</v>
      </c>
    </row>
    <row r="3339" spans="1:15" x14ac:dyDescent="0.35">
      <c r="A3339">
        <v>3338</v>
      </c>
      <c r="B3339" s="2" t="s">
        <v>22</v>
      </c>
      <c r="C3339" s="2" t="s">
        <v>11</v>
      </c>
      <c r="D3339">
        <v>38</v>
      </c>
      <c r="E3339" s="2" t="s">
        <v>12</v>
      </c>
      <c r="F3339" s="2" t="s">
        <v>19</v>
      </c>
      <c r="G3339">
        <v>67768</v>
      </c>
      <c r="H3339" s="1">
        <v>45080</v>
      </c>
      <c r="I3339">
        <v>1</v>
      </c>
      <c r="J3339">
        <v>1</v>
      </c>
      <c r="K3339">
        <v>6777</v>
      </c>
      <c r="L3339">
        <v>3388</v>
      </c>
      <c r="M3339">
        <v>71157</v>
      </c>
      <c r="N3339">
        <v>0</v>
      </c>
      <c r="O3339">
        <v>74545</v>
      </c>
    </row>
    <row r="3340" spans="1:15" x14ac:dyDescent="0.35">
      <c r="A3340">
        <v>3339</v>
      </c>
      <c r="B3340" s="2" t="s">
        <v>18</v>
      </c>
      <c r="C3340" s="2" t="s">
        <v>11</v>
      </c>
      <c r="D3340">
        <v>52</v>
      </c>
      <c r="E3340" s="2" t="s">
        <v>24</v>
      </c>
      <c r="F3340" s="2" t="s">
        <v>13</v>
      </c>
      <c r="G3340">
        <v>91195</v>
      </c>
      <c r="H3340" s="1">
        <v>44603</v>
      </c>
      <c r="I3340">
        <v>4</v>
      </c>
      <c r="J3340">
        <v>3</v>
      </c>
      <c r="K3340">
        <v>9120</v>
      </c>
      <c r="L3340">
        <v>4560</v>
      </c>
      <c r="M3340">
        <v>95755</v>
      </c>
      <c r="N3340">
        <v>0</v>
      </c>
      <c r="O3340">
        <v>100315</v>
      </c>
    </row>
    <row r="3341" spans="1:15" x14ac:dyDescent="0.35">
      <c r="A3341">
        <v>3340</v>
      </c>
      <c r="B3341" s="2" t="s">
        <v>26</v>
      </c>
      <c r="C3341" s="2" t="s">
        <v>11</v>
      </c>
      <c r="D3341">
        <v>26</v>
      </c>
      <c r="E3341" s="2" t="s">
        <v>29</v>
      </c>
      <c r="F3341" s="2" t="s">
        <v>21</v>
      </c>
      <c r="G3341">
        <v>98389</v>
      </c>
      <c r="H3341" s="1">
        <v>45173</v>
      </c>
      <c r="I3341">
        <v>7</v>
      </c>
      <c r="J3341">
        <v>2</v>
      </c>
      <c r="K3341">
        <v>9839</v>
      </c>
      <c r="L3341">
        <v>4919</v>
      </c>
      <c r="M3341">
        <v>103309</v>
      </c>
      <c r="N3341">
        <v>4919</v>
      </c>
      <c r="O3341">
        <v>113147</v>
      </c>
    </row>
    <row r="3342" spans="1:15" x14ac:dyDescent="0.35">
      <c r="A3342">
        <v>3341</v>
      </c>
      <c r="B3342" s="2" t="s">
        <v>14</v>
      </c>
      <c r="C3342" s="2" t="s">
        <v>15</v>
      </c>
      <c r="D3342">
        <v>31</v>
      </c>
      <c r="E3342" s="2" t="s">
        <v>28</v>
      </c>
      <c r="F3342" s="2" t="s">
        <v>13</v>
      </c>
      <c r="G3342">
        <v>62616</v>
      </c>
      <c r="H3342" s="1">
        <v>45421</v>
      </c>
      <c r="I3342">
        <v>16</v>
      </c>
      <c r="J3342">
        <v>2</v>
      </c>
      <c r="K3342">
        <v>6262</v>
      </c>
      <c r="L3342">
        <v>3131</v>
      </c>
      <c r="M3342">
        <v>65747</v>
      </c>
      <c r="N3342">
        <v>3131</v>
      </c>
      <c r="O3342">
        <v>72009</v>
      </c>
    </row>
    <row r="3343" spans="1:15" x14ac:dyDescent="0.35">
      <c r="A3343">
        <v>3342</v>
      </c>
      <c r="B3343" s="2" t="s">
        <v>10</v>
      </c>
      <c r="C3343" s="2" t="s">
        <v>15</v>
      </c>
      <c r="D3343">
        <v>44</v>
      </c>
      <c r="E3343" s="2" t="s">
        <v>28</v>
      </c>
      <c r="F3343" s="2" t="s">
        <v>13</v>
      </c>
      <c r="G3343">
        <v>99236</v>
      </c>
      <c r="H3343" s="1">
        <v>45089</v>
      </c>
      <c r="I3343">
        <v>7</v>
      </c>
      <c r="J3343">
        <v>3</v>
      </c>
      <c r="K3343">
        <v>9924</v>
      </c>
      <c r="L3343">
        <v>4962</v>
      </c>
      <c r="M3343">
        <v>104198</v>
      </c>
      <c r="N3343">
        <v>4962</v>
      </c>
      <c r="O3343">
        <v>114122</v>
      </c>
    </row>
    <row r="3344" spans="1:15" x14ac:dyDescent="0.35">
      <c r="A3344">
        <v>3343</v>
      </c>
      <c r="B3344" s="2" t="s">
        <v>27</v>
      </c>
      <c r="C3344" s="2" t="s">
        <v>15</v>
      </c>
      <c r="D3344">
        <v>56</v>
      </c>
      <c r="E3344" s="2" t="s">
        <v>16</v>
      </c>
      <c r="F3344" s="2" t="s">
        <v>25</v>
      </c>
      <c r="G3344">
        <v>57892</v>
      </c>
      <c r="H3344" s="1">
        <v>44891</v>
      </c>
      <c r="I3344">
        <v>13</v>
      </c>
      <c r="J3344">
        <v>1</v>
      </c>
      <c r="K3344">
        <v>5789</v>
      </c>
      <c r="L3344">
        <v>2895</v>
      </c>
      <c r="M3344">
        <v>60786</v>
      </c>
      <c r="N3344">
        <v>2895</v>
      </c>
      <c r="O3344">
        <v>66576</v>
      </c>
    </row>
    <row r="3345" spans="1:15" x14ac:dyDescent="0.35">
      <c r="A3345">
        <v>3344</v>
      </c>
      <c r="B3345" s="2" t="s">
        <v>30</v>
      </c>
      <c r="C3345" s="2" t="s">
        <v>15</v>
      </c>
      <c r="D3345">
        <v>49</v>
      </c>
      <c r="E3345" s="2" t="s">
        <v>29</v>
      </c>
      <c r="F3345" s="2" t="s">
        <v>21</v>
      </c>
      <c r="G3345">
        <v>72598</v>
      </c>
      <c r="H3345" s="1">
        <v>44867</v>
      </c>
      <c r="I3345">
        <v>17</v>
      </c>
      <c r="J3345">
        <v>3</v>
      </c>
      <c r="K3345">
        <v>7260</v>
      </c>
      <c r="L3345">
        <v>3630</v>
      </c>
      <c r="M3345">
        <v>76228</v>
      </c>
      <c r="N3345">
        <v>3630</v>
      </c>
      <c r="O3345">
        <v>83488</v>
      </c>
    </row>
    <row r="3346" spans="1:15" x14ac:dyDescent="0.35">
      <c r="A3346">
        <v>3345</v>
      </c>
      <c r="B3346" s="2" t="s">
        <v>23</v>
      </c>
      <c r="C3346" s="2" t="s">
        <v>15</v>
      </c>
      <c r="D3346">
        <v>41</v>
      </c>
      <c r="E3346" s="2" t="s">
        <v>29</v>
      </c>
      <c r="F3346" s="2" t="s">
        <v>13</v>
      </c>
      <c r="G3346">
        <v>85614</v>
      </c>
      <c r="H3346" s="1">
        <v>45202</v>
      </c>
      <c r="I3346">
        <v>17</v>
      </c>
      <c r="J3346">
        <v>3</v>
      </c>
      <c r="K3346">
        <v>8561</v>
      </c>
      <c r="L3346">
        <v>4281</v>
      </c>
      <c r="M3346">
        <v>89894</v>
      </c>
      <c r="N3346">
        <v>4281</v>
      </c>
      <c r="O3346">
        <v>98456</v>
      </c>
    </row>
    <row r="3347" spans="1:15" x14ac:dyDescent="0.35">
      <c r="A3347">
        <v>3346</v>
      </c>
      <c r="B3347" s="2" t="s">
        <v>31</v>
      </c>
      <c r="C3347" s="2" t="s">
        <v>15</v>
      </c>
      <c r="D3347">
        <v>54</v>
      </c>
      <c r="E3347" s="2" t="s">
        <v>29</v>
      </c>
      <c r="F3347" s="2" t="s">
        <v>25</v>
      </c>
      <c r="G3347">
        <v>63721</v>
      </c>
      <c r="H3347" s="1">
        <v>44936</v>
      </c>
      <c r="I3347">
        <v>20</v>
      </c>
      <c r="J3347">
        <v>1</v>
      </c>
      <c r="K3347">
        <v>6372</v>
      </c>
      <c r="L3347">
        <v>3186</v>
      </c>
      <c r="M3347">
        <v>66907</v>
      </c>
      <c r="N3347">
        <v>3186</v>
      </c>
      <c r="O3347">
        <v>73279</v>
      </c>
    </row>
    <row r="3348" spans="1:15" x14ac:dyDescent="0.35">
      <c r="A3348">
        <v>3347</v>
      </c>
      <c r="B3348" s="2" t="s">
        <v>30</v>
      </c>
      <c r="C3348" s="2" t="s">
        <v>11</v>
      </c>
      <c r="D3348">
        <v>29</v>
      </c>
      <c r="E3348" s="2" t="s">
        <v>16</v>
      </c>
      <c r="F3348" s="2" t="s">
        <v>19</v>
      </c>
      <c r="G3348">
        <v>70517</v>
      </c>
      <c r="H3348" s="1">
        <v>44737</v>
      </c>
      <c r="I3348">
        <v>4</v>
      </c>
      <c r="J3348">
        <v>2</v>
      </c>
      <c r="K3348">
        <v>7052</v>
      </c>
      <c r="L3348">
        <v>3526</v>
      </c>
      <c r="M3348">
        <v>74043</v>
      </c>
      <c r="N3348">
        <v>0</v>
      </c>
      <c r="O3348">
        <v>77569</v>
      </c>
    </row>
    <row r="3349" spans="1:15" x14ac:dyDescent="0.35">
      <c r="A3349">
        <v>3348</v>
      </c>
      <c r="B3349" s="2" t="s">
        <v>23</v>
      </c>
      <c r="C3349" s="2" t="s">
        <v>15</v>
      </c>
      <c r="D3349">
        <v>35</v>
      </c>
      <c r="E3349" s="2" t="s">
        <v>24</v>
      </c>
      <c r="F3349" s="2" t="s">
        <v>21</v>
      </c>
      <c r="G3349">
        <v>61027</v>
      </c>
      <c r="H3349" s="1">
        <v>44825</v>
      </c>
      <c r="I3349">
        <v>20</v>
      </c>
      <c r="J3349">
        <v>3</v>
      </c>
      <c r="K3349">
        <v>6103</v>
      </c>
      <c r="L3349">
        <v>3051</v>
      </c>
      <c r="M3349">
        <v>64079</v>
      </c>
      <c r="N3349">
        <v>3051</v>
      </c>
      <c r="O3349">
        <v>70181</v>
      </c>
    </row>
    <row r="3350" spans="1:15" x14ac:dyDescent="0.35">
      <c r="A3350">
        <v>3349</v>
      </c>
      <c r="B3350" s="2" t="s">
        <v>31</v>
      </c>
      <c r="C3350" s="2" t="s">
        <v>15</v>
      </c>
      <c r="D3350">
        <v>25</v>
      </c>
      <c r="E3350" s="2" t="s">
        <v>28</v>
      </c>
      <c r="F3350" s="2" t="s">
        <v>17</v>
      </c>
      <c r="G3350">
        <v>56821</v>
      </c>
      <c r="H3350" s="1">
        <v>45153</v>
      </c>
      <c r="I3350">
        <v>10</v>
      </c>
      <c r="J3350">
        <v>5</v>
      </c>
      <c r="K3350">
        <v>5682</v>
      </c>
      <c r="L3350">
        <v>2841</v>
      </c>
      <c r="M3350">
        <v>59662</v>
      </c>
      <c r="N3350">
        <v>2841</v>
      </c>
      <c r="O3350">
        <v>65344</v>
      </c>
    </row>
    <row r="3351" spans="1:15" x14ac:dyDescent="0.35">
      <c r="A3351">
        <v>3350</v>
      </c>
      <c r="B3351" s="2" t="s">
        <v>30</v>
      </c>
      <c r="C3351" s="2" t="s">
        <v>15</v>
      </c>
      <c r="D3351">
        <v>45</v>
      </c>
      <c r="E3351" s="2" t="s">
        <v>12</v>
      </c>
      <c r="F3351" s="2" t="s">
        <v>21</v>
      </c>
      <c r="G3351">
        <v>44657</v>
      </c>
      <c r="H3351" s="1">
        <v>45123</v>
      </c>
      <c r="I3351">
        <v>10</v>
      </c>
      <c r="J3351">
        <v>4</v>
      </c>
      <c r="K3351">
        <v>4466</v>
      </c>
      <c r="L3351">
        <v>2233</v>
      </c>
      <c r="M3351">
        <v>46890</v>
      </c>
      <c r="N3351">
        <v>2233</v>
      </c>
      <c r="O3351">
        <v>51356</v>
      </c>
    </row>
    <row r="3352" spans="1:15" x14ac:dyDescent="0.35">
      <c r="A3352">
        <v>3351</v>
      </c>
      <c r="B3352" s="2" t="s">
        <v>23</v>
      </c>
      <c r="C3352" s="2" t="s">
        <v>11</v>
      </c>
      <c r="D3352">
        <v>60</v>
      </c>
      <c r="E3352" s="2" t="s">
        <v>28</v>
      </c>
      <c r="F3352" s="2" t="s">
        <v>25</v>
      </c>
      <c r="G3352">
        <v>26379</v>
      </c>
      <c r="H3352" s="1">
        <v>45022</v>
      </c>
      <c r="I3352">
        <v>2</v>
      </c>
      <c r="J3352">
        <v>2</v>
      </c>
      <c r="K3352">
        <v>2638</v>
      </c>
      <c r="L3352">
        <v>1319</v>
      </c>
      <c r="M3352">
        <v>27698</v>
      </c>
      <c r="N3352">
        <v>0</v>
      </c>
      <c r="O3352">
        <v>29017</v>
      </c>
    </row>
    <row r="3353" spans="1:15" x14ac:dyDescent="0.35">
      <c r="A3353">
        <v>3352</v>
      </c>
      <c r="B3353" s="2" t="s">
        <v>31</v>
      </c>
      <c r="C3353" s="2" t="s">
        <v>15</v>
      </c>
      <c r="D3353">
        <v>23</v>
      </c>
      <c r="E3353" s="2" t="s">
        <v>24</v>
      </c>
      <c r="F3353" s="2" t="s">
        <v>21</v>
      </c>
      <c r="G3353">
        <v>76458</v>
      </c>
      <c r="H3353" s="1">
        <v>44777</v>
      </c>
      <c r="I3353">
        <v>7</v>
      </c>
      <c r="J3353">
        <v>5</v>
      </c>
      <c r="K3353">
        <v>7646</v>
      </c>
      <c r="L3353">
        <v>3823</v>
      </c>
      <c r="M3353">
        <v>80281</v>
      </c>
      <c r="N3353">
        <v>3823</v>
      </c>
      <c r="O3353">
        <v>87927</v>
      </c>
    </row>
    <row r="3354" spans="1:15" x14ac:dyDescent="0.35">
      <c r="A3354">
        <v>3353</v>
      </c>
      <c r="B3354" s="2" t="s">
        <v>18</v>
      </c>
      <c r="C3354" s="2" t="s">
        <v>11</v>
      </c>
      <c r="D3354">
        <v>26</v>
      </c>
      <c r="E3354" s="2" t="s">
        <v>28</v>
      </c>
      <c r="F3354" s="2" t="s">
        <v>17</v>
      </c>
      <c r="G3354">
        <v>78336</v>
      </c>
      <c r="H3354" s="1">
        <v>44818</v>
      </c>
      <c r="I3354">
        <v>16</v>
      </c>
      <c r="J3354">
        <v>2</v>
      </c>
      <c r="K3354">
        <v>7834</v>
      </c>
      <c r="L3354">
        <v>3917</v>
      </c>
      <c r="M3354">
        <v>82253</v>
      </c>
      <c r="N3354">
        <v>3917</v>
      </c>
      <c r="O3354">
        <v>90087</v>
      </c>
    </row>
    <row r="3355" spans="1:15" x14ac:dyDescent="0.35">
      <c r="A3355">
        <v>3354</v>
      </c>
      <c r="B3355" s="2" t="s">
        <v>30</v>
      </c>
      <c r="C3355" s="2" t="s">
        <v>15</v>
      </c>
      <c r="D3355">
        <v>38</v>
      </c>
      <c r="E3355" s="2" t="s">
        <v>24</v>
      </c>
      <c r="F3355" s="2" t="s">
        <v>25</v>
      </c>
      <c r="G3355">
        <v>89155</v>
      </c>
      <c r="H3355" s="1">
        <v>45217</v>
      </c>
      <c r="I3355">
        <v>2</v>
      </c>
      <c r="J3355">
        <v>2</v>
      </c>
      <c r="K3355">
        <v>8916</v>
      </c>
      <c r="L3355">
        <v>4458</v>
      </c>
      <c r="M3355">
        <v>93613</v>
      </c>
      <c r="N3355">
        <v>0</v>
      </c>
      <c r="O3355">
        <v>98071</v>
      </c>
    </row>
    <row r="3356" spans="1:15" x14ac:dyDescent="0.35">
      <c r="A3356">
        <v>3355</v>
      </c>
      <c r="B3356" s="2" t="s">
        <v>20</v>
      </c>
      <c r="C3356" s="2" t="s">
        <v>11</v>
      </c>
      <c r="D3356">
        <v>44</v>
      </c>
      <c r="E3356" s="2" t="s">
        <v>29</v>
      </c>
      <c r="F3356" s="2" t="s">
        <v>21</v>
      </c>
      <c r="G3356">
        <v>81768</v>
      </c>
      <c r="H3356" s="1">
        <v>45325</v>
      </c>
      <c r="I3356">
        <v>18</v>
      </c>
      <c r="J3356">
        <v>3</v>
      </c>
      <c r="K3356">
        <v>8177</v>
      </c>
      <c r="L3356">
        <v>4088</v>
      </c>
      <c r="M3356">
        <v>85857</v>
      </c>
      <c r="N3356">
        <v>4088</v>
      </c>
      <c r="O3356">
        <v>94033</v>
      </c>
    </row>
    <row r="3357" spans="1:15" x14ac:dyDescent="0.35">
      <c r="A3357">
        <v>3356</v>
      </c>
      <c r="B3357" s="2" t="s">
        <v>14</v>
      </c>
      <c r="C3357" s="2" t="s">
        <v>11</v>
      </c>
      <c r="D3357">
        <v>55</v>
      </c>
      <c r="E3357" s="2" t="s">
        <v>24</v>
      </c>
      <c r="F3357" s="2" t="s">
        <v>25</v>
      </c>
      <c r="G3357">
        <v>75978</v>
      </c>
      <c r="H3357" s="1">
        <v>45409</v>
      </c>
      <c r="I3357">
        <v>11</v>
      </c>
      <c r="J3357">
        <v>4</v>
      </c>
      <c r="K3357">
        <v>7598</v>
      </c>
      <c r="L3357">
        <v>3799</v>
      </c>
      <c r="M3357">
        <v>79777</v>
      </c>
      <c r="N3357">
        <v>3799</v>
      </c>
      <c r="O3357">
        <v>87375</v>
      </c>
    </row>
    <row r="3358" spans="1:15" x14ac:dyDescent="0.35">
      <c r="A3358">
        <v>3357</v>
      </c>
      <c r="B3358" s="2" t="s">
        <v>18</v>
      </c>
      <c r="C3358" s="2" t="s">
        <v>11</v>
      </c>
      <c r="D3358">
        <v>60</v>
      </c>
      <c r="E3358" s="2" t="s">
        <v>28</v>
      </c>
      <c r="F3358" s="2" t="s">
        <v>21</v>
      </c>
      <c r="G3358">
        <v>72306</v>
      </c>
      <c r="H3358" s="1">
        <v>45030</v>
      </c>
      <c r="I3358">
        <v>13</v>
      </c>
      <c r="J3358">
        <v>5</v>
      </c>
      <c r="K3358">
        <v>7231</v>
      </c>
      <c r="L3358">
        <v>3615</v>
      </c>
      <c r="M3358">
        <v>75922</v>
      </c>
      <c r="N3358">
        <v>3615</v>
      </c>
      <c r="O3358">
        <v>83152</v>
      </c>
    </row>
    <row r="3359" spans="1:15" x14ac:dyDescent="0.35">
      <c r="A3359">
        <v>3358</v>
      </c>
      <c r="B3359" s="2" t="s">
        <v>10</v>
      </c>
      <c r="C3359" s="2" t="s">
        <v>11</v>
      </c>
      <c r="D3359">
        <v>41</v>
      </c>
      <c r="E3359" s="2" t="s">
        <v>12</v>
      </c>
      <c r="F3359" s="2" t="s">
        <v>25</v>
      </c>
      <c r="G3359">
        <v>32282</v>
      </c>
      <c r="H3359" s="1">
        <v>45123</v>
      </c>
      <c r="I3359">
        <v>10</v>
      </c>
      <c r="J3359">
        <v>4</v>
      </c>
      <c r="K3359">
        <v>3228</v>
      </c>
      <c r="L3359">
        <v>1614</v>
      </c>
      <c r="M3359">
        <v>33896</v>
      </c>
      <c r="N3359">
        <v>1614</v>
      </c>
      <c r="O3359">
        <v>37124</v>
      </c>
    </row>
    <row r="3360" spans="1:15" x14ac:dyDescent="0.35">
      <c r="A3360">
        <v>3359</v>
      </c>
      <c r="B3360" s="2" t="s">
        <v>22</v>
      </c>
      <c r="C3360" s="2" t="s">
        <v>11</v>
      </c>
      <c r="D3360">
        <v>50</v>
      </c>
      <c r="E3360" s="2" t="s">
        <v>29</v>
      </c>
      <c r="F3360" s="2" t="s">
        <v>19</v>
      </c>
      <c r="G3360">
        <v>31751</v>
      </c>
      <c r="H3360" s="1">
        <v>45358</v>
      </c>
      <c r="I3360">
        <v>17</v>
      </c>
      <c r="J3360">
        <v>4</v>
      </c>
      <c r="K3360">
        <v>3175</v>
      </c>
      <c r="L3360">
        <v>1588</v>
      </c>
      <c r="M3360">
        <v>33338</v>
      </c>
      <c r="N3360">
        <v>1588</v>
      </c>
      <c r="O3360">
        <v>36514</v>
      </c>
    </row>
    <row r="3361" spans="1:15" x14ac:dyDescent="0.35">
      <c r="A3361">
        <v>3360</v>
      </c>
      <c r="B3361" s="2" t="s">
        <v>30</v>
      </c>
      <c r="C3361" s="2" t="s">
        <v>15</v>
      </c>
      <c r="D3361">
        <v>33</v>
      </c>
      <c r="E3361" s="2" t="s">
        <v>28</v>
      </c>
      <c r="F3361" s="2" t="s">
        <v>25</v>
      </c>
      <c r="G3361">
        <v>72809</v>
      </c>
      <c r="H3361" s="1">
        <v>45440</v>
      </c>
      <c r="I3361">
        <v>5</v>
      </c>
      <c r="J3361">
        <v>5</v>
      </c>
      <c r="K3361">
        <v>7281</v>
      </c>
      <c r="L3361">
        <v>3640</v>
      </c>
      <c r="M3361">
        <v>76450</v>
      </c>
      <c r="N3361">
        <v>0</v>
      </c>
      <c r="O3361">
        <v>80090</v>
      </c>
    </row>
    <row r="3362" spans="1:15" x14ac:dyDescent="0.35">
      <c r="A3362">
        <v>3361</v>
      </c>
      <c r="B3362" s="2" t="s">
        <v>10</v>
      </c>
      <c r="C3362" s="2" t="s">
        <v>15</v>
      </c>
      <c r="D3362">
        <v>51</v>
      </c>
      <c r="E3362" s="2" t="s">
        <v>29</v>
      </c>
      <c r="F3362" s="2" t="s">
        <v>13</v>
      </c>
      <c r="G3362">
        <v>73093</v>
      </c>
      <c r="H3362" s="1">
        <v>45023</v>
      </c>
      <c r="I3362">
        <v>16</v>
      </c>
      <c r="J3362">
        <v>3</v>
      </c>
      <c r="K3362">
        <v>7309</v>
      </c>
      <c r="L3362">
        <v>3655</v>
      </c>
      <c r="M3362">
        <v>76747</v>
      </c>
      <c r="N3362">
        <v>3655</v>
      </c>
      <c r="O3362">
        <v>84057</v>
      </c>
    </row>
    <row r="3363" spans="1:15" x14ac:dyDescent="0.35">
      <c r="A3363">
        <v>3362</v>
      </c>
      <c r="B3363" s="2" t="s">
        <v>27</v>
      </c>
      <c r="C3363" s="2" t="s">
        <v>15</v>
      </c>
      <c r="D3363">
        <v>53</v>
      </c>
      <c r="E3363" s="2" t="s">
        <v>24</v>
      </c>
      <c r="F3363" s="2" t="s">
        <v>19</v>
      </c>
      <c r="G3363">
        <v>87652</v>
      </c>
      <c r="H3363" s="1">
        <v>45462</v>
      </c>
      <c r="I3363">
        <v>6</v>
      </c>
      <c r="J3363">
        <v>4</v>
      </c>
      <c r="K3363">
        <v>8765</v>
      </c>
      <c r="L3363">
        <v>4383</v>
      </c>
      <c r="M3363">
        <v>92034</v>
      </c>
      <c r="N3363">
        <v>4383</v>
      </c>
      <c r="O3363">
        <v>100800</v>
      </c>
    </row>
    <row r="3364" spans="1:15" x14ac:dyDescent="0.35">
      <c r="A3364">
        <v>3363</v>
      </c>
      <c r="B3364" s="2" t="s">
        <v>10</v>
      </c>
      <c r="C3364" s="2" t="s">
        <v>11</v>
      </c>
      <c r="D3364">
        <v>42</v>
      </c>
      <c r="E3364" s="2" t="s">
        <v>16</v>
      </c>
      <c r="F3364" s="2" t="s">
        <v>19</v>
      </c>
      <c r="G3364">
        <v>76751</v>
      </c>
      <c r="H3364" s="1">
        <v>45416</v>
      </c>
      <c r="I3364">
        <v>1</v>
      </c>
      <c r="J3364">
        <v>1</v>
      </c>
      <c r="K3364">
        <v>7675</v>
      </c>
      <c r="L3364">
        <v>3838</v>
      </c>
      <c r="M3364">
        <v>80588</v>
      </c>
      <c r="N3364">
        <v>0</v>
      </c>
      <c r="O3364">
        <v>84426</v>
      </c>
    </row>
    <row r="3365" spans="1:15" x14ac:dyDescent="0.35">
      <c r="A3365">
        <v>3364</v>
      </c>
      <c r="B3365" s="2" t="s">
        <v>22</v>
      </c>
      <c r="C3365" s="2" t="s">
        <v>11</v>
      </c>
      <c r="D3365">
        <v>59</v>
      </c>
      <c r="E3365" s="2" t="s">
        <v>12</v>
      </c>
      <c r="F3365" s="2" t="s">
        <v>25</v>
      </c>
      <c r="G3365">
        <v>79266</v>
      </c>
      <c r="H3365" s="1">
        <v>45533</v>
      </c>
      <c r="I3365">
        <v>6</v>
      </c>
      <c r="J3365">
        <v>3</v>
      </c>
      <c r="K3365">
        <v>7927</v>
      </c>
      <c r="L3365">
        <v>3963</v>
      </c>
      <c r="M3365">
        <v>83230</v>
      </c>
      <c r="N3365">
        <v>3963</v>
      </c>
      <c r="O3365">
        <v>91156</v>
      </c>
    </row>
    <row r="3366" spans="1:15" x14ac:dyDescent="0.35">
      <c r="A3366">
        <v>3365</v>
      </c>
      <c r="B3366" s="2" t="s">
        <v>10</v>
      </c>
      <c r="C3366" s="2" t="s">
        <v>15</v>
      </c>
      <c r="D3366">
        <v>56</v>
      </c>
      <c r="E3366" s="2" t="s">
        <v>29</v>
      </c>
      <c r="F3366" s="2" t="s">
        <v>13</v>
      </c>
      <c r="G3366">
        <v>82086</v>
      </c>
      <c r="H3366" s="1">
        <v>45496</v>
      </c>
      <c r="I3366">
        <v>3</v>
      </c>
      <c r="J3366">
        <v>2</v>
      </c>
      <c r="K3366">
        <v>8209</v>
      </c>
      <c r="L3366">
        <v>4104</v>
      </c>
      <c r="M3366">
        <v>86191</v>
      </c>
      <c r="N3366">
        <v>0</v>
      </c>
      <c r="O3366">
        <v>90295</v>
      </c>
    </row>
    <row r="3367" spans="1:15" x14ac:dyDescent="0.35">
      <c r="A3367">
        <v>3366</v>
      </c>
      <c r="B3367" s="2" t="s">
        <v>18</v>
      </c>
      <c r="C3367" s="2" t="s">
        <v>11</v>
      </c>
      <c r="D3367">
        <v>26</v>
      </c>
      <c r="E3367" s="2" t="s">
        <v>29</v>
      </c>
      <c r="F3367" s="2" t="s">
        <v>25</v>
      </c>
      <c r="G3367">
        <v>65156</v>
      </c>
      <c r="H3367" s="1">
        <v>45392</v>
      </c>
      <c r="I3367">
        <v>9</v>
      </c>
      <c r="J3367">
        <v>3</v>
      </c>
      <c r="K3367">
        <v>6516</v>
      </c>
      <c r="L3367">
        <v>3258</v>
      </c>
      <c r="M3367">
        <v>68414</v>
      </c>
      <c r="N3367">
        <v>3258</v>
      </c>
      <c r="O3367">
        <v>74930</v>
      </c>
    </row>
    <row r="3368" spans="1:15" x14ac:dyDescent="0.35">
      <c r="A3368">
        <v>3367</v>
      </c>
      <c r="B3368" s="2" t="s">
        <v>10</v>
      </c>
      <c r="C3368" s="2" t="s">
        <v>11</v>
      </c>
      <c r="D3368">
        <v>25</v>
      </c>
      <c r="E3368" s="2" t="s">
        <v>29</v>
      </c>
      <c r="F3368" s="2" t="s">
        <v>13</v>
      </c>
      <c r="G3368">
        <v>72053</v>
      </c>
      <c r="H3368" s="1">
        <v>45086</v>
      </c>
      <c r="I3368">
        <v>16</v>
      </c>
      <c r="J3368">
        <v>2</v>
      </c>
      <c r="K3368">
        <v>7205</v>
      </c>
      <c r="L3368">
        <v>3603</v>
      </c>
      <c r="M3368">
        <v>75655</v>
      </c>
      <c r="N3368">
        <v>3603</v>
      </c>
      <c r="O3368">
        <v>82861</v>
      </c>
    </row>
    <row r="3369" spans="1:15" x14ac:dyDescent="0.35">
      <c r="A3369">
        <v>3368</v>
      </c>
      <c r="B3369" s="2" t="s">
        <v>10</v>
      </c>
      <c r="C3369" s="2" t="s">
        <v>11</v>
      </c>
      <c r="D3369">
        <v>25</v>
      </c>
      <c r="E3369" s="2" t="s">
        <v>29</v>
      </c>
      <c r="F3369" s="2" t="s">
        <v>19</v>
      </c>
      <c r="G3369">
        <v>61441</v>
      </c>
      <c r="H3369" s="1">
        <v>45143</v>
      </c>
      <c r="I3369">
        <v>15</v>
      </c>
      <c r="J3369">
        <v>4</v>
      </c>
      <c r="K3369">
        <v>6144</v>
      </c>
      <c r="L3369">
        <v>3072</v>
      </c>
      <c r="M3369">
        <v>64513</v>
      </c>
      <c r="N3369">
        <v>3072</v>
      </c>
      <c r="O3369">
        <v>70657</v>
      </c>
    </row>
    <row r="3370" spans="1:15" x14ac:dyDescent="0.35">
      <c r="A3370">
        <v>3369</v>
      </c>
      <c r="B3370" s="2" t="s">
        <v>22</v>
      </c>
      <c r="C3370" s="2" t="s">
        <v>15</v>
      </c>
      <c r="D3370">
        <v>56</v>
      </c>
      <c r="E3370" s="2" t="s">
        <v>28</v>
      </c>
      <c r="F3370" s="2" t="s">
        <v>13</v>
      </c>
      <c r="G3370">
        <v>60952</v>
      </c>
      <c r="H3370" s="1">
        <v>44650</v>
      </c>
      <c r="I3370">
        <v>8</v>
      </c>
      <c r="J3370">
        <v>5</v>
      </c>
      <c r="K3370">
        <v>6095</v>
      </c>
      <c r="L3370">
        <v>3048</v>
      </c>
      <c r="M3370">
        <v>63999</v>
      </c>
      <c r="N3370">
        <v>3048</v>
      </c>
      <c r="O3370">
        <v>70095</v>
      </c>
    </row>
    <row r="3371" spans="1:15" x14ac:dyDescent="0.35">
      <c r="A3371">
        <v>3370</v>
      </c>
      <c r="B3371" s="2" t="s">
        <v>26</v>
      </c>
      <c r="C3371" s="2" t="s">
        <v>11</v>
      </c>
      <c r="D3371">
        <v>60</v>
      </c>
      <c r="E3371" s="2" t="s">
        <v>16</v>
      </c>
      <c r="F3371" s="2" t="s">
        <v>13</v>
      </c>
      <c r="G3371">
        <v>99356</v>
      </c>
      <c r="H3371" s="1">
        <v>45219</v>
      </c>
      <c r="I3371">
        <v>9</v>
      </c>
      <c r="J3371">
        <v>4</v>
      </c>
      <c r="K3371">
        <v>9936</v>
      </c>
      <c r="L3371">
        <v>4968</v>
      </c>
      <c r="M3371">
        <v>104324</v>
      </c>
      <c r="N3371">
        <v>4968</v>
      </c>
      <c r="O3371">
        <v>114260</v>
      </c>
    </row>
    <row r="3372" spans="1:15" x14ac:dyDescent="0.35">
      <c r="A3372">
        <v>3371</v>
      </c>
      <c r="B3372" s="2" t="s">
        <v>14</v>
      </c>
      <c r="C3372" s="2" t="s">
        <v>11</v>
      </c>
      <c r="D3372">
        <v>48</v>
      </c>
      <c r="E3372" s="2" t="s">
        <v>16</v>
      </c>
      <c r="F3372" s="2" t="s">
        <v>13</v>
      </c>
      <c r="G3372">
        <v>29626</v>
      </c>
      <c r="H3372" s="1">
        <v>44780</v>
      </c>
      <c r="I3372">
        <v>13</v>
      </c>
      <c r="J3372">
        <v>3</v>
      </c>
      <c r="K3372">
        <v>2963</v>
      </c>
      <c r="L3372">
        <v>1481</v>
      </c>
      <c r="M3372">
        <v>31108</v>
      </c>
      <c r="N3372">
        <v>1481</v>
      </c>
      <c r="O3372">
        <v>34070</v>
      </c>
    </row>
    <row r="3373" spans="1:15" x14ac:dyDescent="0.35">
      <c r="A3373">
        <v>3372</v>
      </c>
      <c r="B3373" s="2" t="s">
        <v>14</v>
      </c>
      <c r="C3373" s="2" t="s">
        <v>15</v>
      </c>
      <c r="D3373">
        <v>57</v>
      </c>
      <c r="E3373" s="2" t="s">
        <v>24</v>
      </c>
      <c r="F3373" s="2" t="s">
        <v>13</v>
      </c>
      <c r="G3373">
        <v>28648</v>
      </c>
      <c r="H3373" s="1">
        <v>44747</v>
      </c>
      <c r="I3373">
        <v>3</v>
      </c>
      <c r="J3373">
        <v>4</v>
      </c>
      <c r="K3373">
        <v>2865</v>
      </c>
      <c r="L3373">
        <v>1432</v>
      </c>
      <c r="M3373">
        <v>30081</v>
      </c>
      <c r="N3373">
        <v>0</v>
      </c>
      <c r="O3373">
        <v>31513</v>
      </c>
    </row>
    <row r="3374" spans="1:15" x14ac:dyDescent="0.35">
      <c r="A3374">
        <v>3373</v>
      </c>
      <c r="B3374" s="2" t="s">
        <v>23</v>
      </c>
      <c r="C3374" s="2" t="s">
        <v>11</v>
      </c>
      <c r="D3374">
        <v>52</v>
      </c>
      <c r="E3374" s="2" t="s">
        <v>28</v>
      </c>
      <c r="F3374" s="2" t="s">
        <v>17</v>
      </c>
      <c r="G3374">
        <v>44415</v>
      </c>
      <c r="H3374" s="1">
        <v>45462</v>
      </c>
      <c r="I3374">
        <v>14</v>
      </c>
      <c r="J3374">
        <v>3</v>
      </c>
      <c r="K3374">
        <v>4442</v>
      </c>
      <c r="L3374">
        <v>2221</v>
      </c>
      <c r="M3374">
        <v>46636</v>
      </c>
      <c r="N3374">
        <v>2221</v>
      </c>
      <c r="O3374">
        <v>51078</v>
      </c>
    </row>
    <row r="3375" spans="1:15" x14ac:dyDescent="0.35">
      <c r="A3375">
        <v>3374</v>
      </c>
      <c r="B3375" s="2" t="s">
        <v>26</v>
      </c>
      <c r="C3375" s="2" t="s">
        <v>11</v>
      </c>
      <c r="D3375">
        <v>24</v>
      </c>
      <c r="E3375" s="2" t="s">
        <v>24</v>
      </c>
      <c r="F3375" s="2" t="s">
        <v>17</v>
      </c>
      <c r="G3375">
        <v>51527</v>
      </c>
      <c r="H3375" s="1">
        <v>44659</v>
      </c>
      <c r="I3375">
        <v>5</v>
      </c>
      <c r="J3375">
        <v>5</v>
      </c>
      <c r="K3375">
        <v>5153</v>
      </c>
      <c r="L3375">
        <v>2576</v>
      </c>
      <c r="M3375">
        <v>54104</v>
      </c>
      <c r="N3375">
        <v>0</v>
      </c>
      <c r="O3375">
        <v>56680</v>
      </c>
    </row>
    <row r="3376" spans="1:15" x14ac:dyDescent="0.35">
      <c r="A3376">
        <v>3375</v>
      </c>
      <c r="B3376" s="2" t="s">
        <v>20</v>
      </c>
      <c r="C3376" s="2" t="s">
        <v>11</v>
      </c>
      <c r="D3376">
        <v>32</v>
      </c>
      <c r="E3376" s="2" t="s">
        <v>28</v>
      </c>
      <c r="F3376" s="2" t="s">
        <v>19</v>
      </c>
      <c r="G3376">
        <v>71111</v>
      </c>
      <c r="H3376" s="1">
        <v>44884</v>
      </c>
      <c r="I3376">
        <v>13</v>
      </c>
      <c r="J3376">
        <v>2</v>
      </c>
      <c r="K3376">
        <v>7111</v>
      </c>
      <c r="L3376">
        <v>3556</v>
      </c>
      <c r="M3376">
        <v>74666</v>
      </c>
      <c r="N3376">
        <v>3556</v>
      </c>
      <c r="O3376">
        <v>81778</v>
      </c>
    </row>
    <row r="3377" spans="1:15" x14ac:dyDescent="0.35">
      <c r="A3377">
        <v>3376</v>
      </c>
      <c r="B3377" s="2" t="s">
        <v>14</v>
      </c>
      <c r="C3377" s="2" t="s">
        <v>15</v>
      </c>
      <c r="D3377">
        <v>39</v>
      </c>
      <c r="E3377" s="2" t="s">
        <v>24</v>
      </c>
      <c r="F3377" s="2" t="s">
        <v>17</v>
      </c>
      <c r="G3377">
        <v>30903</v>
      </c>
      <c r="H3377" s="1">
        <v>44941</v>
      </c>
      <c r="I3377">
        <v>3</v>
      </c>
      <c r="J3377">
        <v>5</v>
      </c>
      <c r="K3377">
        <v>3090</v>
      </c>
      <c r="L3377">
        <v>1545</v>
      </c>
      <c r="M3377">
        <v>32448</v>
      </c>
      <c r="N3377">
        <v>0</v>
      </c>
      <c r="O3377">
        <v>33993</v>
      </c>
    </row>
    <row r="3378" spans="1:15" x14ac:dyDescent="0.35">
      <c r="A3378">
        <v>3377</v>
      </c>
      <c r="B3378" s="2" t="s">
        <v>22</v>
      </c>
      <c r="C3378" s="2" t="s">
        <v>11</v>
      </c>
      <c r="D3378">
        <v>39</v>
      </c>
      <c r="E3378" s="2" t="s">
        <v>28</v>
      </c>
      <c r="F3378" s="2" t="s">
        <v>21</v>
      </c>
      <c r="G3378">
        <v>96789</v>
      </c>
      <c r="H3378" s="1">
        <v>45495</v>
      </c>
      <c r="I3378">
        <v>7</v>
      </c>
      <c r="J3378">
        <v>5</v>
      </c>
      <c r="K3378">
        <v>9679</v>
      </c>
      <c r="L3378">
        <v>4839</v>
      </c>
      <c r="M3378">
        <v>101629</v>
      </c>
      <c r="N3378">
        <v>4839</v>
      </c>
      <c r="O3378">
        <v>111307</v>
      </c>
    </row>
    <row r="3379" spans="1:15" x14ac:dyDescent="0.35">
      <c r="A3379">
        <v>3378</v>
      </c>
      <c r="B3379" s="2" t="s">
        <v>26</v>
      </c>
      <c r="C3379" s="2" t="s">
        <v>15</v>
      </c>
      <c r="D3379">
        <v>32</v>
      </c>
      <c r="E3379" s="2" t="s">
        <v>28</v>
      </c>
      <c r="F3379" s="2" t="s">
        <v>21</v>
      </c>
      <c r="G3379">
        <v>45099</v>
      </c>
      <c r="H3379" s="1">
        <v>45433</v>
      </c>
      <c r="I3379">
        <v>4</v>
      </c>
      <c r="J3379">
        <v>5</v>
      </c>
      <c r="K3379">
        <v>4510</v>
      </c>
      <c r="L3379">
        <v>2255</v>
      </c>
      <c r="M3379">
        <v>47354</v>
      </c>
      <c r="N3379">
        <v>0</v>
      </c>
      <c r="O3379">
        <v>49609</v>
      </c>
    </row>
    <row r="3380" spans="1:15" x14ac:dyDescent="0.35">
      <c r="A3380">
        <v>3379</v>
      </c>
      <c r="B3380" s="2" t="s">
        <v>18</v>
      </c>
      <c r="C3380" s="2" t="s">
        <v>11</v>
      </c>
      <c r="D3380">
        <v>46</v>
      </c>
      <c r="E3380" s="2" t="s">
        <v>24</v>
      </c>
      <c r="F3380" s="2" t="s">
        <v>17</v>
      </c>
      <c r="G3380">
        <v>67895</v>
      </c>
      <c r="H3380" s="1">
        <v>45469</v>
      </c>
      <c r="I3380">
        <v>4</v>
      </c>
      <c r="J3380">
        <v>2</v>
      </c>
      <c r="K3380">
        <v>6790</v>
      </c>
      <c r="L3380">
        <v>3395</v>
      </c>
      <c r="M3380">
        <v>71290</v>
      </c>
      <c r="N3380">
        <v>0</v>
      </c>
      <c r="O3380">
        <v>74685</v>
      </c>
    </row>
    <row r="3381" spans="1:15" x14ac:dyDescent="0.35">
      <c r="A3381">
        <v>3380</v>
      </c>
      <c r="B3381" s="2" t="s">
        <v>22</v>
      </c>
      <c r="C3381" s="2" t="s">
        <v>15</v>
      </c>
      <c r="D3381">
        <v>58</v>
      </c>
      <c r="E3381" s="2" t="s">
        <v>12</v>
      </c>
      <c r="F3381" s="2" t="s">
        <v>19</v>
      </c>
      <c r="G3381">
        <v>59267</v>
      </c>
      <c r="H3381" s="1">
        <v>44732</v>
      </c>
      <c r="I3381">
        <v>6</v>
      </c>
      <c r="J3381">
        <v>1</v>
      </c>
      <c r="K3381">
        <v>5927</v>
      </c>
      <c r="L3381">
        <v>2963</v>
      </c>
      <c r="M3381">
        <v>62231</v>
      </c>
      <c r="N3381">
        <v>2963</v>
      </c>
      <c r="O3381">
        <v>68157</v>
      </c>
    </row>
    <row r="3382" spans="1:15" x14ac:dyDescent="0.35">
      <c r="A3382">
        <v>3381</v>
      </c>
      <c r="B3382" s="2" t="s">
        <v>20</v>
      </c>
      <c r="C3382" s="2" t="s">
        <v>11</v>
      </c>
      <c r="D3382">
        <v>46</v>
      </c>
      <c r="E3382" s="2" t="s">
        <v>28</v>
      </c>
      <c r="F3382" s="2" t="s">
        <v>25</v>
      </c>
      <c r="G3382">
        <v>22481</v>
      </c>
      <c r="H3382" s="1">
        <v>44614</v>
      </c>
      <c r="I3382">
        <v>6</v>
      </c>
      <c r="J3382">
        <v>2</v>
      </c>
      <c r="K3382">
        <v>2248</v>
      </c>
      <c r="L3382">
        <v>1124</v>
      </c>
      <c r="M3382">
        <v>23605</v>
      </c>
      <c r="N3382">
        <v>1124</v>
      </c>
      <c r="O3382">
        <v>25853</v>
      </c>
    </row>
    <row r="3383" spans="1:15" x14ac:dyDescent="0.35">
      <c r="A3383">
        <v>3382</v>
      </c>
      <c r="B3383" s="2" t="s">
        <v>26</v>
      </c>
      <c r="C3383" s="2" t="s">
        <v>15</v>
      </c>
      <c r="D3383">
        <v>51</v>
      </c>
      <c r="E3383" s="2" t="s">
        <v>29</v>
      </c>
      <c r="F3383" s="2" t="s">
        <v>13</v>
      </c>
      <c r="G3383">
        <v>98669</v>
      </c>
      <c r="H3383" s="1">
        <v>44925</v>
      </c>
      <c r="I3383">
        <v>14</v>
      </c>
      <c r="J3383">
        <v>2</v>
      </c>
      <c r="K3383">
        <v>9867</v>
      </c>
      <c r="L3383">
        <v>4933</v>
      </c>
      <c r="M3383">
        <v>103603</v>
      </c>
      <c r="N3383">
        <v>4933</v>
      </c>
      <c r="O3383">
        <v>113469</v>
      </c>
    </row>
    <row r="3384" spans="1:15" x14ac:dyDescent="0.35">
      <c r="A3384">
        <v>3383</v>
      </c>
      <c r="B3384" s="2" t="s">
        <v>23</v>
      </c>
      <c r="C3384" s="2" t="s">
        <v>15</v>
      </c>
      <c r="D3384">
        <v>41</v>
      </c>
      <c r="E3384" s="2" t="s">
        <v>24</v>
      </c>
      <c r="F3384" s="2" t="s">
        <v>13</v>
      </c>
      <c r="G3384">
        <v>48989</v>
      </c>
      <c r="H3384" s="1">
        <v>45160</v>
      </c>
      <c r="I3384">
        <v>6</v>
      </c>
      <c r="J3384">
        <v>1</v>
      </c>
      <c r="K3384">
        <v>4899</v>
      </c>
      <c r="L3384">
        <v>2449</v>
      </c>
      <c r="M3384">
        <v>51439</v>
      </c>
      <c r="N3384">
        <v>2449</v>
      </c>
      <c r="O3384">
        <v>56337</v>
      </c>
    </row>
    <row r="3385" spans="1:15" x14ac:dyDescent="0.35">
      <c r="A3385">
        <v>3384</v>
      </c>
      <c r="B3385" s="2" t="s">
        <v>26</v>
      </c>
      <c r="C3385" s="2" t="s">
        <v>11</v>
      </c>
      <c r="D3385">
        <v>43</v>
      </c>
      <c r="E3385" s="2" t="s">
        <v>16</v>
      </c>
      <c r="F3385" s="2" t="s">
        <v>21</v>
      </c>
      <c r="G3385">
        <v>46908</v>
      </c>
      <c r="H3385" s="1">
        <v>45506</v>
      </c>
      <c r="I3385">
        <v>20</v>
      </c>
      <c r="J3385">
        <v>2</v>
      </c>
      <c r="K3385">
        <v>4691</v>
      </c>
      <c r="L3385">
        <v>2345</v>
      </c>
      <c r="M3385">
        <v>49254</v>
      </c>
      <c r="N3385">
        <v>2345</v>
      </c>
      <c r="O3385">
        <v>53944</v>
      </c>
    </row>
    <row r="3386" spans="1:15" x14ac:dyDescent="0.35">
      <c r="A3386">
        <v>3385</v>
      </c>
      <c r="B3386" s="2" t="s">
        <v>14</v>
      </c>
      <c r="C3386" s="2" t="s">
        <v>15</v>
      </c>
      <c r="D3386">
        <v>39</v>
      </c>
      <c r="E3386" s="2" t="s">
        <v>12</v>
      </c>
      <c r="F3386" s="2" t="s">
        <v>17</v>
      </c>
      <c r="G3386">
        <v>87438</v>
      </c>
      <c r="H3386" s="1">
        <v>45177</v>
      </c>
      <c r="I3386">
        <v>9</v>
      </c>
      <c r="J3386">
        <v>5</v>
      </c>
      <c r="K3386">
        <v>8744</v>
      </c>
      <c r="L3386">
        <v>4372</v>
      </c>
      <c r="M3386">
        <v>91810</v>
      </c>
      <c r="N3386">
        <v>4372</v>
      </c>
      <c r="O3386">
        <v>100554</v>
      </c>
    </row>
    <row r="3387" spans="1:15" x14ac:dyDescent="0.35">
      <c r="A3387">
        <v>3386</v>
      </c>
      <c r="B3387" s="2" t="s">
        <v>18</v>
      </c>
      <c r="C3387" s="2" t="s">
        <v>15</v>
      </c>
      <c r="D3387">
        <v>51</v>
      </c>
      <c r="E3387" s="2" t="s">
        <v>16</v>
      </c>
      <c r="F3387" s="2" t="s">
        <v>13</v>
      </c>
      <c r="G3387">
        <v>20885</v>
      </c>
      <c r="H3387" s="1">
        <v>45478</v>
      </c>
      <c r="I3387">
        <v>5</v>
      </c>
      <c r="J3387">
        <v>2</v>
      </c>
      <c r="K3387">
        <v>2088</v>
      </c>
      <c r="L3387">
        <v>1044</v>
      </c>
      <c r="M3387">
        <v>21929</v>
      </c>
      <c r="N3387">
        <v>0</v>
      </c>
      <c r="O3387">
        <v>22973</v>
      </c>
    </row>
    <row r="3388" spans="1:15" x14ac:dyDescent="0.35">
      <c r="A3388">
        <v>3387</v>
      </c>
      <c r="B3388" s="2" t="s">
        <v>31</v>
      </c>
      <c r="C3388" s="2" t="s">
        <v>15</v>
      </c>
      <c r="D3388">
        <v>26</v>
      </c>
      <c r="E3388" s="2" t="s">
        <v>24</v>
      </c>
      <c r="F3388" s="2" t="s">
        <v>17</v>
      </c>
      <c r="G3388">
        <v>53057</v>
      </c>
      <c r="H3388" s="1">
        <v>45510</v>
      </c>
      <c r="I3388">
        <v>15</v>
      </c>
      <c r="J3388">
        <v>1</v>
      </c>
      <c r="K3388">
        <v>5306</v>
      </c>
      <c r="L3388">
        <v>2653</v>
      </c>
      <c r="M3388">
        <v>55710</v>
      </c>
      <c r="N3388">
        <v>2653</v>
      </c>
      <c r="O3388">
        <v>61016</v>
      </c>
    </row>
    <row r="3389" spans="1:15" x14ac:dyDescent="0.35">
      <c r="A3389">
        <v>3388</v>
      </c>
      <c r="B3389" s="2" t="s">
        <v>31</v>
      </c>
      <c r="C3389" s="2" t="s">
        <v>11</v>
      </c>
      <c r="D3389">
        <v>41</v>
      </c>
      <c r="E3389" s="2" t="s">
        <v>29</v>
      </c>
      <c r="F3389" s="2" t="s">
        <v>19</v>
      </c>
      <c r="G3389">
        <v>38964</v>
      </c>
      <c r="H3389" s="1">
        <v>45404</v>
      </c>
      <c r="I3389">
        <v>1</v>
      </c>
      <c r="J3389">
        <v>5</v>
      </c>
      <c r="K3389">
        <v>3896</v>
      </c>
      <c r="L3389">
        <v>1948</v>
      </c>
      <c r="M3389">
        <v>40912</v>
      </c>
      <c r="N3389">
        <v>0</v>
      </c>
      <c r="O3389">
        <v>42860</v>
      </c>
    </row>
    <row r="3390" spans="1:15" x14ac:dyDescent="0.35">
      <c r="A3390">
        <v>3389</v>
      </c>
      <c r="B3390" s="2" t="s">
        <v>14</v>
      </c>
      <c r="C3390" s="2" t="s">
        <v>11</v>
      </c>
      <c r="D3390">
        <v>34</v>
      </c>
      <c r="E3390" s="2" t="s">
        <v>12</v>
      </c>
      <c r="F3390" s="2" t="s">
        <v>17</v>
      </c>
      <c r="G3390">
        <v>33707</v>
      </c>
      <c r="H3390" s="1">
        <v>45507</v>
      </c>
      <c r="I3390">
        <v>11</v>
      </c>
      <c r="J3390">
        <v>5</v>
      </c>
      <c r="K3390">
        <v>3371</v>
      </c>
      <c r="L3390">
        <v>1685</v>
      </c>
      <c r="M3390">
        <v>35393</v>
      </c>
      <c r="N3390">
        <v>1685</v>
      </c>
      <c r="O3390">
        <v>38763</v>
      </c>
    </row>
    <row r="3391" spans="1:15" x14ac:dyDescent="0.35">
      <c r="A3391">
        <v>3390</v>
      </c>
      <c r="B3391" s="2" t="s">
        <v>14</v>
      </c>
      <c r="C3391" s="2" t="s">
        <v>15</v>
      </c>
      <c r="D3391">
        <v>24</v>
      </c>
      <c r="E3391" s="2" t="s">
        <v>29</v>
      </c>
      <c r="F3391" s="2" t="s">
        <v>25</v>
      </c>
      <c r="G3391">
        <v>37019</v>
      </c>
      <c r="H3391" s="1">
        <v>44571</v>
      </c>
      <c r="I3391">
        <v>20</v>
      </c>
      <c r="J3391">
        <v>2</v>
      </c>
      <c r="K3391">
        <v>3702</v>
      </c>
      <c r="L3391">
        <v>1851</v>
      </c>
      <c r="M3391">
        <v>38870</v>
      </c>
      <c r="N3391">
        <v>1851</v>
      </c>
      <c r="O3391">
        <v>42572</v>
      </c>
    </row>
    <row r="3392" spans="1:15" x14ac:dyDescent="0.35">
      <c r="A3392">
        <v>3391</v>
      </c>
      <c r="B3392" s="2" t="s">
        <v>18</v>
      </c>
      <c r="C3392" s="2" t="s">
        <v>15</v>
      </c>
      <c r="D3392">
        <v>54</v>
      </c>
      <c r="E3392" s="2" t="s">
        <v>28</v>
      </c>
      <c r="F3392" s="2" t="s">
        <v>25</v>
      </c>
      <c r="G3392">
        <v>74568</v>
      </c>
      <c r="H3392" s="1">
        <v>44638</v>
      </c>
      <c r="I3392">
        <v>18</v>
      </c>
      <c r="J3392">
        <v>3</v>
      </c>
      <c r="K3392">
        <v>7457</v>
      </c>
      <c r="L3392">
        <v>3728</v>
      </c>
      <c r="M3392">
        <v>78297</v>
      </c>
      <c r="N3392">
        <v>3728</v>
      </c>
      <c r="O3392">
        <v>85753</v>
      </c>
    </row>
    <row r="3393" spans="1:15" x14ac:dyDescent="0.35">
      <c r="A3393">
        <v>3392</v>
      </c>
      <c r="B3393" s="2" t="s">
        <v>18</v>
      </c>
      <c r="C3393" s="2" t="s">
        <v>15</v>
      </c>
      <c r="D3393">
        <v>33</v>
      </c>
      <c r="E3393" s="2" t="s">
        <v>16</v>
      </c>
      <c r="F3393" s="2" t="s">
        <v>17</v>
      </c>
      <c r="G3393">
        <v>70273</v>
      </c>
      <c r="H3393" s="1">
        <v>44794</v>
      </c>
      <c r="I3393">
        <v>18</v>
      </c>
      <c r="J3393">
        <v>4</v>
      </c>
      <c r="K3393">
        <v>7027</v>
      </c>
      <c r="L3393">
        <v>3514</v>
      </c>
      <c r="M3393">
        <v>73786</v>
      </c>
      <c r="N3393">
        <v>3514</v>
      </c>
      <c r="O3393">
        <v>80814</v>
      </c>
    </row>
    <row r="3394" spans="1:15" x14ac:dyDescent="0.35">
      <c r="A3394">
        <v>3393</v>
      </c>
      <c r="B3394" s="2" t="s">
        <v>22</v>
      </c>
      <c r="C3394" s="2" t="s">
        <v>15</v>
      </c>
      <c r="D3394">
        <v>28</v>
      </c>
      <c r="E3394" s="2" t="s">
        <v>29</v>
      </c>
      <c r="F3394" s="2" t="s">
        <v>25</v>
      </c>
      <c r="G3394">
        <v>33211</v>
      </c>
      <c r="H3394" s="1">
        <v>45369</v>
      </c>
      <c r="I3394">
        <v>13</v>
      </c>
      <c r="J3394">
        <v>1</v>
      </c>
      <c r="K3394">
        <v>3321</v>
      </c>
      <c r="L3394">
        <v>1661</v>
      </c>
      <c r="M3394">
        <v>34871</v>
      </c>
      <c r="N3394">
        <v>1661</v>
      </c>
      <c r="O3394">
        <v>38193</v>
      </c>
    </row>
    <row r="3395" spans="1:15" x14ac:dyDescent="0.35">
      <c r="A3395">
        <v>3394</v>
      </c>
      <c r="B3395" s="2" t="s">
        <v>14</v>
      </c>
      <c r="C3395" s="2" t="s">
        <v>15</v>
      </c>
      <c r="D3395">
        <v>38</v>
      </c>
      <c r="E3395" s="2" t="s">
        <v>28</v>
      </c>
      <c r="F3395" s="2" t="s">
        <v>19</v>
      </c>
      <c r="G3395">
        <v>98707</v>
      </c>
      <c r="H3395" s="1">
        <v>44640</v>
      </c>
      <c r="I3395">
        <v>16</v>
      </c>
      <c r="J3395">
        <v>3</v>
      </c>
      <c r="K3395">
        <v>9871</v>
      </c>
      <c r="L3395">
        <v>4935</v>
      </c>
      <c r="M3395">
        <v>103643</v>
      </c>
      <c r="N3395">
        <v>4935</v>
      </c>
      <c r="O3395">
        <v>113513</v>
      </c>
    </row>
    <row r="3396" spans="1:15" x14ac:dyDescent="0.35">
      <c r="A3396">
        <v>3395</v>
      </c>
      <c r="B3396" s="2" t="s">
        <v>23</v>
      </c>
      <c r="C3396" s="2" t="s">
        <v>11</v>
      </c>
      <c r="D3396">
        <v>36</v>
      </c>
      <c r="E3396" s="2" t="s">
        <v>24</v>
      </c>
      <c r="F3396" s="2" t="s">
        <v>17</v>
      </c>
      <c r="G3396">
        <v>75355</v>
      </c>
      <c r="H3396" s="1">
        <v>45216</v>
      </c>
      <c r="I3396">
        <v>16</v>
      </c>
      <c r="J3396">
        <v>3</v>
      </c>
      <c r="K3396">
        <v>7536</v>
      </c>
      <c r="L3396">
        <v>3768</v>
      </c>
      <c r="M3396">
        <v>79123</v>
      </c>
      <c r="N3396">
        <v>3768</v>
      </c>
      <c r="O3396">
        <v>86659</v>
      </c>
    </row>
    <row r="3397" spans="1:15" x14ac:dyDescent="0.35">
      <c r="A3397">
        <v>3396</v>
      </c>
      <c r="B3397" s="2" t="s">
        <v>22</v>
      </c>
      <c r="C3397" s="2" t="s">
        <v>15</v>
      </c>
      <c r="D3397">
        <v>48</v>
      </c>
      <c r="E3397" s="2" t="s">
        <v>24</v>
      </c>
      <c r="F3397" s="2" t="s">
        <v>19</v>
      </c>
      <c r="G3397">
        <v>80133</v>
      </c>
      <c r="H3397" s="1">
        <v>45120</v>
      </c>
      <c r="I3397">
        <v>17</v>
      </c>
      <c r="J3397">
        <v>3</v>
      </c>
      <c r="K3397">
        <v>8013</v>
      </c>
      <c r="L3397">
        <v>4007</v>
      </c>
      <c r="M3397">
        <v>84139</v>
      </c>
      <c r="N3397">
        <v>4007</v>
      </c>
      <c r="O3397">
        <v>92153</v>
      </c>
    </row>
    <row r="3398" spans="1:15" x14ac:dyDescent="0.35">
      <c r="A3398">
        <v>3397</v>
      </c>
      <c r="B3398" s="2" t="s">
        <v>27</v>
      </c>
      <c r="C3398" s="2" t="s">
        <v>11</v>
      </c>
      <c r="D3398">
        <v>54</v>
      </c>
      <c r="E3398" s="2" t="s">
        <v>28</v>
      </c>
      <c r="F3398" s="2" t="s">
        <v>17</v>
      </c>
      <c r="G3398">
        <v>96640</v>
      </c>
      <c r="H3398" s="1">
        <v>45530</v>
      </c>
      <c r="I3398">
        <v>2</v>
      </c>
      <c r="J3398">
        <v>1</v>
      </c>
      <c r="K3398">
        <v>9664</v>
      </c>
      <c r="L3398">
        <v>4832</v>
      </c>
      <c r="M3398">
        <v>101472</v>
      </c>
      <c r="N3398">
        <v>0</v>
      </c>
      <c r="O3398">
        <v>106304</v>
      </c>
    </row>
    <row r="3399" spans="1:15" x14ac:dyDescent="0.35">
      <c r="A3399">
        <v>3398</v>
      </c>
      <c r="B3399" s="2" t="s">
        <v>27</v>
      </c>
      <c r="C3399" s="2" t="s">
        <v>11</v>
      </c>
      <c r="D3399">
        <v>44</v>
      </c>
      <c r="E3399" s="2" t="s">
        <v>28</v>
      </c>
      <c r="F3399" s="2" t="s">
        <v>21</v>
      </c>
      <c r="G3399">
        <v>99202</v>
      </c>
      <c r="H3399" s="1">
        <v>45347</v>
      </c>
      <c r="I3399">
        <v>10</v>
      </c>
      <c r="J3399">
        <v>4</v>
      </c>
      <c r="K3399">
        <v>9920</v>
      </c>
      <c r="L3399">
        <v>4960</v>
      </c>
      <c r="M3399">
        <v>104162</v>
      </c>
      <c r="N3399">
        <v>4960</v>
      </c>
      <c r="O3399">
        <v>114082</v>
      </c>
    </row>
    <row r="3400" spans="1:15" x14ac:dyDescent="0.35">
      <c r="A3400">
        <v>3399</v>
      </c>
      <c r="B3400" s="2" t="s">
        <v>10</v>
      </c>
      <c r="C3400" s="2" t="s">
        <v>15</v>
      </c>
      <c r="D3400">
        <v>46</v>
      </c>
      <c r="E3400" s="2" t="s">
        <v>24</v>
      </c>
      <c r="F3400" s="2" t="s">
        <v>25</v>
      </c>
      <c r="G3400">
        <v>95138</v>
      </c>
      <c r="H3400" s="1">
        <v>45345</v>
      </c>
      <c r="I3400">
        <v>2</v>
      </c>
      <c r="J3400">
        <v>4</v>
      </c>
      <c r="K3400">
        <v>9514</v>
      </c>
      <c r="L3400">
        <v>4757</v>
      </c>
      <c r="M3400">
        <v>99895</v>
      </c>
      <c r="N3400">
        <v>0</v>
      </c>
      <c r="O3400">
        <v>104652</v>
      </c>
    </row>
    <row r="3401" spans="1:15" x14ac:dyDescent="0.35">
      <c r="A3401">
        <v>3400</v>
      </c>
      <c r="B3401" s="2" t="s">
        <v>23</v>
      </c>
      <c r="C3401" s="2" t="s">
        <v>11</v>
      </c>
      <c r="D3401">
        <v>35</v>
      </c>
      <c r="E3401" s="2" t="s">
        <v>28</v>
      </c>
      <c r="F3401" s="2" t="s">
        <v>13</v>
      </c>
      <c r="G3401">
        <v>20315</v>
      </c>
      <c r="H3401" s="1">
        <v>44900</v>
      </c>
      <c r="I3401">
        <v>16</v>
      </c>
      <c r="J3401">
        <v>3</v>
      </c>
      <c r="K3401">
        <v>2032</v>
      </c>
      <c r="L3401">
        <v>1016</v>
      </c>
      <c r="M3401">
        <v>21331</v>
      </c>
      <c r="N3401">
        <v>1016</v>
      </c>
      <c r="O3401">
        <v>23363</v>
      </c>
    </row>
    <row r="3402" spans="1:15" x14ac:dyDescent="0.35">
      <c r="A3402">
        <v>3401</v>
      </c>
      <c r="B3402" s="2" t="s">
        <v>26</v>
      </c>
      <c r="C3402" s="2" t="s">
        <v>15</v>
      </c>
      <c r="D3402">
        <v>43</v>
      </c>
      <c r="E3402" s="2" t="s">
        <v>24</v>
      </c>
      <c r="F3402" s="2" t="s">
        <v>17</v>
      </c>
      <c r="G3402">
        <v>56697</v>
      </c>
      <c r="H3402" s="1">
        <v>45371</v>
      </c>
      <c r="I3402">
        <v>18</v>
      </c>
      <c r="J3402">
        <v>5</v>
      </c>
      <c r="K3402">
        <v>5670</v>
      </c>
      <c r="L3402">
        <v>2835</v>
      </c>
      <c r="M3402">
        <v>59532</v>
      </c>
      <c r="N3402">
        <v>2835</v>
      </c>
      <c r="O3402">
        <v>65202</v>
      </c>
    </row>
    <row r="3403" spans="1:15" x14ac:dyDescent="0.35">
      <c r="A3403">
        <v>3402</v>
      </c>
      <c r="B3403" s="2" t="s">
        <v>26</v>
      </c>
      <c r="C3403" s="2" t="s">
        <v>15</v>
      </c>
      <c r="D3403">
        <v>49</v>
      </c>
      <c r="E3403" s="2" t="s">
        <v>24</v>
      </c>
      <c r="F3403" s="2" t="s">
        <v>19</v>
      </c>
      <c r="G3403">
        <v>67789</v>
      </c>
      <c r="H3403" s="1">
        <v>44863</v>
      </c>
      <c r="I3403">
        <v>19</v>
      </c>
      <c r="J3403">
        <v>3</v>
      </c>
      <c r="K3403">
        <v>6779</v>
      </c>
      <c r="L3403">
        <v>3389</v>
      </c>
      <c r="M3403">
        <v>71179</v>
      </c>
      <c r="N3403">
        <v>3389</v>
      </c>
      <c r="O3403">
        <v>77957</v>
      </c>
    </row>
    <row r="3404" spans="1:15" x14ac:dyDescent="0.35">
      <c r="A3404">
        <v>3403</v>
      </c>
      <c r="B3404" s="2" t="s">
        <v>23</v>
      </c>
      <c r="C3404" s="2" t="s">
        <v>11</v>
      </c>
      <c r="D3404">
        <v>55</v>
      </c>
      <c r="E3404" s="2" t="s">
        <v>29</v>
      </c>
      <c r="F3404" s="2" t="s">
        <v>17</v>
      </c>
      <c r="G3404">
        <v>69387</v>
      </c>
      <c r="H3404" s="1">
        <v>44851</v>
      </c>
      <c r="I3404">
        <v>10</v>
      </c>
      <c r="J3404">
        <v>4</v>
      </c>
      <c r="K3404">
        <v>6939</v>
      </c>
      <c r="L3404">
        <v>3469</v>
      </c>
      <c r="M3404">
        <v>72857</v>
      </c>
      <c r="N3404">
        <v>3469</v>
      </c>
      <c r="O3404">
        <v>79795</v>
      </c>
    </row>
    <row r="3405" spans="1:15" x14ac:dyDescent="0.35">
      <c r="A3405">
        <v>3404</v>
      </c>
      <c r="B3405" s="2" t="s">
        <v>30</v>
      </c>
      <c r="C3405" s="2" t="s">
        <v>15</v>
      </c>
      <c r="D3405">
        <v>40</v>
      </c>
      <c r="E3405" s="2" t="s">
        <v>24</v>
      </c>
      <c r="F3405" s="2" t="s">
        <v>21</v>
      </c>
      <c r="G3405">
        <v>40188</v>
      </c>
      <c r="H3405" s="1">
        <v>45282</v>
      </c>
      <c r="I3405">
        <v>16</v>
      </c>
      <c r="J3405">
        <v>2</v>
      </c>
      <c r="K3405">
        <v>4019</v>
      </c>
      <c r="L3405">
        <v>2009</v>
      </c>
      <c r="M3405">
        <v>42198</v>
      </c>
      <c r="N3405">
        <v>2009</v>
      </c>
      <c r="O3405">
        <v>46216</v>
      </c>
    </row>
    <row r="3406" spans="1:15" x14ac:dyDescent="0.35">
      <c r="A3406">
        <v>3405</v>
      </c>
      <c r="B3406" s="2" t="s">
        <v>22</v>
      </c>
      <c r="C3406" s="2" t="s">
        <v>11</v>
      </c>
      <c r="D3406">
        <v>52</v>
      </c>
      <c r="E3406" s="2" t="s">
        <v>29</v>
      </c>
      <c r="F3406" s="2" t="s">
        <v>17</v>
      </c>
      <c r="G3406">
        <v>20526</v>
      </c>
      <c r="H3406" s="1">
        <v>45474</v>
      </c>
      <c r="I3406">
        <v>11</v>
      </c>
      <c r="J3406">
        <v>2</v>
      </c>
      <c r="K3406">
        <v>2053</v>
      </c>
      <c r="L3406">
        <v>1026</v>
      </c>
      <c r="M3406">
        <v>21553</v>
      </c>
      <c r="N3406">
        <v>1026</v>
      </c>
      <c r="O3406">
        <v>23605</v>
      </c>
    </row>
    <row r="3407" spans="1:15" x14ac:dyDescent="0.35">
      <c r="A3407">
        <v>3406</v>
      </c>
      <c r="B3407" s="2" t="s">
        <v>14</v>
      </c>
      <c r="C3407" s="2" t="s">
        <v>11</v>
      </c>
      <c r="D3407">
        <v>44</v>
      </c>
      <c r="E3407" s="2" t="s">
        <v>12</v>
      </c>
      <c r="F3407" s="2" t="s">
        <v>21</v>
      </c>
      <c r="G3407">
        <v>96003</v>
      </c>
      <c r="H3407" s="1">
        <v>45560</v>
      </c>
      <c r="I3407">
        <v>10</v>
      </c>
      <c r="J3407">
        <v>2</v>
      </c>
      <c r="K3407">
        <v>9600</v>
      </c>
      <c r="L3407">
        <v>4800</v>
      </c>
      <c r="M3407">
        <v>100803</v>
      </c>
      <c r="N3407">
        <v>4800</v>
      </c>
      <c r="O3407">
        <v>110403</v>
      </c>
    </row>
    <row r="3408" spans="1:15" x14ac:dyDescent="0.35">
      <c r="A3408">
        <v>3407</v>
      </c>
      <c r="B3408" s="2" t="s">
        <v>31</v>
      </c>
      <c r="C3408" s="2" t="s">
        <v>11</v>
      </c>
      <c r="D3408">
        <v>59</v>
      </c>
      <c r="E3408" s="2" t="s">
        <v>24</v>
      </c>
      <c r="F3408" s="2" t="s">
        <v>21</v>
      </c>
      <c r="G3408">
        <v>81912</v>
      </c>
      <c r="H3408" s="1">
        <v>45554</v>
      </c>
      <c r="I3408">
        <v>8</v>
      </c>
      <c r="J3408">
        <v>4</v>
      </c>
      <c r="K3408">
        <v>8191</v>
      </c>
      <c r="L3408">
        <v>4096</v>
      </c>
      <c r="M3408">
        <v>86007</v>
      </c>
      <c r="N3408">
        <v>4096</v>
      </c>
      <c r="O3408">
        <v>94199</v>
      </c>
    </row>
    <row r="3409" spans="1:15" x14ac:dyDescent="0.35">
      <c r="A3409">
        <v>3408</v>
      </c>
      <c r="B3409" s="2" t="s">
        <v>22</v>
      </c>
      <c r="C3409" s="2" t="s">
        <v>15</v>
      </c>
      <c r="D3409">
        <v>55</v>
      </c>
      <c r="E3409" s="2" t="s">
        <v>28</v>
      </c>
      <c r="F3409" s="2" t="s">
        <v>21</v>
      </c>
      <c r="G3409">
        <v>63681</v>
      </c>
      <c r="H3409" s="1">
        <v>45004</v>
      </c>
      <c r="I3409">
        <v>6</v>
      </c>
      <c r="J3409">
        <v>3</v>
      </c>
      <c r="K3409">
        <v>6368</v>
      </c>
      <c r="L3409">
        <v>3184</v>
      </c>
      <c r="M3409">
        <v>66865</v>
      </c>
      <c r="N3409">
        <v>3184</v>
      </c>
      <c r="O3409">
        <v>73233</v>
      </c>
    </row>
    <row r="3410" spans="1:15" x14ac:dyDescent="0.35">
      <c r="A3410">
        <v>3409</v>
      </c>
      <c r="B3410" s="2" t="s">
        <v>26</v>
      </c>
      <c r="C3410" s="2" t="s">
        <v>15</v>
      </c>
      <c r="D3410">
        <v>45</v>
      </c>
      <c r="E3410" s="2" t="s">
        <v>16</v>
      </c>
      <c r="F3410" s="2" t="s">
        <v>13</v>
      </c>
      <c r="G3410">
        <v>78786</v>
      </c>
      <c r="H3410" s="1">
        <v>44737</v>
      </c>
      <c r="I3410">
        <v>6</v>
      </c>
      <c r="J3410">
        <v>5</v>
      </c>
      <c r="K3410">
        <v>7879</v>
      </c>
      <c r="L3410">
        <v>3939</v>
      </c>
      <c r="M3410">
        <v>82726</v>
      </c>
      <c r="N3410">
        <v>3939</v>
      </c>
      <c r="O3410">
        <v>90604</v>
      </c>
    </row>
    <row r="3411" spans="1:15" x14ac:dyDescent="0.35">
      <c r="A3411">
        <v>3410</v>
      </c>
      <c r="B3411" s="2" t="s">
        <v>31</v>
      </c>
      <c r="C3411" s="2" t="s">
        <v>11</v>
      </c>
      <c r="D3411">
        <v>39</v>
      </c>
      <c r="E3411" s="2" t="s">
        <v>28</v>
      </c>
      <c r="F3411" s="2" t="s">
        <v>25</v>
      </c>
      <c r="G3411">
        <v>39174</v>
      </c>
      <c r="H3411" s="1">
        <v>45405</v>
      </c>
      <c r="I3411">
        <v>10</v>
      </c>
      <c r="J3411">
        <v>5</v>
      </c>
      <c r="K3411">
        <v>3917</v>
      </c>
      <c r="L3411">
        <v>1959</v>
      </c>
      <c r="M3411">
        <v>41132</v>
      </c>
      <c r="N3411">
        <v>1959</v>
      </c>
      <c r="O3411">
        <v>45050</v>
      </c>
    </row>
    <row r="3412" spans="1:15" x14ac:dyDescent="0.35">
      <c r="A3412">
        <v>3411</v>
      </c>
      <c r="B3412" s="2" t="s">
        <v>26</v>
      </c>
      <c r="C3412" s="2" t="s">
        <v>11</v>
      </c>
      <c r="D3412">
        <v>54</v>
      </c>
      <c r="E3412" s="2" t="s">
        <v>16</v>
      </c>
      <c r="F3412" s="2" t="s">
        <v>25</v>
      </c>
      <c r="G3412">
        <v>91249</v>
      </c>
      <c r="H3412" s="1">
        <v>45114</v>
      </c>
      <c r="I3412">
        <v>2</v>
      </c>
      <c r="J3412">
        <v>1</v>
      </c>
      <c r="K3412">
        <v>9125</v>
      </c>
      <c r="L3412">
        <v>4562</v>
      </c>
      <c r="M3412">
        <v>95812</v>
      </c>
      <c r="N3412">
        <v>0</v>
      </c>
      <c r="O3412">
        <v>100374</v>
      </c>
    </row>
    <row r="3413" spans="1:15" x14ac:dyDescent="0.35">
      <c r="A3413">
        <v>3412</v>
      </c>
      <c r="B3413" s="2" t="s">
        <v>22</v>
      </c>
      <c r="C3413" s="2" t="s">
        <v>11</v>
      </c>
      <c r="D3413">
        <v>54</v>
      </c>
      <c r="E3413" s="2" t="s">
        <v>28</v>
      </c>
      <c r="F3413" s="2" t="s">
        <v>19</v>
      </c>
      <c r="G3413">
        <v>86108</v>
      </c>
      <c r="H3413" s="1">
        <v>44959</v>
      </c>
      <c r="I3413">
        <v>1</v>
      </c>
      <c r="J3413">
        <v>4</v>
      </c>
      <c r="K3413">
        <v>8611</v>
      </c>
      <c r="L3413">
        <v>4305</v>
      </c>
      <c r="M3413">
        <v>90414</v>
      </c>
      <c r="N3413">
        <v>0</v>
      </c>
      <c r="O3413">
        <v>94719</v>
      </c>
    </row>
    <row r="3414" spans="1:15" x14ac:dyDescent="0.35">
      <c r="A3414">
        <v>3413</v>
      </c>
      <c r="B3414" s="2" t="s">
        <v>14</v>
      </c>
      <c r="C3414" s="2" t="s">
        <v>15</v>
      </c>
      <c r="D3414">
        <v>56</v>
      </c>
      <c r="E3414" s="2" t="s">
        <v>29</v>
      </c>
      <c r="F3414" s="2" t="s">
        <v>19</v>
      </c>
      <c r="G3414">
        <v>67877</v>
      </c>
      <c r="H3414" s="1">
        <v>44762</v>
      </c>
      <c r="I3414">
        <v>10</v>
      </c>
      <c r="J3414">
        <v>1</v>
      </c>
      <c r="K3414">
        <v>6788</v>
      </c>
      <c r="L3414">
        <v>3394</v>
      </c>
      <c r="M3414">
        <v>71271</v>
      </c>
      <c r="N3414">
        <v>3394</v>
      </c>
      <c r="O3414">
        <v>78059</v>
      </c>
    </row>
    <row r="3415" spans="1:15" x14ac:dyDescent="0.35">
      <c r="A3415">
        <v>3414</v>
      </c>
      <c r="B3415" s="2" t="s">
        <v>10</v>
      </c>
      <c r="C3415" s="2" t="s">
        <v>15</v>
      </c>
      <c r="D3415">
        <v>51</v>
      </c>
      <c r="E3415" s="2" t="s">
        <v>28</v>
      </c>
      <c r="F3415" s="2" t="s">
        <v>13</v>
      </c>
      <c r="G3415">
        <v>61913</v>
      </c>
      <c r="H3415" s="1">
        <v>45231</v>
      </c>
      <c r="I3415">
        <v>15</v>
      </c>
      <c r="J3415">
        <v>3</v>
      </c>
      <c r="K3415">
        <v>6191</v>
      </c>
      <c r="L3415">
        <v>3096</v>
      </c>
      <c r="M3415">
        <v>65008</v>
      </c>
      <c r="N3415">
        <v>3096</v>
      </c>
      <c r="O3415">
        <v>71200</v>
      </c>
    </row>
    <row r="3416" spans="1:15" x14ac:dyDescent="0.35">
      <c r="A3416">
        <v>3415</v>
      </c>
      <c r="B3416" s="2" t="s">
        <v>30</v>
      </c>
      <c r="C3416" s="2" t="s">
        <v>11</v>
      </c>
      <c r="D3416">
        <v>36</v>
      </c>
      <c r="E3416" s="2" t="s">
        <v>12</v>
      </c>
      <c r="F3416" s="2" t="s">
        <v>25</v>
      </c>
      <c r="G3416">
        <v>60483</v>
      </c>
      <c r="H3416" s="1">
        <v>45049</v>
      </c>
      <c r="I3416">
        <v>5</v>
      </c>
      <c r="J3416">
        <v>3</v>
      </c>
      <c r="K3416">
        <v>6048</v>
      </c>
      <c r="L3416">
        <v>3024</v>
      </c>
      <c r="M3416">
        <v>63507</v>
      </c>
      <c r="N3416">
        <v>0</v>
      </c>
      <c r="O3416">
        <v>66531</v>
      </c>
    </row>
    <row r="3417" spans="1:15" x14ac:dyDescent="0.35">
      <c r="A3417">
        <v>3416</v>
      </c>
      <c r="B3417" s="2" t="s">
        <v>14</v>
      </c>
      <c r="C3417" s="2" t="s">
        <v>11</v>
      </c>
      <c r="D3417">
        <v>37</v>
      </c>
      <c r="E3417" s="2" t="s">
        <v>28</v>
      </c>
      <c r="F3417" s="2" t="s">
        <v>25</v>
      </c>
      <c r="G3417">
        <v>60987</v>
      </c>
      <c r="H3417" s="1">
        <v>45061</v>
      </c>
      <c r="I3417">
        <v>5</v>
      </c>
      <c r="J3417">
        <v>4</v>
      </c>
      <c r="K3417">
        <v>6099</v>
      </c>
      <c r="L3417">
        <v>3049</v>
      </c>
      <c r="M3417">
        <v>64037</v>
      </c>
      <c r="N3417">
        <v>0</v>
      </c>
      <c r="O3417">
        <v>67086</v>
      </c>
    </row>
    <row r="3418" spans="1:15" x14ac:dyDescent="0.35">
      <c r="A3418">
        <v>3417</v>
      </c>
      <c r="B3418" s="2" t="s">
        <v>27</v>
      </c>
      <c r="C3418" s="2" t="s">
        <v>15</v>
      </c>
      <c r="D3418">
        <v>59</v>
      </c>
      <c r="E3418" s="2" t="s">
        <v>24</v>
      </c>
      <c r="F3418" s="2" t="s">
        <v>13</v>
      </c>
      <c r="G3418">
        <v>30189</v>
      </c>
      <c r="H3418" s="1">
        <v>44709</v>
      </c>
      <c r="I3418">
        <v>17</v>
      </c>
      <c r="J3418">
        <v>5</v>
      </c>
      <c r="K3418">
        <v>3019</v>
      </c>
      <c r="L3418">
        <v>1509</v>
      </c>
      <c r="M3418">
        <v>31699</v>
      </c>
      <c r="N3418">
        <v>1509</v>
      </c>
      <c r="O3418">
        <v>34717</v>
      </c>
    </row>
    <row r="3419" spans="1:15" x14ac:dyDescent="0.35">
      <c r="A3419">
        <v>3418</v>
      </c>
      <c r="B3419" s="2" t="s">
        <v>23</v>
      </c>
      <c r="C3419" s="2" t="s">
        <v>11</v>
      </c>
      <c r="D3419">
        <v>51</v>
      </c>
      <c r="E3419" s="2" t="s">
        <v>29</v>
      </c>
      <c r="F3419" s="2" t="s">
        <v>21</v>
      </c>
      <c r="G3419">
        <v>21902</v>
      </c>
      <c r="H3419" s="1">
        <v>45261</v>
      </c>
      <c r="I3419">
        <v>9</v>
      </c>
      <c r="J3419">
        <v>2</v>
      </c>
      <c r="K3419">
        <v>2190</v>
      </c>
      <c r="L3419">
        <v>1095</v>
      </c>
      <c r="M3419">
        <v>22997</v>
      </c>
      <c r="N3419">
        <v>1095</v>
      </c>
      <c r="O3419">
        <v>25187</v>
      </c>
    </row>
    <row r="3420" spans="1:15" x14ac:dyDescent="0.35">
      <c r="A3420">
        <v>3419</v>
      </c>
      <c r="B3420" s="2" t="s">
        <v>26</v>
      </c>
      <c r="C3420" s="2" t="s">
        <v>15</v>
      </c>
      <c r="D3420">
        <v>44</v>
      </c>
      <c r="E3420" s="2" t="s">
        <v>12</v>
      </c>
      <c r="F3420" s="2" t="s">
        <v>25</v>
      </c>
      <c r="G3420">
        <v>74299</v>
      </c>
      <c r="H3420" s="1">
        <v>45392</v>
      </c>
      <c r="I3420">
        <v>18</v>
      </c>
      <c r="J3420">
        <v>3</v>
      </c>
      <c r="K3420">
        <v>7430</v>
      </c>
      <c r="L3420">
        <v>3715</v>
      </c>
      <c r="M3420">
        <v>78014</v>
      </c>
      <c r="N3420">
        <v>3715</v>
      </c>
      <c r="O3420">
        <v>85444</v>
      </c>
    </row>
    <row r="3421" spans="1:15" x14ac:dyDescent="0.35">
      <c r="A3421">
        <v>3420</v>
      </c>
      <c r="B3421" s="2" t="s">
        <v>20</v>
      </c>
      <c r="C3421" s="2" t="s">
        <v>11</v>
      </c>
      <c r="D3421">
        <v>28</v>
      </c>
      <c r="E3421" s="2" t="s">
        <v>28</v>
      </c>
      <c r="F3421" s="2" t="s">
        <v>17</v>
      </c>
      <c r="G3421">
        <v>32402</v>
      </c>
      <c r="H3421" s="1">
        <v>45208</v>
      </c>
      <c r="I3421">
        <v>16</v>
      </c>
      <c r="J3421">
        <v>4</v>
      </c>
      <c r="K3421">
        <v>3240</v>
      </c>
      <c r="L3421">
        <v>1620</v>
      </c>
      <c r="M3421">
        <v>34022</v>
      </c>
      <c r="N3421">
        <v>1620</v>
      </c>
      <c r="O3421">
        <v>37262</v>
      </c>
    </row>
    <row r="3422" spans="1:15" x14ac:dyDescent="0.35">
      <c r="A3422">
        <v>3421</v>
      </c>
      <c r="B3422" s="2" t="s">
        <v>23</v>
      </c>
      <c r="C3422" s="2" t="s">
        <v>11</v>
      </c>
      <c r="D3422">
        <v>54</v>
      </c>
      <c r="E3422" s="2" t="s">
        <v>16</v>
      </c>
      <c r="F3422" s="2" t="s">
        <v>19</v>
      </c>
      <c r="G3422">
        <v>34203</v>
      </c>
      <c r="H3422" s="1">
        <v>45122</v>
      </c>
      <c r="I3422">
        <v>16</v>
      </c>
      <c r="J3422">
        <v>4</v>
      </c>
      <c r="K3422">
        <v>3420</v>
      </c>
      <c r="L3422">
        <v>1710</v>
      </c>
      <c r="M3422">
        <v>35913</v>
      </c>
      <c r="N3422">
        <v>1710</v>
      </c>
      <c r="O3422">
        <v>39333</v>
      </c>
    </row>
    <row r="3423" spans="1:15" x14ac:dyDescent="0.35">
      <c r="A3423">
        <v>3422</v>
      </c>
      <c r="B3423" s="2" t="s">
        <v>14</v>
      </c>
      <c r="C3423" s="2" t="s">
        <v>11</v>
      </c>
      <c r="D3423">
        <v>52</v>
      </c>
      <c r="E3423" s="2" t="s">
        <v>16</v>
      </c>
      <c r="F3423" s="2" t="s">
        <v>17</v>
      </c>
      <c r="G3423">
        <v>20455</v>
      </c>
      <c r="H3423" s="1">
        <v>45432</v>
      </c>
      <c r="I3423">
        <v>4</v>
      </c>
      <c r="J3423">
        <v>2</v>
      </c>
      <c r="K3423">
        <v>2046</v>
      </c>
      <c r="L3423">
        <v>1023</v>
      </c>
      <c r="M3423">
        <v>21478</v>
      </c>
      <c r="N3423">
        <v>0</v>
      </c>
      <c r="O3423">
        <v>22501</v>
      </c>
    </row>
    <row r="3424" spans="1:15" x14ac:dyDescent="0.35">
      <c r="A3424">
        <v>3423</v>
      </c>
      <c r="B3424" s="2" t="s">
        <v>31</v>
      </c>
      <c r="C3424" s="2" t="s">
        <v>15</v>
      </c>
      <c r="D3424">
        <v>41</v>
      </c>
      <c r="E3424" s="2" t="s">
        <v>16</v>
      </c>
      <c r="F3424" s="2" t="s">
        <v>21</v>
      </c>
      <c r="G3424">
        <v>24051</v>
      </c>
      <c r="H3424" s="1">
        <v>45046</v>
      </c>
      <c r="I3424">
        <v>13</v>
      </c>
      <c r="J3424">
        <v>1</v>
      </c>
      <c r="K3424">
        <v>2405</v>
      </c>
      <c r="L3424">
        <v>1203</v>
      </c>
      <c r="M3424">
        <v>25253</v>
      </c>
      <c r="N3424">
        <v>1203</v>
      </c>
      <c r="O3424">
        <v>27659</v>
      </c>
    </row>
    <row r="3425" spans="1:15" x14ac:dyDescent="0.35">
      <c r="A3425">
        <v>3424</v>
      </c>
      <c r="B3425" s="2" t="s">
        <v>18</v>
      </c>
      <c r="C3425" s="2" t="s">
        <v>11</v>
      </c>
      <c r="D3425">
        <v>29</v>
      </c>
      <c r="E3425" s="2" t="s">
        <v>24</v>
      </c>
      <c r="F3425" s="2" t="s">
        <v>17</v>
      </c>
      <c r="G3425">
        <v>89447</v>
      </c>
      <c r="H3425" s="1">
        <v>44786</v>
      </c>
      <c r="I3425">
        <v>5</v>
      </c>
      <c r="J3425">
        <v>2</v>
      </c>
      <c r="K3425">
        <v>8945</v>
      </c>
      <c r="L3425">
        <v>4472</v>
      </c>
      <c r="M3425">
        <v>93920</v>
      </c>
      <c r="N3425">
        <v>0</v>
      </c>
      <c r="O3425">
        <v>98392</v>
      </c>
    </row>
    <row r="3426" spans="1:15" x14ac:dyDescent="0.35">
      <c r="A3426">
        <v>3425</v>
      </c>
      <c r="B3426" s="2" t="s">
        <v>31</v>
      </c>
      <c r="C3426" s="2" t="s">
        <v>15</v>
      </c>
      <c r="D3426">
        <v>28</v>
      </c>
      <c r="E3426" s="2" t="s">
        <v>12</v>
      </c>
      <c r="F3426" s="2" t="s">
        <v>17</v>
      </c>
      <c r="G3426">
        <v>89655</v>
      </c>
      <c r="H3426" s="1">
        <v>45295</v>
      </c>
      <c r="I3426">
        <v>18</v>
      </c>
      <c r="J3426">
        <v>5</v>
      </c>
      <c r="K3426">
        <v>8966</v>
      </c>
      <c r="L3426">
        <v>4483</v>
      </c>
      <c r="M3426">
        <v>94138</v>
      </c>
      <c r="N3426">
        <v>4483</v>
      </c>
      <c r="O3426">
        <v>103104</v>
      </c>
    </row>
    <row r="3427" spans="1:15" x14ac:dyDescent="0.35">
      <c r="A3427">
        <v>3426</v>
      </c>
      <c r="B3427" s="2" t="s">
        <v>26</v>
      </c>
      <c r="C3427" s="2" t="s">
        <v>15</v>
      </c>
      <c r="D3427">
        <v>35</v>
      </c>
      <c r="E3427" s="2" t="s">
        <v>24</v>
      </c>
      <c r="F3427" s="2" t="s">
        <v>19</v>
      </c>
      <c r="G3427">
        <v>73399</v>
      </c>
      <c r="H3427" s="1">
        <v>45020</v>
      </c>
      <c r="I3427">
        <v>6</v>
      </c>
      <c r="J3427">
        <v>3</v>
      </c>
      <c r="K3427">
        <v>7340</v>
      </c>
      <c r="L3427">
        <v>3670</v>
      </c>
      <c r="M3427">
        <v>77069</v>
      </c>
      <c r="N3427">
        <v>3670</v>
      </c>
      <c r="O3427">
        <v>84409</v>
      </c>
    </row>
    <row r="3428" spans="1:15" x14ac:dyDescent="0.35">
      <c r="A3428">
        <v>3427</v>
      </c>
      <c r="B3428" s="2" t="s">
        <v>26</v>
      </c>
      <c r="C3428" s="2" t="s">
        <v>11</v>
      </c>
      <c r="D3428">
        <v>32</v>
      </c>
      <c r="E3428" s="2" t="s">
        <v>16</v>
      </c>
      <c r="F3428" s="2" t="s">
        <v>25</v>
      </c>
      <c r="G3428">
        <v>22405</v>
      </c>
      <c r="H3428" s="1">
        <v>45183</v>
      </c>
      <c r="I3428">
        <v>13</v>
      </c>
      <c r="J3428">
        <v>2</v>
      </c>
      <c r="K3428">
        <v>2240</v>
      </c>
      <c r="L3428">
        <v>1120</v>
      </c>
      <c r="M3428">
        <v>23525</v>
      </c>
      <c r="N3428">
        <v>1120</v>
      </c>
      <c r="O3428">
        <v>25765</v>
      </c>
    </row>
    <row r="3429" spans="1:15" x14ac:dyDescent="0.35">
      <c r="A3429">
        <v>3428</v>
      </c>
      <c r="B3429" s="2" t="s">
        <v>31</v>
      </c>
      <c r="C3429" s="2" t="s">
        <v>15</v>
      </c>
      <c r="D3429">
        <v>29</v>
      </c>
      <c r="E3429" s="2" t="s">
        <v>28</v>
      </c>
      <c r="F3429" s="2" t="s">
        <v>19</v>
      </c>
      <c r="G3429">
        <v>29602</v>
      </c>
      <c r="H3429" s="1">
        <v>45234</v>
      </c>
      <c r="I3429">
        <v>15</v>
      </c>
      <c r="J3429">
        <v>2</v>
      </c>
      <c r="K3429">
        <v>2960</v>
      </c>
      <c r="L3429">
        <v>1480</v>
      </c>
      <c r="M3429">
        <v>31082</v>
      </c>
      <c r="N3429">
        <v>1480</v>
      </c>
      <c r="O3429">
        <v>34042</v>
      </c>
    </row>
    <row r="3430" spans="1:15" x14ac:dyDescent="0.35">
      <c r="A3430">
        <v>3429</v>
      </c>
      <c r="B3430" s="2" t="s">
        <v>30</v>
      </c>
      <c r="C3430" s="2" t="s">
        <v>11</v>
      </c>
      <c r="D3430">
        <v>37</v>
      </c>
      <c r="E3430" s="2" t="s">
        <v>24</v>
      </c>
      <c r="F3430" s="2" t="s">
        <v>25</v>
      </c>
      <c r="G3430">
        <v>86321</v>
      </c>
      <c r="H3430" s="1">
        <v>44857</v>
      </c>
      <c r="I3430">
        <v>17</v>
      </c>
      <c r="J3430">
        <v>2</v>
      </c>
      <c r="K3430">
        <v>8632</v>
      </c>
      <c r="L3430">
        <v>4316</v>
      </c>
      <c r="M3430">
        <v>90637</v>
      </c>
      <c r="N3430">
        <v>4316</v>
      </c>
      <c r="O3430">
        <v>99269</v>
      </c>
    </row>
    <row r="3431" spans="1:15" x14ac:dyDescent="0.35">
      <c r="A3431">
        <v>3430</v>
      </c>
      <c r="B3431" s="2" t="s">
        <v>23</v>
      </c>
      <c r="C3431" s="2" t="s">
        <v>15</v>
      </c>
      <c r="D3431">
        <v>54</v>
      </c>
      <c r="E3431" s="2" t="s">
        <v>12</v>
      </c>
      <c r="F3431" s="2" t="s">
        <v>17</v>
      </c>
      <c r="G3431">
        <v>63341</v>
      </c>
      <c r="H3431" s="1">
        <v>45235</v>
      </c>
      <c r="I3431">
        <v>6</v>
      </c>
      <c r="J3431">
        <v>5</v>
      </c>
      <c r="K3431">
        <v>6334</v>
      </c>
      <c r="L3431">
        <v>3167</v>
      </c>
      <c r="M3431">
        <v>66508</v>
      </c>
      <c r="N3431">
        <v>3167</v>
      </c>
      <c r="O3431">
        <v>72842</v>
      </c>
    </row>
    <row r="3432" spans="1:15" x14ac:dyDescent="0.35">
      <c r="A3432">
        <v>3431</v>
      </c>
      <c r="B3432" s="2" t="s">
        <v>27</v>
      </c>
      <c r="C3432" s="2" t="s">
        <v>11</v>
      </c>
      <c r="D3432">
        <v>44</v>
      </c>
      <c r="E3432" s="2" t="s">
        <v>12</v>
      </c>
      <c r="F3432" s="2" t="s">
        <v>17</v>
      </c>
      <c r="G3432">
        <v>45350</v>
      </c>
      <c r="H3432" s="1">
        <v>45026</v>
      </c>
      <c r="I3432">
        <v>6</v>
      </c>
      <c r="J3432">
        <v>3</v>
      </c>
      <c r="K3432">
        <v>4535</v>
      </c>
      <c r="L3432">
        <v>2268</v>
      </c>
      <c r="M3432">
        <v>47617</v>
      </c>
      <c r="N3432">
        <v>2268</v>
      </c>
      <c r="O3432">
        <v>52153</v>
      </c>
    </row>
    <row r="3433" spans="1:15" x14ac:dyDescent="0.35">
      <c r="A3433">
        <v>3432</v>
      </c>
      <c r="B3433" s="2" t="s">
        <v>18</v>
      </c>
      <c r="C3433" s="2" t="s">
        <v>11</v>
      </c>
      <c r="D3433">
        <v>45</v>
      </c>
      <c r="E3433" s="2" t="s">
        <v>16</v>
      </c>
      <c r="F3433" s="2" t="s">
        <v>21</v>
      </c>
      <c r="G3433">
        <v>82232</v>
      </c>
      <c r="H3433" s="1">
        <v>45502</v>
      </c>
      <c r="I3433">
        <v>10</v>
      </c>
      <c r="J3433">
        <v>4</v>
      </c>
      <c r="K3433">
        <v>8223</v>
      </c>
      <c r="L3433">
        <v>4112</v>
      </c>
      <c r="M3433">
        <v>86343</v>
      </c>
      <c r="N3433">
        <v>4112</v>
      </c>
      <c r="O3433">
        <v>94567</v>
      </c>
    </row>
    <row r="3434" spans="1:15" x14ac:dyDescent="0.35">
      <c r="A3434">
        <v>3433</v>
      </c>
      <c r="B3434" s="2" t="s">
        <v>14</v>
      </c>
      <c r="C3434" s="2" t="s">
        <v>15</v>
      </c>
      <c r="D3434">
        <v>39</v>
      </c>
      <c r="E3434" s="2" t="s">
        <v>29</v>
      </c>
      <c r="F3434" s="2" t="s">
        <v>17</v>
      </c>
      <c r="G3434">
        <v>56119</v>
      </c>
      <c r="H3434" s="1">
        <v>45513</v>
      </c>
      <c r="I3434">
        <v>16</v>
      </c>
      <c r="J3434">
        <v>3</v>
      </c>
      <c r="K3434">
        <v>5612</v>
      </c>
      <c r="L3434">
        <v>2806</v>
      </c>
      <c r="M3434">
        <v>58925</v>
      </c>
      <c r="N3434">
        <v>2806</v>
      </c>
      <c r="O3434">
        <v>64537</v>
      </c>
    </row>
    <row r="3435" spans="1:15" x14ac:dyDescent="0.35">
      <c r="A3435">
        <v>3434</v>
      </c>
      <c r="B3435" s="2" t="s">
        <v>22</v>
      </c>
      <c r="C3435" s="2" t="s">
        <v>11</v>
      </c>
      <c r="D3435">
        <v>50</v>
      </c>
      <c r="E3435" s="2" t="s">
        <v>16</v>
      </c>
      <c r="F3435" s="2" t="s">
        <v>17</v>
      </c>
      <c r="G3435">
        <v>39366</v>
      </c>
      <c r="H3435" s="1">
        <v>45298</v>
      </c>
      <c r="I3435">
        <v>5</v>
      </c>
      <c r="J3435">
        <v>5</v>
      </c>
      <c r="K3435">
        <v>3937</v>
      </c>
      <c r="L3435">
        <v>1968</v>
      </c>
      <c r="M3435">
        <v>41335</v>
      </c>
      <c r="N3435">
        <v>0</v>
      </c>
      <c r="O3435">
        <v>43303</v>
      </c>
    </row>
    <row r="3436" spans="1:15" x14ac:dyDescent="0.35">
      <c r="A3436">
        <v>3435</v>
      </c>
      <c r="B3436" s="2" t="s">
        <v>23</v>
      </c>
      <c r="C3436" s="2" t="s">
        <v>11</v>
      </c>
      <c r="D3436">
        <v>29</v>
      </c>
      <c r="E3436" s="2" t="s">
        <v>28</v>
      </c>
      <c r="F3436" s="2" t="s">
        <v>13</v>
      </c>
      <c r="G3436">
        <v>82069</v>
      </c>
      <c r="H3436" s="1">
        <v>44715</v>
      </c>
      <c r="I3436">
        <v>19</v>
      </c>
      <c r="J3436">
        <v>2</v>
      </c>
      <c r="K3436">
        <v>8207</v>
      </c>
      <c r="L3436">
        <v>4103</v>
      </c>
      <c r="M3436">
        <v>86173</v>
      </c>
      <c r="N3436">
        <v>4103</v>
      </c>
      <c r="O3436">
        <v>94379</v>
      </c>
    </row>
    <row r="3437" spans="1:15" x14ac:dyDescent="0.35">
      <c r="A3437">
        <v>3436</v>
      </c>
      <c r="B3437" s="2" t="s">
        <v>20</v>
      </c>
      <c r="C3437" s="2" t="s">
        <v>15</v>
      </c>
      <c r="D3437">
        <v>29</v>
      </c>
      <c r="E3437" s="2" t="s">
        <v>16</v>
      </c>
      <c r="F3437" s="2" t="s">
        <v>21</v>
      </c>
      <c r="G3437">
        <v>51790</v>
      </c>
      <c r="H3437" s="1">
        <v>45122</v>
      </c>
      <c r="I3437">
        <v>16</v>
      </c>
      <c r="J3437">
        <v>1</v>
      </c>
      <c r="K3437">
        <v>5179</v>
      </c>
      <c r="L3437">
        <v>2590</v>
      </c>
      <c r="M3437">
        <v>54379</v>
      </c>
      <c r="N3437">
        <v>2590</v>
      </c>
      <c r="O3437">
        <v>59559</v>
      </c>
    </row>
    <row r="3438" spans="1:15" x14ac:dyDescent="0.35">
      <c r="A3438">
        <v>3437</v>
      </c>
      <c r="B3438" s="2" t="s">
        <v>27</v>
      </c>
      <c r="C3438" s="2" t="s">
        <v>15</v>
      </c>
      <c r="D3438">
        <v>34</v>
      </c>
      <c r="E3438" s="2" t="s">
        <v>16</v>
      </c>
      <c r="F3438" s="2" t="s">
        <v>17</v>
      </c>
      <c r="G3438">
        <v>90409</v>
      </c>
      <c r="H3438" s="1">
        <v>45451</v>
      </c>
      <c r="I3438">
        <v>13</v>
      </c>
      <c r="J3438">
        <v>2</v>
      </c>
      <c r="K3438">
        <v>9041</v>
      </c>
      <c r="L3438">
        <v>4520</v>
      </c>
      <c r="M3438">
        <v>94930</v>
      </c>
      <c r="N3438">
        <v>4520</v>
      </c>
      <c r="O3438">
        <v>103970</v>
      </c>
    </row>
    <row r="3439" spans="1:15" x14ac:dyDescent="0.35">
      <c r="A3439">
        <v>3438</v>
      </c>
      <c r="B3439" s="2" t="s">
        <v>31</v>
      </c>
      <c r="C3439" s="2" t="s">
        <v>11</v>
      </c>
      <c r="D3439">
        <v>21</v>
      </c>
      <c r="E3439" s="2" t="s">
        <v>16</v>
      </c>
      <c r="F3439" s="2" t="s">
        <v>13</v>
      </c>
      <c r="G3439">
        <v>62918</v>
      </c>
      <c r="H3439" s="1">
        <v>45070</v>
      </c>
      <c r="I3439">
        <v>20</v>
      </c>
      <c r="J3439">
        <v>5</v>
      </c>
      <c r="K3439">
        <v>6292</v>
      </c>
      <c r="L3439">
        <v>3146</v>
      </c>
      <c r="M3439">
        <v>66064</v>
      </c>
      <c r="N3439">
        <v>3146</v>
      </c>
      <c r="O3439">
        <v>72356</v>
      </c>
    </row>
    <row r="3440" spans="1:15" x14ac:dyDescent="0.35">
      <c r="A3440">
        <v>3439</v>
      </c>
      <c r="B3440" s="2" t="s">
        <v>26</v>
      </c>
      <c r="C3440" s="2" t="s">
        <v>15</v>
      </c>
      <c r="D3440">
        <v>46</v>
      </c>
      <c r="E3440" s="2" t="s">
        <v>24</v>
      </c>
      <c r="F3440" s="2" t="s">
        <v>21</v>
      </c>
      <c r="G3440">
        <v>79502</v>
      </c>
      <c r="H3440" s="1">
        <v>44680</v>
      </c>
      <c r="I3440">
        <v>20</v>
      </c>
      <c r="J3440">
        <v>5</v>
      </c>
      <c r="K3440">
        <v>7950</v>
      </c>
      <c r="L3440">
        <v>3975</v>
      </c>
      <c r="M3440">
        <v>83477</v>
      </c>
      <c r="N3440">
        <v>3975</v>
      </c>
      <c r="O3440">
        <v>91427</v>
      </c>
    </row>
    <row r="3441" spans="1:15" x14ac:dyDescent="0.35">
      <c r="A3441">
        <v>3440</v>
      </c>
      <c r="B3441" s="2" t="s">
        <v>26</v>
      </c>
      <c r="C3441" s="2" t="s">
        <v>11</v>
      </c>
      <c r="D3441">
        <v>28</v>
      </c>
      <c r="E3441" s="2" t="s">
        <v>24</v>
      </c>
      <c r="F3441" s="2" t="s">
        <v>17</v>
      </c>
      <c r="G3441">
        <v>60929</v>
      </c>
      <c r="H3441" s="1">
        <v>44899</v>
      </c>
      <c r="I3441">
        <v>9</v>
      </c>
      <c r="J3441">
        <v>3</v>
      </c>
      <c r="K3441">
        <v>6093</v>
      </c>
      <c r="L3441">
        <v>3046</v>
      </c>
      <c r="M3441">
        <v>63976</v>
      </c>
      <c r="N3441">
        <v>3046</v>
      </c>
      <c r="O3441">
        <v>70068</v>
      </c>
    </row>
    <row r="3442" spans="1:15" x14ac:dyDescent="0.35">
      <c r="A3442">
        <v>3441</v>
      </c>
      <c r="B3442" s="2" t="s">
        <v>14</v>
      </c>
      <c r="C3442" s="2" t="s">
        <v>15</v>
      </c>
      <c r="D3442">
        <v>39</v>
      </c>
      <c r="E3442" s="2" t="s">
        <v>24</v>
      </c>
      <c r="F3442" s="2" t="s">
        <v>25</v>
      </c>
      <c r="G3442">
        <v>74542</v>
      </c>
      <c r="H3442" s="1">
        <v>44573</v>
      </c>
      <c r="I3442">
        <v>8</v>
      </c>
      <c r="J3442">
        <v>1</v>
      </c>
      <c r="K3442">
        <v>7454</v>
      </c>
      <c r="L3442">
        <v>3727</v>
      </c>
      <c r="M3442">
        <v>78269</v>
      </c>
      <c r="N3442">
        <v>3727</v>
      </c>
      <c r="O3442">
        <v>85723</v>
      </c>
    </row>
    <row r="3443" spans="1:15" x14ac:dyDescent="0.35">
      <c r="A3443">
        <v>3442</v>
      </c>
      <c r="B3443" s="2" t="s">
        <v>22</v>
      </c>
      <c r="C3443" s="2" t="s">
        <v>11</v>
      </c>
      <c r="D3443">
        <v>28</v>
      </c>
      <c r="E3443" s="2" t="s">
        <v>12</v>
      </c>
      <c r="F3443" s="2" t="s">
        <v>21</v>
      </c>
      <c r="G3443">
        <v>61278</v>
      </c>
      <c r="H3443" s="1">
        <v>44912</v>
      </c>
      <c r="I3443">
        <v>19</v>
      </c>
      <c r="J3443">
        <v>1</v>
      </c>
      <c r="K3443">
        <v>6128</v>
      </c>
      <c r="L3443">
        <v>3064</v>
      </c>
      <c r="M3443">
        <v>64342</v>
      </c>
      <c r="N3443">
        <v>3064</v>
      </c>
      <c r="O3443">
        <v>70470</v>
      </c>
    </row>
    <row r="3444" spans="1:15" x14ac:dyDescent="0.35">
      <c r="A3444">
        <v>3443</v>
      </c>
      <c r="B3444" s="2" t="s">
        <v>20</v>
      </c>
      <c r="C3444" s="2" t="s">
        <v>15</v>
      </c>
      <c r="D3444">
        <v>38</v>
      </c>
      <c r="E3444" s="2" t="s">
        <v>29</v>
      </c>
      <c r="F3444" s="2" t="s">
        <v>21</v>
      </c>
      <c r="G3444">
        <v>29605</v>
      </c>
      <c r="H3444" s="1">
        <v>45061</v>
      </c>
      <c r="I3444">
        <v>18</v>
      </c>
      <c r="J3444">
        <v>2</v>
      </c>
      <c r="K3444">
        <v>2960</v>
      </c>
      <c r="L3444">
        <v>1480</v>
      </c>
      <c r="M3444">
        <v>31085</v>
      </c>
      <c r="N3444">
        <v>1480</v>
      </c>
      <c r="O3444">
        <v>34045</v>
      </c>
    </row>
    <row r="3445" spans="1:15" x14ac:dyDescent="0.35">
      <c r="A3445">
        <v>3444</v>
      </c>
      <c r="B3445" s="2" t="s">
        <v>14</v>
      </c>
      <c r="C3445" s="2" t="s">
        <v>15</v>
      </c>
      <c r="D3445">
        <v>42</v>
      </c>
      <c r="E3445" s="2" t="s">
        <v>24</v>
      </c>
      <c r="F3445" s="2" t="s">
        <v>21</v>
      </c>
      <c r="G3445">
        <v>72098</v>
      </c>
      <c r="H3445" s="1">
        <v>44688</v>
      </c>
      <c r="I3445">
        <v>9</v>
      </c>
      <c r="J3445">
        <v>3</v>
      </c>
      <c r="K3445">
        <v>7210</v>
      </c>
      <c r="L3445">
        <v>3605</v>
      </c>
      <c r="M3445">
        <v>75703</v>
      </c>
      <c r="N3445">
        <v>3605</v>
      </c>
      <c r="O3445">
        <v>82913</v>
      </c>
    </row>
    <row r="3446" spans="1:15" x14ac:dyDescent="0.35">
      <c r="A3446">
        <v>3445</v>
      </c>
      <c r="B3446" s="2" t="s">
        <v>18</v>
      </c>
      <c r="C3446" s="2" t="s">
        <v>15</v>
      </c>
      <c r="D3446">
        <v>36</v>
      </c>
      <c r="E3446" s="2" t="s">
        <v>28</v>
      </c>
      <c r="F3446" s="2" t="s">
        <v>19</v>
      </c>
      <c r="G3446">
        <v>80018</v>
      </c>
      <c r="H3446" s="1">
        <v>45475</v>
      </c>
      <c r="I3446">
        <v>15</v>
      </c>
      <c r="J3446">
        <v>5</v>
      </c>
      <c r="K3446">
        <v>8002</v>
      </c>
      <c r="L3446">
        <v>4001</v>
      </c>
      <c r="M3446">
        <v>84019</v>
      </c>
      <c r="N3446">
        <v>4001</v>
      </c>
      <c r="O3446">
        <v>92021</v>
      </c>
    </row>
    <row r="3447" spans="1:15" x14ac:dyDescent="0.35">
      <c r="A3447">
        <v>3446</v>
      </c>
      <c r="B3447" s="2" t="s">
        <v>31</v>
      </c>
      <c r="C3447" s="2" t="s">
        <v>15</v>
      </c>
      <c r="D3447">
        <v>54</v>
      </c>
      <c r="E3447" s="2" t="s">
        <v>29</v>
      </c>
      <c r="F3447" s="2" t="s">
        <v>17</v>
      </c>
      <c r="G3447">
        <v>29500</v>
      </c>
      <c r="H3447" s="1">
        <v>44753</v>
      </c>
      <c r="I3447">
        <v>10</v>
      </c>
      <c r="J3447">
        <v>1</v>
      </c>
      <c r="K3447">
        <v>2950</v>
      </c>
      <c r="L3447">
        <v>1475</v>
      </c>
      <c r="M3447">
        <v>30975</v>
      </c>
      <c r="N3447">
        <v>1475</v>
      </c>
      <c r="O3447">
        <v>33925</v>
      </c>
    </row>
    <row r="3448" spans="1:15" x14ac:dyDescent="0.35">
      <c r="A3448">
        <v>3447</v>
      </c>
      <c r="B3448" s="2" t="s">
        <v>23</v>
      </c>
      <c r="C3448" s="2" t="s">
        <v>11</v>
      </c>
      <c r="D3448">
        <v>42</v>
      </c>
      <c r="E3448" s="2" t="s">
        <v>12</v>
      </c>
      <c r="F3448" s="2" t="s">
        <v>13</v>
      </c>
      <c r="G3448">
        <v>90902</v>
      </c>
      <c r="H3448" s="1">
        <v>45407</v>
      </c>
      <c r="I3448">
        <v>2</v>
      </c>
      <c r="J3448">
        <v>4</v>
      </c>
      <c r="K3448">
        <v>9090</v>
      </c>
      <c r="L3448">
        <v>4545</v>
      </c>
      <c r="M3448">
        <v>95447</v>
      </c>
      <c r="N3448">
        <v>0</v>
      </c>
      <c r="O3448">
        <v>99992</v>
      </c>
    </row>
    <row r="3449" spans="1:15" x14ac:dyDescent="0.35">
      <c r="A3449">
        <v>3448</v>
      </c>
      <c r="B3449" s="2" t="s">
        <v>23</v>
      </c>
      <c r="C3449" s="2" t="s">
        <v>15</v>
      </c>
      <c r="D3449">
        <v>47</v>
      </c>
      <c r="E3449" s="2" t="s">
        <v>29</v>
      </c>
      <c r="F3449" s="2" t="s">
        <v>13</v>
      </c>
      <c r="G3449">
        <v>55953</v>
      </c>
      <c r="H3449" s="1">
        <v>44580</v>
      </c>
      <c r="I3449">
        <v>1</v>
      </c>
      <c r="J3449">
        <v>5</v>
      </c>
      <c r="K3449">
        <v>5595</v>
      </c>
      <c r="L3449">
        <v>2798</v>
      </c>
      <c r="M3449">
        <v>58750</v>
      </c>
      <c r="N3449">
        <v>0</v>
      </c>
      <c r="O3449">
        <v>61548</v>
      </c>
    </row>
    <row r="3450" spans="1:15" x14ac:dyDescent="0.35">
      <c r="A3450">
        <v>3449</v>
      </c>
      <c r="B3450" s="2" t="s">
        <v>27</v>
      </c>
      <c r="C3450" s="2" t="s">
        <v>11</v>
      </c>
      <c r="D3450">
        <v>35</v>
      </c>
      <c r="E3450" s="2" t="s">
        <v>12</v>
      </c>
      <c r="F3450" s="2" t="s">
        <v>21</v>
      </c>
      <c r="G3450">
        <v>47906</v>
      </c>
      <c r="H3450" s="1">
        <v>44670</v>
      </c>
      <c r="I3450">
        <v>2</v>
      </c>
      <c r="J3450">
        <v>3</v>
      </c>
      <c r="K3450">
        <v>4791</v>
      </c>
      <c r="L3450">
        <v>2395</v>
      </c>
      <c r="M3450">
        <v>50302</v>
      </c>
      <c r="N3450">
        <v>0</v>
      </c>
      <c r="O3450">
        <v>52697</v>
      </c>
    </row>
    <row r="3451" spans="1:15" x14ac:dyDescent="0.35">
      <c r="A3451">
        <v>3450</v>
      </c>
      <c r="B3451" s="2" t="s">
        <v>23</v>
      </c>
      <c r="C3451" s="2" t="s">
        <v>15</v>
      </c>
      <c r="D3451">
        <v>58</v>
      </c>
      <c r="E3451" s="2" t="s">
        <v>29</v>
      </c>
      <c r="F3451" s="2" t="s">
        <v>19</v>
      </c>
      <c r="G3451">
        <v>99882</v>
      </c>
      <c r="H3451" s="1">
        <v>45493</v>
      </c>
      <c r="I3451">
        <v>11</v>
      </c>
      <c r="J3451">
        <v>4</v>
      </c>
      <c r="K3451">
        <v>9988</v>
      </c>
      <c r="L3451">
        <v>4994</v>
      </c>
      <c r="M3451">
        <v>104876</v>
      </c>
      <c r="N3451">
        <v>4994</v>
      </c>
      <c r="O3451">
        <v>114864</v>
      </c>
    </row>
    <row r="3452" spans="1:15" x14ac:dyDescent="0.35">
      <c r="A3452">
        <v>3451</v>
      </c>
      <c r="B3452" s="2" t="s">
        <v>14</v>
      </c>
      <c r="C3452" s="2" t="s">
        <v>11</v>
      </c>
      <c r="D3452">
        <v>25</v>
      </c>
      <c r="E3452" s="2" t="s">
        <v>24</v>
      </c>
      <c r="F3452" s="2" t="s">
        <v>13</v>
      </c>
      <c r="G3452">
        <v>57659</v>
      </c>
      <c r="H3452" s="1">
        <v>44575</v>
      </c>
      <c r="I3452">
        <v>12</v>
      </c>
      <c r="J3452">
        <v>1</v>
      </c>
      <c r="K3452">
        <v>5766</v>
      </c>
      <c r="L3452">
        <v>2883</v>
      </c>
      <c r="M3452">
        <v>60542</v>
      </c>
      <c r="N3452">
        <v>2883</v>
      </c>
      <c r="O3452">
        <v>66308</v>
      </c>
    </row>
    <row r="3453" spans="1:15" x14ac:dyDescent="0.35">
      <c r="A3453">
        <v>3452</v>
      </c>
      <c r="B3453" s="2" t="s">
        <v>22</v>
      </c>
      <c r="C3453" s="2" t="s">
        <v>11</v>
      </c>
      <c r="D3453">
        <v>26</v>
      </c>
      <c r="E3453" s="2" t="s">
        <v>12</v>
      </c>
      <c r="F3453" s="2" t="s">
        <v>25</v>
      </c>
      <c r="G3453">
        <v>46325</v>
      </c>
      <c r="H3453" s="1">
        <v>45395</v>
      </c>
      <c r="I3453">
        <v>12</v>
      </c>
      <c r="J3453">
        <v>5</v>
      </c>
      <c r="K3453">
        <v>4632</v>
      </c>
      <c r="L3453">
        <v>2316</v>
      </c>
      <c r="M3453">
        <v>48641</v>
      </c>
      <c r="N3453">
        <v>2316</v>
      </c>
      <c r="O3453">
        <v>53273</v>
      </c>
    </row>
    <row r="3454" spans="1:15" x14ac:dyDescent="0.35">
      <c r="A3454">
        <v>3453</v>
      </c>
      <c r="B3454" s="2" t="s">
        <v>20</v>
      </c>
      <c r="C3454" s="2" t="s">
        <v>11</v>
      </c>
      <c r="D3454">
        <v>53</v>
      </c>
      <c r="E3454" s="2" t="s">
        <v>24</v>
      </c>
      <c r="F3454" s="2" t="s">
        <v>13</v>
      </c>
      <c r="G3454">
        <v>71845</v>
      </c>
      <c r="H3454" s="1">
        <v>44659</v>
      </c>
      <c r="I3454">
        <v>16</v>
      </c>
      <c r="J3454">
        <v>1</v>
      </c>
      <c r="K3454">
        <v>7184</v>
      </c>
      <c r="L3454">
        <v>3592</v>
      </c>
      <c r="M3454">
        <v>75437</v>
      </c>
      <c r="N3454">
        <v>3592</v>
      </c>
      <c r="O3454">
        <v>82621</v>
      </c>
    </row>
    <row r="3455" spans="1:15" x14ac:dyDescent="0.35">
      <c r="A3455">
        <v>3454</v>
      </c>
      <c r="B3455" s="2" t="s">
        <v>27</v>
      </c>
      <c r="C3455" s="2" t="s">
        <v>15</v>
      </c>
      <c r="D3455">
        <v>30</v>
      </c>
      <c r="E3455" s="2" t="s">
        <v>16</v>
      </c>
      <c r="F3455" s="2" t="s">
        <v>19</v>
      </c>
      <c r="G3455">
        <v>72609</v>
      </c>
      <c r="H3455" s="1">
        <v>45541</v>
      </c>
      <c r="I3455">
        <v>7</v>
      </c>
      <c r="J3455">
        <v>1</v>
      </c>
      <c r="K3455">
        <v>7261</v>
      </c>
      <c r="L3455">
        <v>3630</v>
      </c>
      <c r="M3455">
        <v>76240</v>
      </c>
      <c r="N3455">
        <v>3630</v>
      </c>
      <c r="O3455">
        <v>83500</v>
      </c>
    </row>
    <row r="3456" spans="1:15" x14ac:dyDescent="0.35">
      <c r="A3456">
        <v>3455</v>
      </c>
      <c r="B3456" s="2" t="s">
        <v>14</v>
      </c>
      <c r="C3456" s="2" t="s">
        <v>11</v>
      </c>
      <c r="D3456">
        <v>27</v>
      </c>
      <c r="E3456" s="2" t="s">
        <v>29</v>
      </c>
      <c r="F3456" s="2" t="s">
        <v>21</v>
      </c>
      <c r="G3456">
        <v>30860</v>
      </c>
      <c r="H3456" s="1">
        <v>45188</v>
      </c>
      <c r="I3456">
        <v>11</v>
      </c>
      <c r="J3456">
        <v>3</v>
      </c>
      <c r="K3456">
        <v>3086</v>
      </c>
      <c r="L3456">
        <v>1543</v>
      </c>
      <c r="M3456">
        <v>32403</v>
      </c>
      <c r="N3456">
        <v>1543</v>
      </c>
      <c r="O3456">
        <v>35489</v>
      </c>
    </row>
    <row r="3457" spans="1:15" x14ac:dyDescent="0.35">
      <c r="A3457">
        <v>3456</v>
      </c>
      <c r="B3457" s="2" t="s">
        <v>14</v>
      </c>
      <c r="C3457" s="2" t="s">
        <v>11</v>
      </c>
      <c r="D3457">
        <v>47</v>
      </c>
      <c r="E3457" s="2" t="s">
        <v>29</v>
      </c>
      <c r="F3457" s="2" t="s">
        <v>17</v>
      </c>
      <c r="G3457">
        <v>48839</v>
      </c>
      <c r="H3457" s="1">
        <v>44679</v>
      </c>
      <c r="I3457">
        <v>4</v>
      </c>
      <c r="J3457">
        <v>3</v>
      </c>
      <c r="K3457">
        <v>4884</v>
      </c>
      <c r="L3457">
        <v>2442</v>
      </c>
      <c r="M3457">
        <v>51281</v>
      </c>
      <c r="N3457">
        <v>0</v>
      </c>
      <c r="O3457">
        <v>53723</v>
      </c>
    </row>
    <row r="3458" spans="1:15" x14ac:dyDescent="0.35">
      <c r="A3458">
        <v>3457</v>
      </c>
      <c r="B3458" s="2" t="s">
        <v>14</v>
      </c>
      <c r="C3458" s="2" t="s">
        <v>11</v>
      </c>
      <c r="D3458">
        <v>46</v>
      </c>
      <c r="E3458" s="2" t="s">
        <v>29</v>
      </c>
      <c r="F3458" s="2" t="s">
        <v>19</v>
      </c>
      <c r="G3458">
        <v>21639</v>
      </c>
      <c r="H3458" s="1">
        <v>44945</v>
      </c>
      <c r="I3458">
        <v>13</v>
      </c>
      <c r="J3458">
        <v>4</v>
      </c>
      <c r="K3458">
        <v>2164</v>
      </c>
      <c r="L3458">
        <v>1082</v>
      </c>
      <c r="M3458">
        <v>22721</v>
      </c>
      <c r="N3458">
        <v>1082</v>
      </c>
      <c r="O3458">
        <v>24885</v>
      </c>
    </row>
    <row r="3459" spans="1:15" x14ac:dyDescent="0.35">
      <c r="A3459">
        <v>3458</v>
      </c>
      <c r="B3459" s="2" t="s">
        <v>30</v>
      </c>
      <c r="C3459" s="2" t="s">
        <v>15</v>
      </c>
      <c r="D3459">
        <v>31</v>
      </c>
      <c r="E3459" s="2" t="s">
        <v>16</v>
      </c>
      <c r="F3459" s="2" t="s">
        <v>21</v>
      </c>
      <c r="G3459">
        <v>78271</v>
      </c>
      <c r="H3459" s="1">
        <v>45467</v>
      </c>
      <c r="I3459">
        <v>9</v>
      </c>
      <c r="J3459">
        <v>2</v>
      </c>
      <c r="K3459">
        <v>7827</v>
      </c>
      <c r="L3459">
        <v>3914</v>
      </c>
      <c r="M3459">
        <v>82184</v>
      </c>
      <c r="N3459">
        <v>3914</v>
      </c>
      <c r="O3459">
        <v>90012</v>
      </c>
    </row>
    <row r="3460" spans="1:15" x14ac:dyDescent="0.35">
      <c r="A3460">
        <v>3459</v>
      </c>
      <c r="B3460" s="2" t="s">
        <v>31</v>
      </c>
      <c r="C3460" s="2" t="s">
        <v>15</v>
      </c>
      <c r="D3460">
        <v>31</v>
      </c>
      <c r="E3460" s="2" t="s">
        <v>12</v>
      </c>
      <c r="F3460" s="2" t="s">
        <v>19</v>
      </c>
      <c r="G3460">
        <v>85888</v>
      </c>
      <c r="H3460" s="1">
        <v>45287</v>
      </c>
      <c r="I3460">
        <v>11</v>
      </c>
      <c r="J3460">
        <v>4</v>
      </c>
      <c r="K3460">
        <v>8589</v>
      </c>
      <c r="L3460">
        <v>4294</v>
      </c>
      <c r="M3460">
        <v>90183</v>
      </c>
      <c r="N3460">
        <v>4294</v>
      </c>
      <c r="O3460">
        <v>98771</v>
      </c>
    </row>
    <row r="3461" spans="1:15" x14ac:dyDescent="0.35">
      <c r="A3461">
        <v>3460</v>
      </c>
      <c r="B3461" s="2" t="s">
        <v>26</v>
      </c>
      <c r="C3461" s="2" t="s">
        <v>15</v>
      </c>
      <c r="D3461">
        <v>52</v>
      </c>
      <c r="E3461" s="2" t="s">
        <v>28</v>
      </c>
      <c r="F3461" s="2" t="s">
        <v>13</v>
      </c>
      <c r="G3461">
        <v>70656</v>
      </c>
      <c r="H3461" s="1">
        <v>45541</v>
      </c>
      <c r="I3461">
        <v>10</v>
      </c>
      <c r="J3461">
        <v>5</v>
      </c>
      <c r="K3461">
        <v>7066</v>
      </c>
      <c r="L3461">
        <v>3533</v>
      </c>
      <c r="M3461">
        <v>74189</v>
      </c>
      <c r="N3461">
        <v>3533</v>
      </c>
      <c r="O3461">
        <v>81255</v>
      </c>
    </row>
    <row r="3462" spans="1:15" x14ac:dyDescent="0.35">
      <c r="A3462">
        <v>3461</v>
      </c>
      <c r="B3462" s="2" t="s">
        <v>10</v>
      </c>
      <c r="C3462" s="2" t="s">
        <v>15</v>
      </c>
      <c r="D3462">
        <v>43</v>
      </c>
      <c r="E3462" s="2" t="s">
        <v>24</v>
      </c>
      <c r="F3462" s="2" t="s">
        <v>13</v>
      </c>
      <c r="G3462">
        <v>51456</v>
      </c>
      <c r="H3462" s="1">
        <v>45065</v>
      </c>
      <c r="I3462">
        <v>8</v>
      </c>
      <c r="J3462">
        <v>4</v>
      </c>
      <c r="K3462">
        <v>5146</v>
      </c>
      <c r="L3462">
        <v>2573</v>
      </c>
      <c r="M3462">
        <v>54029</v>
      </c>
      <c r="N3462">
        <v>2573</v>
      </c>
      <c r="O3462">
        <v>59175</v>
      </c>
    </row>
    <row r="3463" spans="1:15" x14ac:dyDescent="0.35">
      <c r="A3463">
        <v>3462</v>
      </c>
      <c r="B3463" s="2" t="s">
        <v>23</v>
      </c>
      <c r="C3463" s="2" t="s">
        <v>11</v>
      </c>
      <c r="D3463">
        <v>42</v>
      </c>
      <c r="E3463" s="2" t="s">
        <v>29</v>
      </c>
      <c r="F3463" s="2" t="s">
        <v>17</v>
      </c>
      <c r="G3463">
        <v>75822</v>
      </c>
      <c r="H3463" s="1">
        <v>45314</v>
      </c>
      <c r="I3463">
        <v>18</v>
      </c>
      <c r="J3463">
        <v>2</v>
      </c>
      <c r="K3463">
        <v>7582</v>
      </c>
      <c r="L3463">
        <v>3791</v>
      </c>
      <c r="M3463">
        <v>79613</v>
      </c>
      <c r="N3463">
        <v>3791</v>
      </c>
      <c r="O3463">
        <v>87195</v>
      </c>
    </row>
    <row r="3464" spans="1:15" x14ac:dyDescent="0.35">
      <c r="A3464">
        <v>3463</v>
      </c>
      <c r="B3464" s="2" t="s">
        <v>23</v>
      </c>
      <c r="C3464" s="2" t="s">
        <v>11</v>
      </c>
      <c r="D3464">
        <v>50</v>
      </c>
      <c r="E3464" s="2" t="s">
        <v>29</v>
      </c>
      <c r="F3464" s="2" t="s">
        <v>13</v>
      </c>
      <c r="G3464">
        <v>52392</v>
      </c>
      <c r="H3464" s="1">
        <v>44892</v>
      </c>
      <c r="I3464">
        <v>6</v>
      </c>
      <c r="J3464">
        <v>2</v>
      </c>
      <c r="K3464">
        <v>5239</v>
      </c>
      <c r="L3464">
        <v>2620</v>
      </c>
      <c r="M3464">
        <v>55011</v>
      </c>
      <c r="N3464">
        <v>2620</v>
      </c>
      <c r="O3464">
        <v>60251</v>
      </c>
    </row>
    <row r="3465" spans="1:15" x14ac:dyDescent="0.35">
      <c r="A3465">
        <v>3464</v>
      </c>
      <c r="B3465" s="2" t="s">
        <v>14</v>
      </c>
      <c r="C3465" s="2" t="s">
        <v>15</v>
      </c>
      <c r="D3465">
        <v>25</v>
      </c>
      <c r="E3465" s="2" t="s">
        <v>16</v>
      </c>
      <c r="F3465" s="2" t="s">
        <v>19</v>
      </c>
      <c r="G3465">
        <v>30362</v>
      </c>
      <c r="H3465" s="1">
        <v>45062</v>
      </c>
      <c r="I3465">
        <v>3</v>
      </c>
      <c r="J3465">
        <v>5</v>
      </c>
      <c r="K3465">
        <v>3036</v>
      </c>
      <c r="L3465">
        <v>1518</v>
      </c>
      <c r="M3465">
        <v>31880</v>
      </c>
      <c r="N3465">
        <v>0</v>
      </c>
      <c r="O3465">
        <v>33398</v>
      </c>
    </row>
    <row r="3466" spans="1:15" x14ac:dyDescent="0.35">
      <c r="A3466">
        <v>3465</v>
      </c>
      <c r="B3466" s="2" t="s">
        <v>23</v>
      </c>
      <c r="C3466" s="2" t="s">
        <v>11</v>
      </c>
      <c r="D3466">
        <v>24</v>
      </c>
      <c r="E3466" s="2" t="s">
        <v>28</v>
      </c>
      <c r="F3466" s="2" t="s">
        <v>21</v>
      </c>
      <c r="G3466">
        <v>54435</v>
      </c>
      <c r="H3466" s="1">
        <v>44873</v>
      </c>
      <c r="I3466">
        <v>15</v>
      </c>
      <c r="J3466">
        <v>4</v>
      </c>
      <c r="K3466">
        <v>5444</v>
      </c>
      <c r="L3466">
        <v>2722</v>
      </c>
      <c r="M3466">
        <v>57157</v>
      </c>
      <c r="N3466">
        <v>2722</v>
      </c>
      <c r="O3466">
        <v>62601</v>
      </c>
    </row>
    <row r="3467" spans="1:15" x14ac:dyDescent="0.35">
      <c r="A3467">
        <v>3466</v>
      </c>
      <c r="B3467" s="2" t="s">
        <v>22</v>
      </c>
      <c r="C3467" s="2" t="s">
        <v>11</v>
      </c>
      <c r="D3467">
        <v>31</v>
      </c>
      <c r="E3467" s="2" t="s">
        <v>28</v>
      </c>
      <c r="F3467" s="2" t="s">
        <v>19</v>
      </c>
      <c r="G3467">
        <v>68783</v>
      </c>
      <c r="H3467" s="1">
        <v>44862</v>
      </c>
      <c r="I3467">
        <v>4</v>
      </c>
      <c r="J3467">
        <v>4</v>
      </c>
      <c r="K3467">
        <v>6878</v>
      </c>
      <c r="L3467">
        <v>3439</v>
      </c>
      <c r="M3467">
        <v>72222</v>
      </c>
      <c r="N3467">
        <v>0</v>
      </c>
      <c r="O3467">
        <v>75661</v>
      </c>
    </row>
    <row r="3468" spans="1:15" x14ac:dyDescent="0.35">
      <c r="A3468">
        <v>3467</v>
      </c>
      <c r="B3468" s="2" t="s">
        <v>18</v>
      </c>
      <c r="C3468" s="2" t="s">
        <v>15</v>
      </c>
      <c r="D3468">
        <v>26</v>
      </c>
      <c r="E3468" s="2" t="s">
        <v>29</v>
      </c>
      <c r="F3468" s="2" t="s">
        <v>13</v>
      </c>
      <c r="G3468">
        <v>75563</v>
      </c>
      <c r="H3468" s="1">
        <v>45095</v>
      </c>
      <c r="I3468">
        <v>9</v>
      </c>
      <c r="J3468">
        <v>2</v>
      </c>
      <c r="K3468">
        <v>7556</v>
      </c>
      <c r="L3468">
        <v>3778</v>
      </c>
      <c r="M3468">
        <v>79341</v>
      </c>
      <c r="N3468">
        <v>3778</v>
      </c>
      <c r="O3468">
        <v>86897</v>
      </c>
    </row>
    <row r="3469" spans="1:15" x14ac:dyDescent="0.35">
      <c r="A3469">
        <v>3468</v>
      </c>
      <c r="B3469" s="2" t="s">
        <v>10</v>
      </c>
      <c r="C3469" s="2" t="s">
        <v>15</v>
      </c>
      <c r="D3469">
        <v>25</v>
      </c>
      <c r="E3469" s="2" t="s">
        <v>16</v>
      </c>
      <c r="F3469" s="2" t="s">
        <v>17</v>
      </c>
      <c r="G3469">
        <v>41489</v>
      </c>
      <c r="H3469" s="1">
        <v>45285</v>
      </c>
      <c r="I3469">
        <v>5</v>
      </c>
      <c r="J3469">
        <v>1</v>
      </c>
      <c r="K3469">
        <v>4149</v>
      </c>
      <c r="L3469">
        <v>2074</v>
      </c>
      <c r="M3469">
        <v>43564</v>
      </c>
      <c r="N3469">
        <v>0</v>
      </c>
      <c r="O3469">
        <v>45638</v>
      </c>
    </row>
    <row r="3470" spans="1:15" x14ac:dyDescent="0.35">
      <c r="A3470">
        <v>3469</v>
      </c>
      <c r="B3470" s="2" t="s">
        <v>10</v>
      </c>
      <c r="C3470" s="2" t="s">
        <v>11</v>
      </c>
      <c r="D3470">
        <v>37</v>
      </c>
      <c r="E3470" s="2" t="s">
        <v>29</v>
      </c>
      <c r="F3470" s="2" t="s">
        <v>17</v>
      </c>
      <c r="G3470">
        <v>24063</v>
      </c>
      <c r="H3470" s="1">
        <v>45173</v>
      </c>
      <c r="I3470">
        <v>4</v>
      </c>
      <c r="J3470">
        <v>3</v>
      </c>
      <c r="K3470">
        <v>2406</v>
      </c>
      <c r="L3470">
        <v>1203</v>
      </c>
      <c r="M3470">
        <v>25266</v>
      </c>
      <c r="N3470">
        <v>0</v>
      </c>
      <c r="O3470">
        <v>26469</v>
      </c>
    </row>
    <row r="3471" spans="1:15" x14ac:dyDescent="0.35">
      <c r="A3471">
        <v>3470</v>
      </c>
      <c r="B3471" s="2" t="s">
        <v>18</v>
      </c>
      <c r="C3471" s="2" t="s">
        <v>11</v>
      </c>
      <c r="D3471">
        <v>50</v>
      </c>
      <c r="E3471" s="2" t="s">
        <v>16</v>
      </c>
      <c r="F3471" s="2" t="s">
        <v>21</v>
      </c>
      <c r="G3471">
        <v>70427</v>
      </c>
      <c r="H3471" s="1">
        <v>45554</v>
      </c>
      <c r="I3471">
        <v>2</v>
      </c>
      <c r="J3471">
        <v>5</v>
      </c>
      <c r="K3471">
        <v>7043</v>
      </c>
      <c r="L3471">
        <v>3521</v>
      </c>
      <c r="M3471">
        <v>73949</v>
      </c>
      <c r="N3471">
        <v>0</v>
      </c>
      <c r="O3471">
        <v>77470</v>
      </c>
    </row>
    <row r="3472" spans="1:15" x14ac:dyDescent="0.35">
      <c r="A3472">
        <v>3471</v>
      </c>
      <c r="B3472" s="2" t="s">
        <v>10</v>
      </c>
      <c r="C3472" s="2" t="s">
        <v>11</v>
      </c>
      <c r="D3472">
        <v>28</v>
      </c>
      <c r="E3472" s="2" t="s">
        <v>24</v>
      </c>
      <c r="F3472" s="2" t="s">
        <v>17</v>
      </c>
      <c r="G3472">
        <v>86510</v>
      </c>
      <c r="H3472" s="1">
        <v>45340</v>
      </c>
      <c r="I3472">
        <v>5</v>
      </c>
      <c r="J3472">
        <v>5</v>
      </c>
      <c r="K3472">
        <v>8651</v>
      </c>
      <c r="L3472">
        <v>4326</v>
      </c>
      <c r="M3472">
        <v>90835</v>
      </c>
      <c r="N3472">
        <v>0</v>
      </c>
      <c r="O3472">
        <v>95161</v>
      </c>
    </row>
    <row r="3473" spans="1:15" x14ac:dyDescent="0.35">
      <c r="A3473">
        <v>3472</v>
      </c>
      <c r="B3473" s="2" t="s">
        <v>22</v>
      </c>
      <c r="C3473" s="2" t="s">
        <v>15</v>
      </c>
      <c r="D3473">
        <v>42</v>
      </c>
      <c r="E3473" s="2" t="s">
        <v>29</v>
      </c>
      <c r="F3473" s="2" t="s">
        <v>25</v>
      </c>
      <c r="G3473">
        <v>76237</v>
      </c>
      <c r="H3473" s="1">
        <v>44928</v>
      </c>
      <c r="I3473">
        <v>5</v>
      </c>
      <c r="J3473">
        <v>1</v>
      </c>
      <c r="K3473">
        <v>7624</v>
      </c>
      <c r="L3473">
        <v>3812</v>
      </c>
      <c r="M3473">
        <v>80049</v>
      </c>
      <c r="N3473">
        <v>0</v>
      </c>
      <c r="O3473">
        <v>83861</v>
      </c>
    </row>
    <row r="3474" spans="1:15" x14ac:dyDescent="0.35">
      <c r="A3474">
        <v>3473</v>
      </c>
      <c r="B3474" s="2" t="s">
        <v>18</v>
      </c>
      <c r="C3474" s="2" t="s">
        <v>15</v>
      </c>
      <c r="D3474">
        <v>29</v>
      </c>
      <c r="E3474" s="2" t="s">
        <v>28</v>
      </c>
      <c r="F3474" s="2" t="s">
        <v>19</v>
      </c>
      <c r="G3474">
        <v>37975</v>
      </c>
      <c r="H3474" s="1">
        <v>45255</v>
      </c>
      <c r="I3474">
        <v>17</v>
      </c>
      <c r="J3474">
        <v>2</v>
      </c>
      <c r="K3474">
        <v>3798</v>
      </c>
      <c r="L3474">
        <v>1899</v>
      </c>
      <c r="M3474">
        <v>39874</v>
      </c>
      <c r="N3474">
        <v>1899</v>
      </c>
      <c r="O3474">
        <v>43672</v>
      </c>
    </row>
    <row r="3475" spans="1:15" x14ac:dyDescent="0.35">
      <c r="A3475">
        <v>3474</v>
      </c>
      <c r="B3475" s="2" t="s">
        <v>14</v>
      </c>
      <c r="C3475" s="2" t="s">
        <v>11</v>
      </c>
      <c r="D3475">
        <v>58</v>
      </c>
      <c r="E3475" s="2" t="s">
        <v>24</v>
      </c>
      <c r="F3475" s="2" t="s">
        <v>21</v>
      </c>
      <c r="G3475">
        <v>22786</v>
      </c>
      <c r="H3475" s="1">
        <v>44617</v>
      </c>
      <c r="I3475">
        <v>6</v>
      </c>
      <c r="J3475">
        <v>1</v>
      </c>
      <c r="K3475">
        <v>2279</v>
      </c>
      <c r="L3475">
        <v>1139</v>
      </c>
      <c r="M3475">
        <v>23926</v>
      </c>
      <c r="N3475">
        <v>1139</v>
      </c>
      <c r="O3475">
        <v>26204</v>
      </c>
    </row>
    <row r="3476" spans="1:15" x14ac:dyDescent="0.35">
      <c r="A3476">
        <v>3475</v>
      </c>
      <c r="B3476" s="2" t="s">
        <v>23</v>
      </c>
      <c r="C3476" s="2" t="s">
        <v>15</v>
      </c>
      <c r="D3476">
        <v>57</v>
      </c>
      <c r="E3476" s="2" t="s">
        <v>12</v>
      </c>
      <c r="F3476" s="2" t="s">
        <v>21</v>
      </c>
      <c r="G3476">
        <v>82725</v>
      </c>
      <c r="H3476" s="1">
        <v>44877</v>
      </c>
      <c r="I3476">
        <v>8</v>
      </c>
      <c r="J3476">
        <v>4</v>
      </c>
      <c r="K3476">
        <v>8272</v>
      </c>
      <c r="L3476">
        <v>4136</v>
      </c>
      <c r="M3476">
        <v>86861</v>
      </c>
      <c r="N3476">
        <v>4136</v>
      </c>
      <c r="O3476">
        <v>95133</v>
      </c>
    </row>
    <row r="3477" spans="1:15" x14ac:dyDescent="0.35">
      <c r="A3477">
        <v>3476</v>
      </c>
      <c r="B3477" s="2" t="s">
        <v>27</v>
      </c>
      <c r="C3477" s="2" t="s">
        <v>15</v>
      </c>
      <c r="D3477">
        <v>21</v>
      </c>
      <c r="E3477" s="2" t="s">
        <v>24</v>
      </c>
      <c r="F3477" s="2" t="s">
        <v>25</v>
      </c>
      <c r="G3477">
        <v>71316</v>
      </c>
      <c r="H3477" s="1">
        <v>45124</v>
      </c>
      <c r="I3477">
        <v>7</v>
      </c>
      <c r="J3477">
        <v>5</v>
      </c>
      <c r="K3477">
        <v>7132</v>
      </c>
      <c r="L3477">
        <v>3566</v>
      </c>
      <c r="M3477">
        <v>74882</v>
      </c>
      <c r="N3477">
        <v>3566</v>
      </c>
      <c r="O3477">
        <v>82014</v>
      </c>
    </row>
    <row r="3478" spans="1:15" x14ac:dyDescent="0.35">
      <c r="A3478">
        <v>3477</v>
      </c>
      <c r="B3478" s="2" t="s">
        <v>10</v>
      </c>
      <c r="C3478" s="2" t="s">
        <v>15</v>
      </c>
      <c r="D3478">
        <v>26</v>
      </c>
      <c r="E3478" s="2" t="s">
        <v>16</v>
      </c>
      <c r="F3478" s="2" t="s">
        <v>17</v>
      </c>
      <c r="G3478">
        <v>45506</v>
      </c>
      <c r="H3478" s="1">
        <v>45116</v>
      </c>
      <c r="I3478">
        <v>17</v>
      </c>
      <c r="J3478">
        <v>2</v>
      </c>
      <c r="K3478">
        <v>4551</v>
      </c>
      <c r="L3478">
        <v>2275</v>
      </c>
      <c r="M3478">
        <v>47782</v>
      </c>
      <c r="N3478">
        <v>2275</v>
      </c>
      <c r="O3478">
        <v>52332</v>
      </c>
    </row>
    <row r="3479" spans="1:15" x14ac:dyDescent="0.35">
      <c r="A3479">
        <v>3478</v>
      </c>
      <c r="B3479" s="2" t="s">
        <v>20</v>
      </c>
      <c r="C3479" s="2" t="s">
        <v>11</v>
      </c>
      <c r="D3479">
        <v>41</v>
      </c>
      <c r="E3479" s="2" t="s">
        <v>29</v>
      </c>
      <c r="F3479" s="2" t="s">
        <v>21</v>
      </c>
      <c r="G3479">
        <v>73966</v>
      </c>
      <c r="H3479" s="1">
        <v>45216</v>
      </c>
      <c r="I3479">
        <v>20</v>
      </c>
      <c r="J3479">
        <v>3</v>
      </c>
      <c r="K3479">
        <v>7397</v>
      </c>
      <c r="L3479">
        <v>3698</v>
      </c>
      <c r="M3479">
        <v>77665</v>
      </c>
      <c r="N3479">
        <v>3698</v>
      </c>
      <c r="O3479">
        <v>85061</v>
      </c>
    </row>
    <row r="3480" spans="1:15" x14ac:dyDescent="0.35">
      <c r="A3480">
        <v>3479</v>
      </c>
      <c r="B3480" s="2" t="s">
        <v>20</v>
      </c>
      <c r="C3480" s="2" t="s">
        <v>15</v>
      </c>
      <c r="D3480">
        <v>35</v>
      </c>
      <c r="E3480" s="2" t="s">
        <v>28</v>
      </c>
      <c r="F3480" s="2" t="s">
        <v>13</v>
      </c>
      <c r="G3480">
        <v>67962</v>
      </c>
      <c r="H3480" s="1">
        <v>44562</v>
      </c>
      <c r="I3480">
        <v>15</v>
      </c>
      <c r="J3480">
        <v>4</v>
      </c>
      <c r="K3480">
        <v>6796</v>
      </c>
      <c r="L3480">
        <v>3398</v>
      </c>
      <c r="M3480">
        <v>71360</v>
      </c>
      <c r="N3480">
        <v>3398</v>
      </c>
      <c r="O3480">
        <v>78156</v>
      </c>
    </row>
    <row r="3481" spans="1:15" x14ac:dyDescent="0.35">
      <c r="A3481">
        <v>3480</v>
      </c>
      <c r="B3481" s="2" t="s">
        <v>27</v>
      </c>
      <c r="C3481" s="2" t="s">
        <v>11</v>
      </c>
      <c r="D3481">
        <v>49</v>
      </c>
      <c r="E3481" s="2" t="s">
        <v>28</v>
      </c>
      <c r="F3481" s="2" t="s">
        <v>17</v>
      </c>
      <c r="G3481">
        <v>41785</v>
      </c>
      <c r="H3481" s="1">
        <v>44784</v>
      </c>
      <c r="I3481">
        <v>15</v>
      </c>
      <c r="J3481">
        <v>1</v>
      </c>
      <c r="K3481">
        <v>4178</v>
      </c>
      <c r="L3481">
        <v>2089</v>
      </c>
      <c r="M3481">
        <v>43874</v>
      </c>
      <c r="N3481">
        <v>2089</v>
      </c>
      <c r="O3481">
        <v>48052</v>
      </c>
    </row>
    <row r="3482" spans="1:15" x14ac:dyDescent="0.35">
      <c r="A3482">
        <v>3481</v>
      </c>
      <c r="B3482" s="2" t="s">
        <v>31</v>
      </c>
      <c r="C3482" s="2" t="s">
        <v>11</v>
      </c>
      <c r="D3482">
        <v>59</v>
      </c>
      <c r="E3482" s="2" t="s">
        <v>12</v>
      </c>
      <c r="F3482" s="2" t="s">
        <v>13</v>
      </c>
      <c r="G3482">
        <v>93215</v>
      </c>
      <c r="H3482" s="1">
        <v>44783</v>
      </c>
      <c r="I3482">
        <v>12</v>
      </c>
      <c r="J3482">
        <v>1</v>
      </c>
      <c r="K3482">
        <v>9322</v>
      </c>
      <c r="L3482">
        <v>4661</v>
      </c>
      <c r="M3482">
        <v>97876</v>
      </c>
      <c r="N3482">
        <v>4661</v>
      </c>
      <c r="O3482">
        <v>107198</v>
      </c>
    </row>
    <row r="3483" spans="1:15" x14ac:dyDescent="0.35">
      <c r="A3483">
        <v>3482</v>
      </c>
      <c r="B3483" s="2" t="s">
        <v>26</v>
      </c>
      <c r="C3483" s="2" t="s">
        <v>11</v>
      </c>
      <c r="D3483">
        <v>48</v>
      </c>
      <c r="E3483" s="2" t="s">
        <v>16</v>
      </c>
      <c r="F3483" s="2" t="s">
        <v>19</v>
      </c>
      <c r="G3483">
        <v>97509</v>
      </c>
      <c r="H3483" s="1">
        <v>44711</v>
      </c>
      <c r="I3483">
        <v>17</v>
      </c>
      <c r="J3483">
        <v>2</v>
      </c>
      <c r="K3483">
        <v>9751</v>
      </c>
      <c r="L3483">
        <v>4875</v>
      </c>
      <c r="M3483">
        <v>102385</v>
      </c>
      <c r="N3483">
        <v>4875</v>
      </c>
      <c r="O3483">
        <v>112135</v>
      </c>
    </row>
    <row r="3484" spans="1:15" x14ac:dyDescent="0.35">
      <c r="A3484">
        <v>3483</v>
      </c>
      <c r="B3484" s="2" t="s">
        <v>14</v>
      </c>
      <c r="C3484" s="2" t="s">
        <v>15</v>
      </c>
      <c r="D3484">
        <v>54</v>
      </c>
      <c r="E3484" s="2" t="s">
        <v>28</v>
      </c>
      <c r="F3484" s="2" t="s">
        <v>21</v>
      </c>
      <c r="G3484">
        <v>82525</v>
      </c>
      <c r="H3484" s="1">
        <v>45227</v>
      </c>
      <c r="I3484">
        <v>8</v>
      </c>
      <c r="J3484">
        <v>1</v>
      </c>
      <c r="K3484">
        <v>8252</v>
      </c>
      <c r="L3484">
        <v>4126</v>
      </c>
      <c r="M3484">
        <v>86651</v>
      </c>
      <c r="N3484">
        <v>4126</v>
      </c>
      <c r="O3484">
        <v>94903</v>
      </c>
    </row>
    <row r="3485" spans="1:15" x14ac:dyDescent="0.35">
      <c r="A3485">
        <v>3484</v>
      </c>
      <c r="B3485" s="2" t="s">
        <v>27</v>
      </c>
      <c r="C3485" s="2" t="s">
        <v>15</v>
      </c>
      <c r="D3485">
        <v>51</v>
      </c>
      <c r="E3485" s="2" t="s">
        <v>29</v>
      </c>
      <c r="F3485" s="2" t="s">
        <v>25</v>
      </c>
      <c r="G3485">
        <v>34086</v>
      </c>
      <c r="H3485" s="1">
        <v>44646</v>
      </c>
      <c r="I3485">
        <v>7</v>
      </c>
      <c r="J3485">
        <v>3</v>
      </c>
      <c r="K3485">
        <v>3409</v>
      </c>
      <c r="L3485">
        <v>1704</v>
      </c>
      <c r="M3485">
        <v>35791</v>
      </c>
      <c r="N3485">
        <v>1704</v>
      </c>
      <c r="O3485">
        <v>39199</v>
      </c>
    </row>
    <row r="3486" spans="1:15" x14ac:dyDescent="0.35">
      <c r="A3486">
        <v>3485</v>
      </c>
      <c r="B3486" s="2" t="s">
        <v>22</v>
      </c>
      <c r="C3486" s="2" t="s">
        <v>11</v>
      </c>
      <c r="D3486">
        <v>32</v>
      </c>
      <c r="E3486" s="2" t="s">
        <v>29</v>
      </c>
      <c r="F3486" s="2" t="s">
        <v>19</v>
      </c>
      <c r="G3486">
        <v>86750</v>
      </c>
      <c r="H3486" s="1">
        <v>45029</v>
      </c>
      <c r="I3486">
        <v>4</v>
      </c>
      <c r="J3486">
        <v>5</v>
      </c>
      <c r="K3486">
        <v>8675</v>
      </c>
      <c r="L3486">
        <v>4338</v>
      </c>
      <c r="M3486">
        <v>91087</v>
      </c>
      <c r="N3486">
        <v>0</v>
      </c>
      <c r="O3486">
        <v>95425</v>
      </c>
    </row>
    <row r="3487" spans="1:15" x14ac:dyDescent="0.35">
      <c r="A3487">
        <v>3486</v>
      </c>
      <c r="B3487" s="2" t="s">
        <v>31</v>
      </c>
      <c r="C3487" s="2" t="s">
        <v>15</v>
      </c>
      <c r="D3487">
        <v>49</v>
      </c>
      <c r="E3487" s="2" t="s">
        <v>12</v>
      </c>
      <c r="F3487" s="2" t="s">
        <v>13</v>
      </c>
      <c r="G3487">
        <v>34236</v>
      </c>
      <c r="H3487" s="1">
        <v>45515</v>
      </c>
      <c r="I3487">
        <v>5</v>
      </c>
      <c r="J3487">
        <v>4</v>
      </c>
      <c r="K3487">
        <v>3424</v>
      </c>
      <c r="L3487">
        <v>1712</v>
      </c>
      <c r="M3487">
        <v>35948</v>
      </c>
      <c r="N3487">
        <v>0</v>
      </c>
      <c r="O3487">
        <v>37660</v>
      </c>
    </row>
    <row r="3488" spans="1:15" x14ac:dyDescent="0.35">
      <c r="A3488">
        <v>3487</v>
      </c>
      <c r="B3488" s="2" t="s">
        <v>30</v>
      </c>
      <c r="C3488" s="2" t="s">
        <v>11</v>
      </c>
      <c r="D3488">
        <v>28</v>
      </c>
      <c r="E3488" s="2" t="s">
        <v>24</v>
      </c>
      <c r="F3488" s="2" t="s">
        <v>19</v>
      </c>
      <c r="G3488">
        <v>27600</v>
      </c>
      <c r="H3488" s="1">
        <v>45361</v>
      </c>
      <c r="I3488">
        <v>19</v>
      </c>
      <c r="J3488">
        <v>4</v>
      </c>
      <c r="K3488">
        <v>2760</v>
      </c>
      <c r="L3488">
        <v>1380</v>
      </c>
      <c r="M3488">
        <v>28980</v>
      </c>
      <c r="N3488">
        <v>1380</v>
      </c>
      <c r="O3488">
        <v>31740</v>
      </c>
    </row>
    <row r="3489" spans="1:15" x14ac:dyDescent="0.35">
      <c r="A3489">
        <v>3488</v>
      </c>
      <c r="B3489" s="2" t="s">
        <v>26</v>
      </c>
      <c r="C3489" s="2" t="s">
        <v>11</v>
      </c>
      <c r="D3489">
        <v>38</v>
      </c>
      <c r="E3489" s="2" t="s">
        <v>28</v>
      </c>
      <c r="F3489" s="2" t="s">
        <v>17</v>
      </c>
      <c r="G3489">
        <v>20216</v>
      </c>
      <c r="H3489" s="1">
        <v>45331</v>
      </c>
      <c r="I3489">
        <v>6</v>
      </c>
      <c r="J3489">
        <v>5</v>
      </c>
      <c r="K3489">
        <v>2022</v>
      </c>
      <c r="L3489">
        <v>1011</v>
      </c>
      <c r="M3489">
        <v>21227</v>
      </c>
      <c r="N3489">
        <v>1011</v>
      </c>
      <c r="O3489">
        <v>23249</v>
      </c>
    </row>
    <row r="3490" spans="1:15" x14ac:dyDescent="0.35">
      <c r="A3490">
        <v>3489</v>
      </c>
      <c r="B3490" s="2" t="s">
        <v>23</v>
      </c>
      <c r="C3490" s="2" t="s">
        <v>11</v>
      </c>
      <c r="D3490">
        <v>45</v>
      </c>
      <c r="E3490" s="2" t="s">
        <v>16</v>
      </c>
      <c r="F3490" s="2" t="s">
        <v>17</v>
      </c>
      <c r="G3490">
        <v>24160</v>
      </c>
      <c r="H3490" s="1">
        <v>44903</v>
      </c>
      <c r="I3490">
        <v>4</v>
      </c>
      <c r="J3490">
        <v>2</v>
      </c>
      <c r="K3490">
        <v>2416</v>
      </c>
      <c r="L3490">
        <v>1208</v>
      </c>
      <c r="M3490">
        <v>25368</v>
      </c>
      <c r="N3490">
        <v>0</v>
      </c>
      <c r="O3490">
        <v>26576</v>
      </c>
    </row>
    <row r="3491" spans="1:15" x14ac:dyDescent="0.35">
      <c r="A3491">
        <v>3490</v>
      </c>
      <c r="B3491" s="2" t="s">
        <v>14</v>
      </c>
      <c r="C3491" s="2" t="s">
        <v>15</v>
      </c>
      <c r="D3491">
        <v>47</v>
      </c>
      <c r="E3491" s="2" t="s">
        <v>28</v>
      </c>
      <c r="F3491" s="2" t="s">
        <v>25</v>
      </c>
      <c r="G3491">
        <v>40154</v>
      </c>
      <c r="H3491" s="1">
        <v>44701</v>
      </c>
      <c r="I3491">
        <v>2</v>
      </c>
      <c r="J3491">
        <v>2</v>
      </c>
      <c r="K3491">
        <v>4015</v>
      </c>
      <c r="L3491">
        <v>2008</v>
      </c>
      <c r="M3491">
        <v>42161</v>
      </c>
      <c r="N3491">
        <v>0</v>
      </c>
      <c r="O3491">
        <v>44169</v>
      </c>
    </row>
    <row r="3492" spans="1:15" x14ac:dyDescent="0.35">
      <c r="A3492">
        <v>3491</v>
      </c>
      <c r="B3492" s="2" t="s">
        <v>27</v>
      </c>
      <c r="C3492" s="2" t="s">
        <v>11</v>
      </c>
      <c r="D3492">
        <v>38</v>
      </c>
      <c r="E3492" s="2" t="s">
        <v>29</v>
      </c>
      <c r="F3492" s="2" t="s">
        <v>21</v>
      </c>
      <c r="G3492">
        <v>83238</v>
      </c>
      <c r="H3492" s="1">
        <v>45169</v>
      </c>
      <c r="I3492">
        <v>16</v>
      </c>
      <c r="J3492">
        <v>4</v>
      </c>
      <c r="K3492">
        <v>8324</v>
      </c>
      <c r="L3492">
        <v>4162</v>
      </c>
      <c r="M3492">
        <v>87400</v>
      </c>
      <c r="N3492">
        <v>4162</v>
      </c>
      <c r="O3492">
        <v>95724</v>
      </c>
    </row>
    <row r="3493" spans="1:15" x14ac:dyDescent="0.35">
      <c r="A3493">
        <v>3492</v>
      </c>
      <c r="B3493" s="2" t="s">
        <v>27</v>
      </c>
      <c r="C3493" s="2" t="s">
        <v>11</v>
      </c>
      <c r="D3493">
        <v>30</v>
      </c>
      <c r="E3493" s="2" t="s">
        <v>16</v>
      </c>
      <c r="F3493" s="2" t="s">
        <v>19</v>
      </c>
      <c r="G3493">
        <v>34919</v>
      </c>
      <c r="H3493" s="1">
        <v>45545</v>
      </c>
      <c r="I3493">
        <v>1</v>
      </c>
      <c r="J3493">
        <v>4</v>
      </c>
      <c r="K3493">
        <v>3492</v>
      </c>
      <c r="L3493">
        <v>1746</v>
      </c>
      <c r="M3493">
        <v>36665</v>
      </c>
      <c r="N3493">
        <v>0</v>
      </c>
      <c r="O3493">
        <v>38411</v>
      </c>
    </row>
    <row r="3494" spans="1:15" x14ac:dyDescent="0.35">
      <c r="A3494">
        <v>3493</v>
      </c>
      <c r="B3494" s="2" t="s">
        <v>14</v>
      </c>
      <c r="C3494" s="2" t="s">
        <v>15</v>
      </c>
      <c r="D3494">
        <v>37</v>
      </c>
      <c r="E3494" s="2" t="s">
        <v>29</v>
      </c>
      <c r="F3494" s="2" t="s">
        <v>21</v>
      </c>
      <c r="G3494">
        <v>66411</v>
      </c>
      <c r="H3494" s="1">
        <v>45428</v>
      </c>
      <c r="I3494">
        <v>17</v>
      </c>
      <c r="J3494">
        <v>2</v>
      </c>
      <c r="K3494">
        <v>6641</v>
      </c>
      <c r="L3494">
        <v>3321</v>
      </c>
      <c r="M3494">
        <v>69731</v>
      </c>
      <c r="N3494">
        <v>3321</v>
      </c>
      <c r="O3494">
        <v>76373</v>
      </c>
    </row>
    <row r="3495" spans="1:15" x14ac:dyDescent="0.35">
      <c r="A3495">
        <v>3494</v>
      </c>
      <c r="B3495" s="2" t="s">
        <v>22</v>
      </c>
      <c r="C3495" s="2" t="s">
        <v>15</v>
      </c>
      <c r="D3495">
        <v>25</v>
      </c>
      <c r="E3495" s="2" t="s">
        <v>28</v>
      </c>
      <c r="F3495" s="2" t="s">
        <v>21</v>
      </c>
      <c r="G3495">
        <v>25160</v>
      </c>
      <c r="H3495" s="1">
        <v>45504</v>
      </c>
      <c r="I3495">
        <v>15</v>
      </c>
      <c r="J3495">
        <v>1</v>
      </c>
      <c r="K3495">
        <v>2516</v>
      </c>
      <c r="L3495">
        <v>1258</v>
      </c>
      <c r="M3495">
        <v>26418</v>
      </c>
      <c r="N3495">
        <v>1258</v>
      </c>
      <c r="O3495">
        <v>28934</v>
      </c>
    </row>
    <row r="3496" spans="1:15" x14ac:dyDescent="0.35">
      <c r="A3496">
        <v>3495</v>
      </c>
      <c r="B3496" s="2" t="s">
        <v>23</v>
      </c>
      <c r="C3496" s="2" t="s">
        <v>11</v>
      </c>
      <c r="D3496">
        <v>41</v>
      </c>
      <c r="E3496" s="2" t="s">
        <v>29</v>
      </c>
      <c r="F3496" s="2" t="s">
        <v>13</v>
      </c>
      <c r="G3496">
        <v>41750</v>
      </c>
      <c r="H3496" s="1">
        <v>45066</v>
      </c>
      <c r="I3496">
        <v>16</v>
      </c>
      <c r="J3496">
        <v>5</v>
      </c>
      <c r="K3496">
        <v>4175</v>
      </c>
      <c r="L3496">
        <v>2088</v>
      </c>
      <c r="M3496">
        <v>43837</v>
      </c>
      <c r="N3496">
        <v>2088</v>
      </c>
      <c r="O3496">
        <v>48013</v>
      </c>
    </row>
    <row r="3497" spans="1:15" x14ac:dyDescent="0.35">
      <c r="A3497">
        <v>3496</v>
      </c>
      <c r="B3497" s="2" t="s">
        <v>14</v>
      </c>
      <c r="C3497" s="2" t="s">
        <v>11</v>
      </c>
      <c r="D3497">
        <v>33</v>
      </c>
      <c r="E3497" s="2" t="s">
        <v>16</v>
      </c>
      <c r="F3497" s="2" t="s">
        <v>19</v>
      </c>
      <c r="G3497">
        <v>74935</v>
      </c>
      <c r="H3497" s="1">
        <v>44756</v>
      </c>
      <c r="I3497">
        <v>13</v>
      </c>
      <c r="J3497">
        <v>5</v>
      </c>
      <c r="K3497">
        <v>7494</v>
      </c>
      <c r="L3497">
        <v>3747</v>
      </c>
      <c r="M3497">
        <v>78682</v>
      </c>
      <c r="N3497">
        <v>3747</v>
      </c>
      <c r="O3497">
        <v>86176</v>
      </c>
    </row>
    <row r="3498" spans="1:15" x14ac:dyDescent="0.35">
      <c r="A3498">
        <v>3497</v>
      </c>
      <c r="B3498" s="2" t="s">
        <v>26</v>
      </c>
      <c r="C3498" s="2" t="s">
        <v>15</v>
      </c>
      <c r="D3498">
        <v>48</v>
      </c>
      <c r="E3498" s="2" t="s">
        <v>12</v>
      </c>
      <c r="F3498" s="2" t="s">
        <v>25</v>
      </c>
      <c r="G3498">
        <v>98986</v>
      </c>
      <c r="H3498" s="1">
        <v>45060</v>
      </c>
      <c r="I3498">
        <v>6</v>
      </c>
      <c r="J3498">
        <v>1</v>
      </c>
      <c r="K3498">
        <v>9899</v>
      </c>
      <c r="L3498">
        <v>4949</v>
      </c>
      <c r="M3498">
        <v>103936</v>
      </c>
      <c r="N3498">
        <v>4949</v>
      </c>
      <c r="O3498">
        <v>113834</v>
      </c>
    </row>
    <row r="3499" spans="1:15" x14ac:dyDescent="0.35">
      <c r="A3499">
        <v>3498</v>
      </c>
      <c r="B3499" s="2" t="s">
        <v>27</v>
      </c>
      <c r="C3499" s="2" t="s">
        <v>15</v>
      </c>
      <c r="D3499">
        <v>46</v>
      </c>
      <c r="E3499" s="2" t="s">
        <v>29</v>
      </c>
      <c r="F3499" s="2" t="s">
        <v>17</v>
      </c>
      <c r="G3499">
        <v>28933</v>
      </c>
      <c r="H3499" s="1">
        <v>44724</v>
      </c>
      <c r="I3499">
        <v>14</v>
      </c>
      <c r="J3499">
        <v>5</v>
      </c>
      <c r="K3499">
        <v>2893</v>
      </c>
      <c r="L3499">
        <v>1447</v>
      </c>
      <c r="M3499">
        <v>30379</v>
      </c>
      <c r="N3499">
        <v>1447</v>
      </c>
      <c r="O3499">
        <v>33273</v>
      </c>
    </row>
    <row r="3500" spans="1:15" x14ac:dyDescent="0.35">
      <c r="A3500">
        <v>3499</v>
      </c>
      <c r="B3500" s="2" t="s">
        <v>23</v>
      </c>
      <c r="C3500" s="2" t="s">
        <v>15</v>
      </c>
      <c r="D3500">
        <v>52</v>
      </c>
      <c r="E3500" s="2" t="s">
        <v>16</v>
      </c>
      <c r="F3500" s="2" t="s">
        <v>19</v>
      </c>
      <c r="G3500">
        <v>67276</v>
      </c>
      <c r="H3500" s="1">
        <v>44569</v>
      </c>
      <c r="I3500">
        <v>6</v>
      </c>
      <c r="J3500">
        <v>3</v>
      </c>
      <c r="K3500">
        <v>6728</v>
      </c>
      <c r="L3500">
        <v>3364</v>
      </c>
      <c r="M3500">
        <v>70640</v>
      </c>
      <c r="N3500">
        <v>3364</v>
      </c>
      <c r="O3500">
        <v>77368</v>
      </c>
    </row>
    <row r="3501" spans="1:15" x14ac:dyDescent="0.35">
      <c r="A3501">
        <v>3500</v>
      </c>
      <c r="B3501" s="2" t="s">
        <v>14</v>
      </c>
      <c r="C3501" s="2" t="s">
        <v>11</v>
      </c>
      <c r="D3501">
        <v>51</v>
      </c>
      <c r="E3501" s="2" t="s">
        <v>12</v>
      </c>
      <c r="F3501" s="2" t="s">
        <v>19</v>
      </c>
      <c r="G3501">
        <v>30451</v>
      </c>
      <c r="H3501" s="1">
        <v>44761</v>
      </c>
      <c r="I3501">
        <v>9</v>
      </c>
      <c r="J3501">
        <v>2</v>
      </c>
      <c r="K3501">
        <v>3045</v>
      </c>
      <c r="L3501">
        <v>1523</v>
      </c>
      <c r="M3501">
        <v>31973</v>
      </c>
      <c r="N3501">
        <v>1523</v>
      </c>
      <c r="O3501">
        <v>35019</v>
      </c>
    </row>
    <row r="3502" spans="1:15" x14ac:dyDescent="0.35">
      <c r="A3502">
        <v>3501</v>
      </c>
      <c r="B3502" s="2" t="s">
        <v>26</v>
      </c>
      <c r="C3502" s="2" t="s">
        <v>15</v>
      </c>
      <c r="D3502">
        <v>54</v>
      </c>
      <c r="E3502" s="2" t="s">
        <v>16</v>
      </c>
      <c r="F3502" s="2" t="s">
        <v>19</v>
      </c>
      <c r="G3502">
        <v>60583</v>
      </c>
      <c r="H3502" s="1">
        <v>44706</v>
      </c>
      <c r="I3502">
        <v>9</v>
      </c>
      <c r="J3502">
        <v>5</v>
      </c>
      <c r="K3502">
        <v>6058</v>
      </c>
      <c r="L3502">
        <v>3029</v>
      </c>
      <c r="M3502">
        <v>63612</v>
      </c>
      <c r="N3502">
        <v>3029</v>
      </c>
      <c r="O3502">
        <v>69670</v>
      </c>
    </row>
    <row r="3503" spans="1:15" x14ac:dyDescent="0.35">
      <c r="A3503">
        <v>3502</v>
      </c>
      <c r="B3503" s="2" t="s">
        <v>20</v>
      </c>
      <c r="C3503" s="2" t="s">
        <v>15</v>
      </c>
      <c r="D3503">
        <v>34</v>
      </c>
      <c r="E3503" s="2" t="s">
        <v>28</v>
      </c>
      <c r="F3503" s="2" t="s">
        <v>17</v>
      </c>
      <c r="G3503">
        <v>55102</v>
      </c>
      <c r="H3503" s="1">
        <v>44965</v>
      </c>
      <c r="I3503">
        <v>6</v>
      </c>
      <c r="J3503">
        <v>4</v>
      </c>
      <c r="K3503">
        <v>5510</v>
      </c>
      <c r="L3503">
        <v>2755</v>
      </c>
      <c r="M3503">
        <v>57857</v>
      </c>
      <c r="N3503">
        <v>2755</v>
      </c>
      <c r="O3503">
        <v>63367</v>
      </c>
    </row>
    <row r="3504" spans="1:15" x14ac:dyDescent="0.35">
      <c r="A3504">
        <v>3503</v>
      </c>
      <c r="B3504" s="2" t="s">
        <v>18</v>
      </c>
      <c r="C3504" s="2" t="s">
        <v>11</v>
      </c>
      <c r="D3504">
        <v>28</v>
      </c>
      <c r="E3504" s="2" t="s">
        <v>24</v>
      </c>
      <c r="F3504" s="2" t="s">
        <v>13</v>
      </c>
      <c r="G3504">
        <v>74096</v>
      </c>
      <c r="H3504" s="1">
        <v>45415</v>
      </c>
      <c r="I3504">
        <v>6</v>
      </c>
      <c r="J3504">
        <v>5</v>
      </c>
      <c r="K3504">
        <v>7410</v>
      </c>
      <c r="L3504">
        <v>3705</v>
      </c>
      <c r="M3504">
        <v>77801</v>
      </c>
      <c r="N3504">
        <v>3705</v>
      </c>
      <c r="O3504">
        <v>85211</v>
      </c>
    </row>
    <row r="3505" spans="1:15" x14ac:dyDescent="0.35">
      <c r="A3505">
        <v>3504</v>
      </c>
      <c r="B3505" s="2" t="s">
        <v>22</v>
      </c>
      <c r="C3505" s="2" t="s">
        <v>11</v>
      </c>
      <c r="D3505">
        <v>57</v>
      </c>
      <c r="E3505" s="2" t="s">
        <v>16</v>
      </c>
      <c r="F3505" s="2" t="s">
        <v>21</v>
      </c>
      <c r="G3505">
        <v>38997</v>
      </c>
      <c r="H3505" s="1">
        <v>44916</v>
      </c>
      <c r="I3505">
        <v>12</v>
      </c>
      <c r="J3505">
        <v>4</v>
      </c>
      <c r="K3505">
        <v>3900</v>
      </c>
      <c r="L3505">
        <v>1950</v>
      </c>
      <c r="M3505">
        <v>40947</v>
      </c>
      <c r="N3505">
        <v>1950</v>
      </c>
      <c r="O3505">
        <v>44847</v>
      </c>
    </row>
    <row r="3506" spans="1:15" x14ac:dyDescent="0.35">
      <c r="A3506">
        <v>3505</v>
      </c>
      <c r="B3506" s="2" t="s">
        <v>18</v>
      </c>
      <c r="C3506" s="2" t="s">
        <v>11</v>
      </c>
      <c r="D3506">
        <v>38</v>
      </c>
      <c r="E3506" s="2" t="s">
        <v>29</v>
      </c>
      <c r="F3506" s="2" t="s">
        <v>21</v>
      </c>
      <c r="G3506">
        <v>52979</v>
      </c>
      <c r="H3506" s="1">
        <v>44632</v>
      </c>
      <c r="I3506">
        <v>2</v>
      </c>
      <c r="J3506">
        <v>3</v>
      </c>
      <c r="K3506">
        <v>5298</v>
      </c>
      <c r="L3506">
        <v>2649</v>
      </c>
      <c r="M3506">
        <v>55628</v>
      </c>
      <c r="N3506">
        <v>0</v>
      </c>
      <c r="O3506">
        <v>58277</v>
      </c>
    </row>
    <row r="3507" spans="1:15" x14ac:dyDescent="0.35">
      <c r="A3507">
        <v>3506</v>
      </c>
      <c r="B3507" s="2" t="s">
        <v>18</v>
      </c>
      <c r="C3507" s="2" t="s">
        <v>11</v>
      </c>
      <c r="D3507">
        <v>33</v>
      </c>
      <c r="E3507" s="2" t="s">
        <v>29</v>
      </c>
      <c r="F3507" s="2" t="s">
        <v>25</v>
      </c>
      <c r="G3507">
        <v>50888</v>
      </c>
      <c r="H3507" s="1">
        <v>44646</v>
      </c>
      <c r="I3507">
        <v>10</v>
      </c>
      <c r="J3507">
        <v>4</v>
      </c>
      <c r="K3507">
        <v>5089</v>
      </c>
      <c r="L3507">
        <v>2544</v>
      </c>
      <c r="M3507">
        <v>53433</v>
      </c>
      <c r="N3507">
        <v>2544</v>
      </c>
      <c r="O3507">
        <v>58521</v>
      </c>
    </row>
    <row r="3508" spans="1:15" x14ac:dyDescent="0.35">
      <c r="A3508">
        <v>3507</v>
      </c>
      <c r="B3508" s="2" t="s">
        <v>14</v>
      </c>
      <c r="C3508" s="2" t="s">
        <v>15</v>
      </c>
      <c r="D3508">
        <v>39</v>
      </c>
      <c r="E3508" s="2" t="s">
        <v>28</v>
      </c>
      <c r="F3508" s="2" t="s">
        <v>25</v>
      </c>
      <c r="G3508">
        <v>66255</v>
      </c>
      <c r="H3508" s="1">
        <v>45544</v>
      </c>
      <c r="I3508">
        <v>2</v>
      </c>
      <c r="J3508">
        <v>5</v>
      </c>
      <c r="K3508">
        <v>6626</v>
      </c>
      <c r="L3508">
        <v>3313</v>
      </c>
      <c r="M3508">
        <v>69568</v>
      </c>
      <c r="N3508">
        <v>0</v>
      </c>
      <c r="O3508">
        <v>72881</v>
      </c>
    </row>
    <row r="3509" spans="1:15" x14ac:dyDescent="0.35">
      <c r="A3509">
        <v>3508</v>
      </c>
      <c r="B3509" s="2" t="s">
        <v>27</v>
      </c>
      <c r="C3509" s="2" t="s">
        <v>11</v>
      </c>
      <c r="D3509">
        <v>25</v>
      </c>
      <c r="E3509" s="2" t="s">
        <v>24</v>
      </c>
      <c r="F3509" s="2" t="s">
        <v>19</v>
      </c>
      <c r="G3509">
        <v>64125</v>
      </c>
      <c r="H3509" s="1">
        <v>45459</v>
      </c>
      <c r="I3509">
        <v>3</v>
      </c>
      <c r="J3509">
        <v>2</v>
      </c>
      <c r="K3509">
        <v>6412</v>
      </c>
      <c r="L3509">
        <v>3206</v>
      </c>
      <c r="M3509">
        <v>67331</v>
      </c>
      <c r="N3509">
        <v>0</v>
      </c>
      <c r="O3509">
        <v>70537</v>
      </c>
    </row>
    <row r="3510" spans="1:15" x14ac:dyDescent="0.35">
      <c r="A3510">
        <v>3509</v>
      </c>
      <c r="B3510" s="2" t="s">
        <v>20</v>
      </c>
      <c r="C3510" s="2" t="s">
        <v>15</v>
      </c>
      <c r="D3510">
        <v>38</v>
      </c>
      <c r="E3510" s="2" t="s">
        <v>24</v>
      </c>
      <c r="F3510" s="2" t="s">
        <v>13</v>
      </c>
      <c r="G3510">
        <v>74437</v>
      </c>
      <c r="H3510" s="1">
        <v>45188</v>
      </c>
      <c r="I3510">
        <v>9</v>
      </c>
      <c r="J3510">
        <v>1</v>
      </c>
      <c r="K3510">
        <v>7444</v>
      </c>
      <c r="L3510">
        <v>3722</v>
      </c>
      <c r="M3510">
        <v>78159</v>
      </c>
      <c r="N3510">
        <v>3722</v>
      </c>
      <c r="O3510">
        <v>85603</v>
      </c>
    </row>
    <row r="3511" spans="1:15" x14ac:dyDescent="0.35">
      <c r="A3511">
        <v>3510</v>
      </c>
      <c r="B3511" s="2" t="s">
        <v>22</v>
      </c>
      <c r="C3511" s="2" t="s">
        <v>15</v>
      </c>
      <c r="D3511">
        <v>31</v>
      </c>
      <c r="E3511" s="2" t="s">
        <v>24</v>
      </c>
      <c r="F3511" s="2" t="s">
        <v>13</v>
      </c>
      <c r="G3511">
        <v>50631</v>
      </c>
      <c r="H3511" s="1">
        <v>45165</v>
      </c>
      <c r="I3511">
        <v>15</v>
      </c>
      <c r="J3511">
        <v>3</v>
      </c>
      <c r="K3511">
        <v>5063</v>
      </c>
      <c r="L3511">
        <v>2532</v>
      </c>
      <c r="M3511">
        <v>53162</v>
      </c>
      <c r="N3511">
        <v>2532</v>
      </c>
      <c r="O3511">
        <v>58226</v>
      </c>
    </row>
    <row r="3512" spans="1:15" x14ac:dyDescent="0.35">
      <c r="A3512">
        <v>3511</v>
      </c>
      <c r="B3512" s="2" t="s">
        <v>31</v>
      </c>
      <c r="C3512" s="2" t="s">
        <v>11</v>
      </c>
      <c r="D3512">
        <v>56</v>
      </c>
      <c r="E3512" s="2" t="s">
        <v>24</v>
      </c>
      <c r="F3512" s="2" t="s">
        <v>19</v>
      </c>
      <c r="G3512">
        <v>96352</v>
      </c>
      <c r="H3512" s="1">
        <v>44702</v>
      </c>
      <c r="I3512">
        <v>8</v>
      </c>
      <c r="J3512">
        <v>1</v>
      </c>
      <c r="K3512">
        <v>9635</v>
      </c>
      <c r="L3512">
        <v>4818</v>
      </c>
      <c r="M3512">
        <v>101169</v>
      </c>
      <c r="N3512">
        <v>4818</v>
      </c>
      <c r="O3512">
        <v>110805</v>
      </c>
    </row>
    <row r="3513" spans="1:15" x14ac:dyDescent="0.35">
      <c r="A3513">
        <v>3512</v>
      </c>
      <c r="B3513" s="2" t="s">
        <v>20</v>
      </c>
      <c r="C3513" s="2" t="s">
        <v>15</v>
      </c>
      <c r="D3513">
        <v>44</v>
      </c>
      <c r="E3513" s="2" t="s">
        <v>16</v>
      </c>
      <c r="F3513" s="2" t="s">
        <v>19</v>
      </c>
      <c r="G3513">
        <v>76162</v>
      </c>
      <c r="H3513" s="1">
        <v>44631</v>
      </c>
      <c r="I3513">
        <v>11</v>
      </c>
      <c r="J3513">
        <v>5</v>
      </c>
      <c r="K3513">
        <v>7616</v>
      </c>
      <c r="L3513">
        <v>3808</v>
      </c>
      <c r="M3513">
        <v>79970</v>
      </c>
      <c r="N3513">
        <v>3808</v>
      </c>
      <c r="O3513">
        <v>87586</v>
      </c>
    </row>
    <row r="3514" spans="1:15" x14ac:dyDescent="0.35">
      <c r="A3514">
        <v>3513</v>
      </c>
      <c r="B3514" s="2" t="s">
        <v>22</v>
      </c>
      <c r="C3514" s="2" t="s">
        <v>11</v>
      </c>
      <c r="D3514">
        <v>27</v>
      </c>
      <c r="E3514" s="2" t="s">
        <v>12</v>
      </c>
      <c r="F3514" s="2" t="s">
        <v>19</v>
      </c>
      <c r="G3514">
        <v>21477</v>
      </c>
      <c r="H3514" s="1">
        <v>45474</v>
      </c>
      <c r="I3514">
        <v>9</v>
      </c>
      <c r="J3514">
        <v>5</v>
      </c>
      <c r="K3514">
        <v>2148</v>
      </c>
      <c r="L3514">
        <v>1074</v>
      </c>
      <c r="M3514">
        <v>22551</v>
      </c>
      <c r="N3514">
        <v>1074</v>
      </c>
      <c r="O3514">
        <v>24699</v>
      </c>
    </row>
    <row r="3515" spans="1:15" x14ac:dyDescent="0.35">
      <c r="A3515">
        <v>3514</v>
      </c>
      <c r="B3515" s="2" t="s">
        <v>23</v>
      </c>
      <c r="C3515" s="2" t="s">
        <v>11</v>
      </c>
      <c r="D3515">
        <v>42</v>
      </c>
      <c r="E3515" s="2" t="s">
        <v>24</v>
      </c>
      <c r="F3515" s="2" t="s">
        <v>25</v>
      </c>
      <c r="G3515">
        <v>82739</v>
      </c>
      <c r="H3515" s="1">
        <v>45518</v>
      </c>
      <c r="I3515">
        <v>10</v>
      </c>
      <c r="J3515">
        <v>1</v>
      </c>
      <c r="K3515">
        <v>8274</v>
      </c>
      <c r="L3515">
        <v>4137</v>
      </c>
      <c r="M3515">
        <v>86876</v>
      </c>
      <c r="N3515">
        <v>4137</v>
      </c>
      <c r="O3515">
        <v>95150</v>
      </c>
    </row>
    <row r="3516" spans="1:15" x14ac:dyDescent="0.35">
      <c r="A3516">
        <v>3515</v>
      </c>
      <c r="B3516" s="2" t="s">
        <v>18</v>
      </c>
      <c r="C3516" s="2" t="s">
        <v>11</v>
      </c>
      <c r="D3516">
        <v>48</v>
      </c>
      <c r="E3516" s="2" t="s">
        <v>16</v>
      </c>
      <c r="F3516" s="2" t="s">
        <v>13</v>
      </c>
      <c r="G3516">
        <v>93214</v>
      </c>
      <c r="H3516" s="1">
        <v>44586</v>
      </c>
      <c r="I3516">
        <v>5</v>
      </c>
      <c r="J3516">
        <v>5</v>
      </c>
      <c r="K3516">
        <v>9321</v>
      </c>
      <c r="L3516">
        <v>4661</v>
      </c>
      <c r="M3516">
        <v>97874</v>
      </c>
      <c r="N3516">
        <v>0</v>
      </c>
      <c r="O3516">
        <v>102535</v>
      </c>
    </row>
    <row r="3517" spans="1:15" x14ac:dyDescent="0.35">
      <c r="A3517">
        <v>3516</v>
      </c>
      <c r="B3517" s="2" t="s">
        <v>14</v>
      </c>
      <c r="C3517" s="2" t="s">
        <v>11</v>
      </c>
      <c r="D3517">
        <v>59</v>
      </c>
      <c r="E3517" s="2" t="s">
        <v>12</v>
      </c>
      <c r="F3517" s="2" t="s">
        <v>17</v>
      </c>
      <c r="G3517">
        <v>57652</v>
      </c>
      <c r="H3517" s="1">
        <v>45150</v>
      </c>
      <c r="I3517">
        <v>11</v>
      </c>
      <c r="J3517">
        <v>3</v>
      </c>
      <c r="K3517">
        <v>5765</v>
      </c>
      <c r="L3517">
        <v>2883</v>
      </c>
      <c r="M3517">
        <v>60534</v>
      </c>
      <c r="N3517">
        <v>2883</v>
      </c>
      <c r="O3517">
        <v>66300</v>
      </c>
    </row>
    <row r="3518" spans="1:15" x14ac:dyDescent="0.35">
      <c r="A3518">
        <v>3517</v>
      </c>
      <c r="B3518" s="2" t="s">
        <v>27</v>
      </c>
      <c r="C3518" s="2" t="s">
        <v>11</v>
      </c>
      <c r="D3518">
        <v>40</v>
      </c>
      <c r="E3518" s="2" t="s">
        <v>12</v>
      </c>
      <c r="F3518" s="2" t="s">
        <v>25</v>
      </c>
      <c r="G3518">
        <v>34502</v>
      </c>
      <c r="H3518" s="1">
        <v>45052</v>
      </c>
      <c r="I3518">
        <v>4</v>
      </c>
      <c r="J3518">
        <v>1</v>
      </c>
      <c r="K3518">
        <v>3450</v>
      </c>
      <c r="L3518">
        <v>1725</v>
      </c>
      <c r="M3518">
        <v>36227</v>
      </c>
      <c r="N3518">
        <v>0</v>
      </c>
      <c r="O3518">
        <v>37952</v>
      </c>
    </row>
    <row r="3519" spans="1:15" x14ac:dyDescent="0.35">
      <c r="A3519">
        <v>3518</v>
      </c>
      <c r="B3519" s="2" t="s">
        <v>14</v>
      </c>
      <c r="C3519" s="2" t="s">
        <v>11</v>
      </c>
      <c r="D3519">
        <v>27</v>
      </c>
      <c r="E3519" s="2" t="s">
        <v>16</v>
      </c>
      <c r="F3519" s="2" t="s">
        <v>17</v>
      </c>
      <c r="G3519">
        <v>22057</v>
      </c>
      <c r="H3519" s="1">
        <v>45120</v>
      </c>
      <c r="I3519">
        <v>15</v>
      </c>
      <c r="J3519">
        <v>3</v>
      </c>
      <c r="K3519">
        <v>2206</v>
      </c>
      <c r="L3519">
        <v>1103</v>
      </c>
      <c r="M3519">
        <v>23160</v>
      </c>
      <c r="N3519">
        <v>1103</v>
      </c>
      <c r="O3519">
        <v>25366</v>
      </c>
    </row>
    <row r="3520" spans="1:15" x14ac:dyDescent="0.35">
      <c r="A3520">
        <v>3519</v>
      </c>
      <c r="B3520" s="2" t="s">
        <v>31</v>
      </c>
      <c r="C3520" s="2" t="s">
        <v>15</v>
      </c>
      <c r="D3520">
        <v>33</v>
      </c>
      <c r="E3520" s="2" t="s">
        <v>29</v>
      </c>
      <c r="F3520" s="2" t="s">
        <v>25</v>
      </c>
      <c r="G3520">
        <v>24663</v>
      </c>
      <c r="H3520" s="1">
        <v>44865</v>
      </c>
      <c r="I3520">
        <v>10</v>
      </c>
      <c r="J3520">
        <v>4</v>
      </c>
      <c r="K3520">
        <v>2466</v>
      </c>
      <c r="L3520">
        <v>1233</v>
      </c>
      <c r="M3520">
        <v>25896</v>
      </c>
      <c r="N3520">
        <v>1233</v>
      </c>
      <c r="O3520">
        <v>28362</v>
      </c>
    </row>
    <row r="3521" spans="1:15" x14ac:dyDescent="0.35">
      <c r="A3521">
        <v>3520</v>
      </c>
      <c r="B3521" s="2" t="s">
        <v>27</v>
      </c>
      <c r="C3521" s="2" t="s">
        <v>11</v>
      </c>
      <c r="D3521">
        <v>55</v>
      </c>
      <c r="E3521" s="2" t="s">
        <v>24</v>
      </c>
      <c r="F3521" s="2" t="s">
        <v>19</v>
      </c>
      <c r="G3521">
        <v>78694</v>
      </c>
      <c r="H3521" s="1">
        <v>45174</v>
      </c>
      <c r="I3521">
        <v>18</v>
      </c>
      <c r="J3521">
        <v>3</v>
      </c>
      <c r="K3521">
        <v>7869</v>
      </c>
      <c r="L3521">
        <v>3935</v>
      </c>
      <c r="M3521">
        <v>82628</v>
      </c>
      <c r="N3521">
        <v>3935</v>
      </c>
      <c r="O3521">
        <v>90498</v>
      </c>
    </row>
    <row r="3522" spans="1:15" x14ac:dyDescent="0.35">
      <c r="A3522">
        <v>3521</v>
      </c>
      <c r="B3522" s="2" t="s">
        <v>31</v>
      </c>
      <c r="C3522" s="2" t="s">
        <v>11</v>
      </c>
      <c r="D3522">
        <v>26</v>
      </c>
      <c r="E3522" s="2" t="s">
        <v>24</v>
      </c>
      <c r="F3522" s="2" t="s">
        <v>21</v>
      </c>
      <c r="G3522">
        <v>43908</v>
      </c>
      <c r="H3522" s="1">
        <v>45125</v>
      </c>
      <c r="I3522">
        <v>2</v>
      </c>
      <c r="J3522">
        <v>5</v>
      </c>
      <c r="K3522">
        <v>4391</v>
      </c>
      <c r="L3522">
        <v>2195</v>
      </c>
      <c r="M3522">
        <v>46104</v>
      </c>
      <c r="N3522">
        <v>0</v>
      </c>
      <c r="O3522">
        <v>48299</v>
      </c>
    </row>
    <row r="3523" spans="1:15" x14ac:dyDescent="0.35">
      <c r="A3523">
        <v>3522</v>
      </c>
      <c r="B3523" s="2" t="s">
        <v>26</v>
      </c>
      <c r="C3523" s="2" t="s">
        <v>15</v>
      </c>
      <c r="D3523">
        <v>42</v>
      </c>
      <c r="E3523" s="2" t="s">
        <v>24</v>
      </c>
      <c r="F3523" s="2" t="s">
        <v>21</v>
      </c>
      <c r="G3523">
        <v>69157</v>
      </c>
      <c r="H3523" s="1">
        <v>44635</v>
      </c>
      <c r="I3523">
        <v>14</v>
      </c>
      <c r="J3523">
        <v>2</v>
      </c>
      <c r="K3523">
        <v>6916</v>
      </c>
      <c r="L3523">
        <v>3458</v>
      </c>
      <c r="M3523">
        <v>72615</v>
      </c>
      <c r="N3523">
        <v>3458</v>
      </c>
      <c r="O3523">
        <v>79531</v>
      </c>
    </row>
    <row r="3524" spans="1:15" x14ac:dyDescent="0.35">
      <c r="A3524">
        <v>3523</v>
      </c>
      <c r="B3524" s="2" t="s">
        <v>30</v>
      </c>
      <c r="C3524" s="2" t="s">
        <v>11</v>
      </c>
      <c r="D3524">
        <v>55</v>
      </c>
      <c r="E3524" s="2" t="s">
        <v>28</v>
      </c>
      <c r="F3524" s="2" t="s">
        <v>19</v>
      </c>
      <c r="G3524">
        <v>88364</v>
      </c>
      <c r="H3524" s="1">
        <v>45386</v>
      </c>
      <c r="I3524">
        <v>11</v>
      </c>
      <c r="J3524">
        <v>1</v>
      </c>
      <c r="K3524">
        <v>8836</v>
      </c>
      <c r="L3524">
        <v>4418</v>
      </c>
      <c r="M3524">
        <v>92782</v>
      </c>
      <c r="N3524">
        <v>4418</v>
      </c>
      <c r="O3524">
        <v>101618</v>
      </c>
    </row>
    <row r="3525" spans="1:15" x14ac:dyDescent="0.35">
      <c r="A3525">
        <v>3524</v>
      </c>
      <c r="B3525" s="2" t="s">
        <v>10</v>
      </c>
      <c r="C3525" s="2" t="s">
        <v>11</v>
      </c>
      <c r="D3525">
        <v>53</v>
      </c>
      <c r="E3525" s="2" t="s">
        <v>12</v>
      </c>
      <c r="F3525" s="2" t="s">
        <v>19</v>
      </c>
      <c r="G3525">
        <v>92433</v>
      </c>
      <c r="H3525" s="1">
        <v>45273</v>
      </c>
      <c r="I3525">
        <v>11</v>
      </c>
      <c r="J3525">
        <v>3</v>
      </c>
      <c r="K3525">
        <v>9243</v>
      </c>
      <c r="L3525">
        <v>4622</v>
      </c>
      <c r="M3525">
        <v>97054</v>
      </c>
      <c r="N3525">
        <v>4622</v>
      </c>
      <c r="O3525">
        <v>106298</v>
      </c>
    </row>
    <row r="3526" spans="1:15" x14ac:dyDescent="0.35">
      <c r="A3526">
        <v>3525</v>
      </c>
      <c r="B3526" s="2" t="s">
        <v>30</v>
      </c>
      <c r="C3526" s="2" t="s">
        <v>15</v>
      </c>
      <c r="D3526">
        <v>21</v>
      </c>
      <c r="E3526" s="2" t="s">
        <v>29</v>
      </c>
      <c r="F3526" s="2" t="s">
        <v>13</v>
      </c>
      <c r="G3526">
        <v>26237</v>
      </c>
      <c r="H3526" s="1">
        <v>44613</v>
      </c>
      <c r="I3526">
        <v>6</v>
      </c>
      <c r="J3526">
        <v>2</v>
      </c>
      <c r="K3526">
        <v>2624</v>
      </c>
      <c r="L3526">
        <v>1312</v>
      </c>
      <c r="M3526">
        <v>27549</v>
      </c>
      <c r="N3526">
        <v>1312</v>
      </c>
      <c r="O3526">
        <v>30173</v>
      </c>
    </row>
    <row r="3527" spans="1:15" x14ac:dyDescent="0.35">
      <c r="A3527">
        <v>3526</v>
      </c>
      <c r="B3527" s="2" t="s">
        <v>26</v>
      </c>
      <c r="C3527" s="2" t="s">
        <v>11</v>
      </c>
      <c r="D3527">
        <v>39</v>
      </c>
      <c r="E3527" s="2" t="s">
        <v>16</v>
      </c>
      <c r="F3527" s="2" t="s">
        <v>17</v>
      </c>
      <c r="G3527">
        <v>99000</v>
      </c>
      <c r="H3527" s="1">
        <v>45127</v>
      </c>
      <c r="I3527">
        <v>1</v>
      </c>
      <c r="J3527">
        <v>3</v>
      </c>
      <c r="K3527">
        <v>9900</v>
      </c>
      <c r="L3527">
        <v>4950</v>
      </c>
      <c r="M3527">
        <v>103950</v>
      </c>
      <c r="N3527">
        <v>0</v>
      </c>
      <c r="O3527">
        <v>108900</v>
      </c>
    </row>
    <row r="3528" spans="1:15" x14ac:dyDescent="0.35">
      <c r="A3528">
        <v>3527</v>
      </c>
      <c r="B3528" s="2" t="s">
        <v>27</v>
      </c>
      <c r="C3528" s="2" t="s">
        <v>11</v>
      </c>
      <c r="D3528">
        <v>21</v>
      </c>
      <c r="E3528" s="2" t="s">
        <v>12</v>
      </c>
      <c r="F3528" s="2" t="s">
        <v>19</v>
      </c>
      <c r="G3528">
        <v>97556</v>
      </c>
      <c r="H3528" s="1">
        <v>45371</v>
      </c>
      <c r="I3528">
        <v>14</v>
      </c>
      <c r="J3528">
        <v>1</v>
      </c>
      <c r="K3528">
        <v>9756</v>
      </c>
      <c r="L3528">
        <v>4878</v>
      </c>
      <c r="M3528">
        <v>102434</v>
      </c>
      <c r="N3528">
        <v>4878</v>
      </c>
      <c r="O3528">
        <v>112190</v>
      </c>
    </row>
    <row r="3529" spans="1:15" x14ac:dyDescent="0.35">
      <c r="A3529">
        <v>3528</v>
      </c>
      <c r="B3529" s="2" t="s">
        <v>26</v>
      </c>
      <c r="C3529" s="2" t="s">
        <v>11</v>
      </c>
      <c r="D3529">
        <v>29</v>
      </c>
      <c r="E3529" s="2" t="s">
        <v>29</v>
      </c>
      <c r="F3529" s="2" t="s">
        <v>13</v>
      </c>
      <c r="G3529">
        <v>35363</v>
      </c>
      <c r="H3529" s="1">
        <v>45463</v>
      </c>
      <c r="I3529">
        <v>3</v>
      </c>
      <c r="J3529">
        <v>1</v>
      </c>
      <c r="K3529">
        <v>3536</v>
      </c>
      <c r="L3529">
        <v>1768</v>
      </c>
      <c r="M3529">
        <v>37131</v>
      </c>
      <c r="N3529">
        <v>0</v>
      </c>
      <c r="O3529">
        <v>38899</v>
      </c>
    </row>
    <row r="3530" spans="1:15" x14ac:dyDescent="0.35">
      <c r="A3530">
        <v>3529</v>
      </c>
      <c r="B3530" s="2" t="s">
        <v>20</v>
      </c>
      <c r="C3530" s="2" t="s">
        <v>11</v>
      </c>
      <c r="D3530">
        <v>24</v>
      </c>
      <c r="E3530" s="2" t="s">
        <v>29</v>
      </c>
      <c r="F3530" s="2" t="s">
        <v>21</v>
      </c>
      <c r="G3530">
        <v>47506</v>
      </c>
      <c r="H3530" s="1">
        <v>45262</v>
      </c>
      <c r="I3530">
        <v>9</v>
      </c>
      <c r="J3530">
        <v>5</v>
      </c>
      <c r="K3530">
        <v>4751</v>
      </c>
      <c r="L3530">
        <v>2375</v>
      </c>
      <c r="M3530">
        <v>49882</v>
      </c>
      <c r="N3530">
        <v>2375</v>
      </c>
      <c r="O3530">
        <v>54632</v>
      </c>
    </row>
    <row r="3531" spans="1:15" x14ac:dyDescent="0.35">
      <c r="A3531">
        <v>3530</v>
      </c>
      <c r="B3531" s="2" t="s">
        <v>20</v>
      </c>
      <c r="C3531" s="2" t="s">
        <v>11</v>
      </c>
      <c r="D3531">
        <v>35</v>
      </c>
      <c r="E3531" s="2" t="s">
        <v>29</v>
      </c>
      <c r="F3531" s="2" t="s">
        <v>13</v>
      </c>
      <c r="G3531">
        <v>32409</v>
      </c>
      <c r="H3531" s="1">
        <v>44600</v>
      </c>
      <c r="I3531">
        <v>1</v>
      </c>
      <c r="J3531">
        <v>2</v>
      </c>
      <c r="K3531">
        <v>3241</v>
      </c>
      <c r="L3531">
        <v>1620</v>
      </c>
      <c r="M3531">
        <v>34030</v>
      </c>
      <c r="N3531">
        <v>0</v>
      </c>
      <c r="O3531">
        <v>35650</v>
      </c>
    </row>
    <row r="3532" spans="1:15" x14ac:dyDescent="0.35">
      <c r="A3532">
        <v>3531</v>
      </c>
      <c r="B3532" s="2" t="s">
        <v>27</v>
      </c>
      <c r="C3532" s="2" t="s">
        <v>11</v>
      </c>
      <c r="D3532">
        <v>39</v>
      </c>
      <c r="E3532" s="2" t="s">
        <v>24</v>
      </c>
      <c r="F3532" s="2" t="s">
        <v>21</v>
      </c>
      <c r="G3532">
        <v>24731</v>
      </c>
      <c r="H3532" s="1">
        <v>44789</v>
      </c>
      <c r="I3532">
        <v>15</v>
      </c>
      <c r="J3532">
        <v>5</v>
      </c>
      <c r="K3532">
        <v>2473</v>
      </c>
      <c r="L3532">
        <v>1237</v>
      </c>
      <c r="M3532">
        <v>25967</v>
      </c>
      <c r="N3532">
        <v>1237</v>
      </c>
      <c r="O3532">
        <v>28441</v>
      </c>
    </row>
    <row r="3533" spans="1:15" x14ac:dyDescent="0.35">
      <c r="A3533">
        <v>3532</v>
      </c>
      <c r="B3533" s="2" t="s">
        <v>22</v>
      </c>
      <c r="C3533" s="2" t="s">
        <v>15</v>
      </c>
      <c r="D3533">
        <v>29</v>
      </c>
      <c r="E3533" s="2" t="s">
        <v>28</v>
      </c>
      <c r="F3533" s="2" t="s">
        <v>25</v>
      </c>
      <c r="G3533">
        <v>54041</v>
      </c>
      <c r="H3533" s="1">
        <v>45051</v>
      </c>
      <c r="I3533">
        <v>10</v>
      </c>
      <c r="J3533">
        <v>3</v>
      </c>
      <c r="K3533">
        <v>5404</v>
      </c>
      <c r="L3533">
        <v>2702</v>
      </c>
      <c r="M3533">
        <v>56743</v>
      </c>
      <c r="N3533">
        <v>2702</v>
      </c>
      <c r="O3533">
        <v>62147</v>
      </c>
    </row>
    <row r="3534" spans="1:15" x14ac:dyDescent="0.35">
      <c r="A3534">
        <v>3533</v>
      </c>
      <c r="B3534" s="2" t="s">
        <v>31</v>
      </c>
      <c r="C3534" s="2" t="s">
        <v>11</v>
      </c>
      <c r="D3534">
        <v>45</v>
      </c>
      <c r="E3534" s="2" t="s">
        <v>24</v>
      </c>
      <c r="F3534" s="2" t="s">
        <v>25</v>
      </c>
      <c r="G3534">
        <v>95435</v>
      </c>
      <c r="H3534" s="1">
        <v>44750</v>
      </c>
      <c r="I3534">
        <v>4</v>
      </c>
      <c r="J3534">
        <v>3</v>
      </c>
      <c r="K3534">
        <v>9544</v>
      </c>
      <c r="L3534">
        <v>4772</v>
      </c>
      <c r="M3534">
        <v>100207</v>
      </c>
      <c r="N3534">
        <v>0</v>
      </c>
      <c r="O3534">
        <v>104979</v>
      </c>
    </row>
    <row r="3535" spans="1:15" x14ac:dyDescent="0.35">
      <c r="A3535">
        <v>3534</v>
      </c>
      <c r="B3535" s="2" t="s">
        <v>22</v>
      </c>
      <c r="C3535" s="2" t="s">
        <v>15</v>
      </c>
      <c r="D3535">
        <v>51</v>
      </c>
      <c r="E3535" s="2" t="s">
        <v>12</v>
      </c>
      <c r="F3535" s="2" t="s">
        <v>13</v>
      </c>
      <c r="G3535">
        <v>26658</v>
      </c>
      <c r="H3535" s="1">
        <v>44926</v>
      </c>
      <c r="I3535">
        <v>1</v>
      </c>
      <c r="J3535">
        <v>1</v>
      </c>
      <c r="K3535">
        <v>2666</v>
      </c>
      <c r="L3535">
        <v>1333</v>
      </c>
      <c r="M3535">
        <v>27991</v>
      </c>
      <c r="N3535">
        <v>0</v>
      </c>
      <c r="O3535">
        <v>29324</v>
      </c>
    </row>
    <row r="3536" spans="1:15" x14ac:dyDescent="0.35">
      <c r="A3536">
        <v>3535</v>
      </c>
      <c r="B3536" s="2" t="s">
        <v>27</v>
      </c>
      <c r="C3536" s="2" t="s">
        <v>15</v>
      </c>
      <c r="D3536">
        <v>28</v>
      </c>
      <c r="E3536" s="2" t="s">
        <v>12</v>
      </c>
      <c r="F3536" s="2" t="s">
        <v>21</v>
      </c>
      <c r="G3536">
        <v>38770</v>
      </c>
      <c r="H3536" s="1">
        <v>45083</v>
      </c>
      <c r="I3536">
        <v>15</v>
      </c>
      <c r="J3536">
        <v>2</v>
      </c>
      <c r="K3536">
        <v>3877</v>
      </c>
      <c r="L3536">
        <v>1938</v>
      </c>
      <c r="M3536">
        <v>40709</v>
      </c>
      <c r="N3536">
        <v>1938</v>
      </c>
      <c r="O3536">
        <v>44585</v>
      </c>
    </row>
    <row r="3537" spans="1:15" x14ac:dyDescent="0.35">
      <c r="A3537">
        <v>3536</v>
      </c>
      <c r="B3537" s="2" t="s">
        <v>18</v>
      </c>
      <c r="C3537" s="2" t="s">
        <v>11</v>
      </c>
      <c r="D3537">
        <v>38</v>
      </c>
      <c r="E3537" s="2" t="s">
        <v>16</v>
      </c>
      <c r="F3537" s="2" t="s">
        <v>21</v>
      </c>
      <c r="G3537">
        <v>82579</v>
      </c>
      <c r="H3537" s="1">
        <v>45221</v>
      </c>
      <c r="I3537">
        <v>8</v>
      </c>
      <c r="J3537">
        <v>2</v>
      </c>
      <c r="K3537">
        <v>8258</v>
      </c>
      <c r="L3537">
        <v>4129</v>
      </c>
      <c r="M3537">
        <v>86708</v>
      </c>
      <c r="N3537">
        <v>4129</v>
      </c>
      <c r="O3537">
        <v>94966</v>
      </c>
    </row>
    <row r="3538" spans="1:15" x14ac:dyDescent="0.35">
      <c r="A3538">
        <v>3537</v>
      </c>
      <c r="B3538" s="2" t="s">
        <v>14</v>
      </c>
      <c r="C3538" s="2" t="s">
        <v>15</v>
      </c>
      <c r="D3538">
        <v>44</v>
      </c>
      <c r="E3538" s="2" t="s">
        <v>12</v>
      </c>
      <c r="F3538" s="2" t="s">
        <v>21</v>
      </c>
      <c r="G3538">
        <v>75547</v>
      </c>
      <c r="H3538" s="1">
        <v>44969</v>
      </c>
      <c r="I3538">
        <v>14</v>
      </c>
      <c r="J3538">
        <v>5</v>
      </c>
      <c r="K3538">
        <v>7555</v>
      </c>
      <c r="L3538">
        <v>3777</v>
      </c>
      <c r="M3538">
        <v>79325</v>
      </c>
      <c r="N3538">
        <v>3777</v>
      </c>
      <c r="O3538">
        <v>86879</v>
      </c>
    </row>
    <row r="3539" spans="1:15" x14ac:dyDescent="0.35">
      <c r="A3539">
        <v>3538</v>
      </c>
      <c r="B3539" s="2" t="s">
        <v>23</v>
      </c>
      <c r="C3539" s="2" t="s">
        <v>15</v>
      </c>
      <c r="D3539">
        <v>51</v>
      </c>
      <c r="E3539" s="2" t="s">
        <v>24</v>
      </c>
      <c r="F3539" s="2" t="s">
        <v>25</v>
      </c>
      <c r="G3539">
        <v>56928</v>
      </c>
      <c r="H3539" s="1">
        <v>45004</v>
      </c>
      <c r="I3539">
        <v>3</v>
      </c>
      <c r="J3539">
        <v>5</v>
      </c>
      <c r="K3539">
        <v>5693</v>
      </c>
      <c r="L3539">
        <v>2846</v>
      </c>
      <c r="M3539">
        <v>59775</v>
      </c>
      <c r="N3539">
        <v>0</v>
      </c>
      <c r="O3539">
        <v>62621</v>
      </c>
    </row>
    <row r="3540" spans="1:15" x14ac:dyDescent="0.35">
      <c r="A3540">
        <v>3539</v>
      </c>
      <c r="B3540" s="2" t="s">
        <v>27</v>
      </c>
      <c r="C3540" s="2" t="s">
        <v>15</v>
      </c>
      <c r="D3540">
        <v>56</v>
      </c>
      <c r="E3540" s="2" t="s">
        <v>16</v>
      </c>
      <c r="F3540" s="2" t="s">
        <v>19</v>
      </c>
      <c r="G3540">
        <v>57937</v>
      </c>
      <c r="H3540" s="1">
        <v>44713</v>
      </c>
      <c r="I3540">
        <v>11</v>
      </c>
      <c r="J3540">
        <v>4</v>
      </c>
      <c r="K3540">
        <v>5794</v>
      </c>
      <c r="L3540">
        <v>2897</v>
      </c>
      <c r="M3540">
        <v>60834</v>
      </c>
      <c r="N3540">
        <v>2897</v>
      </c>
      <c r="O3540">
        <v>66628</v>
      </c>
    </row>
    <row r="3541" spans="1:15" x14ac:dyDescent="0.35">
      <c r="A3541">
        <v>3540</v>
      </c>
      <c r="B3541" s="2" t="s">
        <v>14</v>
      </c>
      <c r="C3541" s="2" t="s">
        <v>11</v>
      </c>
      <c r="D3541">
        <v>21</v>
      </c>
      <c r="E3541" s="2" t="s">
        <v>12</v>
      </c>
      <c r="F3541" s="2" t="s">
        <v>17</v>
      </c>
      <c r="G3541">
        <v>55702</v>
      </c>
      <c r="H3541" s="1">
        <v>45096</v>
      </c>
      <c r="I3541">
        <v>7</v>
      </c>
      <c r="J3541">
        <v>5</v>
      </c>
      <c r="K3541">
        <v>5570</v>
      </c>
      <c r="L3541">
        <v>2785</v>
      </c>
      <c r="M3541">
        <v>58487</v>
      </c>
      <c r="N3541">
        <v>2785</v>
      </c>
      <c r="O3541">
        <v>64057</v>
      </c>
    </row>
    <row r="3542" spans="1:15" x14ac:dyDescent="0.35">
      <c r="A3542">
        <v>3541</v>
      </c>
      <c r="B3542" s="2" t="s">
        <v>22</v>
      </c>
      <c r="C3542" s="2" t="s">
        <v>11</v>
      </c>
      <c r="D3542">
        <v>25</v>
      </c>
      <c r="E3542" s="2" t="s">
        <v>24</v>
      </c>
      <c r="F3542" s="2" t="s">
        <v>17</v>
      </c>
      <c r="G3542">
        <v>84201</v>
      </c>
      <c r="H3542" s="1">
        <v>44857</v>
      </c>
      <c r="I3542">
        <v>15</v>
      </c>
      <c r="J3542">
        <v>5</v>
      </c>
      <c r="K3542">
        <v>8420</v>
      </c>
      <c r="L3542">
        <v>4210</v>
      </c>
      <c r="M3542">
        <v>88411</v>
      </c>
      <c r="N3542">
        <v>4210</v>
      </c>
      <c r="O3542">
        <v>96831</v>
      </c>
    </row>
    <row r="3543" spans="1:15" x14ac:dyDescent="0.35">
      <c r="A3543">
        <v>3542</v>
      </c>
      <c r="B3543" s="2" t="s">
        <v>22</v>
      </c>
      <c r="C3543" s="2" t="s">
        <v>15</v>
      </c>
      <c r="D3543">
        <v>49</v>
      </c>
      <c r="E3543" s="2" t="s">
        <v>16</v>
      </c>
      <c r="F3543" s="2" t="s">
        <v>21</v>
      </c>
      <c r="G3543">
        <v>72058</v>
      </c>
      <c r="H3543" s="1">
        <v>45528</v>
      </c>
      <c r="I3543">
        <v>10</v>
      </c>
      <c r="J3543">
        <v>3</v>
      </c>
      <c r="K3543">
        <v>7206</v>
      </c>
      <c r="L3543">
        <v>3603</v>
      </c>
      <c r="M3543">
        <v>75661</v>
      </c>
      <c r="N3543">
        <v>3603</v>
      </c>
      <c r="O3543">
        <v>82867</v>
      </c>
    </row>
    <row r="3544" spans="1:15" x14ac:dyDescent="0.35">
      <c r="A3544">
        <v>3543</v>
      </c>
      <c r="B3544" s="2" t="s">
        <v>22</v>
      </c>
      <c r="C3544" s="2" t="s">
        <v>11</v>
      </c>
      <c r="D3544">
        <v>45</v>
      </c>
      <c r="E3544" s="2" t="s">
        <v>28</v>
      </c>
      <c r="F3544" s="2" t="s">
        <v>19</v>
      </c>
      <c r="G3544">
        <v>43391</v>
      </c>
      <c r="H3544" s="1">
        <v>44970</v>
      </c>
      <c r="I3544">
        <v>19</v>
      </c>
      <c r="J3544">
        <v>4</v>
      </c>
      <c r="K3544">
        <v>4339</v>
      </c>
      <c r="L3544">
        <v>2170</v>
      </c>
      <c r="M3544">
        <v>45560</v>
      </c>
      <c r="N3544">
        <v>2170</v>
      </c>
      <c r="O3544">
        <v>49900</v>
      </c>
    </row>
    <row r="3545" spans="1:15" x14ac:dyDescent="0.35">
      <c r="A3545">
        <v>3544</v>
      </c>
      <c r="B3545" s="2" t="s">
        <v>31</v>
      </c>
      <c r="C3545" s="2" t="s">
        <v>11</v>
      </c>
      <c r="D3545">
        <v>43</v>
      </c>
      <c r="E3545" s="2" t="s">
        <v>24</v>
      </c>
      <c r="F3545" s="2" t="s">
        <v>25</v>
      </c>
      <c r="G3545">
        <v>34041</v>
      </c>
      <c r="H3545" s="1">
        <v>44981</v>
      </c>
      <c r="I3545">
        <v>18</v>
      </c>
      <c r="J3545">
        <v>4</v>
      </c>
      <c r="K3545">
        <v>3404</v>
      </c>
      <c r="L3545">
        <v>1702</v>
      </c>
      <c r="M3545">
        <v>35743</v>
      </c>
      <c r="N3545">
        <v>1702</v>
      </c>
      <c r="O3545">
        <v>39147</v>
      </c>
    </row>
    <row r="3546" spans="1:15" x14ac:dyDescent="0.35">
      <c r="A3546">
        <v>3545</v>
      </c>
      <c r="B3546" s="2" t="s">
        <v>30</v>
      </c>
      <c r="C3546" s="2" t="s">
        <v>15</v>
      </c>
      <c r="D3546">
        <v>51</v>
      </c>
      <c r="E3546" s="2" t="s">
        <v>28</v>
      </c>
      <c r="F3546" s="2" t="s">
        <v>21</v>
      </c>
      <c r="G3546">
        <v>44331</v>
      </c>
      <c r="H3546" s="1">
        <v>45541</v>
      </c>
      <c r="I3546">
        <v>9</v>
      </c>
      <c r="J3546">
        <v>5</v>
      </c>
      <c r="K3546">
        <v>4433</v>
      </c>
      <c r="L3546">
        <v>2217</v>
      </c>
      <c r="M3546">
        <v>46547</v>
      </c>
      <c r="N3546">
        <v>2217</v>
      </c>
      <c r="O3546">
        <v>50981</v>
      </c>
    </row>
    <row r="3547" spans="1:15" x14ac:dyDescent="0.35">
      <c r="A3547">
        <v>3546</v>
      </c>
      <c r="B3547" s="2" t="s">
        <v>30</v>
      </c>
      <c r="C3547" s="2" t="s">
        <v>15</v>
      </c>
      <c r="D3547">
        <v>56</v>
      </c>
      <c r="E3547" s="2" t="s">
        <v>24</v>
      </c>
      <c r="F3547" s="2" t="s">
        <v>25</v>
      </c>
      <c r="G3547">
        <v>96542</v>
      </c>
      <c r="H3547" s="1">
        <v>44736</v>
      </c>
      <c r="I3547">
        <v>12</v>
      </c>
      <c r="J3547">
        <v>3</v>
      </c>
      <c r="K3547">
        <v>9654</v>
      </c>
      <c r="L3547">
        <v>4827</v>
      </c>
      <c r="M3547">
        <v>101369</v>
      </c>
      <c r="N3547">
        <v>4827</v>
      </c>
      <c r="O3547">
        <v>111023</v>
      </c>
    </row>
    <row r="3548" spans="1:15" x14ac:dyDescent="0.35">
      <c r="A3548">
        <v>3547</v>
      </c>
      <c r="B3548" s="2" t="s">
        <v>31</v>
      </c>
      <c r="C3548" s="2" t="s">
        <v>11</v>
      </c>
      <c r="D3548">
        <v>42</v>
      </c>
      <c r="E3548" s="2" t="s">
        <v>24</v>
      </c>
      <c r="F3548" s="2" t="s">
        <v>19</v>
      </c>
      <c r="G3548">
        <v>28639</v>
      </c>
      <c r="H3548" s="1">
        <v>45415</v>
      </c>
      <c r="I3548">
        <v>7</v>
      </c>
      <c r="J3548">
        <v>2</v>
      </c>
      <c r="K3548">
        <v>2864</v>
      </c>
      <c r="L3548">
        <v>1432</v>
      </c>
      <c r="M3548">
        <v>30071</v>
      </c>
      <c r="N3548">
        <v>1432</v>
      </c>
      <c r="O3548">
        <v>32935</v>
      </c>
    </row>
    <row r="3549" spans="1:15" x14ac:dyDescent="0.35">
      <c r="A3549">
        <v>3548</v>
      </c>
      <c r="B3549" s="2" t="s">
        <v>20</v>
      </c>
      <c r="C3549" s="2" t="s">
        <v>11</v>
      </c>
      <c r="D3549">
        <v>42</v>
      </c>
      <c r="E3549" s="2" t="s">
        <v>12</v>
      </c>
      <c r="F3549" s="2" t="s">
        <v>19</v>
      </c>
      <c r="G3549">
        <v>26049</v>
      </c>
      <c r="H3549" s="1">
        <v>45289</v>
      </c>
      <c r="I3549">
        <v>19</v>
      </c>
      <c r="J3549">
        <v>1</v>
      </c>
      <c r="K3549">
        <v>2605</v>
      </c>
      <c r="L3549">
        <v>1302</v>
      </c>
      <c r="M3549">
        <v>27352</v>
      </c>
      <c r="N3549">
        <v>1302</v>
      </c>
      <c r="O3549">
        <v>29956</v>
      </c>
    </row>
    <row r="3550" spans="1:15" x14ac:dyDescent="0.35">
      <c r="A3550">
        <v>3549</v>
      </c>
      <c r="B3550" s="2" t="s">
        <v>14</v>
      </c>
      <c r="C3550" s="2" t="s">
        <v>15</v>
      </c>
      <c r="D3550">
        <v>41</v>
      </c>
      <c r="E3550" s="2" t="s">
        <v>16</v>
      </c>
      <c r="F3550" s="2" t="s">
        <v>21</v>
      </c>
      <c r="G3550">
        <v>91868</v>
      </c>
      <c r="H3550" s="1">
        <v>44817</v>
      </c>
      <c r="I3550">
        <v>12</v>
      </c>
      <c r="J3550">
        <v>4</v>
      </c>
      <c r="K3550">
        <v>9187</v>
      </c>
      <c r="L3550">
        <v>4593</v>
      </c>
      <c r="M3550">
        <v>96462</v>
      </c>
      <c r="N3550">
        <v>4593</v>
      </c>
      <c r="O3550">
        <v>105648</v>
      </c>
    </row>
    <row r="3551" spans="1:15" x14ac:dyDescent="0.35">
      <c r="A3551">
        <v>3550</v>
      </c>
      <c r="B3551" s="2" t="s">
        <v>30</v>
      </c>
      <c r="C3551" s="2" t="s">
        <v>15</v>
      </c>
      <c r="D3551">
        <v>39</v>
      </c>
      <c r="E3551" s="2" t="s">
        <v>16</v>
      </c>
      <c r="F3551" s="2" t="s">
        <v>21</v>
      </c>
      <c r="G3551">
        <v>36638</v>
      </c>
      <c r="H3551" s="1">
        <v>44643</v>
      </c>
      <c r="I3551">
        <v>18</v>
      </c>
      <c r="J3551">
        <v>1</v>
      </c>
      <c r="K3551">
        <v>3664</v>
      </c>
      <c r="L3551">
        <v>1832</v>
      </c>
      <c r="M3551">
        <v>38470</v>
      </c>
      <c r="N3551">
        <v>1832</v>
      </c>
      <c r="O3551">
        <v>42134</v>
      </c>
    </row>
    <row r="3552" spans="1:15" x14ac:dyDescent="0.35">
      <c r="A3552">
        <v>3551</v>
      </c>
      <c r="B3552" s="2" t="s">
        <v>20</v>
      </c>
      <c r="C3552" s="2" t="s">
        <v>11</v>
      </c>
      <c r="D3552">
        <v>25</v>
      </c>
      <c r="E3552" s="2" t="s">
        <v>24</v>
      </c>
      <c r="F3552" s="2" t="s">
        <v>21</v>
      </c>
      <c r="G3552">
        <v>54980</v>
      </c>
      <c r="H3552" s="1">
        <v>44753</v>
      </c>
      <c r="I3552">
        <v>13</v>
      </c>
      <c r="J3552">
        <v>3</v>
      </c>
      <c r="K3552">
        <v>5498</v>
      </c>
      <c r="L3552">
        <v>2749</v>
      </c>
      <c r="M3552">
        <v>57729</v>
      </c>
      <c r="N3552">
        <v>2749</v>
      </c>
      <c r="O3552">
        <v>63227</v>
      </c>
    </row>
    <row r="3553" spans="1:15" x14ac:dyDescent="0.35">
      <c r="A3553">
        <v>3552</v>
      </c>
      <c r="B3553" s="2" t="s">
        <v>27</v>
      </c>
      <c r="C3553" s="2" t="s">
        <v>11</v>
      </c>
      <c r="D3553">
        <v>34</v>
      </c>
      <c r="E3553" s="2" t="s">
        <v>28</v>
      </c>
      <c r="F3553" s="2" t="s">
        <v>21</v>
      </c>
      <c r="G3553">
        <v>60118</v>
      </c>
      <c r="H3553" s="1">
        <v>44845</v>
      </c>
      <c r="I3553">
        <v>8</v>
      </c>
      <c r="J3553">
        <v>4</v>
      </c>
      <c r="K3553">
        <v>6012</v>
      </c>
      <c r="L3553">
        <v>3006</v>
      </c>
      <c r="M3553">
        <v>63124</v>
      </c>
      <c r="N3553">
        <v>3006</v>
      </c>
      <c r="O3553">
        <v>69136</v>
      </c>
    </row>
    <row r="3554" spans="1:15" x14ac:dyDescent="0.35">
      <c r="A3554">
        <v>3553</v>
      </c>
      <c r="B3554" s="2" t="s">
        <v>31</v>
      </c>
      <c r="C3554" s="2" t="s">
        <v>11</v>
      </c>
      <c r="D3554">
        <v>28</v>
      </c>
      <c r="E3554" s="2" t="s">
        <v>12</v>
      </c>
      <c r="F3554" s="2" t="s">
        <v>19</v>
      </c>
      <c r="G3554">
        <v>93674</v>
      </c>
      <c r="H3554" s="1">
        <v>45324</v>
      </c>
      <c r="I3554">
        <v>9</v>
      </c>
      <c r="J3554">
        <v>2</v>
      </c>
      <c r="K3554">
        <v>9367</v>
      </c>
      <c r="L3554">
        <v>4684</v>
      </c>
      <c r="M3554">
        <v>98357</v>
      </c>
      <c r="N3554">
        <v>4684</v>
      </c>
      <c r="O3554">
        <v>107725</v>
      </c>
    </row>
    <row r="3555" spans="1:15" x14ac:dyDescent="0.35">
      <c r="A3555">
        <v>3554</v>
      </c>
      <c r="B3555" s="2" t="s">
        <v>23</v>
      </c>
      <c r="C3555" s="2" t="s">
        <v>11</v>
      </c>
      <c r="D3555">
        <v>34</v>
      </c>
      <c r="E3555" s="2" t="s">
        <v>28</v>
      </c>
      <c r="F3555" s="2" t="s">
        <v>17</v>
      </c>
      <c r="G3555">
        <v>75661</v>
      </c>
      <c r="H3555" s="1">
        <v>45216</v>
      </c>
      <c r="I3555">
        <v>17</v>
      </c>
      <c r="J3555">
        <v>1</v>
      </c>
      <c r="K3555">
        <v>7566</v>
      </c>
      <c r="L3555">
        <v>3783</v>
      </c>
      <c r="M3555">
        <v>79444</v>
      </c>
      <c r="N3555">
        <v>3783</v>
      </c>
      <c r="O3555">
        <v>87010</v>
      </c>
    </row>
    <row r="3556" spans="1:15" x14ac:dyDescent="0.35">
      <c r="A3556">
        <v>3555</v>
      </c>
      <c r="B3556" s="2" t="s">
        <v>23</v>
      </c>
      <c r="C3556" s="2" t="s">
        <v>11</v>
      </c>
      <c r="D3556">
        <v>58</v>
      </c>
      <c r="E3556" s="2" t="s">
        <v>28</v>
      </c>
      <c r="F3556" s="2" t="s">
        <v>17</v>
      </c>
      <c r="G3556">
        <v>31160</v>
      </c>
      <c r="H3556" s="1">
        <v>45012</v>
      </c>
      <c r="I3556">
        <v>18</v>
      </c>
      <c r="J3556">
        <v>5</v>
      </c>
      <c r="K3556">
        <v>3116</v>
      </c>
      <c r="L3556">
        <v>1558</v>
      </c>
      <c r="M3556">
        <v>32718</v>
      </c>
      <c r="N3556">
        <v>1558</v>
      </c>
      <c r="O3556">
        <v>35834</v>
      </c>
    </row>
    <row r="3557" spans="1:15" x14ac:dyDescent="0.35">
      <c r="A3557">
        <v>3556</v>
      </c>
      <c r="B3557" s="2" t="s">
        <v>18</v>
      </c>
      <c r="C3557" s="2" t="s">
        <v>15</v>
      </c>
      <c r="D3557">
        <v>31</v>
      </c>
      <c r="E3557" s="2" t="s">
        <v>29</v>
      </c>
      <c r="F3557" s="2" t="s">
        <v>13</v>
      </c>
      <c r="G3557">
        <v>42517</v>
      </c>
      <c r="H3557" s="1">
        <v>45090</v>
      </c>
      <c r="I3557">
        <v>2</v>
      </c>
      <c r="J3557">
        <v>1</v>
      </c>
      <c r="K3557">
        <v>4252</v>
      </c>
      <c r="L3557">
        <v>2126</v>
      </c>
      <c r="M3557">
        <v>44643</v>
      </c>
      <c r="N3557">
        <v>0</v>
      </c>
      <c r="O3557">
        <v>46769</v>
      </c>
    </row>
    <row r="3558" spans="1:15" x14ac:dyDescent="0.35">
      <c r="A3558">
        <v>3557</v>
      </c>
      <c r="B3558" s="2" t="s">
        <v>10</v>
      </c>
      <c r="C3558" s="2" t="s">
        <v>11</v>
      </c>
      <c r="D3558">
        <v>49</v>
      </c>
      <c r="E3558" s="2" t="s">
        <v>28</v>
      </c>
      <c r="F3558" s="2" t="s">
        <v>25</v>
      </c>
      <c r="G3558">
        <v>28027</v>
      </c>
      <c r="H3558" s="1">
        <v>44844</v>
      </c>
      <c r="I3558">
        <v>19</v>
      </c>
      <c r="J3558">
        <v>5</v>
      </c>
      <c r="K3558">
        <v>2803</v>
      </c>
      <c r="L3558">
        <v>1401</v>
      </c>
      <c r="M3558">
        <v>29429</v>
      </c>
      <c r="N3558">
        <v>1401</v>
      </c>
      <c r="O3558">
        <v>32231</v>
      </c>
    </row>
    <row r="3559" spans="1:15" x14ac:dyDescent="0.35">
      <c r="A3559">
        <v>3558</v>
      </c>
      <c r="B3559" s="2" t="s">
        <v>30</v>
      </c>
      <c r="C3559" s="2" t="s">
        <v>15</v>
      </c>
      <c r="D3559">
        <v>30</v>
      </c>
      <c r="E3559" s="2" t="s">
        <v>29</v>
      </c>
      <c r="F3559" s="2" t="s">
        <v>19</v>
      </c>
      <c r="G3559">
        <v>90501</v>
      </c>
      <c r="H3559" s="1">
        <v>45161</v>
      </c>
      <c r="I3559">
        <v>6</v>
      </c>
      <c r="J3559">
        <v>5</v>
      </c>
      <c r="K3559">
        <v>9050</v>
      </c>
      <c r="L3559">
        <v>4525</v>
      </c>
      <c r="M3559">
        <v>95026</v>
      </c>
      <c r="N3559">
        <v>4525</v>
      </c>
      <c r="O3559">
        <v>104076</v>
      </c>
    </row>
    <row r="3560" spans="1:15" x14ac:dyDescent="0.35">
      <c r="A3560">
        <v>3559</v>
      </c>
      <c r="B3560" s="2" t="s">
        <v>20</v>
      </c>
      <c r="C3560" s="2" t="s">
        <v>11</v>
      </c>
      <c r="D3560">
        <v>59</v>
      </c>
      <c r="E3560" s="2" t="s">
        <v>24</v>
      </c>
      <c r="F3560" s="2" t="s">
        <v>21</v>
      </c>
      <c r="G3560">
        <v>32009</v>
      </c>
      <c r="H3560" s="1">
        <v>44720</v>
      </c>
      <c r="I3560">
        <v>9</v>
      </c>
      <c r="J3560">
        <v>4</v>
      </c>
      <c r="K3560">
        <v>3201</v>
      </c>
      <c r="L3560">
        <v>1600</v>
      </c>
      <c r="M3560">
        <v>33610</v>
      </c>
      <c r="N3560">
        <v>1600</v>
      </c>
      <c r="O3560">
        <v>36810</v>
      </c>
    </row>
    <row r="3561" spans="1:15" x14ac:dyDescent="0.35">
      <c r="A3561">
        <v>3560</v>
      </c>
      <c r="B3561" s="2" t="s">
        <v>26</v>
      </c>
      <c r="C3561" s="2" t="s">
        <v>11</v>
      </c>
      <c r="D3561">
        <v>40</v>
      </c>
      <c r="E3561" s="2" t="s">
        <v>24</v>
      </c>
      <c r="F3561" s="2" t="s">
        <v>17</v>
      </c>
      <c r="G3561">
        <v>45356</v>
      </c>
      <c r="H3561" s="1">
        <v>45185</v>
      </c>
      <c r="I3561">
        <v>15</v>
      </c>
      <c r="J3561">
        <v>4</v>
      </c>
      <c r="K3561">
        <v>4536</v>
      </c>
      <c r="L3561">
        <v>2268</v>
      </c>
      <c r="M3561">
        <v>47624</v>
      </c>
      <c r="N3561">
        <v>2268</v>
      </c>
      <c r="O3561">
        <v>52160</v>
      </c>
    </row>
    <row r="3562" spans="1:15" x14ac:dyDescent="0.35">
      <c r="A3562">
        <v>3561</v>
      </c>
      <c r="B3562" s="2" t="s">
        <v>22</v>
      </c>
      <c r="C3562" s="2" t="s">
        <v>15</v>
      </c>
      <c r="D3562">
        <v>46</v>
      </c>
      <c r="E3562" s="2" t="s">
        <v>28</v>
      </c>
      <c r="F3562" s="2" t="s">
        <v>21</v>
      </c>
      <c r="G3562">
        <v>66791</v>
      </c>
      <c r="H3562" s="1">
        <v>44685</v>
      </c>
      <c r="I3562">
        <v>16</v>
      </c>
      <c r="J3562">
        <v>3</v>
      </c>
      <c r="K3562">
        <v>6679</v>
      </c>
      <c r="L3562">
        <v>3340</v>
      </c>
      <c r="M3562">
        <v>70130</v>
      </c>
      <c r="N3562">
        <v>3340</v>
      </c>
      <c r="O3562">
        <v>76810</v>
      </c>
    </row>
    <row r="3563" spans="1:15" x14ac:dyDescent="0.35">
      <c r="A3563">
        <v>3562</v>
      </c>
      <c r="B3563" s="2" t="s">
        <v>27</v>
      </c>
      <c r="C3563" s="2" t="s">
        <v>15</v>
      </c>
      <c r="D3563">
        <v>34</v>
      </c>
      <c r="E3563" s="2" t="s">
        <v>16</v>
      </c>
      <c r="F3563" s="2" t="s">
        <v>19</v>
      </c>
      <c r="G3563">
        <v>88349</v>
      </c>
      <c r="H3563" s="1">
        <v>45025</v>
      </c>
      <c r="I3563">
        <v>19</v>
      </c>
      <c r="J3563">
        <v>4</v>
      </c>
      <c r="K3563">
        <v>8835</v>
      </c>
      <c r="L3563">
        <v>4417</v>
      </c>
      <c r="M3563">
        <v>92767</v>
      </c>
      <c r="N3563">
        <v>4417</v>
      </c>
      <c r="O3563">
        <v>101601</v>
      </c>
    </row>
    <row r="3564" spans="1:15" x14ac:dyDescent="0.35">
      <c r="A3564">
        <v>3563</v>
      </c>
      <c r="B3564" s="2" t="s">
        <v>26</v>
      </c>
      <c r="C3564" s="2" t="s">
        <v>11</v>
      </c>
      <c r="D3564">
        <v>29</v>
      </c>
      <c r="E3564" s="2" t="s">
        <v>12</v>
      </c>
      <c r="F3564" s="2" t="s">
        <v>13</v>
      </c>
      <c r="G3564">
        <v>62961</v>
      </c>
      <c r="H3564" s="1">
        <v>45540</v>
      </c>
      <c r="I3564">
        <v>15</v>
      </c>
      <c r="J3564">
        <v>4</v>
      </c>
      <c r="K3564">
        <v>6296</v>
      </c>
      <c r="L3564">
        <v>3148</v>
      </c>
      <c r="M3564">
        <v>66109</v>
      </c>
      <c r="N3564">
        <v>3148</v>
      </c>
      <c r="O3564">
        <v>72405</v>
      </c>
    </row>
    <row r="3565" spans="1:15" x14ac:dyDescent="0.35">
      <c r="A3565">
        <v>3564</v>
      </c>
      <c r="B3565" s="2" t="s">
        <v>10</v>
      </c>
      <c r="C3565" s="2" t="s">
        <v>11</v>
      </c>
      <c r="D3565">
        <v>42</v>
      </c>
      <c r="E3565" s="2" t="s">
        <v>28</v>
      </c>
      <c r="F3565" s="2" t="s">
        <v>21</v>
      </c>
      <c r="G3565">
        <v>42677</v>
      </c>
      <c r="H3565" s="1">
        <v>44629</v>
      </c>
      <c r="I3565">
        <v>3</v>
      </c>
      <c r="J3565">
        <v>5</v>
      </c>
      <c r="K3565">
        <v>4268</v>
      </c>
      <c r="L3565">
        <v>2134</v>
      </c>
      <c r="M3565">
        <v>44811</v>
      </c>
      <c r="N3565">
        <v>0</v>
      </c>
      <c r="O3565">
        <v>46945</v>
      </c>
    </row>
    <row r="3566" spans="1:15" x14ac:dyDescent="0.35">
      <c r="A3566">
        <v>3565</v>
      </c>
      <c r="B3566" s="2" t="s">
        <v>14</v>
      </c>
      <c r="C3566" s="2" t="s">
        <v>11</v>
      </c>
      <c r="D3566">
        <v>48</v>
      </c>
      <c r="E3566" s="2" t="s">
        <v>29</v>
      </c>
      <c r="F3566" s="2" t="s">
        <v>19</v>
      </c>
      <c r="G3566">
        <v>76774</v>
      </c>
      <c r="H3566" s="1">
        <v>44886</v>
      </c>
      <c r="I3566">
        <v>16</v>
      </c>
      <c r="J3566">
        <v>5</v>
      </c>
      <c r="K3566">
        <v>7677</v>
      </c>
      <c r="L3566">
        <v>3839</v>
      </c>
      <c r="M3566">
        <v>80612</v>
      </c>
      <c r="N3566">
        <v>3839</v>
      </c>
      <c r="O3566">
        <v>88290</v>
      </c>
    </row>
    <row r="3567" spans="1:15" x14ac:dyDescent="0.35">
      <c r="A3567">
        <v>3566</v>
      </c>
      <c r="B3567" s="2" t="s">
        <v>20</v>
      </c>
      <c r="C3567" s="2" t="s">
        <v>11</v>
      </c>
      <c r="D3567">
        <v>59</v>
      </c>
      <c r="E3567" s="2" t="s">
        <v>16</v>
      </c>
      <c r="F3567" s="2" t="s">
        <v>25</v>
      </c>
      <c r="G3567">
        <v>95542</v>
      </c>
      <c r="H3567" s="1">
        <v>44957</v>
      </c>
      <c r="I3567">
        <v>3</v>
      </c>
      <c r="J3567">
        <v>3</v>
      </c>
      <c r="K3567">
        <v>9554</v>
      </c>
      <c r="L3567">
        <v>4777</v>
      </c>
      <c r="M3567">
        <v>100319</v>
      </c>
      <c r="N3567">
        <v>0</v>
      </c>
      <c r="O3567">
        <v>105096</v>
      </c>
    </row>
    <row r="3568" spans="1:15" x14ac:dyDescent="0.35">
      <c r="A3568">
        <v>3567</v>
      </c>
      <c r="B3568" s="2" t="s">
        <v>30</v>
      </c>
      <c r="C3568" s="2" t="s">
        <v>11</v>
      </c>
      <c r="D3568">
        <v>25</v>
      </c>
      <c r="E3568" s="2" t="s">
        <v>12</v>
      </c>
      <c r="F3568" s="2" t="s">
        <v>19</v>
      </c>
      <c r="G3568">
        <v>69203</v>
      </c>
      <c r="H3568" s="1">
        <v>44640</v>
      </c>
      <c r="I3568">
        <v>2</v>
      </c>
      <c r="J3568">
        <v>5</v>
      </c>
      <c r="K3568">
        <v>6920</v>
      </c>
      <c r="L3568">
        <v>3460</v>
      </c>
      <c r="M3568">
        <v>72663</v>
      </c>
      <c r="N3568">
        <v>0</v>
      </c>
      <c r="O3568">
        <v>76123</v>
      </c>
    </row>
    <row r="3569" spans="1:15" x14ac:dyDescent="0.35">
      <c r="A3569">
        <v>3568</v>
      </c>
      <c r="B3569" s="2" t="s">
        <v>31</v>
      </c>
      <c r="C3569" s="2" t="s">
        <v>11</v>
      </c>
      <c r="D3569">
        <v>31</v>
      </c>
      <c r="E3569" s="2" t="s">
        <v>28</v>
      </c>
      <c r="F3569" s="2" t="s">
        <v>17</v>
      </c>
      <c r="G3569">
        <v>92102</v>
      </c>
      <c r="H3569" s="1">
        <v>44931</v>
      </c>
      <c r="I3569">
        <v>14</v>
      </c>
      <c r="J3569">
        <v>3</v>
      </c>
      <c r="K3569">
        <v>9210</v>
      </c>
      <c r="L3569">
        <v>4605</v>
      </c>
      <c r="M3569">
        <v>96707</v>
      </c>
      <c r="N3569">
        <v>4605</v>
      </c>
      <c r="O3569">
        <v>105917</v>
      </c>
    </row>
    <row r="3570" spans="1:15" x14ac:dyDescent="0.35">
      <c r="A3570">
        <v>3569</v>
      </c>
      <c r="B3570" s="2" t="s">
        <v>23</v>
      </c>
      <c r="C3570" s="2" t="s">
        <v>15</v>
      </c>
      <c r="D3570">
        <v>29</v>
      </c>
      <c r="E3570" s="2" t="s">
        <v>12</v>
      </c>
      <c r="F3570" s="2" t="s">
        <v>17</v>
      </c>
      <c r="G3570">
        <v>97696</v>
      </c>
      <c r="H3570" s="1">
        <v>45534</v>
      </c>
      <c r="I3570">
        <v>10</v>
      </c>
      <c r="J3570">
        <v>3</v>
      </c>
      <c r="K3570">
        <v>9770</v>
      </c>
      <c r="L3570">
        <v>4885</v>
      </c>
      <c r="M3570">
        <v>102581</v>
      </c>
      <c r="N3570">
        <v>4885</v>
      </c>
      <c r="O3570">
        <v>112351</v>
      </c>
    </row>
    <row r="3571" spans="1:15" x14ac:dyDescent="0.35">
      <c r="A3571">
        <v>3570</v>
      </c>
      <c r="B3571" s="2" t="s">
        <v>20</v>
      </c>
      <c r="C3571" s="2" t="s">
        <v>11</v>
      </c>
      <c r="D3571">
        <v>31</v>
      </c>
      <c r="E3571" s="2" t="s">
        <v>28</v>
      </c>
      <c r="F3571" s="2" t="s">
        <v>19</v>
      </c>
      <c r="G3571">
        <v>26596</v>
      </c>
      <c r="H3571" s="1">
        <v>44786</v>
      </c>
      <c r="I3571">
        <v>10</v>
      </c>
      <c r="J3571">
        <v>1</v>
      </c>
      <c r="K3571">
        <v>2660</v>
      </c>
      <c r="L3571">
        <v>1330</v>
      </c>
      <c r="M3571">
        <v>27926</v>
      </c>
      <c r="N3571">
        <v>1330</v>
      </c>
      <c r="O3571">
        <v>30586</v>
      </c>
    </row>
    <row r="3572" spans="1:15" x14ac:dyDescent="0.35">
      <c r="A3572">
        <v>3571</v>
      </c>
      <c r="B3572" s="2" t="s">
        <v>22</v>
      </c>
      <c r="C3572" s="2" t="s">
        <v>11</v>
      </c>
      <c r="D3572">
        <v>25</v>
      </c>
      <c r="E3572" s="2" t="s">
        <v>28</v>
      </c>
      <c r="F3572" s="2" t="s">
        <v>25</v>
      </c>
      <c r="G3572">
        <v>68551</v>
      </c>
      <c r="H3572" s="1">
        <v>44935</v>
      </c>
      <c r="I3572">
        <v>3</v>
      </c>
      <c r="J3572">
        <v>3</v>
      </c>
      <c r="K3572">
        <v>6855</v>
      </c>
      <c r="L3572">
        <v>3428</v>
      </c>
      <c r="M3572">
        <v>71978</v>
      </c>
      <c r="N3572">
        <v>0</v>
      </c>
      <c r="O3572">
        <v>75406</v>
      </c>
    </row>
    <row r="3573" spans="1:15" x14ac:dyDescent="0.35">
      <c r="A3573">
        <v>3572</v>
      </c>
      <c r="B3573" s="2" t="s">
        <v>22</v>
      </c>
      <c r="C3573" s="2" t="s">
        <v>11</v>
      </c>
      <c r="D3573">
        <v>53</v>
      </c>
      <c r="E3573" s="2" t="s">
        <v>16</v>
      </c>
      <c r="F3573" s="2" t="s">
        <v>13</v>
      </c>
      <c r="G3573">
        <v>51551</v>
      </c>
      <c r="H3573" s="1">
        <v>44807</v>
      </c>
      <c r="I3573">
        <v>18</v>
      </c>
      <c r="J3573">
        <v>2</v>
      </c>
      <c r="K3573">
        <v>5155</v>
      </c>
      <c r="L3573">
        <v>2578</v>
      </c>
      <c r="M3573">
        <v>54128</v>
      </c>
      <c r="N3573">
        <v>2578</v>
      </c>
      <c r="O3573">
        <v>59284</v>
      </c>
    </row>
    <row r="3574" spans="1:15" x14ac:dyDescent="0.35">
      <c r="A3574">
        <v>3573</v>
      </c>
      <c r="B3574" s="2" t="s">
        <v>14</v>
      </c>
      <c r="C3574" s="2" t="s">
        <v>15</v>
      </c>
      <c r="D3574">
        <v>55</v>
      </c>
      <c r="E3574" s="2" t="s">
        <v>29</v>
      </c>
      <c r="F3574" s="2" t="s">
        <v>17</v>
      </c>
      <c r="G3574">
        <v>78141</v>
      </c>
      <c r="H3574" s="1">
        <v>44857</v>
      </c>
      <c r="I3574">
        <v>9</v>
      </c>
      <c r="J3574">
        <v>2</v>
      </c>
      <c r="K3574">
        <v>7814</v>
      </c>
      <c r="L3574">
        <v>3907</v>
      </c>
      <c r="M3574">
        <v>82048</v>
      </c>
      <c r="N3574">
        <v>3907</v>
      </c>
      <c r="O3574">
        <v>89862</v>
      </c>
    </row>
    <row r="3575" spans="1:15" x14ac:dyDescent="0.35">
      <c r="A3575">
        <v>3574</v>
      </c>
      <c r="B3575" s="2" t="s">
        <v>23</v>
      </c>
      <c r="C3575" s="2" t="s">
        <v>11</v>
      </c>
      <c r="D3575">
        <v>47</v>
      </c>
      <c r="E3575" s="2" t="s">
        <v>28</v>
      </c>
      <c r="F3575" s="2" t="s">
        <v>21</v>
      </c>
      <c r="G3575">
        <v>95240</v>
      </c>
      <c r="H3575" s="1">
        <v>44702</v>
      </c>
      <c r="I3575">
        <v>5</v>
      </c>
      <c r="J3575">
        <v>3</v>
      </c>
      <c r="K3575">
        <v>9524</v>
      </c>
      <c r="L3575">
        <v>4762</v>
      </c>
      <c r="M3575">
        <v>100002</v>
      </c>
      <c r="N3575">
        <v>0</v>
      </c>
      <c r="O3575">
        <v>104764</v>
      </c>
    </row>
    <row r="3576" spans="1:15" x14ac:dyDescent="0.35">
      <c r="A3576">
        <v>3575</v>
      </c>
      <c r="B3576" s="2" t="s">
        <v>18</v>
      </c>
      <c r="C3576" s="2" t="s">
        <v>11</v>
      </c>
      <c r="D3576">
        <v>46</v>
      </c>
      <c r="E3576" s="2" t="s">
        <v>12</v>
      </c>
      <c r="F3576" s="2" t="s">
        <v>25</v>
      </c>
      <c r="G3576">
        <v>85719</v>
      </c>
      <c r="H3576" s="1">
        <v>44694</v>
      </c>
      <c r="I3576">
        <v>9</v>
      </c>
      <c r="J3576">
        <v>1</v>
      </c>
      <c r="K3576">
        <v>8572</v>
      </c>
      <c r="L3576">
        <v>4286</v>
      </c>
      <c r="M3576">
        <v>90005</v>
      </c>
      <c r="N3576">
        <v>4286</v>
      </c>
      <c r="O3576">
        <v>98577</v>
      </c>
    </row>
    <row r="3577" spans="1:15" x14ac:dyDescent="0.35">
      <c r="A3577">
        <v>3576</v>
      </c>
      <c r="B3577" s="2" t="s">
        <v>20</v>
      </c>
      <c r="C3577" s="2" t="s">
        <v>11</v>
      </c>
      <c r="D3577">
        <v>40</v>
      </c>
      <c r="E3577" s="2" t="s">
        <v>16</v>
      </c>
      <c r="F3577" s="2" t="s">
        <v>19</v>
      </c>
      <c r="G3577">
        <v>71544</v>
      </c>
      <c r="H3577" s="1">
        <v>45170</v>
      </c>
      <c r="I3577">
        <v>19</v>
      </c>
      <c r="J3577">
        <v>1</v>
      </c>
      <c r="K3577">
        <v>7154</v>
      </c>
      <c r="L3577">
        <v>3577</v>
      </c>
      <c r="M3577">
        <v>75121</v>
      </c>
      <c r="N3577">
        <v>3577</v>
      </c>
      <c r="O3577">
        <v>82275</v>
      </c>
    </row>
    <row r="3578" spans="1:15" x14ac:dyDescent="0.35">
      <c r="A3578">
        <v>3577</v>
      </c>
      <c r="B3578" s="2" t="s">
        <v>14</v>
      </c>
      <c r="C3578" s="2" t="s">
        <v>15</v>
      </c>
      <c r="D3578">
        <v>32</v>
      </c>
      <c r="E3578" s="2" t="s">
        <v>28</v>
      </c>
      <c r="F3578" s="2" t="s">
        <v>25</v>
      </c>
      <c r="G3578">
        <v>63518</v>
      </c>
      <c r="H3578" s="1">
        <v>44936</v>
      </c>
      <c r="I3578">
        <v>17</v>
      </c>
      <c r="J3578">
        <v>1</v>
      </c>
      <c r="K3578">
        <v>6352</v>
      </c>
      <c r="L3578">
        <v>3176</v>
      </c>
      <c r="M3578">
        <v>66694</v>
      </c>
      <c r="N3578">
        <v>3176</v>
      </c>
      <c r="O3578">
        <v>73046</v>
      </c>
    </row>
    <row r="3579" spans="1:15" x14ac:dyDescent="0.35">
      <c r="A3579">
        <v>3578</v>
      </c>
      <c r="B3579" s="2" t="s">
        <v>14</v>
      </c>
      <c r="C3579" s="2" t="s">
        <v>15</v>
      </c>
      <c r="D3579">
        <v>47</v>
      </c>
      <c r="E3579" s="2" t="s">
        <v>29</v>
      </c>
      <c r="F3579" s="2" t="s">
        <v>13</v>
      </c>
      <c r="G3579">
        <v>53695</v>
      </c>
      <c r="H3579" s="1">
        <v>45141</v>
      </c>
      <c r="I3579">
        <v>2</v>
      </c>
      <c r="J3579">
        <v>5</v>
      </c>
      <c r="K3579">
        <v>5370</v>
      </c>
      <c r="L3579">
        <v>2685</v>
      </c>
      <c r="M3579">
        <v>56380</v>
      </c>
      <c r="N3579">
        <v>0</v>
      </c>
      <c r="O3579">
        <v>59065</v>
      </c>
    </row>
    <row r="3580" spans="1:15" x14ac:dyDescent="0.35">
      <c r="A3580">
        <v>3579</v>
      </c>
      <c r="B3580" s="2" t="s">
        <v>10</v>
      </c>
      <c r="C3580" s="2" t="s">
        <v>15</v>
      </c>
      <c r="D3580">
        <v>31</v>
      </c>
      <c r="E3580" s="2" t="s">
        <v>16</v>
      </c>
      <c r="F3580" s="2" t="s">
        <v>19</v>
      </c>
      <c r="G3580">
        <v>91964</v>
      </c>
      <c r="H3580" s="1">
        <v>45166</v>
      </c>
      <c r="I3580">
        <v>9</v>
      </c>
      <c r="J3580">
        <v>4</v>
      </c>
      <c r="K3580">
        <v>9196</v>
      </c>
      <c r="L3580">
        <v>4598</v>
      </c>
      <c r="M3580">
        <v>96562</v>
      </c>
      <c r="N3580">
        <v>4598</v>
      </c>
      <c r="O3580">
        <v>105758</v>
      </c>
    </row>
    <row r="3581" spans="1:15" x14ac:dyDescent="0.35">
      <c r="A3581">
        <v>3580</v>
      </c>
      <c r="B3581" s="2" t="s">
        <v>20</v>
      </c>
      <c r="C3581" s="2" t="s">
        <v>11</v>
      </c>
      <c r="D3581">
        <v>28</v>
      </c>
      <c r="E3581" s="2" t="s">
        <v>24</v>
      </c>
      <c r="F3581" s="2" t="s">
        <v>25</v>
      </c>
      <c r="G3581">
        <v>95468</v>
      </c>
      <c r="H3581" s="1">
        <v>45018</v>
      </c>
      <c r="I3581">
        <v>3</v>
      </c>
      <c r="J3581">
        <v>4</v>
      </c>
      <c r="K3581">
        <v>9547</v>
      </c>
      <c r="L3581">
        <v>4773</v>
      </c>
      <c r="M3581">
        <v>100242</v>
      </c>
      <c r="N3581">
        <v>0</v>
      </c>
      <c r="O3581">
        <v>105015</v>
      </c>
    </row>
    <row r="3582" spans="1:15" x14ac:dyDescent="0.35">
      <c r="A3582">
        <v>3581</v>
      </c>
      <c r="B3582" s="2" t="s">
        <v>18</v>
      </c>
      <c r="C3582" s="2" t="s">
        <v>15</v>
      </c>
      <c r="D3582">
        <v>54</v>
      </c>
      <c r="E3582" s="2" t="s">
        <v>12</v>
      </c>
      <c r="F3582" s="2" t="s">
        <v>21</v>
      </c>
      <c r="G3582">
        <v>50780</v>
      </c>
      <c r="H3582" s="1">
        <v>44893</v>
      </c>
      <c r="I3582">
        <v>17</v>
      </c>
      <c r="J3582">
        <v>2</v>
      </c>
      <c r="K3582">
        <v>5078</v>
      </c>
      <c r="L3582">
        <v>2539</v>
      </c>
      <c r="M3582">
        <v>53319</v>
      </c>
      <c r="N3582">
        <v>2539</v>
      </c>
      <c r="O3582">
        <v>58397</v>
      </c>
    </row>
    <row r="3583" spans="1:15" x14ac:dyDescent="0.35">
      <c r="A3583">
        <v>3582</v>
      </c>
      <c r="B3583" s="2" t="s">
        <v>27</v>
      </c>
      <c r="C3583" s="2" t="s">
        <v>15</v>
      </c>
      <c r="D3583">
        <v>22</v>
      </c>
      <c r="E3583" s="2" t="s">
        <v>29</v>
      </c>
      <c r="F3583" s="2" t="s">
        <v>17</v>
      </c>
      <c r="G3583">
        <v>94929</v>
      </c>
      <c r="H3583" s="1">
        <v>44964</v>
      </c>
      <c r="I3583">
        <v>13</v>
      </c>
      <c r="J3583">
        <v>4</v>
      </c>
      <c r="K3583">
        <v>9493</v>
      </c>
      <c r="L3583">
        <v>4746</v>
      </c>
      <c r="M3583">
        <v>99676</v>
      </c>
      <c r="N3583">
        <v>4746</v>
      </c>
      <c r="O3583">
        <v>109168</v>
      </c>
    </row>
    <row r="3584" spans="1:15" x14ac:dyDescent="0.35">
      <c r="A3584">
        <v>3583</v>
      </c>
      <c r="B3584" s="2" t="s">
        <v>20</v>
      </c>
      <c r="C3584" s="2" t="s">
        <v>15</v>
      </c>
      <c r="D3584">
        <v>51</v>
      </c>
      <c r="E3584" s="2" t="s">
        <v>24</v>
      </c>
      <c r="F3584" s="2" t="s">
        <v>21</v>
      </c>
      <c r="G3584">
        <v>79472</v>
      </c>
      <c r="H3584" s="1">
        <v>44895</v>
      </c>
      <c r="I3584">
        <v>3</v>
      </c>
      <c r="J3584">
        <v>3</v>
      </c>
      <c r="K3584">
        <v>7947</v>
      </c>
      <c r="L3584">
        <v>3974</v>
      </c>
      <c r="M3584">
        <v>83445</v>
      </c>
      <c r="N3584">
        <v>0</v>
      </c>
      <c r="O3584">
        <v>87419</v>
      </c>
    </row>
    <row r="3585" spans="1:15" x14ac:dyDescent="0.35">
      <c r="A3585">
        <v>3584</v>
      </c>
      <c r="B3585" s="2" t="s">
        <v>27</v>
      </c>
      <c r="C3585" s="2" t="s">
        <v>15</v>
      </c>
      <c r="D3585">
        <v>26</v>
      </c>
      <c r="E3585" s="2" t="s">
        <v>29</v>
      </c>
      <c r="F3585" s="2" t="s">
        <v>17</v>
      </c>
      <c r="G3585">
        <v>58445</v>
      </c>
      <c r="H3585" s="1">
        <v>45241</v>
      </c>
      <c r="I3585">
        <v>2</v>
      </c>
      <c r="J3585">
        <v>1</v>
      </c>
      <c r="K3585">
        <v>5844</v>
      </c>
      <c r="L3585">
        <v>2922</v>
      </c>
      <c r="M3585">
        <v>61367</v>
      </c>
      <c r="N3585">
        <v>0</v>
      </c>
      <c r="O3585">
        <v>64289</v>
      </c>
    </row>
    <row r="3586" spans="1:15" x14ac:dyDescent="0.35">
      <c r="A3586">
        <v>3585</v>
      </c>
      <c r="B3586" s="2" t="s">
        <v>26</v>
      </c>
      <c r="C3586" s="2" t="s">
        <v>11</v>
      </c>
      <c r="D3586">
        <v>49</v>
      </c>
      <c r="E3586" s="2" t="s">
        <v>16</v>
      </c>
      <c r="F3586" s="2" t="s">
        <v>21</v>
      </c>
      <c r="G3586">
        <v>25946</v>
      </c>
      <c r="H3586" s="1">
        <v>45431</v>
      </c>
      <c r="I3586">
        <v>19</v>
      </c>
      <c r="J3586">
        <v>1</v>
      </c>
      <c r="K3586">
        <v>2595</v>
      </c>
      <c r="L3586">
        <v>1297</v>
      </c>
      <c r="M3586">
        <v>27244</v>
      </c>
      <c r="N3586">
        <v>1297</v>
      </c>
      <c r="O3586">
        <v>29838</v>
      </c>
    </row>
    <row r="3587" spans="1:15" x14ac:dyDescent="0.35">
      <c r="A3587">
        <v>3586</v>
      </c>
      <c r="B3587" s="2" t="s">
        <v>10</v>
      </c>
      <c r="C3587" s="2" t="s">
        <v>15</v>
      </c>
      <c r="D3587">
        <v>23</v>
      </c>
      <c r="E3587" s="2" t="s">
        <v>28</v>
      </c>
      <c r="F3587" s="2" t="s">
        <v>19</v>
      </c>
      <c r="G3587">
        <v>38033</v>
      </c>
      <c r="H3587" s="1">
        <v>45144</v>
      </c>
      <c r="I3587">
        <v>8</v>
      </c>
      <c r="J3587">
        <v>4</v>
      </c>
      <c r="K3587">
        <v>3803</v>
      </c>
      <c r="L3587">
        <v>1902</v>
      </c>
      <c r="M3587">
        <v>39934</v>
      </c>
      <c r="N3587">
        <v>1902</v>
      </c>
      <c r="O3587">
        <v>43738</v>
      </c>
    </row>
    <row r="3588" spans="1:15" x14ac:dyDescent="0.35">
      <c r="A3588">
        <v>3587</v>
      </c>
      <c r="B3588" s="2" t="s">
        <v>18</v>
      </c>
      <c r="C3588" s="2" t="s">
        <v>15</v>
      </c>
      <c r="D3588">
        <v>47</v>
      </c>
      <c r="E3588" s="2" t="s">
        <v>12</v>
      </c>
      <c r="F3588" s="2" t="s">
        <v>25</v>
      </c>
      <c r="G3588">
        <v>20368</v>
      </c>
      <c r="H3588" s="1">
        <v>44734</v>
      </c>
      <c r="I3588">
        <v>2</v>
      </c>
      <c r="J3588">
        <v>4</v>
      </c>
      <c r="K3588">
        <v>2037</v>
      </c>
      <c r="L3588">
        <v>1018</v>
      </c>
      <c r="M3588">
        <v>21387</v>
      </c>
      <c r="N3588">
        <v>0</v>
      </c>
      <c r="O3588">
        <v>22405</v>
      </c>
    </row>
    <row r="3589" spans="1:15" x14ac:dyDescent="0.35">
      <c r="A3589">
        <v>3588</v>
      </c>
      <c r="B3589" s="2" t="s">
        <v>26</v>
      </c>
      <c r="C3589" s="2" t="s">
        <v>15</v>
      </c>
      <c r="D3589">
        <v>46</v>
      </c>
      <c r="E3589" s="2" t="s">
        <v>16</v>
      </c>
      <c r="F3589" s="2" t="s">
        <v>19</v>
      </c>
      <c r="G3589">
        <v>31577</v>
      </c>
      <c r="H3589" s="1">
        <v>44918</v>
      </c>
      <c r="I3589">
        <v>6</v>
      </c>
      <c r="J3589">
        <v>1</v>
      </c>
      <c r="K3589">
        <v>3158</v>
      </c>
      <c r="L3589">
        <v>1579</v>
      </c>
      <c r="M3589">
        <v>33156</v>
      </c>
      <c r="N3589">
        <v>1579</v>
      </c>
      <c r="O3589">
        <v>36314</v>
      </c>
    </row>
    <row r="3590" spans="1:15" x14ac:dyDescent="0.35">
      <c r="A3590">
        <v>3589</v>
      </c>
      <c r="B3590" s="2" t="s">
        <v>14</v>
      </c>
      <c r="C3590" s="2" t="s">
        <v>15</v>
      </c>
      <c r="D3590">
        <v>54</v>
      </c>
      <c r="E3590" s="2" t="s">
        <v>12</v>
      </c>
      <c r="F3590" s="2" t="s">
        <v>17</v>
      </c>
      <c r="G3590">
        <v>61081</v>
      </c>
      <c r="H3590" s="1">
        <v>45528</v>
      </c>
      <c r="I3590">
        <v>1</v>
      </c>
      <c r="J3590">
        <v>3</v>
      </c>
      <c r="K3590">
        <v>6108</v>
      </c>
      <c r="L3590">
        <v>3054</v>
      </c>
      <c r="M3590">
        <v>64135</v>
      </c>
      <c r="N3590">
        <v>0</v>
      </c>
      <c r="O3590">
        <v>67189</v>
      </c>
    </row>
    <row r="3591" spans="1:15" x14ac:dyDescent="0.35">
      <c r="A3591">
        <v>3590</v>
      </c>
      <c r="B3591" s="2" t="s">
        <v>10</v>
      </c>
      <c r="C3591" s="2" t="s">
        <v>11</v>
      </c>
      <c r="D3591">
        <v>60</v>
      </c>
      <c r="E3591" s="2" t="s">
        <v>29</v>
      </c>
      <c r="F3591" s="2" t="s">
        <v>25</v>
      </c>
      <c r="G3591">
        <v>28765</v>
      </c>
      <c r="H3591" s="1">
        <v>44778</v>
      </c>
      <c r="I3591">
        <v>18</v>
      </c>
      <c r="J3591">
        <v>3</v>
      </c>
      <c r="K3591">
        <v>2876</v>
      </c>
      <c r="L3591">
        <v>1438</v>
      </c>
      <c r="M3591">
        <v>30203</v>
      </c>
      <c r="N3591">
        <v>1438</v>
      </c>
      <c r="O3591">
        <v>33079</v>
      </c>
    </row>
    <row r="3592" spans="1:15" x14ac:dyDescent="0.35">
      <c r="A3592">
        <v>3591</v>
      </c>
      <c r="B3592" s="2" t="s">
        <v>22</v>
      </c>
      <c r="C3592" s="2" t="s">
        <v>11</v>
      </c>
      <c r="D3592">
        <v>41</v>
      </c>
      <c r="E3592" s="2" t="s">
        <v>29</v>
      </c>
      <c r="F3592" s="2" t="s">
        <v>13</v>
      </c>
      <c r="G3592">
        <v>81888</v>
      </c>
      <c r="H3592" s="1">
        <v>45155</v>
      </c>
      <c r="I3592">
        <v>9</v>
      </c>
      <c r="J3592">
        <v>4</v>
      </c>
      <c r="K3592">
        <v>8189</v>
      </c>
      <c r="L3592">
        <v>4094</v>
      </c>
      <c r="M3592">
        <v>85983</v>
      </c>
      <c r="N3592">
        <v>4094</v>
      </c>
      <c r="O3592">
        <v>94171</v>
      </c>
    </row>
    <row r="3593" spans="1:15" x14ac:dyDescent="0.35">
      <c r="A3593">
        <v>3592</v>
      </c>
      <c r="B3593" s="2" t="s">
        <v>31</v>
      </c>
      <c r="C3593" s="2" t="s">
        <v>15</v>
      </c>
      <c r="D3593">
        <v>33</v>
      </c>
      <c r="E3593" s="2" t="s">
        <v>12</v>
      </c>
      <c r="F3593" s="2" t="s">
        <v>19</v>
      </c>
      <c r="G3593">
        <v>27535</v>
      </c>
      <c r="H3593" s="1">
        <v>45457</v>
      </c>
      <c r="I3593">
        <v>20</v>
      </c>
      <c r="J3593">
        <v>5</v>
      </c>
      <c r="K3593">
        <v>2754</v>
      </c>
      <c r="L3593">
        <v>1377</v>
      </c>
      <c r="M3593">
        <v>28912</v>
      </c>
      <c r="N3593">
        <v>1377</v>
      </c>
      <c r="O3593">
        <v>31666</v>
      </c>
    </row>
    <row r="3594" spans="1:15" x14ac:dyDescent="0.35">
      <c r="A3594">
        <v>3593</v>
      </c>
      <c r="B3594" s="2" t="s">
        <v>14</v>
      </c>
      <c r="C3594" s="2" t="s">
        <v>15</v>
      </c>
      <c r="D3594">
        <v>29</v>
      </c>
      <c r="E3594" s="2" t="s">
        <v>12</v>
      </c>
      <c r="F3594" s="2" t="s">
        <v>21</v>
      </c>
      <c r="G3594">
        <v>31463</v>
      </c>
      <c r="H3594" s="1">
        <v>44639</v>
      </c>
      <c r="I3594">
        <v>5</v>
      </c>
      <c r="J3594">
        <v>1</v>
      </c>
      <c r="K3594">
        <v>3146</v>
      </c>
      <c r="L3594">
        <v>1573</v>
      </c>
      <c r="M3594">
        <v>33036</v>
      </c>
      <c r="N3594">
        <v>0</v>
      </c>
      <c r="O3594">
        <v>34609</v>
      </c>
    </row>
    <row r="3595" spans="1:15" x14ac:dyDescent="0.35">
      <c r="A3595">
        <v>3594</v>
      </c>
      <c r="B3595" s="2" t="s">
        <v>22</v>
      </c>
      <c r="C3595" s="2" t="s">
        <v>15</v>
      </c>
      <c r="D3595">
        <v>31</v>
      </c>
      <c r="E3595" s="2" t="s">
        <v>16</v>
      </c>
      <c r="F3595" s="2" t="s">
        <v>21</v>
      </c>
      <c r="G3595">
        <v>43964</v>
      </c>
      <c r="H3595" s="1">
        <v>45456</v>
      </c>
      <c r="I3595">
        <v>5</v>
      </c>
      <c r="J3595">
        <v>5</v>
      </c>
      <c r="K3595">
        <v>4396</v>
      </c>
      <c r="L3595">
        <v>2198</v>
      </c>
      <c r="M3595">
        <v>46162</v>
      </c>
      <c r="N3595">
        <v>0</v>
      </c>
      <c r="O3595">
        <v>48360</v>
      </c>
    </row>
    <row r="3596" spans="1:15" x14ac:dyDescent="0.35">
      <c r="A3596">
        <v>3595</v>
      </c>
      <c r="B3596" s="2" t="s">
        <v>20</v>
      </c>
      <c r="C3596" s="2" t="s">
        <v>15</v>
      </c>
      <c r="D3596">
        <v>43</v>
      </c>
      <c r="E3596" s="2" t="s">
        <v>28</v>
      </c>
      <c r="F3596" s="2" t="s">
        <v>19</v>
      </c>
      <c r="G3596">
        <v>54534</v>
      </c>
      <c r="H3596" s="1">
        <v>45429</v>
      </c>
      <c r="I3596">
        <v>4</v>
      </c>
      <c r="J3596">
        <v>4</v>
      </c>
      <c r="K3596">
        <v>5453</v>
      </c>
      <c r="L3596">
        <v>2727</v>
      </c>
      <c r="M3596">
        <v>57260</v>
      </c>
      <c r="N3596">
        <v>0</v>
      </c>
      <c r="O3596">
        <v>59987</v>
      </c>
    </row>
    <row r="3597" spans="1:15" x14ac:dyDescent="0.35">
      <c r="A3597">
        <v>3596</v>
      </c>
      <c r="B3597" s="2" t="s">
        <v>22</v>
      </c>
      <c r="C3597" s="2" t="s">
        <v>11</v>
      </c>
      <c r="D3597">
        <v>38</v>
      </c>
      <c r="E3597" s="2" t="s">
        <v>12</v>
      </c>
      <c r="F3597" s="2" t="s">
        <v>19</v>
      </c>
      <c r="G3597">
        <v>65980</v>
      </c>
      <c r="H3597" s="1">
        <v>44816</v>
      </c>
      <c r="I3597">
        <v>10</v>
      </c>
      <c r="J3597">
        <v>4</v>
      </c>
      <c r="K3597">
        <v>6598</v>
      </c>
      <c r="L3597">
        <v>3299</v>
      </c>
      <c r="M3597">
        <v>69279</v>
      </c>
      <c r="N3597">
        <v>3299</v>
      </c>
      <c r="O3597">
        <v>75877</v>
      </c>
    </row>
    <row r="3598" spans="1:15" x14ac:dyDescent="0.35">
      <c r="A3598">
        <v>3597</v>
      </c>
      <c r="B3598" s="2" t="s">
        <v>18</v>
      </c>
      <c r="C3598" s="2" t="s">
        <v>11</v>
      </c>
      <c r="D3598">
        <v>60</v>
      </c>
      <c r="E3598" s="2" t="s">
        <v>16</v>
      </c>
      <c r="F3598" s="2" t="s">
        <v>21</v>
      </c>
      <c r="G3598">
        <v>43210</v>
      </c>
      <c r="H3598" s="1">
        <v>45334</v>
      </c>
      <c r="I3598">
        <v>4</v>
      </c>
      <c r="J3598">
        <v>5</v>
      </c>
      <c r="K3598">
        <v>4321</v>
      </c>
      <c r="L3598">
        <v>2160</v>
      </c>
      <c r="M3598">
        <v>45371</v>
      </c>
      <c r="N3598">
        <v>0</v>
      </c>
      <c r="O3598">
        <v>47531</v>
      </c>
    </row>
    <row r="3599" spans="1:15" x14ac:dyDescent="0.35">
      <c r="A3599">
        <v>3598</v>
      </c>
      <c r="B3599" s="2" t="s">
        <v>22</v>
      </c>
      <c r="C3599" s="2" t="s">
        <v>11</v>
      </c>
      <c r="D3599">
        <v>51</v>
      </c>
      <c r="E3599" s="2" t="s">
        <v>28</v>
      </c>
      <c r="F3599" s="2" t="s">
        <v>19</v>
      </c>
      <c r="G3599">
        <v>86042</v>
      </c>
      <c r="H3599" s="1">
        <v>44885</v>
      </c>
      <c r="I3599">
        <v>12</v>
      </c>
      <c r="J3599">
        <v>1</v>
      </c>
      <c r="K3599">
        <v>8604</v>
      </c>
      <c r="L3599">
        <v>4302</v>
      </c>
      <c r="M3599">
        <v>90344</v>
      </c>
      <c r="N3599">
        <v>4302</v>
      </c>
      <c r="O3599">
        <v>98948</v>
      </c>
    </row>
    <row r="3600" spans="1:15" x14ac:dyDescent="0.35">
      <c r="A3600">
        <v>3599</v>
      </c>
      <c r="B3600" s="2" t="s">
        <v>23</v>
      </c>
      <c r="C3600" s="2" t="s">
        <v>15</v>
      </c>
      <c r="D3600">
        <v>33</v>
      </c>
      <c r="E3600" s="2" t="s">
        <v>12</v>
      </c>
      <c r="F3600" s="2" t="s">
        <v>13</v>
      </c>
      <c r="G3600">
        <v>83446</v>
      </c>
      <c r="H3600" s="1">
        <v>45507</v>
      </c>
      <c r="I3600">
        <v>6</v>
      </c>
      <c r="J3600">
        <v>5</v>
      </c>
      <c r="K3600">
        <v>8345</v>
      </c>
      <c r="L3600">
        <v>4172</v>
      </c>
      <c r="M3600">
        <v>87619</v>
      </c>
      <c r="N3600">
        <v>4172</v>
      </c>
      <c r="O3600">
        <v>95963</v>
      </c>
    </row>
    <row r="3601" spans="1:15" x14ac:dyDescent="0.35">
      <c r="A3601">
        <v>3600</v>
      </c>
      <c r="B3601" s="2" t="s">
        <v>22</v>
      </c>
      <c r="C3601" s="2" t="s">
        <v>15</v>
      </c>
      <c r="D3601">
        <v>25</v>
      </c>
      <c r="E3601" s="2" t="s">
        <v>29</v>
      </c>
      <c r="F3601" s="2" t="s">
        <v>19</v>
      </c>
      <c r="G3601">
        <v>26301</v>
      </c>
      <c r="H3601" s="1">
        <v>44809</v>
      </c>
      <c r="I3601">
        <v>14</v>
      </c>
      <c r="J3601">
        <v>3</v>
      </c>
      <c r="K3601">
        <v>2630</v>
      </c>
      <c r="L3601">
        <v>1315</v>
      </c>
      <c r="M3601">
        <v>27616</v>
      </c>
      <c r="N3601">
        <v>1315</v>
      </c>
      <c r="O3601">
        <v>30246</v>
      </c>
    </row>
    <row r="3602" spans="1:15" x14ac:dyDescent="0.35">
      <c r="A3602">
        <v>3601</v>
      </c>
      <c r="B3602" s="2" t="s">
        <v>30</v>
      </c>
      <c r="C3602" s="2" t="s">
        <v>15</v>
      </c>
      <c r="D3602">
        <v>49</v>
      </c>
      <c r="E3602" s="2" t="s">
        <v>28</v>
      </c>
      <c r="F3602" s="2" t="s">
        <v>21</v>
      </c>
      <c r="G3602">
        <v>79763</v>
      </c>
      <c r="H3602" s="1">
        <v>45296</v>
      </c>
      <c r="I3602">
        <v>1</v>
      </c>
      <c r="J3602">
        <v>1</v>
      </c>
      <c r="K3602">
        <v>7976</v>
      </c>
      <c r="L3602">
        <v>3988</v>
      </c>
      <c r="M3602">
        <v>83751</v>
      </c>
      <c r="N3602">
        <v>0</v>
      </c>
      <c r="O3602">
        <v>87739</v>
      </c>
    </row>
    <row r="3603" spans="1:15" x14ac:dyDescent="0.35">
      <c r="A3603">
        <v>3602</v>
      </c>
      <c r="B3603" s="2" t="s">
        <v>27</v>
      </c>
      <c r="C3603" s="2" t="s">
        <v>15</v>
      </c>
      <c r="D3603">
        <v>30</v>
      </c>
      <c r="E3603" s="2" t="s">
        <v>24</v>
      </c>
      <c r="F3603" s="2" t="s">
        <v>21</v>
      </c>
      <c r="G3603">
        <v>85421</v>
      </c>
      <c r="H3603" s="1">
        <v>44709</v>
      </c>
      <c r="I3603">
        <v>19</v>
      </c>
      <c r="J3603">
        <v>3</v>
      </c>
      <c r="K3603">
        <v>8542</v>
      </c>
      <c r="L3603">
        <v>4271</v>
      </c>
      <c r="M3603">
        <v>89692</v>
      </c>
      <c r="N3603">
        <v>4271</v>
      </c>
      <c r="O3603">
        <v>98234</v>
      </c>
    </row>
    <row r="3604" spans="1:15" x14ac:dyDescent="0.35">
      <c r="A3604">
        <v>3603</v>
      </c>
      <c r="B3604" s="2" t="s">
        <v>26</v>
      </c>
      <c r="C3604" s="2" t="s">
        <v>15</v>
      </c>
      <c r="D3604">
        <v>42</v>
      </c>
      <c r="E3604" s="2" t="s">
        <v>29</v>
      </c>
      <c r="F3604" s="2" t="s">
        <v>17</v>
      </c>
      <c r="G3604">
        <v>72481</v>
      </c>
      <c r="H3604" s="1">
        <v>44975</v>
      </c>
      <c r="I3604">
        <v>3</v>
      </c>
      <c r="J3604">
        <v>1</v>
      </c>
      <c r="K3604">
        <v>7248</v>
      </c>
      <c r="L3604">
        <v>3624</v>
      </c>
      <c r="M3604">
        <v>76105</v>
      </c>
      <c r="N3604">
        <v>0</v>
      </c>
      <c r="O3604">
        <v>79729</v>
      </c>
    </row>
    <row r="3605" spans="1:15" x14ac:dyDescent="0.35">
      <c r="A3605">
        <v>3604</v>
      </c>
      <c r="B3605" s="2" t="s">
        <v>20</v>
      </c>
      <c r="C3605" s="2" t="s">
        <v>11</v>
      </c>
      <c r="D3605">
        <v>36</v>
      </c>
      <c r="E3605" s="2" t="s">
        <v>16</v>
      </c>
      <c r="F3605" s="2" t="s">
        <v>25</v>
      </c>
      <c r="G3605">
        <v>37985</v>
      </c>
      <c r="H3605" s="1">
        <v>45254</v>
      </c>
      <c r="I3605">
        <v>14</v>
      </c>
      <c r="J3605">
        <v>5</v>
      </c>
      <c r="K3605">
        <v>3798</v>
      </c>
      <c r="L3605">
        <v>1899</v>
      </c>
      <c r="M3605">
        <v>39884</v>
      </c>
      <c r="N3605">
        <v>1899</v>
      </c>
      <c r="O3605">
        <v>43682</v>
      </c>
    </row>
    <row r="3606" spans="1:15" x14ac:dyDescent="0.35">
      <c r="A3606">
        <v>3605</v>
      </c>
      <c r="B3606" s="2" t="s">
        <v>20</v>
      </c>
      <c r="C3606" s="2" t="s">
        <v>15</v>
      </c>
      <c r="D3606">
        <v>27</v>
      </c>
      <c r="E3606" s="2" t="s">
        <v>29</v>
      </c>
      <c r="F3606" s="2" t="s">
        <v>13</v>
      </c>
      <c r="G3606">
        <v>61666</v>
      </c>
      <c r="H3606" s="1">
        <v>44861</v>
      </c>
      <c r="I3606">
        <v>18</v>
      </c>
      <c r="J3606">
        <v>5</v>
      </c>
      <c r="K3606">
        <v>6167</v>
      </c>
      <c r="L3606">
        <v>3083</v>
      </c>
      <c r="M3606">
        <v>64750</v>
      </c>
      <c r="N3606">
        <v>3083</v>
      </c>
      <c r="O3606">
        <v>70916</v>
      </c>
    </row>
    <row r="3607" spans="1:15" x14ac:dyDescent="0.35">
      <c r="A3607">
        <v>3606</v>
      </c>
      <c r="B3607" s="2" t="s">
        <v>14</v>
      </c>
      <c r="C3607" s="2" t="s">
        <v>15</v>
      </c>
      <c r="D3607">
        <v>24</v>
      </c>
      <c r="E3607" s="2" t="s">
        <v>16</v>
      </c>
      <c r="F3607" s="2" t="s">
        <v>19</v>
      </c>
      <c r="G3607">
        <v>22188</v>
      </c>
      <c r="H3607" s="1">
        <v>44801</v>
      </c>
      <c r="I3607">
        <v>9</v>
      </c>
      <c r="J3607">
        <v>1</v>
      </c>
      <c r="K3607">
        <v>2219</v>
      </c>
      <c r="L3607">
        <v>1109</v>
      </c>
      <c r="M3607">
        <v>23298</v>
      </c>
      <c r="N3607">
        <v>1109</v>
      </c>
      <c r="O3607">
        <v>25516</v>
      </c>
    </row>
    <row r="3608" spans="1:15" x14ac:dyDescent="0.35">
      <c r="A3608">
        <v>3607</v>
      </c>
      <c r="B3608" s="2" t="s">
        <v>14</v>
      </c>
      <c r="C3608" s="2" t="s">
        <v>15</v>
      </c>
      <c r="D3608">
        <v>24</v>
      </c>
      <c r="E3608" s="2" t="s">
        <v>29</v>
      </c>
      <c r="F3608" s="2" t="s">
        <v>17</v>
      </c>
      <c r="G3608">
        <v>73170</v>
      </c>
      <c r="H3608" s="1">
        <v>44735</v>
      </c>
      <c r="I3608">
        <v>16</v>
      </c>
      <c r="J3608">
        <v>3</v>
      </c>
      <c r="K3608">
        <v>7317</v>
      </c>
      <c r="L3608">
        <v>3658</v>
      </c>
      <c r="M3608">
        <v>76829</v>
      </c>
      <c r="N3608">
        <v>3658</v>
      </c>
      <c r="O3608">
        <v>84145</v>
      </c>
    </row>
    <row r="3609" spans="1:15" x14ac:dyDescent="0.35">
      <c r="A3609">
        <v>3608</v>
      </c>
      <c r="B3609" s="2" t="s">
        <v>31</v>
      </c>
      <c r="C3609" s="2" t="s">
        <v>11</v>
      </c>
      <c r="D3609">
        <v>49</v>
      </c>
      <c r="E3609" s="2" t="s">
        <v>24</v>
      </c>
      <c r="F3609" s="2" t="s">
        <v>21</v>
      </c>
      <c r="G3609">
        <v>83458</v>
      </c>
      <c r="H3609" s="1">
        <v>44853</v>
      </c>
      <c r="I3609">
        <v>13</v>
      </c>
      <c r="J3609">
        <v>2</v>
      </c>
      <c r="K3609">
        <v>8346</v>
      </c>
      <c r="L3609">
        <v>4173</v>
      </c>
      <c r="M3609">
        <v>87631</v>
      </c>
      <c r="N3609">
        <v>4173</v>
      </c>
      <c r="O3609">
        <v>95977</v>
      </c>
    </row>
    <row r="3610" spans="1:15" x14ac:dyDescent="0.35">
      <c r="A3610">
        <v>3609</v>
      </c>
      <c r="B3610" s="2" t="s">
        <v>26</v>
      </c>
      <c r="C3610" s="2" t="s">
        <v>15</v>
      </c>
      <c r="D3610">
        <v>24</v>
      </c>
      <c r="E3610" s="2" t="s">
        <v>29</v>
      </c>
      <c r="F3610" s="2" t="s">
        <v>21</v>
      </c>
      <c r="G3610">
        <v>38450</v>
      </c>
      <c r="H3610" s="1">
        <v>45214</v>
      </c>
      <c r="I3610">
        <v>11</v>
      </c>
      <c r="J3610">
        <v>5</v>
      </c>
      <c r="K3610">
        <v>3845</v>
      </c>
      <c r="L3610">
        <v>1922</v>
      </c>
      <c r="M3610">
        <v>40373</v>
      </c>
      <c r="N3610">
        <v>1922</v>
      </c>
      <c r="O3610">
        <v>44217</v>
      </c>
    </row>
    <row r="3611" spans="1:15" x14ac:dyDescent="0.35">
      <c r="A3611">
        <v>3610</v>
      </c>
      <c r="B3611" s="2" t="s">
        <v>26</v>
      </c>
      <c r="C3611" s="2" t="s">
        <v>15</v>
      </c>
      <c r="D3611">
        <v>22</v>
      </c>
      <c r="E3611" s="2" t="s">
        <v>28</v>
      </c>
      <c r="F3611" s="2" t="s">
        <v>17</v>
      </c>
      <c r="G3611">
        <v>81972</v>
      </c>
      <c r="H3611" s="1">
        <v>44936</v>
      </c>
      <c r="I3611">
        <v>16</v>
      </c>
      <c r="J3611">
        <v>5</v>
      </c>
      <c r="K3611">
        <v>8197</v>
      </c>
      <c r="L3611">
        <v>4099</v>
      </c>
      <c r="M3611">
        <v>86070</v>
      </c>
      <c r="N3611">
        <v>4099</v>
      </c>
      <c r="O3611">
        <v>94268</v>
      </c>
    </row>
    <row r="3612" spans="1:15" x14ac:dyDescent="0.35">
      <c r="A3612">
        <v>3611</v>
      </c>
      <c r="B3612" s="2" t="s">
        <v>10</v>
      </c>
      <c r="C3612" s="2" t="s">
        <v>11</v>
      </c>
      <c r="D3612">
        <v>45</v>
      </c>
      <c r="E3612" s="2" t="s">
        <v>24</v>
      </c>
      <c r="F3612" s="2" t="s">
        <v>25</v>
      </c>
      <c r="G3612">
        <v>33020</v>
      </c>
      <c r="H3612" s="1">
        <v>45450</v>
      </c>
      <c r="I3612">
        <v>3</v>
      </c>
      <c r="J3612">
        <v>1</v>
      </c>
      <c r="K3612">
        <v>3302</v>
      </c>
      <c r="L3612">
        <v>1651</v>
      </c>
      <c r="M3612">
        <v>34671</v>
      </c>
      <c r="N3612">
        <v>0</v>
      </c>
      <c r="O3612">
        <v>36322</v>
      </c>
    </row>
    <row r="3613" spans="1:15" x14ac:dyDescent="0.35">
      <c r="A3613">
        <v>3612</v>
      </c>
      <c r="B3613" s="2" t="s">
        <v>20</v>
      </c>
      <c r="C3613" s="2" t="s">
        <v>15</v>
      </c>
      <c r="D3613">
        <v>53</v>
      </c>
      <c r="E3613" s="2" t="s">
        <v>28</v>
      </c>
      <c r="F3613" s="2" t="s">
        <v>21</v>
      </c>
      <c r="G3613">
        <v>21132</v>
      </c>
      <c r="H3613" s="1">
        <v>45201</v>
      </c>
      <c r="I3613">
        <v>10</v>
      </c>
      <c r="J3613">
        <v>3</v>
      </c>
      <c r="K3613">
        <v>2113</v>
      </c>
      <c r="L3613">
        <v>1057</v>
      </c>
      <c r="M3613">
        <v>22188</v>
      </c>
      <c r="N3613">
        <v>1057</v>
      </c>
      <c r="O3613">
        <v>24302</v>
      </c>
    </row>
    <row r="3614" spans="1:15" x14ac:dyDescent="0.35">
      <c r="A3614">
        <v>3613</v>
      </c>
      <c r="B3614" s="2" t="s">
        <v>23</v>
      </c>
      <c r="C3614" s="2" t="s">
        <v>15</v>
      </c>
      <c r="D3614">
        <v>60</v>
      </c>
      <c r="E3614" s="2" t="s">
        <v>29</v>
      </c>
      <c r="F3614" s="2" t="s">
        <v>17</v>
      </c>
      <c r="G3614">
        <v>31792</v>
      </c>
      <c r="H3614" s="1">
        <v>44950</v>
      </c>
      <c r="I3614">
        <v>20</v>
      </c>
      <c r="J3614">
        <v>5</v>
      </c>
      <c r="K3614">
        <v>3179</v>
      </c>
      <c r="L3614">
        <v>1590</v>
      </c>
      <c r="M3614">
        <v>33381</v>
      </c>
      <c r="N3614">
        <v>1590</v>
      </c>
      <c r="O3614">
        <v>36561</v>
      </c>
    </row>
    <row r="3615" spans="1:15" x14ac:dyDescent="0.35">
      <c r="A3615">
        <v>3614</v>
      </c>
      <c r="B3615" s="2" t="s">
        <v>23</v>
      </c>
      <c r="C3615" s="2" t="s">
        <v>15</v>
      </c>
      <c r="D3615">
        <v>39</v>
      </c>
      <c r="E3615" s="2" t="s">
        <v>24</v>
      </c>
      <c r="F3615" s="2" t="s">
        <v>21</v>
      </c>
      <c r="G3615">
        <v>52811</v>
      </c>
      <c r="H3615" s="1">
        <v>44686</v>
      </c>
      <c r="I3615">
        <v>1</v>
      </c>
      <c r="J3615">
        <v>2</v>
      </c>
      <c r="K3615">
        <v>5281</v>
      </c>
      <c r="L3615">
        <v>2641</v>
      </c>
      <c r="M3615">
        <v>55451</v>
      </c>
      <c r="N3615">
        <v>0</v>
      </c>
      <c r="O3615">
        <v>58092</v>
      </c>
    </row>
    <row r="3616" spans="1:15" x14ac:dyDescent="0.35">
      <c r="A3616">
        <v>3615</v>
      </c>
      <c r="B3616" s="2" t="s">
        <v>22</v>
      </c>
      <c r="C3616" s="2" t="s">
        <v>15</v>
      </c>
      <c r="D3616">
        <v>32</v>
      </c>
      <c r="E3616" s="2" t="s">
        <v>29</v>
      </c>
      <c r="F3616" s="2" t="s">
        <v>19</v>
      </c>
      <c r="G3616">
        <v>35889</v>
      </c>
      <c r="H3616" s="1">
        <v>45161</v>
      </c>
      <c r="I3616">
        <v>6</v>
      </c>
      <c r="J3616">
        <v>4</v>
      </c>
      <c r="K3616">
        <v>3589</v>
      </c>
      <c r="L3616">
        <v>1794</v>
      </c>
      <c r="M3616">
        <v>37684</v>
      </c>
      <c r="N3616">
        <v>1794</v>
      </c>
      <c r="O3616">
        <v>41272</v>
      </c>
    </row>
    <row r="3617" spans="1:15" x14ac:dyDescent="0.35">
      <c r="A3617">
        <v>3616</v>
      </c>
      <c r="B3617" s="2" t="s">
        <v>23</v>
      </c>
      <c r="C3617" s="2" t="s">
        <v>11</v>
      </c>
      <c r="D3617">
        <v>31</v>
      </c>
      <c r="E3617" s="2" t="s">
        <v>16</v>
      </c>
      <c r="F3617" s="2" t="s">
        <v>21</v>
      </c>
      <c r="G3617">
        <v>36126</v>
      </c>
      <c r="H3617" s="1">
        <v>45190</v>
      </c>
      <c r="I3617">
        <v>2</v>
      </c>
      <c r="J3617">
        <v>4</v>
      </c>
      <c r="K3617">
        <v>3613</v>
      </c>
      <c r="L3617">
        <v>1806</v>
      </c>
      <c r="M3617">
        <v>37933</v>
      </c>
      <c r="N3617">
        <v>0</v>
      </c>
      <c r="O3617">
        <v>39739</v>
      </c>
    </row>
    <row r="3618" spans="1:15" x14ac:dyDescent="0.35">
      <c r="A3618">
        <v>3617</v>
      </c>
      <c r="B3618" s="2" t="s">
        <v>27</v>
      </c>
      <c r="C3618" s="2" t="s">
        <v>11</v>
      </c>
      <c r="D3618">
        <v>39</v>
      </c>
      <c r="E3618" s="2" t="s">
        <v>29</v>
      </c>
      <c r="F3618" s="2" t="s">
        <v>17</v>
      </c>
      <c r="G3618">
        <v>51450</v>
      </c>
      <c r="H3618" s="1">
        <v>45327</v>
      </c>
      <c r="I3618">
        <v>12</v>
      </c>
      <c r="J3618">
        <v>1</v>
      </c>
      <c r="K3618">
        <v>5145</v>
      </c>
      <c r="L3618">
        <v>2572</v>
      </c>
      <c r="M3618">
        <v>54023</v>
      </c>
      <c r="N3618">
        <v>2572</v>
      </c>
      <c r="O3618">
        <v>59167</v>
      </c>
    </row>
    <row r="3619" spans="1:15" x14ac:dyDescent="0.35">
      <c r="A3619">
        <v>3618</v>
      </c>
      <c r="B3619" s="2" t="s">
        <v>26</v>
      </c>
      <c r="C3619" s="2" t="s">
        <v>15</v>
      </c>
      <c r="D3619">
        <v>50</v>
      </c>
      <c r="E3619" s="2" t="s">
        <v>29</v>
      </c>
      <c r="F3619" s="2" t="s">
        <v>21</v>
      </c>
      <c r="G3619">
        <v>79695</v>
      </c>
      <c r="H3619" s="1">
        <v>45327</v>
      </c>
      <c r="I3619">
        <v>12</v>
      </c>
      <c r="J3619">
        <v>5</v>
      </c>
      <c r="K3619">
        <v>7970</v>
      </c>
      <c r="L3619">
        <v>3985</v>
      </c>
      <c r="M3619">
        <v>83680</v>
      </c>
      <c r="N3619">
        <v>3985</v>
      </c>
      <c r="O3619">
        <v>91650</v>
      </c>
    </row>
    <row r="3620" spans="1:15" x14ac:dyDescent="0.35">
      <c r="A3620">
        <v>3619</v>
      </c>
      <c r="B3620" s="2" t="s">
        <v>26</v>
      </c>
      <c r="C3620" s="2" t="s">
        <v>11</v>
      </c>
      <c r="D3620">
        <v>56</v>
      </c>
      <c r="E3620" s="2" t="s">
        <v>24</v>
      </c>
      <c r="F3620" s="2" t="s">
        <v>17</v>
      </c>
      <c r="G3620">
        <v>82740</v>
      </c>
      <c r="H3620" s="1">
        <v>45208</v>
      </c>
      <c r="I3620">
        <v>6</v>
      </c>
      <c r="J3620">
        <v>4</v>
      </c>
      <c r="K3620">
        <v>8274</v>
      </c>
      <c r="L3620">
        <v>4137</v>
      </c>
      <c r="M3620">
        <v>86877</v>
      </c>
      <c r="N3620">
        <v>4137</v>
      </c>
      <c r="O3620">
        <v>95151</v>
      </c>
    </row>
    <row r="3621" spans="1:15" x14ac:dyDescent="0.35">
      <c r="A3621">
        <v>3620</v>
      </c>
      <c r="B3621" s="2" t="s">
        <v>26</v>
      </c>
      <c r="C3621" s="2" t="s">
        <v>11</v>
      </c>
      <c r="D3621">
        <v>39</v>
      </c>
      <c r="E3621" s="2" t="s">
        <v>28</v>
      </c>
      <c r="F3621" s="2" t="s">
        <v>13</v>
      </c>
      <c r="G3621">
        <v>84539</v>
      </c>
      <c r="H3621" s="1">
        <v>45319</v>
      </c>
      <c r="I3621">
        <v>16</v>
      </c>
      <c r="J3621">
        <v>3</v>
      </c>
      <c r="K3621">
        <v>8454</v>
      </c>
      <c r="L3621">
        <v>4227</v>
      </c>
      <c r="M3621">
        <v>88766</v>
      </c>
      <c r="N3621">
        <v>4227</v>
      </c>
      <c r="O3621">
        <v>97220</v>
      </c>
    </row>
    <row r="3622" spans="1:15" x14ac:dyDescent="0.35">
      <c r="A3622">
        <v>3621</v>
      </c>
      <c r="B3622" s="2" t="s">
        <v>31</v>
      </c>
      <c r="C3622" s="2" t="s">
        <v>11</v>
      </c>
      <c r="D3622">
        <v>30</v>
      </c>
      <c r="E3622" s="2" t="s">
        <v>16</v>
      </c>
      <c r="F3622" s="2" t="s">
        <v>25</v>
      </c>
      <c r="G3622">
        <v>47555</v>
      </c>
      <c r="H3622" s="1">
        <v>45252</v>
      </c>
      <c r="I3622">
        <v>1</v>
      </c>
      <c r="J3622">
        <v>2</v>
      </c>
      <c r="K3622">
        <v>4756</v>
      </c>
      <c r="L3622">
        <v>2378</v>
      </c>
      <c r="M3622">
        <v>49933</v>
      </c>
      <c r="N3622">
        <v>0</v>
      </c>
      <c r="O3622">
        <v>52311</v>
      </c>
    </row>
    <row r="3623" spans="1:15" x14ac:dyDescent="0.35">
      <c r="A3623">
        <v>3622</v>
      </c>
      <c r="B3623" s="2" t="s">
        <v>14</v>
      </c>
      <c r="C3623" s="2" t="s">
        <v>11</v>
      </c>
      <c r="D3623">
        <v>22</v>
      </c>
      <c r="E3623" s="2" t="s">
        <v>24</v>
      </c>
      <c r="F3623" s="2" t="s">
        <v>17</v>
      </c>
      <c r="G3623">
        <v>27591</v>
      </c>
      <c r="H3623" s="1">
        <v>45020</v>
      </c>
      <c r="I3623">
        <v>11</v>
      </c>
      <c r="J3623">
        <v>4</v>
      </c>
      <c r="K3623">
        <v>2759</v>
      </c>
      <c r="L3623">
        <v>1380</v>
      </c>
      <c r="M3623">
        <v>28970</v>
      </c>
      <c r="N3623">
        <v>1380</v>
      </c>
      <c r="O3623">
        <v>31730</v>
      </c>
    </row>
    <row r="3624" spans="1:15" x14ac:dyDescent="0.35">
      <c r="A3624">
        <v>3623</v>
      </c>
      <c r="B3624" s="2" t="s">
        <v>18</v>
      </c>
      <c r="C3624" s="2" t="s">
        <v>11</v>
      </c>
      <c r="D3624">
        <v>33</v>
      </c>
      <c r="E3624" s="2" t="s">
        <v>24</v>
      </c>
      <c r="F3624" s="2" t="s">
        <v>21</v>
      </c>
      <c r="G3624">
        <v>38883</v>
      </c>
      <c r="H3624" s="1">
        <v>44959</v>
      </c>
      <c r="I3624">
        <v>4</v>
      </c>
      <c r="J3624">
        <v>2</v>
      </c>
      <c r="K3624">
        <v>3888</v>
      </c>
      <c r="L3624">
        <v>1944</v>
      </c>
      <c r="M3624">
        <v>40827</v>
      </c>
      <c r="N3624">
        <v>0</v>
      </c>
      <c r="O3624">
        <v>42771</v>
      </c>
    </row>
    <row r="3625" spans="1:15" x14ac:dyDescent="0.35">
      <c r="A3625">
        <v>3624</v>
      </c>
      <c r="B3625" s="2" t="s">
        <v>18</v>
      </c>
      <c r="C3625" s="2" t="s">
        <v>11</v>
      </c>
      <c r="D3625">
        <v>56</v>
      </c>
      <c r="E3625" s="2" t="s">
        <v>29</v>
      </c>
      <c r="F3625" s="2" t="s">
        <v>25</v>
      </c>
      <c r="G3625">
        <v>28799</v>
      </c>
      <c r="H3625" s="1">
        <v>45364</v>
      </c>
      <c r="I3625">
        <v>20</v>
      </c>
      <c r="J3625">
        <v>2</v>
      </c>
      <c r="K3625">
        <v>2880</v>
      </c>
      <c r="L3625">
        <v>1440</v>
      </c>
      <c r="M3625">
        <v>30239</v>
      </c>
      <c r="N3625">
        <v>1440</v>
      </c>
      <c r="O3625">
        <v>33119</v>
      </c>
    </row>
    <row r="3626" spans="1:15" x14ac:dyDescent="0.35">
      <c r="A3626">
        <v>3625</v>
      </c>
      <c r="B3626" s="2" t="s">
        <v>23</v>
      </c>
      <c r="C3626" s="2" t="s">
        <v>15</v>
      </c>
      <c r="D3626">
        <v>59</v>
      </c>
      <c r="E3626" s="2" t="s">
        <v>16</v>
      </c>
      <c r="F3626" s="2" t="s">
        <v>21</v>
      </c>
      <c r="G3626">
        <v>88052</v>
      </c>
      <c r="H3626" s="1">
        <v>44852</v>
      </c>
      <c r="I3626">
        <v>17</v>
      </c>
      <c r="J3626">
        <v>1</v>
      </c>
      <c r="K3626">
        <v>8805</v>
      </c>
      <c r="L3626">
        <v>4403</v>
      </c>
      <c r="M3626">
        <v>92454</v>
      </c>
      <c r="N3626">
        <v>4403</v>
      </c>
      <c r="O3626">
        <v>101260</v>
      </c>
    </row>
    <row r="3627" spans="1:15" x14ac:dyDescent="0.35">
      <c r="A3627">
        <v>3626</v>
      </c>
      <c r="B3627" s="2" t="s">
        <v>22</v>
      </c>
      <c r="C3627" s="2" t="s">
        <v>15</v>
      </c>
      <c r="D3627">
        <v>24</v>
      </c>
      <c r="E3627" s="2" t="s">
        <v>24</v>
      </c>
      <c r="F3627" s="2" t="s">
        <v>21</v>
      </c>
      <c r="G3627">
        <v>23357</v>
      </c>
      <c r="H3627" s="1">
        <v>44949</v>
      </c>
      <c r="I3627">
        <v>8</v>
      </c>
      <c r="J3627">
        <v>1</v>
      </c>
      <c r="K3627">
        <v>2336</v>
      </c>
      <c r="L3627">
        <v>1168</v>
      </c>
      <c r="M3627">
        <v>24525</v>
      </c>
      <c r="N3627">
        <v>1168</v>
      </c>
      <c r="O3627">
        <v>26861</v>
      </c>
    </row>
    <row r="3628" spans="1:15" x14ac:dyDescent="0.35">
      <c r="A3628">
        <v>3627</v>
      </c>
      <c r="B3628" s="2" t="s">
        <v>20</v>
      </c>
      <c r="C3628" s="2" t="s">
        <v>11</v>
      </c>
      <c r="D3628">
        <v>60</v>
      </c>
      <c r="E3628" s="2" t="s">
        <v>28</v>
      </c>
      <c r="F3628" s="2" t="s">
        <v>21</v>
      </c>
      <c r="G3628">
        <v>97437</v>
      </c>
      <c r="H3628" s="1">
        <v>44666</v>
      </c>
      <c r="I3628">
        <v>1</v>
      </c>
      <c r="J3628">
        <v>4</v>
      </c>
      <c r="K3628">
        <v>9744</v>
      </c>
      <c r="L3628">
        <v>4872</v>
      </c>
      <c r="M3628">
        <v>102309</v>
      </c>
      <c r="N3628">
        <v>0</v>
      </c>
      <c r="O3628">
        <v>107181</v>
      </c>
    </row>
    <row r="3629" spans="1:15" x14ac:dyDescent="0.35">
      <c r="A3629">
        <v>3628</v>
      </c>
      <c r="B3629" s="2" t="s">
        <v>22</v>
      </c>
      <c r="C3629" s="2" t="s">
        <v>15</v>
      </c>
      <c r="D3629">
        <v>45</v>
      </c>
      <c r="E3629" s="2" t="s">
        <v>16</v>
      </c>
      <c r="F3629" s="2" t="s">
        <v>17</v>
      </c>
      <c r="G3629">
        <v>85850</v>
      </c>
      <c r="H3629" s="1">
        <v>45369</v>
      </c>
      <c r="I3629">
        <v>3</v>
      </c>
      <c r="J3629">
        <v>1</v>
      </c>
      <c r="K3629">
        <v>8585</v>
      </c>
      <c r="L3629">
        <v>4292</v>
      </c>
      <c r="M3629">
        <v>90143</v>
      </c>
      <c r="N3629">
        <v>0</v>
      </c>
      <c r="O3629">
        <v>94435</v>
      </c>
    </row>
    <row r="3630" spans="1:15" x14ac:dyDescent="0.35">
      <c r="A3630">
        <v>3629</v>
      </c>
      <c r="B3630" s="2" t="s">
        <v>10</v>
      </c>
      <c r="C3630" s="2" t="s">
        <v>11</v>
      </c>
      <c r="D3630">
        <v>45</v>
      </c>
      <c r="E3630" s="2" t="s">
        <v>28</v>
      </c>
      <c r="F3630" s="2" t="s">
        <v>21</v>
      </c>
      <c r="G3630">
        <v>46964</v>
      </c>
      <c r="H3630" s="1">
        <v>45547</v>
      </c>
      <c r="I3630">
        <v>12</v>
      </c>
      <c r="J3630">
        <v>1</v>
      </c>
      <c r="K3630">
        <v>4696</v>
      </c>
      <c r="L3630">
        <v>2348</v>
      </c>
      <c r="M3630">
        <v>49312</v>
      </c>
      <c r="N3630">
        <v>2348</v>
      </c>
      <c r="O3630">
        <v>54008</v>
      </c>
    </row>
    <row r="3631" spans="1:15" x14ac:dyDescent="0.35">
      <c r="A3631">
        <v>3630</v>
      </c>
      <c r="B3631" s="2" t="s">
        <v>23</v>
      </c>
      <c r="C3631" s="2" t="s">
        <v>15</v>
      </c>
      <c r="D3631">
        <v>54</v>
      </c>
      <c r="E3631" s="2" t="s">
        <v>24</v>
      </c>
      <c r="F3631" s="2" t="s">
        <v>25</v>
      </c>
      <c r="G3631">
        <v>53717</v>
      </c>
      <c r="H3631" s="1">
        <v>45245</v>
      </c>
      <c r="I3631">
        <v>13</v>
      </c>
      <c r="J3631">
        <v>4</v>
      </c>
      <c r="K3631">
        <v>5372</v>
      </c>
      <c r="L3631">
        <v>2686</v>
      </c>
      <c r="M3631">
        <v>56403</v>
      </c>
      <c r="N3631">
        <v>2686</v>
      </c>
      <c r="O3631">
        <v>61775</v>
      </c>
    </row>
    <row r="3632" spans="1:15" x14ac:dyDescent="0.35">
      <c r="A3632">
        <v>3631</v>
      </c>
      <c r="B3632" s="2" t="s">
        <v>31</v>
      </c>
      <c r="C3632" s="2" t="s">
        <v>15</v>
      </c>
      <c r="D3632">
        <v>54</v>
      </c>
      <c r="E3632" s="2" t="s">
        <v>24</v>
      </c>
      <c r="F3632" s="2" t="s">
        <v>19</v>
      </c>
      <c r="G3632">
        <v>45757</v>
      </c>
      <c r="H3632" s="1">
        <v>45534</v>
      </c>
      <c r="I3632">
        <v>5</v>
      </c>
      <c r="J3632">
        <v>4</v>
      </c>
      <c r="K3632">
        <v>4576</v>
      </c>
      <c r="L3632">
        <v>2288</v>
      </c>
      <c r="M3632">
        <v>48045</v>
      </c>
      <c r="N3632">
        <v>0</v>
      </c>
      <c r="O3632">
        <v>50333</v>
      </c>
    </row>
    <row r="3633" spans="1:15" x14ac:dyDescent="0.35">
      <c r="A3633">
        <v>3632</v>
      </c>
      <c r="B3633" s="2" t="s">
        <v>20</v>
      </c>
      <c r="C3633" s="2" t="s">
        <v>15</v>
      </c>
      <c r="D3633">
        <v>44</v>
      </c>
      <c r="E3633" s="2" t="s">
        <v>28</v>
      </c>
      <c r="F3633" s="2" t="s">
        <v>21</v>
      </c>
      <c r="G3633">
        <v>75604</v>
      </c>
      <c r="H3633" s="1">
        <v>44882</v>
      </c>
      <c r="I3633">
        <v>3</v>
      </c>
      <c r="J3633">
        <v>4</v>
      </c>
      <c r="K3633">
        <v>7560</v>
      </c>
      <c r="L3633">
        <v>3780</v>
      </c>
      <c r="M3633">
        <v>79384</v>
      </c>
      <c r="N3633">
        <v>0</v>
      </c>
      <c r="O3633">
        <v>83164</v>
      </c>
    </row>
    <row r="3634" spans="1:15" x14ac:dyDescent="0.35">
      <c r="A3634">
        <v>3633</v>
      </c>
      <c r="B3634" s="2" t="s">
        <v>14</v>
      </c>
      <c r="C3634" s="2" t="s">
        <v>15</v>
      </c>
      <c r="D3634">
        <v>37</v>
      </c>
      <c r="E3634" s="2" t="s">
        <v>12</v>
      </c>
      <c r="F3634" s="2" t="s">
        <v>17</v>
      </c>
      <c r="G3634">
        <v>24666</v>
      </c>
      <c r="H3634" s="1">
        <v>44613</v>
      </c>
      <c r="I3634">
        <v>5</v>
      </c>
      <c r="J3634">
        <v>1</v>
      </c>
      <c r="K3634">
        <v>2467</v>
      </c>
      <c r="L3634">
        <v>1233</v>
      </c>
      <c r="M3634">
        <v>25900</v>
      </c>
      <c r="N3634">
        <v>0</v>
      </c>
      <c r="O3634">
        <v>27133</v>
      </c>
    </row>
    <row r="3635" spans="1:15" x14ac:dyDescent="0.35">
      <c r="A3635">
        <v>3634</v>
      </c>
      <c r="B3635" s="2" t="s">
        <v>27</v>
      </c>
      <c r="C3635" s="2" t="s">
        <v>11</v>
      </c>
      <c r="D3635">
        <v>45</v>
      </c>
      <c r="E3635" s="2" t="s">
        <v>28</v>
      </c>
      <c r="F3635" s="2" t="s">
        <v>21</v>
      </c>
      <c r="G3635">
        <v>40316</v>
      </c>
      <c r="H3635" s="1">
        <v>45273</v>
      </c>
      <c r="I3635">
        <v>17</v>
      </c>
      <c r="J3635">
        <v>2</v>
      </c>
      <c r="K3635">
        <v>4032</v>
      </c>
      <c r="L3635">
        <v>2016</v>
      </c>
      <c r="M3635">
        <v>42332</v>
      </c>
      <c r="N3635">
        <v>2016</v>
      </c>
      <c r="O3635">
        <v>46364</v>
      </c>
    </row>
    <row r="3636" spans="1:15" x14ac:dyDescent="0.35">
      <c r="A3636">
        <v>3635</v>
      </c>
      <c r="B3636" s="2" t="s">
        <v>18</v>
      </c>
      <c r="C3636" s="2" t="s">
        <v>11</v>
      </c>
      <c r="D3636">
        <v>57</v>
      </c>
      <c r="E3636" s="2" t="s">
        <v>29</v>
      </c>
      <c r="F3636" s="2" t="s">
        <v>17</v>
      </c>
      <c r="G3636">
        <v>63516</v>
      </c>
      <c r="H3636" s="1">
        <v>45316</v>
      </c>
      <c r="I3636">
        <v>18</v>
      </c>
      <c r="J3636">
        <v>3</v>
      </c>
      <c r="K3636">
        <v>6352</v>
      </c>
      <c r="L3636">
        <v>3176</v>
      </c>
      <c r="M3636">
        <v>66692</v>
      </c>
      <c r="N3636">
        <v>3176</v>
      </c>
      <c r="O3636">
        <v>73044</v>
      </c>
    </row>
    <row r="3637" spans="1:15" x14ac:dyDescent="0.35">
      <c r="A3637">
        <v>3636</v>
      </c>
      <c r="B3637" s="2" t="s">
        <v>23</v>
      </c>
      <c r="C3637" s="2" t="s">
        <v>15</v>
      </c>
      <c r="D3637">
        <v>44</v>
      </c>
      <c r="E3637" s="2" t="s">
        <v>24</v>
      </c>
      <c r="F3637" s="2" t="s">
        <v>17</v>
      </c>
      <c r="G3637">
        <v>92088</v>
      </c>
      <c r="H3637" s="1">
        <v>45539</v>
      </c>
      <c r="I3637">
        <v>14</v>
      </c>
      <c r="J3637">
        <v>5</v>
      </c>
      <c r="K3637">
        <v>9209</v>
      </c>
      <c r="L3637">
        <v>4604</v>
      </c>
      <c r="M3637">
        <v>96693</v>
      </c>
      <c r="N3637">
        <v>4604</v>
      </c>
      <c r="O3637">
        <v>105901</v>
      </c>
    </row>
    <row r="3638" spans="1:15" x14ac:dyDescent="0.35">
      <c r="A3638">
        <v>3637</v>
      </c>
      <c r="B3638" s="2" t="s">
        <v>31</v>
      </c>
      <c r="C3638" s="2" t="s">
        <v>11</v>
      </c>
      <c r="D3638">
        <v>22</v>
      </c>
      <c r="E3638" s="2" t="s">
        <v>28</v>
      </c>
      <c r="F3638" s="2" t="s">
        <v>13</v>
      </c>
      <c r="G3638">
        <v>23089</v>
      </c>
      <c r="H3638" s="1">
        <v>45390</v>
      </c>
      <c r="I3638">
        <v>8</v>
      </c>
      <c r="J3638">
        <v>1</v>
      </c>
      <c r="K3638">
        <v>2309</v>
      </c>
      <c r="L3638">
        <v>1154</v>
      </c>
      <c r="M3638">
        <v>24244</v>
      </c>
      <c r="N3638">
        <v>1154</v>
      </c>
      <c r="O3638">
        <v>26552</v>
      </c>
    </row>
    <row r="3639" spans="1:15" x14ac:dyDescent="0.35">
      <c r="A3639">
        <v>3638</v>
      </c>
      <c r="B3639" s="2" t="s">
        <v>20</v>
      </c>
      <c r="C3639" s="2" t="s">
        <v>11</v>
      </c>
      <c r="D3639">
        <v>36</v>
      </c>
      <c r="E3639" s="2" t="s">
        <v>24</v>
      </c>
      <c r="F3639" s="2" t="s">
        <v>17</v>
      </c>
      <c r="G3639">
        <v>89081</v>
      </c>
      <c r="H3639" s="1">
        <v>45255</v>
      </c>
      <c r="I3639">
        <v>11</v>
      </c>
      <c r="J3639">
        <v>1</v>
      </c>
      <c r="K3639">
        <v>8908</v>
      </c>
      <c r="L3639">
        <v>4454</v>
      </c>
      <c r="M3639">
        <v>93535</v>
      </c>
      <c r="N3639">
        <v>4454</v>
      </c>
      <c r="O3639">
        <v>102443</v>
      </c>
    </row>
    <row r="3640" spans="1:15" x14ac:dyDescent="0.35">
      <c r="A3640">
        <v>3639</v>
      </c>
      <c r="B3640" s="2" t="s">
        <v>10</v>
      </c>
      <c r="C3640" s="2" t="s">
        <v>15</v>
      </c>
      <c r="D3640">
        <v>35</v>
      </c>
      <c r="E3640" s="2" t="s">
        <v>24</v>
      </c>
      <c r="F3640" s="2" t="s">
        <v>21</v>
      </c>
      <c r="G3640">
        <v>33307</v>
      </c>
      <c r="H3640" s="1">
        <v>45191</v>
      </c>
      <c r="I3640">
        <v>10</v>
      </c>
      <c r="J3640">
        <v>3</v>
      </c>
      <c r="K3640">
        <v>3331</v>
      </c>
      <c r="L3640">
        <v>1665</v>
      </c>
      <c r="M3640">
        <v>34973</v>
      </c>
      <c r="N3640">
        <v>1665</v>
      </c>
      <c r="O3640">
        <v>38303</v>
      </c>
    </row>
    <row r="3641" spans="1:15" x14ac:dyDescent="0.35">
      <c r="A3641">
        <v>3640</v>
      </c>
      <c r="B3641" s="2" t="s">
        <v>30</v>
      </c>
      <c r="C3641" s="2" t="s">
        <v>15</v>
      </c>
      <c r="D3641">
        <v>39</v>
      </c>
      <c r="E3641" s="2" t="s">
        <v>29</v>
      </c>
      <c r="F3641" s="2" t="s">
        <v>17</v>
      </c>
      <c r="G3641">
        <v>66823</v>
      </c>
      <c r="H3641" s="1">
        <v>44998</v>
      </c>
      <c r="I3641">
        <v>19</v>
      </c>
      <c r="J3641">
        <v>5</v>
      </c>
      <c r="K3641">
        <v>6682</v>
      </c>
      <c r="L3641">
        <v>3341</v>
      </c>
      <c r="M3641">
        <v>70164</v>
      </c>
      <c r="N3641">
        <v>3341</v>
      </c>
      <c r="O3641">
        <v>76846</v>
      </c>
    </row>
    <row r="3642" spans="1:15" x14ac:dyDescent="0.35">
      <c r="A3642">
        <v>3641</v>
      </c>
      <c r="B3642" s="2" t="s">
        <v>31</v>
      </c>
      <c r="C3642" s="2" t="s">
        <v>11</v>
      </c>
      <c r="D3642">
        <v>55</v>
      </c>
      <c r="E3642" s="2" t="s">
        <v>12</v>
      </c>
      <c r="F3642" s="2" t="s">
        <v>13</v>
      </c>
      <c r="G3642">
        <v>40578</v>
      </c>
      <c r="H3642" s="1">
        <v>44831</v>
      </c>
      <c r="I3642">
        <v>6</v>
      </c>
      <c r="J3642">
        <v>1</v>
      </c>
      <c r="K3642">
        <v>4058</v>
      </c>
      <c r="L3642">
        <v>2029</v>
      </c>
      <c r="M3642">
        <v>42607</v>
      </c>
      <c r="N3642">
        <v>2029</v>
      </c>
      <c r="O3642">
        <v>46665</v>
      </c>
    </row>
    <row r="3643" spans="1:15" x14ac:dyDescent="0.35">
      <c r="A3643">
        <v>3642</v>
      </c>
      <c r="B3643" s="2" t="s">
        <v>22</v>
      </c>
      <c r="C3643" s="2" t="s">
        <v>11</v>
      </c>
      <c r="D3643">
        <v>48</v>
      </c>
      <c r="E3643" s="2" t="s">
        <v>16</v>
      </c>
      <c r="F3643" s="2" t="s">
        <v>13</v>
      </c>
      <c r="G3643">
        <v>23362</v>
      </c>
      <c r="H3643" s="1">
        <v>45134</v>
      </c>
      <c r="I3643">
        <v>16</v>
      </c>
      <c r="J3643">
        <v>4</v>
      </c>
      <c r="K3643">
        <v>2336</v>
      </c>
      <c r="L3643">
        <v>1168</v>
      </c>
      <c r="M3643">
        <v>24530</v>
      </c>
      <c r="N3643">
        <v>1168</v>
      </c>
      <c r="O3643">
        <v>26866</v>
      </c>
    </row>
    <row r="3644" spans="1:15" x14ac:dyDescent="0.35">
      <c r="A3644">
        <v>3643</v>
      </c>
      <c r="B3644" s="2" t="s">
        <v>18</v>
      </c>
      <c r="C3644" s="2" t="s">
        <v>11</v>
      </c>
      <c r="D3644">
        <v>23</v>
      </c>
      <c r="E3644" s="2" t="s">
        <v>28</v>
      </c>
      <c r="F3644" s="2" t="s">
        <v>17</v>
      </c>
      <c r="G3644">
        <v>75373</v>
      </c>
      <c r="H3644" s="1">
        <v>45179</v>
      </c>
      <c r="I3644">
        <v>14</v>
      </c>
      <c r="J3644">
        <v>2</v>
      </c>
      <c r="K3644">
        <v>7537</v>
      </c>
      <c r="L3644">
        <v>3769</v>
      </c>
      <c r="M3644">
        <v>79141</v>
      </c>
      <c r="N3644">
        <v>3769</v>
      </c>
      <c r="O3644">
        <v>86679</v>
      </c>
    </row>
    <row r="3645" spans="1:15" x14ac:dyDescent="0.35">
      <c r="A3645">
        <v>3644</v>
      </c>
      <c r="B3645" s="2" t="s">
        <v>27</v>
      </c>
      <c r="C3645" s="2" t="s">
        <v>15</v>
      </c>
      <c r="D3645">
        <v>60</v>
      </c>
      <c r="E3645" s="2" t="s">
        <v>29</v>
      </c>
      <c r="F3645" s="2" t="s">
        <v>21</v>
      </c>
      <c r="G3645">
        <v>45922</v>
      </c>
      <c r="H3645" s="1">
        <v>44830</v>
      </c>
      <c r="I3645">
        <v>16</v>
      </c>
      <c r="J3645">
        <v>1</v>
      </c>
      <c r="K3645">
        <v>4592</v>
      </c>
      <c r="L3645">
        <v>2296</v>
      </c>
      <c r="M3645">
        <v>48218</v>
      </c>
      <c r="N3645">
        <v>2296</v>
      </c>
      <c r="O3645">
        <v>52810</v>
      </c>
    </row>
    <row r="3646" spans="1:15" x14ac:dyDescent="0.35">
      <c r="A3646">
        <v>3645</v>
      </c>
      <c r="B3646" s="2" t="s">
        <v>14</v>
      </c>
      <c r="C3646" s="2" t="s">
        <v>11</v>
      </c>
      <c r="D3646">
        <v>48</v>
      </c>
      <c r="E3646" s="2" t="s">
        <v>16</v>
      </c>
      <c r="F3646" s="2" t="s">
        <v>13</v>
      </c>
      <c r="G3646">
        <v>58620</v>
      </c>
      <c r="H3646" s="1">
        <v>45074</v>
      </c>
      <c r="I3646">
        <v>3</v>
      </c>
      <c r="J3646">
        <v>4</v>
      </c>
      <c r="K3646">
        <v>5862</v>
      </c>
      <c r="L3646">
        <v>2931</v>
      </c>
      <c r="M3646">
        <v>61551</v>
      </c>
      <c r="N3646">
        <v>0</v>
      </c>
      <c r="O3646">
        <v>64482</v>
      </c>
    </row>
    <row r="3647" spans="1:15" x14ac:dyDescent="0.35">
      <c r="A3647">
        <v>3646</v>
      </c>
      <c r="B3647" s="2" t="s">
        <v>26</v>
      </c>
      <c r="C3647" s="2" t="s">
        <v>11</v>
      </c>
      <c r="D3647">
        <v>52</v>
      </c>
      <c r="E3647" s="2" t="s">
        <v>16</v>
      </c>
      <c r="F3647" s="2" t="s">
        <v>17</v>
      </c>
      <c r="G3647">
        <v>72526</v>
      </c>
      <c r="H3647" s="1">
        <v>45061</v>
      </c>
      <c r="I3647">
        <v>9</v>
      </c>
      <c r="J3647">
        <v>1</v>
      </c>
      <c r="K3647">
        <v>7253</v>
      </c>
      <c r="L3647">
        <v>3626</v>
      </c>
      <c r="M3647">
        <v>76153</v>
      </c>
      <c r="N3647">
        <v>3626</v>
      </c>
      <c r="O3647">
        <v>83405</v>
      </c>
    </row>
    <row r="3648" spans="1:15" x14ac:dyDescent="0.35">
      <c r="A3648">
        <v>3647</v>
      </c>
      <c r="B3648" s="2" t="s">
        <v>31</v>
      </c>
      <c r="C3648" s="2" t="s">
        <v>15</v>
      </c>
      <c r="D3648">
        <v>26</v>
      </c>
      <c r="E3648" s="2" t="s">
        <v>24</v>
      </c>
      <c r="F3648" s="2" t="s">
        <v>17</v>
      </c>
      <c r="G3648">
        <v>38323</v>
      </c>
      <c r="H3648" s="1">
        <v>44953</v>
      </c>
      <c r="I3648">
        <v>2</v>
      </c>
      <c r="J3648">
        <v>5</v>
      </c>
      <c r="K3648">
        <v>3832</v>
      </c>
      <c r="L3648">
        <v>1916</v>
      </c>
      <c r="M3648">
        <v>40239</v>
      </c>
      <c r="N3648">
        <v>0</v>
      </c>
      <c r="O3648">
        <v>42155</v>
      </c>
    </row>
    <row r="3649" spans="1:15" x14ac:dyDescent="0.35">
      <c r="A3649">
        <v>3648</v>
      </c>
      <c r="B3649" s="2" t="s">
        <v>18</v>
      </c>
      <c r="C3649" s="2" t="s">
        <v>11</v>
      </c>
      <c r="D3649">
        <v>24</v>
      </c>
      <c r="E3649" s="2" t="s">
        <v>24</v>
      </c>
      <c r="F3649" s="2" t="s">
        <v>19</v>
      </c>
      <c r="G3649">
        <v>71137</v>
      </c>
      <c r="H3649" s="1">
        <v>45283</v>
      </c>
      <c r="I3649">
        <v>19</v>
      </c>
      <c r="J3649">
        <v>4</v>
      </c>
      <c r="K3649">
        <v>7114</v>
      </c>
      <c r="L3649">
        <v>3557</v>
      </c>
      <c r="M3649">
        <v>74694</v>
      </c>
      <c r="N3649">
        <v>3557</v>
      </c>
      <c r="O3649">
        <v>81808</v>
      </c>
    </row>
    <row r="3650" spans="1:15" x14ac:dyDescent="0.35">
      <c r="A3650">
        <v>3649</v>
      </c>
      <c r="B3650" s="2" t="s">
        <v>31</v>
      </c>
      <c r="C3650" s="2" t="s">
        <v>11</v>
      </c>
      <c r="D3650">
        <v>51</v>
      </c>
      <c r="E3650" s="2" t="s">
        <v>12</v>
      </c>
      <c r="F3650" s="2" t="s">
        <v>21</v>
      </c>
      <c r="G3650">
        <v>91041</v>
      </c>
      <c r="H3650" s="1">
        <v>45200</v>
      </c>
      <c r="I3650">
        <v>20</v>
      </c>
      <c r="J3650">
        <v>4</v>
      </c>
      <c r="K3650">
        <v>9104</v>
      </c>
      <c r="L3650">
        <v>4552</v>
      </c>
      <c r="M3650">
        <v>95593</v>
      </c>
      <c r="N3650">
        <v>4552</v>
      </c>
      <c r="O3650">
        <v>104697</v>
      </c>
    </row>
    <row r="3651" spans="1:15" x14ac:dyDescent="0.35">
      <c r="A3651">
        <v>3650</v>
      </c>
      <c r="B3651" s="2" t="s">
        <v>27</v>
      </c>
      <c r="C3651" s="2" t="s">
        <v>15</v>
      </c>
      <c r="D3651">
        <v>35</v>
      </c>
      <c r="E3651" s="2" t="s">
        <v>28</v>
      </c>
      <c r="F3651" s="2" t="s">
        <v>19</v>
      </c>
      <c r="G3651">
        <v>33456</v>
      </c>
      <c r="H3651" s="1">
        <v>45174</v>
      </c>
      <c r="I3651">
        <v>2</v>
      </c>
      <c r="J3651">
        <v>1</v>
      </c>
      <c r="K3651">
        <v>3346</v>
      </c>
      <c r="L3651">
        <v>1673</v>
      </c>
      <c r="M3651">
        <v>35129</v>
      </c>
      <c r="N3651">
        <v>0</v>
      </c>
      <c r="O3651">
        <v>36802</v>
      </c>
    </row>
    <row r="3652" spans="1:15" x14ac:dyDescent="0.35">
      <c r="A3652">
        <v>3651</v>
      </c>
      <c r="B3652" s="2" t="s">
        <v>18</v>
      </c>
      <c r="C3652" s="2" t="s">
        <v>15</v>
      </c>
      <c r="D3652">
        <v>34</v>
      </c>
      <c r="E3652" s="2" t="s">
        <v>12</v>
      </c>
      <c r="F3652" s="2" t="s">
        <v>21</v>
      </c>
      <c r="G3652">
        <v>49240</v>
      </c>
      <c r="H3652" s="1">
        <v>45326</v>
      </c>
      <c r="I3652">
        <v>18</v>
      </c>
      <c r="J3652">
        <v>5</v>
      </c>
      <c r="K3652">
        <v>4924</v>
      </c>
      <c r="L3652">
        <v>2462</v>
      </c>
      <c r="M3652">
        <v>51702</v>
      </c>
      <c r="N3652">
        <v>2462</v>
      </c>
      <c r="O3652">
        <v>56626</v>
      </c>
    </row>
    <row r="3653" spans="1:15" x14ac:dyDescent="0.35">
      <c r="A3653">
        <v>3652</v>
      </c>
      <c r="B3653" s="2" t="s">
        <v>14</v>
      </c>
      <c r="C3653" s="2" t="s">
        <v>15</v>
      </c>
      <c r="D3653">
        <v>59</v>
      </c>
      <c r="E3653" s="2" t="s">
        <v>12</v>
      </c>
      <c r="F3653" s="2" t="s">
        <v>25</v>
      </c>
      <c r="G3653">
        <v>20301</v>
      </c>
      <c r="H3653" s="1">
        <v>44607</v>
      </c>
      <c r="I3653">
        <v>18</v>
      </c>
      <c r="J3653">
        <v>1</v>
      </c>
      <c r="K3653">
        <v>2030</v>
      </c>
      <c r="L3653">
        <v>1015</v>
      </c>
      <c r="M3653">
        <v>21316</v>
      </c>
      <c r="N3653">
        <v>1015</v>
      </c>
      <c r="O3653">
        <v>23346</v>
      </c>
    </row>
    <row r="3654" spans="1:15" x14ac:dyDescent="0.35">
      <c r="A3654">
        <v>3653</v>
      </c>
      <c r="B3654" s="2" t="s">
        <v>26</v>
      </c>
      <c r="C3654" s="2" t="s">
        <v>15</v>
      </c>
      <c r="D3654">
        <v>23</v>
      </c>
      <c r="E3654" s="2" t="s">
        <v>28</v>
      </c>
      <c r="F3654" s="2" t="s">
        <v>25</v>
      </c>
      <c r="G3654">
        <v>52423</v>
      </c>
      <c r="H3654" s="1">
        <v>45069</v>
      </c>
      <c r="I3654">
        <v>14</v>
      </c>
      <c r="J3654">
        <v>2</v>
      </c>
      <c r="K3654">
        <v>5242</v>
      </c>
      <c r="L3654">
        <v>2621</v>
      </c>
      <c r="M3654">
        <v>55044</v>
      </c>
      <c r="N3654">
        <v>2621</v>
      </c>
      <c r="O3654">
        <v>60286</v>
      </c>
    </row>
    <row r="3655" spans="1:15" x14ac:dyDescent="0.35">
      <c r="A3655">
        <v>3654</v>
      </c>
      <c r="B3655" s="2" t="s">
        <v>31</v>
      </c>
      <c r="C3655" s="2" t="s">
        <v>11</v>
      </c>
      <c r="D3655">
        <v>57</v>
      </c>
      <c r="E3655" s="2" t="s">
        <v>24</v>
      </c>
      <c r="F3655" s="2" t="s">
        <v>13</v>
      </c>
      <c r="G3655">
        <v>82175</v>
      </c>
      <c r="H3655" s="1">
        <v>44852</v>
      </c>
      <c r="I3655">
        <v>12</v>
      </c>
      <c r="J3655">
        <v>1</v>
      </c>
      <c r="K3655">
        <v>8218</v>
      </c>
      <c r="L3655">
        <v>4109</v>
      </c>
      <c r="M3655">
        <v>86284</v>
      </c>
      <c r="N3655">
        <v>4109</v>
      </c>
      <c r="O3655">
        <v>94502</v>
      </c>
    </row>
    <row r="3656" spans="1:15" x14ac:dyDescent="0.35">
      <c r="A3656">
        <v>3655</v>
      </c>
      <c r="B3656" s="2" t="s">
        <v>30</v>
      </c>
      <c r="C3656" s="2" t="s">
        <v>15</v>
      </c>
      <c r="D3656">
        <v>54</v>
      </c>
      <c r="E3656" s="2" t="s">
        <v>12</v>
      </c>
      <c r="F3656" s="2" t="s">
        <v>21</v>
      </c>
      <c r="G3656">
        <v>39229</v>
      </c>
      <c r="H3656" s="1">
        <v>44589</v>
      </c>
      <c r="I3656">
        <v>12</v>
      </c>
      <c r="J3656">
        <v>4</v>
      </c>
      <c r="K3656">
        <v>3923</v>
      </c>
      <c r="L3656">
        <v>1961</v>
      </c>
      <c r="M3656">
        <v>41191</v>
      </c>
      <c r="N3656">
        <v>1961</v>
      </c>
      <c r="O3656">
        <v>45113</v>
      </c>
    </row>
    <row r="3657" spans="1:15" x14ac:dyDescent="0.35">
      <c r="A3657">
        <v>3656</v>
      </c>
      <c r="B3657" s="2" t="s">
        <v>31</v>
      </c>
      <c r="C3657" s="2" t="s">
        <v>11</v>
      </c>
      <c r="D3657">
        <v>51</v>
      </c>
      <c r="E3657" s="2" t="s">
        <v>24</v>
      </c>
      <c r="F3657" s="2" t="s">
        <v>17</v>
      </c>
      <c r="G3657">
        <v>25829</v>
      </c>
      <c r="H3657" s="1">
        <v>44853</v>
      </c>
      <c r="I3657">
        <v>10</v>
      </c>
      <c r="J3657">
        <v>1</v>
      </c>
      <c r="K3657">
        <v>2583</v>
      </c>
      <c r="L3657">
        <v>1291</v>
      </c>
      <c r="M3657">
        <v>27121</v>
      </c>
      <c r="N3657">
        <v>1291</v>
      </c>
      <c r="O3657">
        <v>29703</v>
      </c>
    </row>
    <row r="3658" spans="1:15" x14ac:dyDescent="0.35">
      <c r="A3658">
        <v>3657</v>
      </c>
      <c r="B3658" s="2" t="s">
        <v>23</v>
      </c>
      <c r="C3658" s="2" t="s">
        <v>15</v>
      </c>
      <c r="D3658">
        <v>47</v>
      </c>
      <c r="E3658" s="2" t="s">
        <v>28</v>
      </c>
      <c r="F3658" s="2" t="s">
        <v>19</v>
      </c>
      <c r="G3658">
        <v>68637</v>
      </c>
      <c r="H3658" s="1">
        <v>44668</v>
      </c>
      <c r="I3658">
        <v>18</v>
      </c>
      <c r="J3658">
        <v>4</v>
      </c>
      <c r="K3658">
        <v>6864</v>
      </c>
      <c r="L3658">
        <v>3432</v>
      </c>
      <c r="M3658">
        <v>72069</v>
      </c>
      <c r="N3658">
        <v>3432</v>
      </c>
      <c r="O3658">
        <v>78933</v>
      </c>
    </row>
    <row r="3659" spans="1:15" x14ac:dyDescent="0.35">
      <c r="A3659">
        <v>3658</v>
      </c>
      <c r="B3659" s="2" t="s">
        <v>31</v>
      </c>
      <c r="C3659" s="2" t="s">
        <v>15</v>
      </c>
      <c r="D3659">
        <v>33</v>
      </c>
      <c r="E3659" s="2" t="s">
        <v>29</v>
      </c>
      <c r="F3659" s="2" t="s">
        <v>25</v>
      </c>
      <c r="G3659">
        <v>80887</v>
      </c>
      <c r="H3659" s="1">
        <v>45432</v>
      </c>
      <c r="I3659">
        <v>11</v>
      </c>
      <c r="J3659">
        <v>5</v>
      </c>
      <c r="K3659">
        <v>8089</v>
      </c>
      <c r="L3659">
        <v>4044</v>
      </c>
      <c r="M3659">
        <v>84932</v>
      </c>
      <c r="N3659">
        <v>4044</v>
      </c>
      <c r="O3659">
        <v>93020</v>
      </c>
    </row>
    <row r="3660" spans="1:15" x14ac:dyDescent="0.35">
      <c r="A3660">
        <v>3659</v>
      </c>
      <c r="B3660" s="2" t="s">
        <v>10</v>
      </c>
      <c r="C3660" s="2" t="s">
        <v>11</v>
      </c>
      <c r="D3660">
        <v>26</v>
      </c>
      <c r="E3660" s="2" t="s">
        <v>24</v>
      </c>
      <c r="F3660" s="2" t="s">
        <v>17</v>
      </c>
      <c r="G3660">
        <v>44930</v>
      </c>
      <c r="H3660" s="1">
        <v>44933</v>
      </c>
      <c r="I3660">
        <v>11</v>
      </c>
      <c r="J3660">
        <v>1</v>
      </c>
      <c r="K3660">
        <v>4493</v>
      </c>
      <c r="L3660">
        <v>2246</v>
      </c>
      <c r="M3660">
        <v>47177</v>
      </c>
      <c r="N3660">
        <v>2246</v>
      </c>
      <c r="O3660">
        <v>51669</v>
      </c>
    </row>
    <row r="3661" spans="1:15" x14ac:dyDescent="0.35">
      <c r="A3661">
        <v>3660</v>
      </c>
      <c r="B3661" s="2" t="s">
        <v>30</v>
      </c>
      <c r="C3661" s="2" t="s">
        <v>11</v>
      </c>
      <c r="D3661">
        <v>40</v>
      </c>
      <c r="E3661" s="2" t="s">
        <v>16</v>
      </c>
      <c r="F3661" s="2" t="s">
        <v>17</v>
      </c>
      <c r="G3661">
        <v>68168</v>
      </c>
      <c r="H3661" s="1">
        <v>45507</v>
      </c>
      <c r="I3661">
        <v>20</v>
      </c>
      <c r="J3661">
        <v>5</v>
      </c>
      <c r="K3661">
        <v>6817</v>
      </c>
      <c r="L3661">
        <v>3408</v>
      </c>
      <c r="M3661">
        <v>71577</v>
      </c>
      <c r="N3661">
        <v>3408</v>
      </c>
      <c r="O3661">
        <v>78393</v>
      </c>
    </row>
    <row r="3662" spans="1:15" x14ac:dyDescent="0.35">
      <c r="A3662">
        <v>3661</v>
      </c>
      <c r="B3662" s="2" t="s">
        <v>27</v>
      </c>
      <c r="C3662" s="2" t="s">
        <v>11</v>
      </c>
      <c r="D3662">
        <v>55</v>
      </c>
      <c r="E3662" s="2" t="s">
        <v>12</v>
      </c>
      <c r="F3662" s="2" t="s">
        <v>13</v>
      </c>
      <c r="G3662">
        <v>37060</v>
      </c>
      <c r="H3662" s="1">
        <v>45031</v>
      </c>
      <c r="I3662">
        <v>13</v>
      </c>
      <c r="J3662">
        <v>4</v>
      </c>
      <c r="K3662">
        <v>3706</v>
      </c>
      <c r="L3662">
        <v>1853</v>
      </c>
      <c r="M3662">
        <v>38913</v>
      </c>
      <c r="N3662">
        <v>1853</v>
      </c>
      <c r="O3662">
        <v>42619</v>
      </c>
    </row>
    <row r="3663" spans="1:15" x14ac:dyDescent="0.35">
      <c r="A3663">
        <v>3662</v>
      </c>
      <c r="B3663" s="2" t="s">
        <v>18</v>
      </c>
      <c r="C3663" s="2" t="s">
        <v>15</v>
      </c>
      <c r="D3663">
        <v>60</v>
      </c>
      <c r="E3663" s="2" t="s">
        <v>16</v>
      </c>
      <c r="F3663" s="2" t="s">
        <v>21</v>
      </c>
      <c r="G3663">
        <v>43117</v>
      </c>
      <c r="H3663" s="1">
        <v>45010</v>
      </c>
      <c r="I3663">
        <v>20</v>
      </c>
      <c r="J3663">
        <v>3</v>
      </c>
      <c r="K3663">
        <v>4312</v>
      </c>
      <c r="L3663">
        <v>2156</v>
      </c>
      <c r="M3663">
        <v>45273</v>
      </c>
      <c r="N3663">
        <v>2156</v>
      </c>
      <c r="O3663">
        <v>49585</v>
      </c>
    </row>
    <row r="3664" spans="1:15" x14ac:dyDescent="0.35">
      <c r="A3664">
        <v>3663</v>
      </c>
      <c r="B3664" s="2" t="s">
        <v>20</v>
      </c>
      <c r="C3664" s="2" t="s">
        <v>15</v>
      </c>
      <c r="D3664">
        <v>45</v>
      </c>
      <c r="E3664" s="2" t="s">
        <v>29</v>
      </c>
      <c r="F3664" s="2" t="s">
        <v>17</v>
      </c>
      <c r="G3664">
        <v>22559</v>
      </c>
      <c r="H3664" s="1">
        <v>45192</v>
      </c>
      <c r="I3664">
        <v>3</v>
      </c>
      <c r="J3664">
        <v>2</v>
      </c>
      <c r="K3664">
        <v>2256</v>
      </c>
      <c r="L3664">
        <v>1128</v>
      </c>
      <c r="M3664">
        <v>23687</v>
      </c>
      <c r="N3664">
        <v>0</v>
      </c>
      <c r="O3664">
        <v>24815</v>
      </c>
    </row>
    <row r="3665" spans="1:15" x14ac:dyDescent="0.35">
      <c r="A3665">
        <v>3664</v>
      </c>
      <c r="B3665" s="2" t="s">
        <v>23</v>
      </c>
      <c r="C3665" s="2" t="s">
        <v>11</v>
      </c>
      <c r="D3665">
        <v>30</v>
      </c>
      <c r="E3665" s="2" t="s">
        <v>16</v>
      </c>
      <c r="F3665" s="2" t="s">
        <v>17</v>
      </c>
      <c r="G3665">
        <v>38979</v>
      </c>
      <c r="H3665" s="1">
        <v>44687</v>
      </c>
      <c r="I3665">
        <v>10</v>
      </c>
      <c r="J3665">
        <v>2</v>
      </c>
      <c r="K3665">
        <v>3898</v>
      </c>
      <c r="L3665">
        <v>1949</v>
      </c>
      <c r="M3665">
        <v>40928</v>
      </c>
      <c r="N3665">
        <v>1949</v>
      </c>
      <c r="O3665">
        <v>44826</v>
      </c>
    </row>
    <row r="3666" spans="1:15" x14ac:dyDescent="0.35">
      <c r="A3666">
        <v>3665</v>
      </c>
      <c r="B3666" s="2" t="s">
        <v>31</v>
      </c>
      <c r="C3666" s="2" t="s">
        <v>11</v>
      </c>
      <c r="D3666">
        <v>32</v>
      </c>
      <c r="E3666" s="2" t="s">
        <v>28</v>
      </c>
      <c r="F3666" s="2" t="s">
        <v>19</v>
      </c>
      <c r="G3666">
        <v>51327</v>
      </c>
      <c r="H3666" s="1">
        <v>45007</v>
      </c>
      <c r="I3666">
        <v>5</v>
      </c>
      <c r="J3666">
        <v>3</v>
      </c>
      <c r="K3666">
        <v>5133</v>
      </c>
      <c r="L3666">
        <v>2566</v>
      </c>
      <c r="M3666">
        <v>53894</v>
      </c>
      <c r="N3666">
        <v>0</v>
      </c>
      <c r="O3666">
        <v>56460</v>
      </c>
    </row>
    <row r="3667" spans="1:15" x14ac:dyDescent="0.35">
      <c r="A3667">
        <v>3666</v>
      </c>
      <c r="B3667" s="2" t="s">
        <v>20</v>
      </c>
      <c r="C3667" s="2" t="s">
        <v>15</v>
      </c>
      <c r="D3667">
        <v>35</v>
      </c>
      <c r="E3667" s="2" t="s">
        <v>12</v>
      </c>
      <c r="F3667" s="2" t="s">
        <v>25</v>
      </c>
      <c r="G3667">
        <v>43913</v>
      </c>
      <c r="H3667" s="1">
        <v>44798</v>
      </c>
      <c r="I3667">
        <v>3</v>
      </c>
      <c r="J3667">
        <v>3</v>
      </c>
      <c r="K3667">
        <v>4391</v>
      </c>
      <c r="L3667">
        <v>2196</v>
      </c>
      <c r="M3667">
        <v>46108</v>
      </c>
      <c r="N3667">
        <v>0</v>
      </c>
      <c r="O3667">
        <v>48304</v>
      </c>
    </row>
    <row r="3668" spans="1:15" x14ac:dyDescent="0.35">
      <c r="A3668">
        <v>3667</v>
      </c>
      <c r="B3668" s="2" t="s">
        <v>23</v>
      </c>
      <c r="C3668" s="2" t="s">
        <v>11</v>
      </c>
      <c r="D3668">
        <v>45</v>
      </c>
      <c r="E3668" s="2" t="s">
        <v>28</v>
      </c>
      <c r="F3668" s="2" t="s">
        <v>13</v>
      </c>
      <c r="G3668">
        <v>74671</v>
      </c>
      <c r="H3668" s="1">
        <v>45144</v>
      </c>
      <c r="I3668">
        <v>16</v>
      </c>
      <c r="J3668">
        <v>2</v>
      </c>
      <c r="K3668">
        <v>7467</v>
      </c>
      <c r="L3668">
        <v>3734</v>
      </c>
      <c r="M3668">
        <v>78404</v>
      </c>
      <c r="N3668">
        <v>3734</v>
      </c>
      <c r="O3668">
        <v>85872</v>
      </c>
    </row>
    <row r="3669" spans="1:15" x14ac:dyDescent="0.35">
      <c r="A3669">
        <v>3668</v>
      </c>
      <c r="B3669" s="2" t="s">
        <v>31</v>
      </c>
      <c r="C3669" s="2" t="s">
        <v>11</v>
      </c>
      <c r="D3669">
        <v>37</v>
      </c>
      <c r="E3669" s="2" t="s">
        <v>24</v>
      </c>
      <c r="F3669" s="2" t="s">
        <v>17</v>
      </c>
      <c r="G3669">
        <v>60857</v>
      </c>
      <c r="H3669" s="1">
        <v>45550</v>
      </c>
      <c r="I3669">
        <v>11</v>
      </c>
      <c r="J3669">
        <v>5</v>
      </c>
      <c r="K3669">
        <v>6086</v>
      </c>
      <c r="L3669">
        <v>3043</v>
      </c>
      <c r="M3669">
        <v>63900</v>
      </c>
      <c r="N3669">
        <v>3043</v>
      </c>
      <c r="O3669">
        <v>69986</v>
      </c>
    </row>
    <row r="3670" spans="1:15" x14ac:dyDescent="0.35">
      <c r="A3670">
        <v>3669</v>
      </c>
      <c r="B3670" s="2" t="s">
        <v>26</v>
      </c>
      <c r="C3670" s="2" t="s">
        <v>15</v>
      </c>
      <c r="D3670">
        <v>37</v>
      </c>
      <c r="E3670" s="2" t="s">
        <v>16</v>
      </c>
      <c r="F3670" s="2" t="s">
        <v>25</v>
      </c>
      <c r="G3670">
        <v>81246</v>
      </c>
      <c r="H3670" s="1">
        <v>45309</v>
      </c>
      <c r="I3670">
        <v>10</v>
      </c>
      <c r="J3670">
        <v>3</v>
      </c>
      <c r="K3670">
        <v>8125</v>
      </c>
      <c r="L3670">
        <v>4062</v>
      </c>
      <c r="M3670">
        <v>85309</v>
      </c>
      <c r="N3670">
        <v>4062</v>
      </c>
      <c r="O3670">
        <v>93433</v>
      </c>
    </row>
    <row r="3671" spans="1:15" x14ac:dyDescent="0.35">
      <c r="A3671">
        <v>3670</v>
      </c>
      <c r="B3671" s="2" t="s">
        <v>26</v>
      </c>
      <c r="C3671" s="2" t="s">
        <v>15</v>
      </c>
      <c r="D3671">
        <v>23</v>
      </c>
      <c r="E3671" s="2" t="s">
        <v>24</v>
      </c>
      <c r="F3671" s="2" t="s">
        <v>19</v>
      </c>
      <c r="G3671">
        <v>91544</v>
      </c>
      <c r="H3671" s="1">
        <v>45414</v>
      </c>
      <c r="I3671">
        <v>12</v>
      </c>
      <c r="J3671">
        <v>1</v>
      </c>
      <c r="K3671">
        <v>9154</v>
      </c>
      <c r="L3671">
        <v>4577</v>
      </c>
      <c r="M3671">
        <v>96121</v>
      </c>
      <c r="N3671">
        <v>4577</v>
      </c>
      <c r="O3671">
        <v>105275</v>
      </c>
    </row>
    <row r="3672" spans="1:15" x14ac:dyDescent="0.35">
      <c r="A3672">
        <v>3671</v>
      </c>
      <c r="B3672" s="2" t="s">
        <v>27</v>
      </c>
      <c r="C3672" s="2" t="s">
        <v>15</v>
      </c>
      <c r="D3672">
        <v>25</v>
      </c>
      <c r="E3672" s="2" t="s">
        <v>29</v>
      </c>
      <c r="F3672" s="2" t="s">
        <v>21</v>
      </c>
      <c r="G3672">
        <v>43901</v>
      </c>
      <c r="H3672" s="1">
        <v>44890</v>
      </c>
      <c r="I3672">
        <v>1</v>
      </c>
      <c r="J3672">
        <v>5</v>
      </c>
      <c r="K3672">
        <v>4390</v>
      </c>
      <c r="L3672">
        <v>2195</v>
      </c>
      <c r="M3672">
        <v>46096</v>
      </c>
      <c r="N3672">
        <v>0</v>
      </c>
      <c r="O3672">
        <v>48291</v>
      </c>
    </row>
    <row r="3673" spans="1:15" x14ac:dyDescent="0.35">
      <c r="A3673">
        <v>3672</v>
      </c>
      <c r="B3673" s="2" t="s">
        <v>30</v>
      </c>
      <c r="C3673" s="2" t="s">
        <v>11</v>
      </c>
      <c r="D3673">
        <v>58</v>
      </c>
      <c r="E3673" s="2" t="s">
        <v>24</v>
      </c>
      <c r="F3673" s="2" t="s">
        <v>13</v>
      </c>
      <c r="G3673">
        <v>39345</v>
      </c>
      <c r="H3673" s="1">
        <v>44618</v>
      </c>
      <c r="I3673">
        <v>10</v>
      </c>
      <c r="J3673">
        <v>5</v>
      </c>
      <c r="K3673">
        <v>3934</v>
      </c>
      <c r="L3673">
        <v>1967</v>
      </c>
      <c r="M3673">
        <v>41312</v>
      </c>
      <c r="N3673">
        <v>1967</v>
      </c>
      <c r="O3673">
        <v>45246</v>
      </c>
    </row>
    <row r="3674" spans="1:15" x14ac:dyDescent="0.35">
      <c r="A3674">
        <v>3673</v>
      </c>
      <c r="B3674" s="2" t="s">
        <v>22</v>
      </c>
      <c r="C3674" s="2" t="s">
        <v>15</v>
      </c>
      <c r="D3674">
        <v>29</v>
      </c>
      <c r="E3674" s="2" t="s">
        <v>24</v>
      </c>
      <c r="F3674" s="2" t="s">
        <v>25</v>
      </c>
      <c r="G3674">
        <v>27696</v>
      </c>
      <c r="H3674" s="1">
        <v>45065</v>
      </c>
      <c r="I3674">
        <v>14</v>
      </c>
      <c r="J3674">
        <v>2</v>
      </c>
      <c r="K3674">
        <v>2770</v>
      </c>
      <c r="L3674">
        <v>1385</v>
      </c>
      <c r="M3674">
        <v>29081</v>
      </c>
      <c r="N3674">
        <v>1385</v>
      </c>
      <c r="O3674">
        <v>31851</v>
      </c>
    </row>
    <row r="3675" spans="1:15" x14ac:dyDescent="0.35">
      <c r="A3675">
        <v>3674</v>
      </c>
      <c r="B3675" s="2" t="s">
        <v>23</v>
      </c>
      <c r="C3675" s="2" t="s">
        <v>15</v>
      </c>
      <c r="D3675">
        <v>58</v>
      </c>
      <c r="E3675" s="2" t="s">
        <v>12</v>
      </c>
      <c r="F3675" s="2" t="s">
        <v>13</v>
      </c>
      <c r="G3675">
        <v>93166</v>
      </c>
      <c r="H3675" s="1">
        <v>45332</v>
      </c>
      <c r="I3675">
        <v>17</v>
      </c>
      <c r="J3675">
        <v>4</v>
      </c>
      <c r="K3675">
        <v>9317</v>
      </c>
      <c r="L3675">
        <v>4658</v>
      </c>
      <c r="M3675">
        <v>97825</v>
      </c>
      <c r="N3675">
        <v>4658</v>
      </c>
      <c r="O3675">
        <v>107141</v>
      </c>
    </row>
    <row r="3676" spans="1:15" x14ac:dyDescent="0.35">
      <c r="A3676">
        <v>3675</v>
      </c>
      <c r="B3676" s="2" t="s">
        <v>18</v>
      </c>
      <c r="C3676" s="2" t="s">
        <v>15</v>
      </c>
      <c r="D3676">
        <v>32</v>
      </c>
      <c r="E3676" s="2" t="s">
        <v>16</v>
      </c>
      <c r="F3676" s="2" t="s">
        <v>21</v>
      </c>
      <c r="G3676">
        <v>51332</v>
      </c>
      <c r="H3676" s="1">
        <v>44959</v>
      </c>
      <c r="I3676">
        <v>3</v>
      </c>
      <c r="J3676">
        <v>4</v>
      </c>
      <c r="K3676">
        <v>5133</v>
      </c>
      <c r="L3676">
        <v>2567</v>
      </c>
      <c r="M3676">
        <v>53898</v>
      </c>
      <c r="N3676">
        <v>0</v>
      </c>
      <c r="O3676">
        <v>56465</v>
      </c>
    </row>
    <row r="3677" spans="1:15" x14ac:dyDescent="0.35">
      <c r="A3677">
        <v>3676</v>
      </c>
      <c r="B3677" s="2" t="s">
        <v>23</v>
      </c>
      <c r="C3677" s="2" t="s">
        <v>11</v>
      </c>
      <c r="D3677">
        <v>50</v>
      </c>
      <c r="E3677" s="2" t="s">
        <v>28</v>
      </c>
      <c r="F3677" s="2" t="s">
        <v>19</v>
      </c>
      <c r="G3677">
        <v>48739</v>
      </c>
      <c r="H3677" s="1">
        <v>45346</v>
      </c>
      <c r="I3677">
        <v>10</v>
      </c>
      <c r="J3677">
        <v>4</v>
      </c>
      <c r="K3677">
        <v>4874</v>
      </c>
      <c r="L3677">
        <v>2437</v>
      </c>
      <c r="M3677">
        <v>51176</v>
      </c>
      <c r="N3677">
        <v>2437</v>
      </c>
      <c r="O3677">
        <v>56050</v>
      </c>
    </row>
    <row r="3678" spans="1:15" x14ac:dyDescent="0.35">
      <c r="A3678">
        <v>3677</v>
      </c>
      <c r="B3678" s="2" t="s">
        <v>20</v>
      </c>
      <c r="C3678" s="2" t="s">
        <v>11</v>
      </c>
      <c r="D3678">
        <v>22</v>
      </c>
      <c r="E3678" s="2" t="s">
        <v>29</v>
      </c>
      <c r="F3678" s="2" t="s">
        <v>13</v>
      </c>
      <c r="G3678">
        <v>56577</v>
      </c>
      <c r="H3678" s="1">
        <v>44913</v>
      </c>
      <c r="I3678">
        <v>19</v>
      </c>
      <c r="J3678">
        <v>1</v>
      </c>
      <c r="K3678">
        <v>5658</v>
      </c>
      <c r="L3678">
        <v>2829</v>
      </c>
      <c r="M3678">
        <v>59406</v>
      </c>
      <c r="N3678">
        <v>2829</v>
      </c>
      <c r="O3678">
        <v>65064</v>
      </c>
    </row>
    <row r="3679" spans="1:15" x14ac:dyDescent="0.35">
      <c r="A3679">
        <v>3678</v>
      </c>
      <c r="B3679" s="2" t="s">
        <v>18</v>
      </c>
      <c r="C3679" s="2" t="s">
        <v>11</v>
      </c>
      <c r="D3679">
        <v>47</v>
      </c>
      <c r="E3679" s="2" t="s">
        <v>24</v>
      </c>
      <c r="F3679" s="2" t="s">
        <v>21</v>
      </c>
      <c r="G3679">
        <v>22124</v>
      </c>
      <c r="H3679" s="1">
        <v>45013</v>
      </c>
      <c r="I3679">
        <v>16</v>
      </c>
      <c r="J3679">
        <v>2</v>
      </c>
      <c r="K3679">
        <v>2212</v>
      </c>
      <c r="L3679">
        <v>1106</v>
      </c>
      <c r="M3679">
        <v>23230</v>
      </c>
      <c r="N3679">
        <v>1106</v>
      </c>
      <c r="O3679">
        <v>25442</v>
      </c>
    </row>
    <row r="3680" spans="1:15" x14ac:dyDescent="0.35">
      <c r="A3680">
        <v>3679</v>
      </c>
      <c r="B3680" s="2" t="s">
        <v>18</v>
      </c>
      <c r="C3680" s="2" t="s">
        <v>11</v>
      </c>
      <c r="D3680">
        <v>32</v>
      </c>
      <c r="E3680" s="2" t="s">
        <v>12</v>
      </c>
      <c r="F3680" s="2" t="s">
        <v>25</v>
      </c>
      <c r="G3680">
        <v>47813</v>
      </c>
      <c r="H3680" s="1">
        <v>45119</v>
      </c>
      <c r="I3680">
        <v>20</v>
      </c>
      <c r="J3680">
        <v>1</v>
      </c>
      <c r="K3680">
        <v>4781</v>
      </c>
      <c r="L3680">
        <v>2391</v>
      </c>
      <c r="M3680">
        <v>50203</v>
      </c>
      <c r="N3680">
        <v>2391</v>
      </c>
      <c r="O3680">
        <v>54985</v>
      </c>
    </row>
    <row r="3681" spans="1:15" x14ac:dyDescent="0.35">
      <c r="A3681">
        <v>3680</v>
      </c>
      <c r="B3681" s="2" t="s">
        <v>30</v>
      </c>
      <c r="C3681" s="2" t="s">
        <v>15</v>
      </c>
      <c r="D3681">
        <v>34</v>
      </c>
      <c r="E3681" s="2" t="s">
        <v>29</v>
      </c>
      <c r="F3681" s="2" t="s">
        <v>21</v>
      </c>
      <c r="G3681">
        <v>49317</v>
      </c>
      <c r="H3681" s="1">
        <v>45203</v>
      </c>
      <c r="I3681">
        <v>20</v>
      </c>
      <c r="J3681">
        <v>1</v>
      </c>
      <c r="K3681">
        <v>4932</v>
      </c>
      <c r="L3681">
        <v>2466</v>
      </c>
      <c r="M3681">
        <v>51783</v>
      </c>
      <c r="N3681">
        <v>2466</v>
      </c>
      <c r="O3681">
        <v>56715</v>
      </c>
    </row>
    <row r="3682" spans="1:15" x14ac:dyDescent="0.35">
      <c r="A3682">
        <v>3681</v>
      </c>
      <c r="B3682" s="2" t="s">
        <v>31</v>
      </c>
      <c r="C3682" s="2" t="s">
        <v>15</v>
      </c>
      <c r="D3682">
        <v>46</v>
      </c>
      <c r="E3682" s="2" t="s">
        <v>28</v>
      </c>
      <c r="F3682" s="2" t="s">
        <v>19</v>
      </c>
      <c r="G3682">
        <v>28800</v>
      </c>
      <c r="H3682" s="1">
        <v>45009</v>
      </c>
      <c r="I3682">
        <v>1</v>
      </c>
      <c r="J3682">
        <v>1</v>
      </c>
      <c r="K3682">
        <v>2880</v>
      </c>
      <c r="L3682">
        <v>1440</v>
      </c>
      <c r="M3682">
        <v>30240</v>
      </c>
      <c r="N3682">
        <v>0</v>
      </c>
      <c r="O3682">
        <v>31680</v>
      </c>
    </row>
    <row r="3683" spans="1:15" x14ac:dyDescent="0.35">
      <c r="A3683">
        <v>3682</v>
      </c>
      <c r="B3683" s="2" t="s">
        <v>23</v>
      </c>
      <c r="C3683" s="2" t="s">
        <v>15</v>
      </c>
      <c r="D3683">
        <v>32</v>
      </c>
      <c r="E3683" s="2" t="s">
        <v>24</v>
      </c>
      <c r="F3683" s="2" t="s">
        <v>21</v>
      </c>
      <c r="G3683">
        <v>57582</v>
      </c>
      <c r="H3683" s="1">
        <v>45465</v>
      </c>
      <c r="I3683">
        <v>9</v>
      </c>
      <c r="J3683">
        <v>5</v>
      </c>
      <c r="K3683">
        <v>5758</v>
      </c>
      <c r="L3683">
        <v>2879</v>
      </c>
      <c r="M3683">
        <v>60461</v>
      </c>
      <c r="N3683">
        <v>2879</v>
      </c>
      <c r="O3683">
        <v>66219</v>
      </c>
    </row>
    <row r="3684" spans="1:15" x14ac:dyDescent="0.35">
      <c r="A3684">
        <v>3683</v>
      </c>
      <c r="B3684" s="2" t="s">
        <v>18</v>
      </c>
      <c r="C3684" s="2" t="s">
        <v>11</v>
      </c>
      <c r="D3684">
        <v>44</v>
      </c>
      <c r="E3684" s="2" t="s">
        <v>28</v>
      </c>
      <c r="F3684" s="2" t="s">
        <v>19</v>
      </c>
      <c r="G3684">
        <v>73702</v>
      </c>
      <c r="H3684" s="1">
        <v>45394</v>
      </c>
      <c r="I3684">
        <v>18</v>
      </c>
      <c r="J3684">
        <v>5</v>
      </c>
      <c r="K3684">
        <v>7370</v>
      </c>
      <c r="L3684">
        <v>3685</v>
      </c>
      <c r="M3684">
        <v>77387</v>
      </c>
      <c r="N3684">
        <v>3685</v>
      </c>
      <c r="O3684">
        <v>84757</v>
      </c>
    </row>
    <row r="3685" spans="1:15" x14ac:dyDescent="0.35">
      <c r="A3685">
        <v>3684</v>
      </c>
      <c r="B3685" s="2" t="s">
        <v>26</v>
      </c>
      <c r="C3685" s="2" t="s">
        <v>11</v>
      </c>
      <c r="D3685">
        <v>60</v>
      </c>
      <c r="E3685" s="2" t="s">
        <v>29</v>
      </c>
      <c r="F3685" s="2" t="s">
        <v>17</v>
      </c>
      <c r="G3685">
        <v>54763</v>
      </c>
      <c r="H3685" s="1">
        <v>45152</v>
      </c>
      <c r="I3685">
        <v>8</v>
      </c>
      <c r="J3685">
        <v>2</v>
      </c>
      <c r="K3685">
        <v>5476</v>
      </c>
      <c r="L3685">
        <v>2738</v>
      </c>
      <c r="M3685">
        <v>57501</v>
      </c>
      <c r="N3685">
        <v>2738</v>
      </c>
      <c r="O3685">
        <v>62977</v>
      </c>
    </row>
    <row r="3686" spans="1:15" x14ac:dyDescent="0.35">
      <c r="A3686">
        <v>3685</v>
      </c>
      <c r="B3686" s="2" t="s">
        <v>18</v>
      </c>
      <c r="C3686" s="2" t="s">
        <v>15</v>
      </c>
      <c r="D3686">
        <v>57</v>
      </c>
      <c r="E3686" s="2" t="s">
        <v>12</v>
      </c>
      <c r="F3686" s="2" t="s">
        <v>21</v>
      </c>
      <c r="G3686">
        <v>89022</v>
      </c>
      <c r="H3686" s="1">
        <v>44921</v>
      </c>
      <c r="I3686">
        <v>6</v>
      </c>
      <c r="J3686">
        <v>4</v>
      </c>
      <c r="K3686">
        <v>8902</v>
      </c>
      <c r="L3686">
        <v>4451</v>
      </c>
      <c r="M3686">
        <v>93473</v>
      </c>
      <c r="N3686">
        <v>4451</v>
      </c>
      <c r="O3686">
        <v>102375</v>
      </c>
    </row>
    <row r="3687" spans="1:15" x14ac:dyDescent="0.35">
      <c r="A3687">
        <v>3686</v>
      </c>
      <c r="B3687" s="2" t="s">
        <v>23</v>
      </c>
      <c r="C3687" s="2" t="s">
        <v>11</v>
      </c>
      <c r="D3687">
        <v>28</v>
      </c>
      <c r="E3687" s="2" t="s">
        <v>28</v>
      </c>
      <c r="F3687" s="2" t="s">
        <v>13</v>
      </c>
      <c r="G3687">
        <v>39313</v>
      </c>
      <c r="H3687" s="1">
        <v>45228</v>
      </c>
      <c r="I3687">
        <v>5</v>
      </c>
      <c r="J3687">
        <v>3</v>
      </c>
      <c r="K3687">
        <v>3931</v>
      </c>
      <c r="L3687">
        <v>1966</v>
      </c>
      <c r="M3687">
        <v>41278</v>
      </c>
      <c r="N3687">
        <v>0</v>
      </c>
      <c r="O3687">
        <v>43244</v>
      </c>
    </row>
    <row r="3688" spans="1:15" x14ac:dyDescent="0.35">
      <c r="A3688">
        <v>3687</v>
      </c>
      <c r="B3688" s="2" t="s">
        <v>27</v>
      </c>
      <c r="C3688" s="2" t="s">
        <v>15</v>
      </c>
      <c r="D3688">
        <v>27</v>
      </c>
      <c r="E3688" s="2" t="s">
        <v>28</v>
      </c>
      <c r="F3688" s="2" t="s">
        <v>13</v>
      </c>
      <c r="G3688">
        <v>40231</v>
      </c>
      <c r="H3688" s="1">
        <v>45541</v>
      </c>
      <c r="I3688">
        <v>18</v>
      </c>
      <c r="J3688">
        <v>3</v>
      </c>
      <c r="K3688">
        <v>4023</v>
      </c>
      <c r="L3688">
        <v>2012</v>
      </c>
      <c r="M3688">
        <v>42242</v>
      </c>
      <c r="N3688">
        <v>2012</v>
      </c>
      <c r="O3688">
        <v>46266</v>
      </c>
    </row>
    <row r="3689" spans="1:15" x14ac:dyDescent="0.35">
      <c r="A3689">
        <v>3688</v>
      </c>
      <c r="B3689" s="2" t="s">
        <v>18</v>
      </c>
      <c r="C3689" s="2" t="s">
        <v>11</v>
      </c>
      <c r="D3689">
        <v>25</v>
      </c>
      <c r="E3689" s="2" t="s">
        <v>24</v>
      </c>
      <c r="F3689" s="2" t="s">
        <v>17</v>
      </c>
      <c r="G3689">
        <v>39584</v>
      </c>
      <c r="H3689" s="1">
        <v>45411</v>
      </c>
      <c r="I3689">
        <v>6</v>
      </c>
      <c r="J3689">
        <v>5</v>
      </c>
      <c r="K3689">
        <v>3958</v>
      </c>
      <c r="L3689">
        <v>1979</v>
      </c>
      <c r="M3689">
        <v>41563</v>
      </c>
      <c r="N3689">
        <v>1979</v>
      </c>
      <c r="O3689">
        <v>45521</v>
      </c>
    </row>
    <row r="3690" spans="1:15" x14ac:dyDescent="0.35">
      <c r="A3690">
        <v>3689</v>
      </c>
      <c r="B3690" s="2" t="s">
        <v>18</v>
      </c>
      <c r="C3690" s="2" t="s">
        <v>15</v>
      </c>
      <c r="D3690">
        <v>39</v>
      </c>
      <c r="E3690" s="2" t="s">
        <v>24</v>
      </c>
      <c r="F3690" s="2" t="s">
        <v>17</v>
      </c>
      <c r="G3690">
        <v>95713</v>
      </c>
      <c r="H3690" s="1">
        <v>45285</v>
      </c>
      <c r="I3690">
        <v>7</v>
      </c>
      <c r="J3690">
        <v>5</v>
      </c>
      <c r="K3690">
        <v>9571</v>
      </c>
      <c r="L3690">
        <v>4786</v>
      </c>
      <c r="M3690">
        <v>100498</v>
      </c>
      <c r="N3690">
        <v>4786</v>
      </c>
      <c r="O3690">
        <v>110070</v>
      </c>
    </row>
    <row r="3691" spans="1:15" x14ac:dyDescent="0.35">
      <c r="A3691">
        <v>3690</v>
      </c>
      <c r="B3691" s="2" t="s">
        <v>20</v>
      </c>
      <c r="C3691" s="2" t="s">
        <v>11</v>
      </c>
      <c r="D3691">
        <v>59</v>
      </c>
      <c r="E3691" s="2" t="s">
        <v>24</v>
      </c>
      <c r="F3691" s="2" t="s">
        <v>17</v>
      </c>
      <c r="G3691">
        <v>57711</v>
      </c>
      <c r="H3691" s="1">
        <v>44979</v>
      </c>
      <c r="I3691">
        <v>19</v>
      </c>
      <c r="J3691">
        <v>4</v>
      </c>
      <c r="K3691">
        <v>5771</v>
      </c>
      <c r="L3691">
        <v>2886</v>
      </c>
      <c r="M3691">
        <v>60596</v>
      </c>
      <c r="N3691">
        <v>2886</v>
      </c>
      <c r="O3691">
        <v>66368</v>
      </c>
    </row>
    <row r="3692" spans="1:15" x14ac:dyDescent="0.35">
      <c r="A3692">
        <v>3691</v>
      </c>
      <c r="B3692" s="2" t="s">
        <v>20</v>
      </c>
      <c r="C3692" s="2" t="s">
        <v>11</v>
      </c>
      <c r="D3692">
        <v>59</v>
      </c>
      <c r="E3692" s="2" t="s">
        <v>24</v>
      </c>
      <c r="F3692" s="2" t="s">
        <v>17</v>
      </c>
      <c r="G3692">
        <v>73779</v>
      </c>
      <c r="H3692" s="1">
        <v>44766</v>
      </c>
      <c r="I3692">
        <v>6</v>
      </c>
      <c r="J3692">
        <v>4</v>
      </c>
      <c r="K3692">
        <v>7378</v>
      </c>
      <c r="L3692">
        <v>3689</v>
      </c>
      <c r="M3692">
        <v>77468</v>
      </c>
      <c r="N3692">
        <v>3689</v>
      </c>
      <c r="O3692">
        <v>84846</v>
      </c>
    </row>
    <row r="3693" spans="1:15" x14ac:dyDescent="0.35">
      <c r="A3693">
        <v>3692</v>
      </c>
      <c r="B3693" s="2" t="s">
        <v>10</v>
      </c>
      <c r="C3693" s="2" t="s">
        <v>11</v>
      </c>
      <c r="D3693">
        <v>46</v>
      </c>
      <c r="E3693" s="2" t="s">
        <v>16</v>
      </c>
      <c r="F3693" s="2" t="s">
        <v>19</v>
      </c>
      <c r="G3693">
        <v>31518</v>
      </c>
      <c r="H3693" s="1">
        <v>45464</v>
      </c>
      <c r="I3693">
        <v>7</v>
      </c>
      <c r="J3693">
        <v>2</v>
      </c>
      <c r="K3693">
        <v>3152</v>
      </c>
      <c r="L3693">
        <v>1576</v>
      </c>
      <c r="M3693">
        <v>33094</v>
      </c>
      <c r="N3693">
        <v>1576</v>
      </c>
      <c r="O3693">
        <v>36246</v>
      </c>
    </row>
    <row r="3694" spans="1:15" x14ac:dyDescent="0.35">
      <c r="A3694">
        <v>3693</v>
      </c>
      <c r="B3694" s="2" t="s">
        <v>26</v>
      </c>
      <c r="C3694" s="2" t="s">
        <v>11</v>
      </c>
      <c r="D3694">
        <v>57</v>
      </c>
      <c r="E3694" s="2" t="s">
        <v>29</v>
      </c>
      <c r="F3694" s="2" t="s">
        <v>13</v>
      </c>
      <c r="G3694">
        <v>63805</v>
      </c>
      <c r="H3694" s="1">
        <v>45533</v>
      </c>
      <c r="I3694">
        <v>12</v>
      </c>
      <c r="J3694">
        <v>1</v>
      </c>
      <c r="K3694">
        <v>6380</v>
      </c>
      <c r="L3694">
        <v>3190</v>
      </c>
      <c r="M3694">
        <v>66995</v>
      </c>
      <c r="N3694">
        <v>3190</v>
      </c>
      <c r="O3694">
        <v>73375</v>
      </c>
    </row>
    <row r="3695" spans="1:15" x14ac:dyDescent="0.35">
      <c r="A3695">
        <v>3694</v>
      </c>
      <c r="B3695" s="2" t="s">
        <v>27</v>
      </c>
      <c r="C3695" s="2" t="s">
        <v>15</v>
      </c>
      <c r="D3695">
        <v>32</v>
      </c>
      <c r="E3695" s="2" t="s">
        <v>28</v>
      </c>
      <c r="F3695" s="2" t="s">
        <v>21</v>
      </c>
      <c r="G3695">
        <v>77493</v>
      </c>
      <c r="H3695" s="1">
        <v>45129</v>
      </c>
      <c r="I3695">
        <v>1</v>
      </c>
      <c r="J3695">
        <v>2</v>
      </c>
      <c r="K3695">
        <v>7749</v>
      </c>
      <c r="L3695">
        <v>3875</v>
      </c>
      <c r="M3695">
        <v>81367</v>
      </c>
      <c r="N3695">
        <v>0</v>
      </c>
      <c r="O3695">
        <v>85242</v>
      </c>
    </row>
    <row r="3696" spans="1:15" x14ac:dyDescent="0.35">
      <c r="A3696">
        <v>3695</v>
      </c>
      <c r="B3696" s="2" t="s">
        <v>23</v>
      </c>
      <c r="C3696" s="2" t="s">
        <v>15</v>
      </c>
      <c r="D3696">
        <v>31</v>
      </c>
      <c r="E3696" s="2" t="s">
        <v>24</v>
      </c>
      <c r="F3696" s="2" t="s">
        <v>19</v>
      </c>
      <c r="G3696">
        <v>35307</v>
      </c>
      <c r="H3696" s="1">
        <v>45183</v>
      </c>
      <c r="I3696">
        <v>5</v>
      </c>
      <c r="J3696">
        <v>3</v>
      </c>
      <c r="K3696">
        <v>3531</v>
      </c>
      <c r="L3696">
        <v>1765</v>
      </c>
      <c r="M3696">
        <v>37073</v>
      </c>
      <c r="N3696">
        <v>0</v>
      </c>
      <c r="O3696">
        <v>38838</v>
      </c>
    </row>
    <row r="3697" spans="1:15" x14ac:dyDescent="0.35">
      <c r="A3697">
        <v>3696</v>
      </c>
      <c r="B3697" s="2" t="s">
        <v>31</v>
      </c>
      <c r="C3697" s="2" t="s">
        <v>15</v>
      </c>
      <c r="D3697">
        <v>60</v>
      </c>
      <c r="E3697" s="2" t="s">
        <v>16</v>
      </c>
      <c r="F3697" s="2" t="s">
        <v>25</v>
      </c>
      <c r="G3697">
        <v>26823</v>
      </c>
      <c r="H3697" s="1">
        <v>44801</v>
      </c>
      <c r="I3697">
        <v>11</v>
      </c>
      <c r="J3697">
        <v>5</v>
      </c>
      <c r="K3697">
        <v>2682</v>
      </c>
      <c r="L3697">
        <v>1341</v>
      </c>
      <c r="M3697">
        <v>28164</v>
      </c>
      <c r="N3697">
        <v>1341</v>
      </c>
      <c r="O3697">
        <v>30846</v>
      </c>
    </row>
    <row r="3698" spans="1:15" x14ac:dyDescent="0.35">
      <c r="A3698">
        <v>3697</v>
      </c>
      <c r="B3698" s="2" t="s">
        <v>20</v>
      </c>
      <c r="C3698" s="2" t="s">
        <v>15</v>
      </c>
      <c r="D3698">
        <v>23</v>
      </c>
      <c r="E3698" s="2" t="s">
        <v>12</v>
      </c>
      <c r="F3698" s="2" t="s">
        <v>19</v>
      </c>
      <c r="G3698">
        <v>74393</v>
      </c>
      <c r="H3698" s="1">
        <v>45404</v>
      </c>
      <c r="I3698">
        <v>10</v>
      </c>
      <c r="J3698">
        <v>3</v>
      </c>
      <c r="K3698">
        <v>7439</v>
      </c>
      <c r="L3698">
        <v>3720</v>
      </c>
      <c r="M3698">
        <v>78112</v>
      </c>
      <c r="N3698">
        <v>3720</v>
      </c>
      <c r="O3698">
        <v>85552</v>
      </c>
    </row>
    <row r="3699" spans="1:15" x14ac:dyDescent="0.35">
      <c r="A3699">
        <v>3698</v>
      </c>
      <c r="B3699" s="2" t="s">
        <v>18</v>
      </c>
      <c r="C3699" s="2" t="s">
        <v>11</v>
      </c>
      <c r="D3699">
        <v>31</v>
      </c>
      <c r="E3699" s="2" t="s">
        <v>24</v>
      </c>
      <c r="F3699" s="2" t="s">
        <v>17</v>
      </c>
      <c r="G3699">
        <v>25570</v>
      </c>
      <c r="H3699" s="1">
        <v>45453</v>
      </c>
      <c r="I3699">
        <v>1</v>
      </c>
      <c r="J3699">
        <v>4</v>
      </c>
      <c r="K3699">
        <v>2557</v>
      </c>
      <c r="L3699">
        <v>1278</v>
      </c>
      <c r="M3699">
        <v>26849</v>
      </c>
      <c r="N3699">
        <v>0</v>
      </c>
      <c r="O3699">
        <v>28127</v>
      </c>
    </row>
    <row r="3700" spans="1:15" x14ac:dyDescent="0.35">
      <c r="A3700">
        <v>3699</v>
      </c>
      <c r="B3700" s="2" t="s">
        <v>22</v>
      </c>
      <c r="C3700" s="2" t="s">
        <v>15</v>
      </c>
      <c r="D3700">
        <v>44</v>
      </c>
      <c r="E3700" s="2" t="s">
        <v>12</v>
      </c>
      <c r="F3700" s="2" t="s">
        <v>21</v>
      </c>
      <c r="G3700">
        <v>20708</v>
      </c>
      <c r="H3700" s="1">
        <v>44966</v>
      </c>
      <c r="I3700">
        <v>6</v>
      </c>
      <c r="J3700">
        <v>5</v>
      </c>
      <c r="K3700">
        <v>2071</v>
      </c>
      <c r="L3700">
        <v>1035</v>
      </c>
      <c r="M3700">
        <v>21744</v>
      </c>
      <c r="N3700">
        <v>1035</v>
      </c>
      <c r="O3700">
        <v>23814</v>
      </c>
    </row>
    <row r="3701" spans="1:15" x14ac:dyDescent="0.35">
      <c r="A3701">
        <v>3700</v>
      </c>
      <c r="B3701" s="2" t="s">
        <v>27</v>
      </c>
      <c r="C3701" s="2" t="s">
        <v>11</v>
      </c>
      <c r="D3701">
        <v>36</v>
      </c>
      <c r="E3701" s="2" t="s">
        <v>29</v>
      </c>
      <c r="F3701" s="2" t="s">
        <v>21</v>
      </c>
      <c r="G3701">
        <v>60667</v>
      </c>
      <c r="H3701" s="1">
        <v>45540</v>
      </c>
      <c r="I3701">
        <v>18</v>
      </c>
      <c r="J3701">
        <v>2</v>
      </c>
      <c r="K3701">
        <v>6067</v>
      </c>
      <c r="L3701">
        <v>3033</v>
      </c>
      <c r="M3701">
        <v>63701</v>
      </c>
      <c r="N3701">
        <v>3033</v>
      </c>
      <c r="O3701">
        <v>69767</v>
      </c>
    </row>
    <row r="3702" spans="1:15" x14ac:dyDescent="0.35">
      <c r="A3702">
        <v>3701</v>
      </c>
      <c r="B3702" s="2" t="s">
        <v>20</v>
      </c>
      <c r="C3702" s="2" t="s">
        <v>15</v>
      </c>
      <c r="D3702">
        <v>47</v>
      </c>
      <c r="E3702" s="2" t="s">
        <v>24</v>
      </c>
      <c r="F3702" s="2" t="s">
        <v>13</v>
      </c>
      <c r="G3702">
        <v>39733</v>
      </c>
      <c r="H3702" s="1">
        <v>44964</v>
      </c>
      <c r="I3702">
        <v>18</v>
      </c>
      <c r="J3702">
        <v>1</v>
      </c>
      <c r="K3702">
        <v>3973</v>
      </c>
      <c r="L3702">
        <v>1987</v>
      </c>
      <c r="M3702">
        <v>41719</v>
      </c>
      <c r="N3702">
        <v>1987</v>
      </c>
      <c r="O3702">
        <v>45693</v>
      </c>
    </row>
    <row r="3703" spans="1:15" x14ac:dyDescent="0.35">
      <c r="A3703">
        <v>3702</v>
      </c>
      <c r="B3703" s="2" t="s">
        <v>22</v>
      </c>
      <c r="C3703" s="2" t="s">
        <v>11</v>
      </c>
      <c r="D3703">
        <v>48</v>
      </c>
      <c r="E3703" s="2" t="s">
        <v>12</v>
      </c>
      <c r="F3703" s="2" t="s">
        <v>19</v>
      </c>
      <c r="G3703">
        <v>79936</v>
      </c>
      <c r="H3703" s="1">
        <v>45500</v>
      </c>
      <c r="I3703">
        <v>16</v>
      </c>
      <c r="J3703">
        <v>4</v>
      </c>
      <c r="K3703">
        <v>7994</v>
      </c>
      <c r="L3703">
        <v>3997</v>
      </c>
      <c r="M3703">
        <v>83933</v>
      </c>
      <c r="N3703">
        <v>3997</v>
      </c>
      <c r="O3703">
        <v>91927</v>
      </c>
    </row>
    <row r="3704" spans="1:15" x14ac:dyDescent="0.35">
      <c r="A3704">
        <v>3703</v>
      </c>
      <c r="B3704" s="2" t="s">
        <v>22</v>
      </c>
      <c r="C3704" s="2" t="s">
        <v>15</v>
      </c>
      <c r="D3704">
        <v>33</v>
      </c>
      <c r="E3704" s="2" t="s">
        <v>12</v>
      </c>
      <c r="F3704" s="2" t="s">
        <v>25</v>
      </c>
      <c r="G3704">
        <v>59913</v>
      </c>
      <c r="H3704" s="1">
        <v>45290</v>
      </c>
      <c r="I3704">
        <v>10</v>
      </c>
      <c r="J3704">
        <v>4</v>
      </c>
      <c r="K3704">
        <v>5991</v>
      </c>
      <c r="L3704">
        <v>2996</v>
      </c>
      <c r="M3704">
        <v>62908</v>
      </c>
      <c r="N3704">
        <v>2996</v>
      </c>
      <c r="O3704">
        <v>68900</v>
      </c>
    </row>
    <row r="3705" spans="1:15" x14ac:dyDescent="0.35">
      <c r="A3705">
        <v>3704</v>
      </c>
      <c r="B3705" s="2" t="s">
        <v>22</v>
      </c>
      <c r="C3705" s="2" t="s">
        <v>15</v>
      </c>
      <c r="D3705">
        <v>56</v>
      </c>
      <c r="E3705" s="2" t="s">
        <v>28</v>
      </c>
      <c r="F3705" s="2" t="s">
        <v>21</v>
      </c>
      <c r="G3705">
        <v>72929</v>
      </c>
      <c r="H3705" s="1">
        <v>44650</v>
      </c>
      <c r="I3705">
        <v>8</v>
      </c>
      <c r="J3705">
        <v>5</v>
      </c>
      <c r="K3705">
        <v>7293</v>
      </c>
      <c r="L3705">
        <v>3646</v>
      </c>
      <c r="M3705">
        <v>76576</v>
      </c>
      <c r="N3705">
        <v>3646</v>
      </c>
      <c r="O3705">
        <v>83868</v>
      </c>
    </row>
    <row r="3706" spans="1:15" x14ac:dyDescent="0.35">
      <c r="A3706">
        <v>3705</v>
      </c>
      <c r="B3706" s="2" t="s">
        <v>18</v>
      </c>
      <c r="C3706" s="2" t="s">
        <v>15</v>
      </c>
      <c r="D3706">
        <v>54</v>
      </c>
      <c r="E3706" s="2" t="s">
        <v>29</v>
      </c>
      <c r="F3706" s="2" t="s">
        <v>25</v>
      </c>
      <c r="G3706">
        <v>37852</v>
      </c>
      <c r="H3706" s="1">
        <v>44575</v>
      </c>
      <c r="I3706">
        <v>17</v>
      </c>
      <c r="J3706">
        <v>5</v>
      </c>
      <c r="K3706">
        <v>3785</v>
      </c>
      <c r="L3706">
        <v>1893</v>
      </c>
      <c r="M3706">
        <v>39744</v>
      </c>
      <c r="N3706">
        <v>1893</v>
      </c>
      <c r="O3706">
        <v>43530</v>
      </c>
    </row>
    <row r="3707" spans="1:15" x14ac:dyDescent="0.35">
      <c r="A3707">
        <v>3706</v>
      </c>
      <c r="B3707" s="2" t="s">
        <v>22</v>
      </c>
      <c r="C3707" s="2" t="s">
        <v>11</v>
      </c>
      <c r="D3707">
        <v>24</v>
      </c>
      <c r="E3707" s="2" t="s">
        <v>12</v>
      </c>
      <c r="F3707" s="2" t="s">
        <v>25</v>
      </c>
      <c r="G3707">
        <v>45954</v>
      </c>
      <c r="H3707" s="1">
        <v>45175</v>
      </c>
      <c r="I3707">
        <v>8</v>
      </c>
      <c r="J3707">
        <v>2</v>
      </c>
      <c r="K3707">
        <v>4595</v>
      </c>
      <c r="L3707">
        <v>2298</v>
      </c>
      <c r="M3707">
        <v>48251</v>
      </c>
      <c r="N3707">
        <v>2298</v>
      </c>
      <c r="O3707">
        <v>52847</v>
      </c>
    </row>
    <row r="3708" spans="1:15" x14ac:dyDescent="0.35">
      <c r="A3708">
        <v>3707</v>
      </c>
      <c r="B3708" s="2" t="s">
        <v>26</v>
      </c>
      <c r="C3708" s="2" t="s">
        <v>15</v>
      </c>
      <c r="D3708">
        <v>60</v>
      </c>
      <c r="E3708" s="2" t="s">
        <v>29</v>
      </c>
      <c r="F3708" s="2" t="s">
        <v>21</v>
      </c>
      <c r="G3708">
        <v>97277</v>
      </c>
      <c r="H3708" s="1">
        <v>45562</v>
      </c>
      <c r="I3708">
        <v>13</v>
      </c>
      <c r="J3708">
        <v>2</v>
      </c>
      <c r="K3708">
        <v>9728</v>
      </c>
      <c r="L3708">
        <v>4864</v>
      </c>
      <c r="M3708">
        <v>102141</v>
      </c>
      <c r="N3708">
        <v>4864</v>
      </c>
      <c r="O3708">
        <v>111869</v>
      </c>
    </row>
    <row r="3709" spans="1:15" x14ac:dyDescent="0.35">
      <c r="A3709">
        <v>3708</v>
      </c>
      <c r="B3709" s="2" t="s">
        <v>27</v>
      </c>
      <c r="C3709" s="2" t="s">
        <v>15</v>
      </c>
      <c r="D3709">
        <v>55</v>
      </c>
      <c r="E3709" s="2" t="s">
        <v>29</v>
      </c>
      <c r="F3709" s="2" t="s">
        <v>25</v>
      </c>
      <c r="G3709">
        <v>46776</v>
      </c>
      <c r="H3709" s="1">
        <v>44991</v>
      </c>
      <c r="I3709">
        <v>14</v>
      </c>
      <c r="J3709">
        <v>5</v>
      </c>
      <c r="K3709">
        <v>4678</v>
      </c>
      <c r="L3709">
        <v>2339</v>
      </c>
      <c r="M3709">
        <v>49115</v>
      </c>
      <c r="N3709">
        <v>2339</v>
      </c>
      <c r="O3709">
        <v>53793</v>
      </c>
    </row>
    <row r="3710" spans="1:15" x14ac:dyDescent="0.35">
      <c r="A3710">
        <v>3709</v>
      </c>
      <c r="B3710" s="2" t="s">
        <v>10</v>
      </c>
      <c r="C3710" s="2" t="s">
        <v>15</v>
      </c>
      <c r="D3710">
        <v>55</v>
      </c>
      <c r="E3710" s="2" t="s">
        <v>29</v>
      </c>
      <c r="F3710" s="2" t="s">
        <v>13</v>
      </c>
      <c r="G3710">
        <v>29967</v>
      </c>
      <c r="H3710" s="1">
        <v>45550</v>
      </c>
      <c r="I3710">
        <v>10</v>
      </c>
      <c r="J3710">
        <v>2</v>
      </c>
      <c r="K3710">
        <v>2997</v>
      </c>
      <c r="L3710">
        <v>1498</v>
      </c>
      <c r="M3710">
        <v>31466</v>
      </c>
      <c r="N3710">
        <v>1498</v>
      </c>
      <c r="O3710">
        <v>34462</v>
      </c>
    </row>
    <row r="3711" spans="1:15" x14ac:dyDescent="0.35">
      <c r="A3711">
        <v>3710</v>
      </c>
      <c r="B3711" s="2" t="s">
        <v>27</v>
      </c>
      <c r="C3711" s="2" t="s">
        <v>15</v>
      </c>
      <c r="D3711">
        <v>57</v>
      </c>
      <c r="E3711" s="2" t="s">
        <v>29</v>
      </c>
      <c r="F3711" s="2" t="s">
        <v>13</v>
      </c>
      <c r="G3711">
        <v>43178</v>
      </c>
      <c r="H3711" s="1">
        <v>44997</v>
      </c>
      <c r="I3711">
        <v>16</v>
      </c>
      <c r="J3711">
        <v>2</v>
      </c>
      <c r="K3711">
        <v>4318</v>
      </c>
      <c r="L3711">
        <v>2159</v>
      </c>
      <c r="M3711">
        <v>45337</v>
      </c>
      <c r="N3711">
        <v>2159</v>
      </c>
      <c r="O3711">
        <v>49655</v>
      </c>
    </row>
    <row r="3712" spans="1:15" x14ac:dyDescent="0.35">
      <c r="A3712">
        <v>3711</v>
      </c>
      <c r="B3712" s="2" t="s">
        <v>30</v>
      </c>
      <c r="C3712" s="2" t="s">
        <v>15</v>
      </c>
      <c r="D3712">
        <v>42</v>
      </c>
      <c r="E3712" s="2" t="s">
        <v>12</v>
      </c>
      <c r="F3712" s="2" t="s">
        <v>19</v>
      </c>
      <c r="G3712">
        <v>45705</v>
      </c>
      <c r="H3712" s="1">
        <v>44656</v>
      </c>
      <c r="I3712">
        <v>18</v>
      </c>
      <c r="J3712">
        <v>1</v>
      </c>
      <c r="K3712">
        <v>4570</v>
      </c>
      <c r="L3712">
        <v>2285</v>
      </c>
      <c r="M3712">
        <v>47990</v>
      </c>
      <c r="N3712">
        <v>2285</v>
      </c>
      <c r="O3712">
        <v>52560</v>
      </c>
    </row>
    <row r="3713" spans="1:15" x14ac:dyDescent="0.35">
      <c r="A3713">
        <v>3712</v>
      </c>
      <c r="B3713" s="2" t="s">
        <v>31</v>
      </c>
      <c r="C3713" s="2" t="s">
        <v>11</v>
      </c>
      <c r="D3713">
        <v>28</v>
      </c>
      <c r="E3713" s="2" t="s">
        <v>29</v>
      </c>
      <c r="F3713" s="2" t="s">
        <v>21</v>
      </c>
      <c r="G3713">
        <v>27676</v>
      </c>
      <c r="H3713" s="1">
        <v>45468</v>
      </c>
      <c r="I3713">
        <v>13</v>
      </c>
      <c r="J3713">
        <v>2</v>
      </c>
      <c r="K3713">
        <v>2768</v>
      </c>
      <c r="L3713">
        <v>1384</v>
      </c>
      <c r="M3713">
        <v>29060</v>
      </c>
      <c r="N3713">
        <v>1384</v>
      </c>
      <c r="O3713">
        <v>31828</v>
      </c>
    </row>
    <row r="3714" spans="1:15" x14ac:dyDescent="0.35">
      <c r="A3714">
        <v>3713</v>
      </c>
      <c r="B3714" s="2" t="s">
        <v>10</v>
      </c>
      <c r="C3714" s="2" t="s">
        <v>15</v>
      </c>
      <c r="D3714">
        <v>36</v>
      </c>
      <c r="E3714" s="2" t="s">
        <v>29</v>
      </c>
      <c r="F3714" s="2" t="s">
        <v>13</v>
      </c>
      <c r="G3714">
        <v>53446</v>
      </c>
      <c r="H3714" s="1">
        <v>45507</v>
      </c>
      <c r="I3714">
        <v>9</v>
      </c>
      <c r="J3714">
        <v>1</v>
      </c>
      <c r="K3714">
        <v>5345</v>
      </c>
      <c r="L3714">
        <v>2672</v>
      </c>
      <c r="M3714">
        <v>56119</v>
      </c>
      <c r="N3714">
        <v>2672</v>
      </c>
      <c r="O3714">
        <v>61463</v>
      </c>
    </row>
    <row r="3715" spans="1:15" x14ac:dyDescent="0.35">
      <c r="A3715">
        <v>3714</v>
      </c>
      <c r="B3715" s="2" t="s">
        <v>26</v>
      </c>
      <c r="C3715" s="2" t="s">
        <v>15</v>
      </c>
      <c r="D3715">
        <v>23</v>
      </c>
      <c r="E3715" s="2" t="s">
        <v>12</v>
      </c>
      <c r="F3715" s="2" t="s">
        <v>21</v>
      </c>
      <c r="G3715">
        <v>29640</v>
      </c>
      <c r="H3715" s="1">
        <v>45365</v>
      </c>
      <c r="I3715">
        <v>9</v>
      </c>
      <c r="J3715">
        <v>5</v>
      </c>
      <c r="K3715">
        <v>2964</v>
      </c>
      <c r="L3715">
        <v>1482</v>
      </c>
      <c r="M3715">
        <v>31122</v>
      </c>
      <c r="N3715">
        <v>1482</v>
      </c>
      <c r="O3715">
        <v>34086</v>
      </c>
    </row>
    <row r="3716" spans="1:15" x14ac:dyDescent="0.35">
      <c r="A3716">
        <v>3715</v>
      </c>
      <c r="B3716" s="2" t="s">
        <v>14</v>
      </c>
      <c r="C3716" s="2" t="s">
        <v>15</v>
      </c>
      <c r="D3716">
        <v>25</v>
      </c>
      <c r="E3716" s="2" t="s">
        <v>29</v>
      </c>
      <c r="F3716" s="2" t="s">
        <v>25</v>
      </c>
      <c r="G3716">
        <v>80435</v>
      </c>
      <c r="H3716" s="1">
        <v>44978</v>
      </c>
      <c r="I3716">
        <v>10</v>
      </c>
      <c r="J3716">
        <v>4</v>
      </c>
      <c r="K3716">
        <v>8044</v>
      </c>
      <c r="L3716">
        <v>4022</v>
      </c>
      <c r="M3716">
        <v>84457</v>
      </c>
      <c r="N3716">
        <v>4022</v>
      </c>
      <c r="O3716">
        <v>92501</v>
      </c>
    </row>
    <row r="3717" spans="1:15" x14ac:dyDescent="0.35">
      <c r="A3717">
        <v>3716</v>
      </c>
      <c r="B3717" s="2" t="s">
        <v>20</v>
      </c>
      <c r="C3717" s="2" t="s">
        <v>11</v>
      </c>
      <c r="D3717">
        <v>39</v>
      </c>
      <c r="E3717" s="2" t="s">
        <v>24</v>
      </c>
      <c r="F3717" s="2" t="s">
        <v>17</v>
      </c>
      <c r="G3717">
        <v>65437</v>
      </c>
      <c r="H3717" s="1">
        <v>45523</v>
      </c>
      <c r="I3717">
        <v>13</v>
      </c>
      <c r="J3717">
        <v>5</v>
      </c>
      <c r="K3717">
        <v>6544</v>
      </c>
      <c r="L3717">
        <v>3272</v>
      </c>
      <c r="M3717">
        <v>68709</v>
      </c>
      <c r="N3717">
        <v>3272</v>
      </c>
      <c r="O3717">
        <v>75253</v>
      </c>
    </row>
    <row r="3718" spans="1:15" x14ac:dyDescent="0.35">
      <c r="A3718">
        <v>3717</v>
      </c>
      <c r="B3718" s="2" t="s">
        <v>30</v>
      </c>
      <c r="C3718" s="2" t="s">
        <v>15</v>
      </c>
      <c r="D3718">
        <v>47</v>
      </c>
      <c r="E3718" s="2" t="s">
        <v>24</v>
      </c>
      <c r="F3718" s="2" t="s">
        <v>19</v>
      </c>
      <c r="G3718">
        <v>73258</v>
      </c>
      <c r="H3718" s="1">
        <v>45342</v>
      </c>
      <c r="I3718">
        <v>6</v>
      </c>
      <c r="J3718">
        <v>3</v>
      </c>
      <c r="K3718">
        <v>7326</v>
      </c>
      <c r="L3718">
        <v>3663</v>
      </c>
      <c r="M3718">
        <v>76921</v>
      </c>
      <c r="N3718">
        <v>3663</v>
      </c>
      <c r="O3718">
        <v>84247</v>
      </c>
    </row>
    <row r="3719" spans="1:15" x14ac:dyDescent="0.35">
      <c r="A3719">
        <v>3718</v>
      </c>
      <c r="B3719" s="2" t="s">
        <v>10</v>
      </c>
      <c r="C3719" s="2" t="s">
        <v>11</v>
      </c>
      <c r="D3719">
        <v>55</v>
      </c>
      <c r="E3719" s="2" t="s">
        <v>24</v>
      </c>
      <c r="F3719" s="2" t="s">
        <v>19</v>
      </c>
      <c r="G3719">
        <v>24580</v>
      </c>
      <c r="H3719" s="1">
        <v>44795</v>
      </c>
      <c r="I3719">
        <v>10</v>
      </c>
      <c r="J3719">
        <v>2</v>
      </c>
      <c r="K3719">
        <v>2458</v>
      </c>
      <c r="L3719">
        <v>1229</v>
      </c>
      <c r="M3719">
        <v>25809</v>
      </c>
      <c r="N3719">
        <v>1229</v>
      </c>
      <c r="O3719">
        <v>28267</v>
      </c>
    </row>
    <row r="3720" spans="1:15" x14ac:dyDescent="0.35">
      <c r="A3720">
        <v>3719</v>
      </c>
      <c r="B3720" s="2" t="s">
        <v>23</v>
      </c>
      <c r="C3720" s="2" t="s">
        <v>15</v>
      </c>
      <c r="D3720">
        <v>43</v>
      </c>
      <c r="E3720" s="2" t="s">
        <v>12</v>
      </c>
      <c r="F3720" s="2" t="s">
        <v>21</v>
      </c>
      <c r="G3720">
        <v>82300</v>
      </c>
      <c r="H3720" s="1">
        <v>44857</v>
      </c>
      <c r="I3720">
        <v>20</v>
      </c>
      <c r="J3720">
        <v>4</v>
      </c>
      <c r="K3720">
        <v>8230</v>
      </c>
      <c r="L3720">
        <v>4115</v>
      </c>
      <c r="M3720">
        <v>86415</v>
      </c>
      <c r="N3720">
        <v>4115</v>
      </c>
      <c r="O3720">
        <v>94645</v>
      </c>
    </row>
    <row r="3721" spans="1:15" x14ac:dyDescent="0.35">
      <c r="A3721">
        <v>3720</v>
      </c>
      <c r="B3721" s="2" t="s">
        <v>26</v>
      </c>
      <c r="C3721" s="2" t="s">
        <v>15</v>
      </c>
      <c r="D3721">
        <v>59</v>
      </c>
      <c r="E3721" s="2" t="s">
        <v>29</v>
      </c>
      <c r="F3721" s="2" t="s">
        <v>25</v>
      </c>
      <c r="G3721">
        <v>24336</v>
      </c>
      <c r="H3721" s="1">
        <v>45200</v>
      </c>
      <c r="I3721">
        <v>16</v>
      </c>
      <c r="J3721">
        <v>2</v>
      </c>
      <c r="K3721">
        <v>2434</v>
      </c>
      <c r="L3721">
        <v>1217</v>
      </c>
      <c r="M3721">
        <v>25553</v>
      </c>
      <c r="N3721">
        <v>1217</v>
      </c>
      <c r="O3721">
        <v>27987</v>
      </c>
    </row>
    <row r="3722" spans="1:15" x14ac:dyDescent="0.35">
      <c r="A3722">
        <v>3721</v>
      </c>
      <c r="B3722" s="2" t="s">
        <v>14</v>
      </c>
      <c r="C3722" s="2" t="s">
        <v>11</v>
      </c>
      <c r="D3722">
        <v>57</v>
      </c>
      <c r="E3722" s="2" t="s">
        <v>28</v>
      </c>
      <c r="F3722" s="2" t="s">
        <v>25</v>
      </c>
      <c r="G3722">
        <v>54141</v>
      </c>
      <c r="H3722" s="1">
        <v>45134</v>
      </c>
      <c r="I3722">
        <v>14</v>
      </c>
      <c r="J3722">
        <v>4</v>
      </c>
      <c r="K3722">
        <v>5414</v>
      </c>
      <c r="L3722">
        <v>2707</v>
      </c>
      <c r="M3722">
        <v>56848</v>
      </c>
      <c r="N3722">
        <v>2707</v>
      </c>
      <c r="O3722">
        <v>62262</v>
      </c>
    </row>
    <row r="3723" spans="1:15" x14ac:dyDescent="0.35">
      <c r="A3723">
        <v>3722</v>
      </c>
      <c r="B3723" s="2" t="s">
        <v>30</v>
      </c>
      <c r="C3723" s="2" t="s">
        <v>11</v>
      </c>
      <c r="D3723">
        <v>31</v>
      </c>
      <c r="E3723" s="2" t="s">
        <v>28</v>
      </c>
      <c r="F3723" s="2" t="s">
        <v>25</v>
      </c>
      <c r="G3723">
        <v>50790</v>
      </c>
      <c r="H3723" s="1">
        <v>44769</v>
      </c>
      <c r="I3723">
        <v>4</v>
      </c>
      <c r="J3723">
        <v>1</v>
      </c>
      <c r="K3723">
        <v>5079</v>
      </c>
      <c r="L3723">
        <v>2540</v>
      </c>
      <c r="M3723">
        <v>53329</v>
      </c>
      <c r="N3723">
        <v>0</v>
      </c>
      <c r="O3723">
        <v>55869</v>
      </c>
    </row>
    <row r="3724" spans="1:15" x14ac:dyDescent="0.35">
      <c r="A3724">
        <v>3723</v>
      </c>
      <c r="B3724" s="2" t="s">
        <v>27</v>
      </c>
      <c r="C3724" s="2" t="s">
        <v>15</v>
      </c>
      <c r="D3724">
        <v>60</v>
      </c>
      <c r="E3724" s="2" t="s">
        <v>12</v>
      </c>
      <c r="F3724" s="2" t="s">
        <v>25</v>
      </c>
      <c r="G3724">
        <v>81213</v>
      </c>
      <c r="H3724" s="1">
        <v>45512</v>
      </c>
      <c r="I3724">
        <v>17</v>
      </c>
      <c r="J3724">
        <v>2</v>
      </c>
      <c r="K3724">
        <v>8121</v>
      </c>
      <c r="L3724">
        <v>4061</v>
      </c>
      <c r="M3724">
        <v>85273</v>
      </c>
      <c r="N3724">
        <v>4061</v>
      </c>
      <c r="O3724">
        <v>93395</v>
      </c>
    </row>
    <row r="3725" spans="1:15" x14ac:dyDescent="0.35">
      <c r="A3725">
        <v>3724</v>
      </c>
      <c r="B3725" s="2" t="s">
        <v>30</v>
      </c>
      <c r="C3725" s="2" t="s">
        <v>15</v>
      </c>
      <c r="D3725">
        <v>59</v>
      </c>
      <c r="E3725" s="2" t="s">
        <v>28</v>
      </c>
      <c r="F3725" s="2" t="s">
        <v>17</v>
      </c>
      <c r="G3725">
        <v>41306</v>
      </c>
      <c r="H3725" s="1">
        <v>45254</v>
      </c>
      <c r="I3725">
        <v>4</v>
      </c>
      <c r="J3725">
        <v>5</v>
      </c>
      <c r="K3725">
        <v>4131</v>
      </c>
      <c r="L3725">
        <v>2065</v>
      </c>
      <c r="M3725">
        <v>43372</v>
      </c>
      <c r="N3725">
        <v>0</v>
      </c>
      <c r="O3725">
        <v>45437</v>
      </c>
    </row>
    <row r="3726" spans="1:15" x14ac:dyDescent="0.35">
      <c r="A3726">
        <v>3725</v>
      </c>
      <c r="B3726" s="2" t="s">
        <v>20</v>
      </c>
      <c r="C3726" s="2" t="s">
        <v>11</v>
      </c>
      <c r="D3726">
        <v>39</v>
      </c>
      <c r="E3726" s="2" t="s">
        <v>28</v>
      </c>
      <c r="F3726" s="2" t="s">
        <v>13</v>
      </c>
      <c r="G3726">
        <v>88681</v>
      </c>
      <c r="H3726" s="1">
        <v>45245</v>
      </c>
      <c r="I3726">
        <v>14</v>
      </c>
      <c r="J3726">
        <v>3</v>
      </c>
      <c r="K3726">
        <v>8868</v>
      </c>
      <c r="L3726">
        <v>4434</v>
      </c>
      <c r="M3726">
        <v>93115</v>
      </c>
      <c r="N3726">
        <v>4434</v>
      </c>
      <c r="O3726">
        <v>101983</v>
      </c>
    </row>
    <row r="3727" spans="1:15" x14ac:dyDescent="0.35">
      <c r="A3727">
        <v>3726</v>
      </c>
      <c r="B3727" s="2" t="s">
        <v>27</v>
      </c>
      <c r="C3727" s="2" t="s">
        <v>11</v>
      </c>
      <c r="D3727">
        <v>24</v>
      </c>
      <c r="E3727" s="2" t="s">
        <v>24</v>
      </c>
      <c r="F3727" s="2" t="s">
        <v>17</v>
      </c>
      <c r="G3727">
        <v>49701</v>
      </c>
      <c r="H3727" s="1">
        <v>45516</v>
      </c>
      <c r="I3727">
        <v>16</v>
      </c>
      <c r="J3727">
        <v>3</v>
      </c>
      <c r="K3727">
        <v>4970</v>
      </c>
      <c r="L3727">
        <v>2485</v>
      </c>
      <c r="M3727">
        <v>52186</v>
      </c>
      <c r="N3727">
        <v>2485</v>
      </c>
      <c r="O3727">
        <v>57156</v>
      </c>
    </row>
    <row r="3728" spans="1:15" x14ac:dyDescent="0.35">
      <c r="A3728">
        <v>3727</v>
      </c>
      <c r="B3728" s="2" t="s">
        <v>22</v>
      </c>
      <c r="C3728" s="2" t="s">
        <v>15</v>
      </c>
      <c r="D3728">
        <v>53</v>
      </c>
      <c r="E3728" s="2" t="s">
        <v>28</v>
      </c>
      <c r="F3728" s="2" t="s">
        <v>13</v>
      </c>
      <c r="G3728">
        <v>67250</v>
      </c>
      <c r="H3728" s="1">
        <v>44988</v>
      </c>
      <c r="I3728">
        <v>12</v>
      </c>
      <c r="J3728">
        <v>4</v>
      </c>
      <c r="K3728">
        <v>6725</v>
      </c>
      <c r="L3728">
        <v>3362</v>
      </c>
      <c r="M3728">
        <v>70613</v>
      </c>
      <c r="N3728">
        <v>3362</v>
      </c>
      <c r="O3728">
        <v>77337</v>
      </c>
    </row>
    <row r="3729" spans="1:15" x14ac:dyDescent="0.35">
      <c r="A3729">
        <v>3728</v>
      </c>
      <c r="B3729" s="2" t="s">
        <v>18</v>
      </c>
      <c r="C3729" s="2" t="s">
        <v>11</v>
      </c>
      <c r="D3729">
        <v>45</v>
      </c>
      <c r="E3729" s="2" t="s">
        <v>12</v>
      </c>
      <c r="F3729" s="2" t="s">
        <v>17</v>
      </c>
      <c r="G3729">
        <v>81233</v>
      </c>
      <c r="H3729" s="1">
        <v>45074</v>
      </c>
      <c r="I3729">
        <v>15</v>
      </c>
      <c r="J3729">
        <v>3</v>
      </c>
      <c r="K3729">
        <v>8123</v>
      </c>
      <c r="L3729">
        <v>4062</v>
      </c>
      <c r="M3729">
        <v>85294</v>
      </c>
      <c r="N3729">
        <v>4062</v>
      </c>
      <c r="O3729">
        <v>93418</v>
      </c>
    </row>
    <row r="3730" spans="1:15" x14ac:dyDescent="0.35">
      <c r="A3730">
        <v>3729</v>
      </c>
      <c r="B3730" s="2" t="s">
        <v>20</v>
      </c>
      <c r="C3730" s="2" t="s">
        <v>15</v>
      </c>
      <c r="D3730">
        <v>51</v>
      </c>
      <c r="E3730" s="2" t="s">
        <v>24</v>
      </c>
      <c r="F3730" s="2" t="s">
        <v>13</v>
      </c>
      <c r="G3730">
        <v>96802</v>
      </c>
      <c r="H3730" s="1">
        <v>44641</v>
      </c>
      <c r="I3730">
        <v>12</v>
      </c>
      <c r="J3730">
        <v>5</v>
      </c>
      <c r="K3730">
        <v>9680</v>
      </c>
      <c r="L3730">
        <v>4840</v>
      </c>
      <c r="M3730">
        <v>101642</v>
      </c>
      <c r="N3730">
        <v>4840</v>
      </c>
      <c r="O3730">
        <v>111322</v>
      </c>
    </row>
    <row r="3731" spans="1:15" x14ac:dyDescent="0.35">
      <c r="A3731">
        <v>3730</v>
      </c>
      <c r="B3731" s="2" t="s">
        <v>30</v>
      </c>
      <c r="C3731" s="2" t="s">
        <v>15</v>
      </c>
      <c r="D3731">
        <v>57</v>
      </c>
      <c r="E3731" s="2" t="s">
        <v>12</v>
      </c>
      <c r="F3731" s="2" t="s">
        <v>19</v>
      </c>
      <c r="G3731">
        <v>31639</v>
      </c>
      <c r="H3731" s="1">
        <v>44917</v>
      </c>
      <c r="I3731">
        <v>15</v>
      </c>
      <c r="J3731">
        <v>2</v>
      </c>
      <c r="K3731">
        <v>3164</v>
      </c>
      <c r="L3731">
        <v>1582</v>
      </c>
      <c r="M3731">
        <v>33221</v>
      </c>
      <c r="N3731">
        <v>1582</v>
      </c>
      <c r="O3731">
        <v>36385</v>
      </c>
    </row>
    <row r="3732" spans="1:15" x14ac:dyDescent="0.35">
      <c r="A3732">
        <v>3731</v>
      </c>
      <c r="B3732" s="2" t="s">
        <v>22</v>
      </c>
      <c r="C3732" s="2" t="s">
        <v>11</v>
      </c>
      <c r="D3732">
        <v>38</v>
      </c>
      <c r="E3732" s="2" t="s">
        <v>29</v>
      </c>
      <c r="F3732" s="2" t="s">
        <v>19</v>
      </c>
      <c r="G3732">
        <v>91328</v>
      </c>
      <c r="H3732" s="1">
        <v>45414</v>
      </c>
      <c r="I3732">
        <v>3</v>
      </c>
      <c r="J3732">
        <v>2</v>
      </c>
      <c r="K3732">
        <v>9133</v>
      </c>
      <c r="L3732">
        <v>4566</v>
      </c>
      <c r="M3732">
        <v>95895</v>
      </c>
      <c r="N3732">
        <v>0</v>
      </c>
      <c r="O3732">
        <v>100461</v>
      </c>
    </row>
    <row r="3733" spans="1:15" x14ac:dyDescent="0.35">
      <c r="A3733">
        <v>3732</v>
      </c>
      <c r="B3733" s="2" t="s">
        <v>20</v>
      </c>
      <c r="C3733" s="2" t="s">
        <v>11</v>
      </c>
      <c r="D3733">
        <v>39</v>
      </c>
      <c r="E3733" s="2" t="s">
        <v>28</v>
      </c>
      <c r="F3733" s="2" t="s">
        <v>17</v>
      </c>
      <c r="G3733">
        <v>93110</v>
      </c>
      <c r="H3733" s="1">
        <v>44637</v>
      </c>
      <c r="I3733">
        <v>8</v>
      </c>
      <c r="J3733">
        <v>1</v>
      </c>
      <c r="K3733">
        <v>9311</v>
      </c>
      <c r="L3733">
        <v>4656</v>
      </c>
      <c r="M3733">
        <v>97765</v>
      </c>
      <c r="N3733">
        <v>4656</v>
      </c>
      <c r="O3733">
        <v>107077</v>
      </c>
    </row>
    <row r="3734" spans="1:15" x14ac:dyDescent="0.35">
      <c r="A3734">
        <v>3733</v>
      </c>
      <c r="B3734" s="2" t="s">
        <v>27</v>
      </c>
      <c r="C3734" s="2" t="s">
        <v>11</v>
      </c>
      <c r="D3734">
        <v>23</v>
      </c>
      <c r="E3734" s="2" t="s">
        <v>12</v>
      </c>
      <c r="F3734" s="2" t="s">
        <v>13</v>
      </c>
      <c r="G3734">
        <v>66790</v>
      </c>
      <c r="H3734" s="1">
        <v>44889</v>
      </c>
      <c r="I3734">
        <v>16</v>
      </c>
      <c r="J3734">
        <v>4</v>
      </c>
      <c r="K3734">
        <v>6679</v>
      </c>
      <c r="L3734">
        <v>3340</v>
      </c>
      <c r="M3734">
        <v>70129</v>
      </c>
      <c r="N3734">
        <v>3340</v>
      </c>
      <c r="O3734">
        <v>76809</v>
      </c>
    </row>
    <row r="3735" spans="1:15" x14ac:dyDescent="0.35">
      <c r="A3735">
        <v>3734</v>
      </c>
      <c r="B3735" s="2" t="s">
        <v>18</v>
      </c>
      <c r="C3735" s="2" t="s">
        <v>15</v>
      </c>
      <c r="D3735">
        <v>50</v>
      </c>
      <c r="E3735" s="2" t="s">
        <v>24</v>
      </c>
      <c r="F3735" s="2" t="s">
        <v>13</v>
      </c>
      <c r="G3735">
        <v>77192</v>
      </c>
      <c r="H3735" s="1">
        <v>45496</v>
      </c>
      <c r="I3735">
        <v>17</v>
      </c>
      <c r="J3735">
        <v>1</v>
      </c>
      <c r="K3735">
        <v>7719</v>
      </c>
      <c r="L3735">
        <v>3860</v>
      </c>
      <c r="M3735">
        <v>81051</v>
      </c>
      <c r="N3735">
        <v>3860</v>
      </c>
      <c r="O3735">
        <v>88771</v>
      </c>
    </row>
    <row r="3736" spans="1:15" x14ac:dyDescent="0.35">
      <c r="A3736">
        <v>3735</v>
      </c>
      <c r="B3736" s="2" t="s">
        <v>23</v>
      </c>
      <c r="C3736" s="2" t="s">
        <v>11</v>
      </c>
      <c r="D3736">
        <v>60</v>
      </c>
      <c r="E3736" s="2" t="s">
        <v>24</v>
      </c>
      <c r="F3736" s="2" t="s">
        <v>19</v>
      </c>
      <c r="G3736">
        <v>33344</v>
      </c>
      <c r="H3736" s="1">
        <v>44947</v>
      </c>
      <c r="I3736">
        <v>2</v>
      </c>
      <c r="J3736">
        <v>5</v>
      </c>
      <c r="K3736">
        <v>3334</v>
      </c>
      <c r="L3736">
        <v>1667</v>
      </c>
      <c r="M3736">
        <v>35011</v>
      </c>
      <c r="N3736">
        <v>0</v>
      </c>
      <c r="O3736">
        <v>36678</v>
      </c>
    </row>
    <row r="3737" spans="1:15" x14ac:dyDescent="0.35">
      <c r="A3737">
        <v>3736</v>
      </c>
      <c r="B3737" s="2" t="s">
        <v>30</v>
      </c>
      <c r="C3737" s="2" t="s">
        <v>15</v>
      </c>
      <c r="D3737">
        <v>44</v>
      </c>
      <c r="E3737" s="2" t="s">
        <v>16</v>
      </c>
      <c r="F3737" s="2" t="s">
        <v>19</v>
      </c>
      <c r="G3737">
        <v>26920</v>
      </c>
      <c r="H3737" s="1">
        <v>45539</v>
      </c>
      <c r="I3737">
        <v>11</v>
      </c>
      <c r="J3737">
        <v>3</v>
      </c>
      <c r="K3737">
        <v>2692</v>
      </c>
      <c r="L3737">
        <v>1346</v>
      </c>
      <c r="M3737">
        <v>28266</v>
      </c>
      <c r="N3737">
        <v>1346</v>
      </c>
      <c r="O3737">
        <v>30958</v>
      </c>
    </row>
    <row r="3738" spans="1:15" x14ac:dyDescent="0.35">
      <c r="A3738">
        <v>3737</v>
      </c>
      <c r="B3738" s="2" t="s">
        <v>26</v>
      </c>
      <c r="C3738" s="2" t="s">
        <v>15</v>
      </c>
      <c r="D3738">
        <v>25</v>
      </c>
      <c r="E3738" s="2" t="s">
        <v>28</v>
      </c>
      <c r="F3738" s="2" t="s">
        <v>17</v>
      </c>
      <c r="G3738">
        <v>68281</v>
      </c>
      <c r="H3738" s="1">
        <v>45077</v>
      </c>
      <c r="I3738">
        <v>11</v>
      </c>
      <c r="J3738">
        <v>5</v>
      </c>
      <c r="K3738">
        <v>6828</v>
      </c>
      <c r="L3738">
        <v>3414</v>
      </c>
      <c r="M3738">
        <v>71695</v>
      </c>
      <c r="N3738">
        <v>3414</v>
      </c>
      <c r="O3738">
        <v>78523</v>
      </c>
    </row>
    <row r="3739" spans="1:15" x14ac:dyDescent="0.35">
      <c r="A3739">
        <v>3738</v>
      </c>
      <c r="B3739" s="2" t="s">
        <v>26</v>
      </c>
      <c r="C3739" s="2" t="s">
        <v>15</v>
      </c>
      <c r="D3739">
        <v>28</v>
      </c>
      <c r="E3739" s="2" t="s">
        <v>24</v>
      </c>
      <c r="F3739" s="2" t="s">
        <v>13</v>
      </c>
      <c r="G3739">
        <v>37667</v>
      </c>
      <c r="H3739" s="1">
        <v>45031</v>
      </c>
      <c r="I3739">
        <v>11</v>
      </c>
      <c r="J3739">
        <v>3</v>
      </c>
      <c r="K3739">
        <v>3767</v>
      </c>
      <c r="L3739">
        <v>1883</v>
      </c>
      <c r="M3739">
        <v>39551</v>
      </c>
      <c r="N3739">
        <v>1883</v>
      </c>
      <c r="O3739">
        <v>43317</v>
      </c>
    </row>
    <row r="3740" spans="1:15" x14ac:dyDescent="0.35">
      <c r="A3740">
        <v>3739</v>
      </c>
      <c r="B3740" s="2" t="s">
        <v>14</v>
      </c>
      <c r="C3740" s="2" t="s">
        <v>15</v>
      </c>
      <c r="D3740">
        <v>57</v>
      </c>
      <c r="E3740" s="2" t="s">
        <v>29</v>
      </c>
      <c r="F3740" s="2" t="s">
        <v>17</v>
      </c>
      <c r="G3740">
        <v>62127</v>
      </c>
      <c r="H3740" s="1">
        <v>44830</v>
      </c>
      <c r="I3740">
        <v>10</v>
      </c>
      <c r="J3740">
        <v>1</v>
      </c>
      <c r="K3740">
        <v>6213</v>
      </c>
      <c r="L3740">
        <v>3106</v>
      </c>
      <c r="M3740">
        <v>65234</v>
      </c>
      <c r="N3740">
        <v>3106</v>
      </c>
      <c r="O3740">
        <v>71446</v>
      </c>
    </row>
    <row r="3741" spans="1:15" x14ac:dyDescent="0.35">
      <c r="A3741">
        <v>3740</v>
      </c>
      <c r="B3741" s="2" t="s">
        <v>23</v>
      </c>
      <c r="C3741" s="2" t="s">
        <v>15</v>
      </c>
      <c r="D3741">
        <v>40</v>
      </c>
      <c r="E3741" s="2" t="s">
        <v>16</v>
      </c>
      <c r="F3741" s="2" t="s">
        <v>25</v>
      </c>
      <c r="G3741">
        <v>69428</v>
      </c>
      <c r="H3741" s="1">
        <v>44694</v>
      </c>
      <c r="I3741">
        <v>18</v>
      </c>
      <c r="J3741">
        <v>3</v>
      </c>
      <c r="K3741">
        <v>6943</v>
      </c>
      <c r="L3741">
        <v>3471</v>
      </c>
      <c r="M3741">
        <v>72900</v>
      </c>
      <c r="N3741">
        <v>3471</v>
      </c>
      <c r="O3741">
        <v>79842</v>
      </c>
    </row>
    <row r="3742" spans="1:15" x14ac:dyDescent="0.35">
      <c r="A3742">
        <v>3741</v>
      </c>
      <c r="B3742" s="2" t="s">
        <v>18</v>
      </c>
      <c r="C3742" s="2" t="s">
        <v>15</v>
      </c>
      <c r="D3742">
        <v>57</v>
      </c>
      <c r="E3742" s="2" t="s">
        <v>24</v>
      </c>
      <c r="F3742" s="2" t="s">
        <v>25</v>
      </c>
      <c r="G3742">
        <v>39180</v>
      </c>
      <c r="H3742" s="1">
        <v>44597</v>
      </c>
      <c r="I3742">
        <v>11</v>
      </c>
      <c r="J3742">
        <v>1</v>
      </c>
      <c r="K3742">
        <v>3918</v>
      </c>
      <c r="L3742">
        <v>1959</v>
      </c>
      <c r="M3742">
        <v>41139</v>
      </c>
      <c r="N3742">
        <v>1959</v>
      </c>
      <c r="O3742">
        <v>45057</v>
      </c>
    </row>
    <row r="3743" spans="1:15" x14ac:dyDescent="0.35">
      <c r="A3743">
        <v>3742</v>
      </c>
      <c r="B3743" s="2" t="s">
        <v>10</v>
      </c>
      <c r="C3743" s="2" t="s">
        <v>11</v>
      </c>
      <c r="D3743">
        <v>59</v>
      </c>
      <c r="E3743" s="2" t="s">
        <v>16</v>
      </c>
      <c r="F3743" s="2" t="s">
        <v>17</v>
      </c>
      <c r="G3743">
        <v>53394</v>
      </c>
      <c r="H3743" s="1">
        <v>44731</v>
      </c>
      <c r="I3743">
        <v>11</v>
      </c>
      <c r="J3743">
        <v>1</v>
      </c>
      <c r="K3743">
        <v>5339</v>
      </c>
      <c r="L3743">
        <v>2670</v>
      </c>
      <c r="M3743">
        <v>56063</v>
      </c>
      <c r="N3743">
        <v>2670</v>
      </c>
      <c r="O3743">
        <v>61403</v>
      </c>
    </row>
    <row r="3744" spans="1:15" x14ac:dyDescent="0.35">
      <c r="A3744">
        <v>3743</v>
      </c>
      <c r="B3744" s="2" t="s">
        <v>27</v>
      </c>
      <c r="C3744" s="2" t="s">
        <v>15</v>
      </c>
      <c r="D3744">
        <v>49</v>
      </c>
      <c r="E3744" s="2" t="s">
        <v>28</v>
      </c>
      <c r="F3744" s="2" t="s">
        <v>25</v>
      </c>
      <c r="G3744">
        <v>93839</v>
      </c>
      <c r="H3744" s="1">
        <v>45544</v>
      </c>
      <c r="I3744">
        <v>5</v>
      </c>
      <c r="J3744">
        <v>1</v>
      </c>
      <c r="K3744">
        <v>9384</v>
      </c>
      <c r="L3744">
        <v>4692</v>
      </c>
      <c r="M3744">
        <v>98531</v>
      </c>
      <c r="N3744">
        <v>0</v>
      </c>
      <c r="O3744">
        <v>103223</v>
      </c>
    </row>
    <row r="3745" spans="1:15" x14ac:dyDescent="0.35">
      <c r="A3745">
        <v>3744</v>
      </c>
      <c r="B3745" s="2" t="s">
        <v>31</v>
      </c>
      <c r="C3745" s="2" t="s">
        <v>15</v>
      </c>
      <c r="D3745">
        <v>33</v>
      </c>
      <c r="E3745" s="2" t="s">
        <v>29</v>
      </c>
      <c r="F3745" s="2" t="s">
        <v>19</v>
      </c>
      <c r="G3745">
        <v>95698</v>
      </c>
      <c r="H3745" s="1">
        <v>45213</v>
      </c>
      <c r="I3745">
        <v>16</v>
      </c>
      <c r="J3745">
        <v>2</v>
      </c>
      <c r="K3745">
        <v>9570</v>
      </c>
      <c r="L3745">
        <v>4785</v>
      </c>
      <c r="M3745">
        <v>100483</v>
      </c>
      <c r="N3745">
        <v>4785</v>
      </c>
      <c r="O3745">
        <v>110053</v>
      </c>
    </row>
    <row r="3746" spans="1:15" x14ac:dyDescent="0.35">
      <c r="A3746">
        <v>3745</v>
      </c>
      <c r="B3746" s="2" t="s">
        <v>23</v>
      </c>
      <c r="C3746" s="2" t="s">
        <v>15</v>
      </c>
      <c r="D3746">
        <v>36</v>
      </c>
      <c r="E3746" s="2" t="s">
        <v>24</v>
      </c>
      <c r="F3746" s="2" t="s">
        <v>21</v>
      </c>
      <c r="G3746">
        <v>83378</v>
      </c>
      <c r="H3746" s="1">
        <v>44719</v>
      </c>
      <c r="I3746">
        <v>11</v>
      </c>
      <c r="J3746">
        <v>5</v>
      </c>
      <c r="K3746">
        <v>8338</v>
      </c>
      <c r="L3746">
        <v>4169</v>
      </c>
      <c r="M3746">
        <v>87547</v>
      </c>
      <c r="N3746">
        <v>4169</v>
      </c>
      <c r="O3746">
        <v>95885</v>
      </c>
    </row>
    <row r="3747" spans="1:15" x14ac:dyDescent="0.35">
      <c r="A3747">
        <v>3746</v>
      </c>
      <c r="B3747" s="2" t="s">
        <v>22</v>
      </c>
      <c r="C3747" s="2" t="s">
        <v>11</v>
      </c>
      <c r="D3747">
        <v>51</v>
      </c>
      <c r="E3747" s="2" t="s">
        <v>12</v>
      </c>
      <c r="F3747" s="2" t="s">
        <v>25</v>
      </c>
      <c r="G3747">
        <v>57079</v>
      </c>
      <c r="H3747" s="1">
        <v>45505</v>
      </c>
      <c r="I3747">
        <v>14</v>
      </c>
      <c r="J3747">
        <v>5</v>
      </c>
      <c r="K3747">
        <v>5708</v>
      </c>
      <c r="L3747">
        <v>2854</v>
      </c>
      <c r="M3747">
        <v>59933</v>
      </c>
      <c r="N3747">
        <v>2854</v>
      </c>
      <c r="O3747">
        <v>65641</v>
      </c>
    </row>
    <row r="3748" spans="1:15" x14ac:dyDescent="0.35">
      <c r="A3748">
        <v>3747</v>
      </c>
      <c r="B3748" s="2" t="s">
        <v>20</v>
      </c>
      <c r="C3748" s="2" t="s">
        <v>11</v>
      </c>
      <c r="D3748">
        <v>22</v>
      </c>
      <c r="E3748" s="2" t="s">
        <v>24</v>
      </c>
      <c r="F3748" s="2" t="s">
        <v>25</v>
      </c>
      <c r="G3748">
        <v>37713</v>
      </c>
      <c r="H3748" s="1">
        <v>45031</v>
      </c>
      <c r="I3748">
        <v>16</v>
      </c>
      <c r="J3748">
        <v>2</v>
      </c>
      <c r="K3748">
        <v>3771</v>
      </c>
      <c r="L3748">
        <v>1886</v>
      </c>
      <c r="M3748">
        <v>39598</v>
      </c>
      <c r="N3748">
        <v>1886</v>
      </c>
      <c r="O3748">
        <v>43370</v>
      </c>
    </row>
    <row r="3749" spans="1:15" x14ac:dyDescent="0.35">
      <c r="A3749">
        <v>3748</v>
      </c>
      <c r="B3749" s="2" t="s">
        <v>26</v>
      </c>
      <c r="C3749" s="2" t="s">
        <v>11</v>
      </c>
      <c r="D3749">
        <v>48</v>
      </c>
      <c r="E3749" s="2" t="s">
        <v>16</v>
      </c>
      <c r="F3749" s="2" t="s">
        <v>13</v>
      </c>
      <c r="G3749">
        <v>74074</v>
      </c>
      <c r="H3749" s="1">
        <v>45367</v>
      </c>
      <c r="I3749">
        <v>6</v>
      </c>
      <c r="J3749">
        <v>1</v>
      </c>
      <c r="K3749">
        <v>7407</v>
      </c>
      <c r="L3749">
        <v>3704</v>
      </c>
      <c r="M3749">
        <v>77777</v>
      </c>
      <c r="N3749">
        <v>3704</v>
      </c>
      <c r="O3749">
        <v>85185</v>
      </c>
    </row>
    <row r="3750" spans="1:15" x14ac:dyDescent="0.35">
      <c r="A3750">
        <v>3749</v>
      </c>
      <c r="B3750" s="2" t="s">
        <v>20</v>
      </c>
      <c r="C3750" s="2" t="s">
        <v>15</v>
      </c>
      <c r="D3750">
        <v>40</v>
      </c>
      <c r="E3750" s="2" t="s">
        <v>24</v>
      </c>
      <c r="F3750" s="2" t="s">
        <v>19</v>
      </c>
      <c r="G3750">
        <v>65952</v>
      </c>
      <c r="H3750" s="1">
        <v>45257</v>
      </c>
      <c r="I3750">
        <v>9</v>
      </c>
      <c r="J3750">
        <v>1</v>
      </c>
      <c r="K3750">
        <v>6595</v>
      </c>
      <c r="L3750">
        <v>3298</v>
      </c>
      <c r="M3750">
        <v>69249</v>
      </c>
      <c r="N3750">
        <v>3298</v>
      </c>
      <c r="O3750">
        <v>75845</v>
      </c>
    </row>
    <row r="3751" spans="1:15" x14ac:dyDescent="0.35">
      <c r="A3751">
        <v>3750</v>
      </c>
      <c r="B3751" s="2" t="s">
        <v>23</v>
      </c>
      <c r="C3751" s="2" t="s">
        <v>15</v>
      </c>
      <c r="D3751">
        <v>29</v>
      </c>
      <c r="E3751" s="2" t="s">
        <v>24</v>
      </c>
      <c r="F3751" s="2" t="s">
        <v>19</v>
      </c>
      <c r="G3751">
        <v>64687</v>
      </c>
      <c r="H3751" s="1">
        <v>44972</v>
      </c>
      <c r="I3751">
        <v>19</v>
      </c>
      <c r="J3751">
        <v>2</v>
      </c>
      <c r="K3751">
        <v>6469</v>
      </c>
      <c r="L3751">
        <v>3234</v>
      </c>
      <c r="M3751">
        <v>67922</v>
      </c>
      <c r="N3751">
        <v>3234</v>
      </c>
      <c r="O3751">
        <v>74390</v>
      </c>
    </row>
    <row r="3752" spans="1:15" x14ac:dyDescent="0.35">
      <c r="A3752">
        <v>3751</v>
      </c>
      <c r="B3752" s="2" t="s">
        <v>18</v>
      </c>
      <c r="C3752" s="2" t="s">
        <v>15</v>
      </c>
      <c r="D3752">
        <v>36</v>
      </c>
      <c r="E3752" s="2" t="s">
        <v>29</v>
      </c>
      <c r="F3752" s="2" t="s">
        <v>17</v>
      </c>
      <c r="G3752">
        <v>36610</v>
      </c>
      <c r="H3752" s="1">
        <v>44851</v>
      </c>
      <c r="I3752">
        <v>15</v>
      </c>
      <c r="J3752">
        <v>3</v>
      </c>
      <c r="K3752">
        <v>3661</v>
      </c>
      <c r="L3752">
        <v>1830</v>
      </c>
      <c r="M3752">
        <v>38441</v>
      </c>
      <c r="N3752">
        <v>1830</v>
      </c>
      <c r="O3752">
        <v>42101</v>
      </c>
    </row>
    <row r="3753" spans="1:15" x14ac:dyDescent="0.35">
      <c r="A3753">
        <v>3752</v>
      </c>
      <c r="B3753" s="2" t="s">
        <v>31</v>
      </c>
      <c r="C3753" s="2" t="s">
        <v>15</v>
      </c>
      <c r="D3753">
        <v>35</v>
      </c>
      <c r="E3753" s="2" t="s">
        <v>12</v>
      </c>
      <c r="F3753" s="2" t="s">
        <v>13</v>
      </c>
      <c r="G3753">
        <v>91655</v>
      </c>
      <c r="H3753" s="1">
        <v>45442</v>
      </c>
      <c r="I3753">
        <v>11</v>
      </c>
      <c r="J3753">
        <v>5</v>
      </c>
      <c r="K3753">
        <v>9166</v>
      </c>
      <c r="L3753">
        <v>4583</v>
      </c>
      <c r="M3753">
        <v>96238</v>
      </c>
      <c r="N3753">
        <v>4583</v>
      </c>
      <c r="O3753">
        <v>105404</v>
      </c>
    </row>
    <row r="3754" spans="1:15" x14ac:dyDescent="0.35">
      <c r="A3754">
        <v>3753</v>
      </c>
      <c r="B3754" s="2" t="s">
        <v>18</v>
      </c>
      <c r="C3754" s="2" t="s">
        <v>11</v>
      </c>
      <c r="D3754">
        <v>36</v>
      </c>
      <c r="E3754" s="2" t="s">
        <v>29</v>
      </c>
      <c r="F3754" s="2" t="s">
        <v>21</v>
      </c>
      <c r="G3754">
        <v>51338</v>
      </c>
      <c r="H3754" s="1">
        <v>45198</v>
      </c>
      <c r="I3754">
        <v>17</v>
      </c>
      <c r="J3754">
        <v>3</v>
      </c>
      <c r="K3754">
        <v>5134</v>
      </c>
      <c r="L3754">
        <v>2567</v>
      </c>
      <c r="M3754">
        <v>53905</v>
      </c>
      <c r="N3754">
        <v>2567</v>
      </c>
      <c r="O3754">
        <v>59039</v>
      </c>
    </row>
    <row r="3755" spans="1:15" x14ac:dyDescent="0.35">
      <c r="A3755">
        <v>3754</v>
      </c>
      <c r="B3755" s="2" t="s">
        <v>27</v>
      </c>
      <c r="C3755" s="2" t="s">
        <v>15</v>
      </c>
      <c r="D3755">
        <v>48</v>
      </c>
      <c r="E3755" s="2" t="s">
        <v>29</v>
      </c>
      <c r="F3755" s="2" t="s">
        <v>19</v>
      </c>
      <c r="G3755">
        <v>68726</v>
      </c>
      <c r="H3755" s="1">
        <v>45209</v>
      </c>
      <c r="I3755">
        <v>16</v>
      </c>
      <c r="J3755">
        <v>4</v>
      </c>
      <c r="K3755">
        <v>6873</v>
      </c>
      <c r="L3755">
        <v>3436</v>
      </c>
      <c r="M3755">
        <v>72163</v>
      </c>
      <c r="N3755">
        <v>3436</v>
      </c>
      <c r="O3755">
        <v>79035</v>
      </c>
    </row>
    <row r="3756" spans="1:15" x14ac:dyDescent="0.35">
      <c r="A3756">
        <v>3755</v>
      </c>
      <c r="B3756" s="2" t="s">
        <v>20</v>
      </c>
      <c r="C3756" s="2" t="s">
        <v>11</v>
      </c>
      <c r="D3756">
        <v>54</v>
      </c>
      <c r="E3756" s="2" t="s">
        <v>12</v>
      </c>
      <c r="F3756" s="2" t="s">
        <v>13</v>
      </c>
      <c r="G3756">
        <v>57541</v>
      </c>
      <c r="H3756" s="1">
        <v>45378</v>
      </c>
      <c r="I3756">
        <v>19</v>
      </c>
      <c r="J3756">
        <v>2</v>
      </c>
      <c r="K3756">
        <v>5754</v>
      </c>
      <c r="L3756">
        <v>2877</v>
      </c>
      <c r="M3756">
        <v>60418</v>
      </c>
      <c r="N3756">
        <v>2877</v>
      </c>
      <c r="O3756">
        <v>66172</v>
      </c>
    </row>
    <row r="3757" spans="1:15" x14ac:dyDescent="0.35">
      <c r="A3757">
        <v>3756</v>
      </c>
      <c r="B3757" s="2" t="s">
        <v>20</v>
      </c>
      <c r="C3757" s="2" t="s">
        <v>11</v>
      </c>
      <c r="D3757">
        <v>36</v>
      </c>
      <c r="E3757" s="2" t="s">
        <v>12</v>
      </c>
      <c r="F3757" s="2" t="s">
        <v>17</v>
      </c>
      <c r="G3757">
        <v>31482</v>
      </c>
      <c r="H3757" s="1">
        <v>45112</v>
      </c>
      <c r="I3757">
        <v>20</v>
      </c>
      <c r="J3757">
        <v>1</v>
      </c>
      <c r="K3757">
        <v>3148</v>
      </c>
      <c r="L3757">
        <v>1574</v>
      </c>
      <c r="M3757">
        <v>33056</v>
      </c>
      <c r="N3757">
        <v>1574</v>
      </c>
      <c r="O3757">
        <v>36204</v>
      </c>
    </row>
    <row r="3758" spans="1:15" x14ac:dyDescent="0.35">
      <c r="A3758">
        <v>3757</v>
      </c>
      <c r="B3758" s="2" t="s">
        <v>23</v>
      </c>
      <c r="C3758" s="2" t="s">
        <v>15</v>
      </c>
      <c r="D3758">
        <v>44</v>
      </c>
      <c r="E3758" s="2" t="s">
        <v>16</v>
      </c>
      <c r="F3758" s="2" t="s">
        <v>17</v>
      </c>
      <c r="G3758">
        <v>47936</v>
      </c>
      <c r="H3758" s="1">
        <v>45525</v>
      </c>
      <c r="I3758">
        <v>14</v>
      </c>
      <c r="J3758">
        <v>5</v>
      </c>
      <c r="K3758">
        <v>4794</v>
      </c>
      <c r="L3758">
        <v>2397</v>
      </c>
      <c r="M3758">
        <v>50333</v>
      </c>
      <c r="N3758">
        <v>2397</v>
      </c>
      <c r="O3758">
        <v>55127</v>
      </c>
    </row>
    <row r="3759" spans="1:15" x14ac:dyDescent="0.35">
      <c r="A3759">
        <v>3758</v>
      </c>
      <c r="B3759" s="2" t="s">
        <v>27</v>
      </c>
      <c r="C3759" s="2" t="s">
        <v>11</v>
      </c>
      <c r="D3759">
        <v>31</v>
      </c>
      <c r="E3759" s="2" t="s">
        <v>16</v>
      </c>
      <c r="F3759" s="2" t="s">
        <v>21</v>
      </c>
      <c r="G3759">
        <v>58406</v>
      </c>
      <c r="H3759" s="1">
        <v>44765</v>
      </c>
      <c r="I3759">
        <v>1</v>
      </c>
      <c r="J3759">
        <v>4</v>
      </c>
      <c r="K3759">
        <v>5841</v>
      </c>
      <c r="L3759">
        <v>2920</v>
      </c>
      <c r="M3759">
        <v>61327</v>
      </c>
      <c r="N3759">
        <v>0</v>
      </c>
      <c r="O3759">
        <v>64247</v>
      </c>
    </row>
    <row r="3760" spans="1:15" x14ac:dyDescent="0.35">
      <c r="A3760">
        <v>3759</v>
      </c>
      <c r="B3760" s="2" t="s">
        <v>31</v>
      </c>
      <c r="C3760" s="2" t="s">
        <v>15</v>
      </c>
      <c r="D3760">
        <v>46</v>
      </c>
      <c r="E3760" s="2" t="s">
        <v>16</v>
      </c>
      <c r="F3760" s="2" t="s">
        <v>21</v>
      </c>
      <c r="G3760">
        <v>83921</v>
      </c>
      <c r="H3760" s="1">
        <v>45288</v>
      </c>
      <c r="I3760">
        <v>18</v>
      </c>
      <c r="J3760">
        <v>5</v>
      </c>
      <c r="K3760">
        <v>8392</v>
      </c>
      <c r="L3760">
        <v>4196</v>
      </c>
      <c r="M3760">
        <v>88117</v>
      </c>
      <c r="N3760">
        <v>4196</v>
      </c>
      <c r="O3760">
        <v>96509</v>
      </c>
    </row>
    <row r="3761" spans="1:15" x14ac:dyDescent="0.35">
      <c r="A3761">
        <v>3760</v>
      </c>
      <c r="B3761" s="2" t="s">
        <v>14</v>
      </c>
      <c r="C3761" s="2" t="s">
        <v>11</v>
      </c>
      <c r="D3761">
        <v>29</v>
      </c>
      <c r="E3761" s="2" t="s">
        <v>24</v>
      </c>
      <c r="F3761" s="2" t="s">
        <v>19</v>
      </c>
      <c r="G3761">
        <v>70824</v>
      </c>
      <c r="H3761" s="1">
        <v>45155</v>
      </c>
      <c r="I3761">
        <v>10</v>
      </c>
      <c r="J3761">
        <v>3</v>
      </c>
      <c r="K3761">
        <v>7082</v>
      </c>
      <c r="L3761">
        <v>3541</v>
      </c>
      <c r="M3761">
        <v>74365</v>
      </c>
      <c r="N3761">
        <v>3541</v>
      </c>
      <c r="O3761">
        <v>81447</v>
      </c>
    </row>
    <row r="3762" spans="1:15" x14ac:dyDescent="0.35">
      <c r="A3762">
        <v>3761</v>
      </c>
      <c r="B3762" s="2" t="s">
        <v>14</v>
      </c>
      <c r="C3762" s="2" t="s">
        <v>15</v>
      </c>
      <c r="D3762">
        <v>23</v>
      </c>
      <c r="E3762" s="2" t="s">
        <v>12</v>
      </c>
      <c r="F3762" s="2" t="s">
        <v>21</v>
      </c>
      <c r="G3762">
        <v>53451</v>
      </c>
      <c r="H3762" s="1">
        <v>45526</v>
      </c>
      <c r="I3762">
        <v>9</v>
      </c>
      <c r="J3762">
        <v>2</v>
      </c>
      <c r="K3762">
        <v>5345</v>
      </c>
      <c r="L3762">
        <v>2673</v>
      </c>
      <c r="M3762">
        <v>56123</v>
      </c>
      <c r="N3762">
        <v>2673</v>
      </c>
      <c r="O3762">
        <v>61469</v>
      </c>
    </row>
    <row r="3763" spans="1:15" x14ac:dyDescent="0.35">
      <c r="A3763">
        <v>3762</v>
      </c>
      <c r="B3763" s="2" t="s">
        <v>22</v>
      </c>
      <c r="C3763" s="2" t="s">
        <v>11</v>
      </c>
      <c r="D3763">
        <v>39</v>
      </c>
      <c r="E3763" s="2" t="s">
        <v>16</v>
      </c>
      <c r="F3763" s="2" t="s">
        <v>25</v>
      </c>
      <c r="G3763">
        <v>73062</v>
      </c>
      <c r="H3763" s="1">
        <v>45408</v>
      </c>
      <c r="I3763">
        <v>16</v>
      </c>
      <c r="J3763">
        <v>5</v>
      </c>
      <c r="K3763">
        <v>7306</v>
      </c>
      <c r="L3763">
        <v>3653</v>
      </c>
      <c r="M3763">
        <v>76715</v>
      </c>
      <c r="N3763">
        <v>3653</v>
      </c>
      <c r="O3763">
        <v>84021</v>
      </c>
    </row>
    <row r="3764" spans="1:15" x14ac:dyDescent="0.35">
      <c r="A3764">
        <v>3763</v>
      </c>
      <c r="B3764" s="2" t="s">
        <v>23</v>
      </c>
      <c r="C3764" s="2" t="s">
        <v>15</v>
      </c>
      <c r="D3764">
        <v>60</v>
      </c>
      <c r="E3764" s="2" t="s">
        <v>12</v>
      </c>
      <c r="F3764" s="2" t="s">
        <v>17</v>
      </c>
      <c r="G3764">
        <v>38912</v>
      </c>
      <c r="H3764" s="1">
        <v>45199</v>
      </c>
      <c r="I3764">
        <v>18</v>
      </c>
      <c r="J3764">
        <v>2</v>
      </c>
      <c r="K3764">
        <v>3891</v>
      </c>
      <c r="L3764">
        <v>1946</v>
      </c>
      <c r="M3764">
        <v>40857</v>
      </c>
      <c r="N3764">
        <v>1946</v>
      </c>
      <c r="O3764">
        <v>44749</v>
      </c>
    </row>
    <row r="3765" spans="1:15" x14ac:dyDescent="0.35">
      <c r="A3765">
        <v>3764</v>
      </c>
      <c r="B3765" s="2" t="s">
        <v>26</v>
      </c>
      <c r="C3765" s="2" t="s">
        <v>15</v>
      </c>
      <c r="D3765">
        <v>27</v>
      </c>
      <c r="E3765" s="2" t="s">
        <v>16</v>
      </c>
      <c r="F3765" s="2" t="s">
        <v>13</v>
      </c>
      <c r="G3765">
        <v>65715</v>
      </c>
      <c r="H3765" s="1">
        <v>45172</v>
      </c>
      <c r="I3765">
        <v>14</v>
      </c>
      <c r="J3765">
        <v>2</v>
      </c>
      <c r="K3765">
        <v>6572</v>
      </c>
      <c r="L3765">
        <v>3286</v>
      </c>
      <c r="M3765">
        <v>69001</v>
      </c>
      <c r="N3765">
        <v>3286</v>
      </c>
      <c r="O3765">
        <v>75573</v>
      </c>
    </row>
    <row r="3766" spans="1:15" x14ac:dyDescent="0.35">
      <c r="A3766">
        <v>3765</v>
      </c>
      <c r="B3766" s="2" t="s">
        <v>22</v>
      </c>
      <c r="C3766" s="2" t="s">
        <v>15</v>
      </c>
      <c r="D3766">
        <v>29</v>
      </c>
      <c r="E3766" s="2" t="s">
        <v>28</v>
      </c>
      <c r="F3766" s="2" t="s">
        <v>25</v>
      </c>
      <c r="G3766">
        <v>74069</v>
      </c>
      <c r="H3766" s="1">
        <v>45438</v>
      </c>
      <c r="I3766">
        <v>2</v>
      </c>
      <c r="J3766">
        <v>5</v>
      </c>
      <c r="K3766">
        <v>7407</v>
      </c>
      <c r="L3766">
        <v>3703</v>
      </c>
      <c r="M3766">
        <v>77773</v>
      </c>
      <c r="N3766">
        <v>0</v>
      </c>
      <c r="O3766">
        <v>81476</v>
      </c>
    </row>
    <row r="3767" spans="1:15" x14ac:dyDescent="0.35">
      <c r="A3767">
        <v>3766</v>
      </c>
      <c r="B3767" s="2" t="s">
        <v>27</v>
      </c>
      <c r="C3767" s="2" t="s">
        <v>15</v>
      </c>
      <c r="D3767">
        <v>24</v>
      </c>
      <c r="E3767" s="2" t="s">
        <v>24</v>
      </c>
      <c r="F3767" s="2" t="s">
        <v>19</v>
      </c>
      <c r="G3767">
        <v>75863</v>
      </c>
      <c r="H3767" s="1">
        <v>44725</v>
      </c>
      <c r="I3767">
        <v>7</v>
      </c>
      <c r="J3767">
        <v>5</v>
      </c>
      <c r="K3767">
        <v>7586</v>
      </c>
      <c r="L3767">
        <v>3793</v>
      </c>
      <c r="M3767">
        <v>79656</v>
      </c>
      <c r="N3767">
        <v>3793</v>
      </c>
      <c r="O3767">
        <v>87242</v>
      </c>
    </row>
    <row r="3768" spans="1:15" x14ac:dyDescent="0.35">
      <c r="A3768">
        <v>3767</v>
      </c>
      <c r="B3768" s="2" t="s">
        <v>18</v>
      </c>
      <c r="C3768" s="2" t="s">
        <v>11</v>
      </c>
      <c r="D3768">
        <v>38</v>
      </c>
      <c r="E3768" s="2" t="s">
        <v>28</v>
      </c>
      <c r="F3768" s="2" t="s">
        <v>13</v>
      </c>
      <c r="G3768">
        <v>78819</v>
      </c>
      <c r="H3768" s="1">
        <v>44581</v>
      </c>
      <c r="I3768">
        <v>18</v>
      </c>
      <c r="J3768">
        <v>2</v>
      </c>
      <c r="K3768">
        <v>7882</v>
      </c>
      <c r="L3768">
        <v>3941</v>
      </c>
      <c r="M3768">
        <v>82760</v>
      </c>
      <c r="N3768">
        <v>3941</v>
      </c>
      <c r="O3768">
        <v>90642</v>
      </c>
    </row>
    <row r="3769" spans="1:15" x14ac:dyDescent="0.35">
      <c r="A3769">
        <v>3768</v>
      </c>
      <c r="B3769" s="2" t="s">
        <v>27</v>
      </c>
      <c r="C3769" s="2" t="s">
        <v>15</v>
      </c>
      <c r="D3769">
        <v>43</v>
      </c>
      <c r="E3769" s="2" t="s">
        <v>16</v>
      </c>
      <c r="F3769" s="2" t="s">
        <v>25</v>
      </c>
      <c r="G3769">
        <v>56568</v>
      </c>
      <c r="H3769" s="1">
        <v>45041</v>
      </c>
      <c r="I3769">
        <v>5</v>
      </c>
      <c r="J3769">
        <v>2</v>
      </c>
      <c r="K3769">
        <v>5657</v>
      </c>
      <c r="L3769">
        <v>2828</v>
      </c>
      <c r="M3769">
        <v>59397</v>
      </c>
      <c r="N3769">
        <v>0</v>
      </c>
      <c r="O3769">
        <v>62225</v>
      </c>
    </row>
    <row r="3770" spans="1:15" x14ac:dyDescent="0.35">
      <c r="A3770">
        <v>3769</v>
      </c>
      <c r="B3770" s="2" t="s">
        <v>22</v>
      </c>
      <c r="C3770" s="2" t="s">
        <v>15</v>
      </c>
      <c r="D3770">
        <v>36</v>
      </c>
      <c r="E3770" s="2" t="s">
        <v>24</v>
      </c>
      <c r="F3770" s="2" t="s">
        <v>19</v>
      </c>
      <c r="G3770">
        <v>53753</v>
      </c>
      <c r="H3770" s="1">
        <v>44584</v>
      </c>
      <c r="I3770">
        <v>12</v>
      </c>
      <c r="J3770">
        <v>3</v>
      </c>
      <c r="K3770">
        <v>5375</v>
      </c>
      <c r="L3770">
        <v>2688</v>
      </c>
      <c r="M3770">
        <v>56440</v>
      </c>
      <c r="N3770">
        <v>2688</v>
      </c>
      <c r="O3770">
        <v>61816</v>
      </c>
    </row>
    <row r="3771" spans="1:15" x14ac:dyDescent="0.35">
      <c r="A3771">
        <v>3770</v>
      </c>
      <c r="B3771" s="2" t="s">
        <v>18</v>
      </c>
      <c r="C3771" s="2" t="s">
        <v>11</v>
      </c>
      <c r="D3771">
        <v>45</v>
      </c>
      <c r="E3771" s="2" t="s">
        <v>29</v>
      </c>
      <c r="F3771" s="2" t="s">
        <v>19</v>
      </c>
      <c r="G3771">
        <v>87867</v>
      </c>
      <c r="H3771" s="1">
        <v>44928</v>
      </c>
      <c r="I3771">
        <v>11</v>
      </c>
      <c r="J3771">
        <v>4</v>
      </c>
      <c r="K3771">
        <v>8787</v>
      </c>
      <c r="L3771">
        <v>4393</v>
      </c>
      <c r="M3771">
        <v>92261</v>
      </c>
      <c r="N3771">
        <v>4393</v>
      </c>
      <c r="O3771">
        <v>101047</v>
      </c>
    </row>
    <row r="3772" spans="1:15" x14ac:dyDescent="0.35">
      <c r="A3772">
        <v>3771</v>
      </c>
      <c r="B3772" s="2" t="s">
        <v>22</v>
      </c>
      <c r="C3772" s="2" t="s">
        <v>11</v>
      </c>
      <c r="D3772">
        <v>40</v>
      </c>
      <c r="E3772" s="2" t="s">
        <v>29</v>
      </c>
      <c r="F3772" s="2" t="s">
        <v>21</v>
      </c>
      <c r="G3772">
        <v>62001</v>
      </c>
      <c r="H3772" s="1">
        <v>44643</v>
      </c>
      <c r="I3772">
        <v>14</v>
      </c>
      <c r="J3772">
        <v>4</v>
      </c>
      <c r="K3772">
        <v>6200</v>
      </c>
      <c r="L3772">
        <v>3100</v>
      </c>
      <c r="M3772">
        <v>65101</v>
      </c>
      <c r="N3772">
        <v>3100</v>
      </c>
      <c r="O3772">
        <v>71301</v>
      </c>
    </row>
    <row r="3773" spans="1:15" x14ac:dyDescent="0.35">
      <c r="A3773">
        <v>3772</v>
      </c>
      <c r="B3773" s="2" t="s">
        <v>26</v>
      </c>
      <c r="C3773" s="2" t="s">
        <v>15</v>
      </c>
      <c r="D3773">
        <v>22</v>
      </c>
      <c r="E3773" s="2" t="s">
        <v>16</v>
      </c>
      <c r="F3773" s="2" t="s">
        <v>13</v>
      </c>
      <c r="G3773">
        <v>83016</v>
      </c>
      <c r="H3773" s="1">
        <v>44694</v>
      </c>
      <c r="I3773">
        <v>7</v>
      </c>
      <c r="J3773">
        <v>3</v>
      </c>
      <c r="K3773">
        <v>8302</v>
      </c>
      <c r="L3773">
        <v>4151</v>
      </c>
      <c r="M3773">
        <v>87167</v>
      </c>
      <c r="N3773">
        <v>4151</v>
      </c>
      <c r="O3773">
        <v>95469</v>
      </c>
    </row>
    <row r="3774" spans="1:15" x14ac:dyDescent="0.35">
      <c r="A3774">
        <v>3773</v>
      </c>
      <c r="B3774" s="2" t="s">
        <v>18</v>
      </c>
      <c r="C3774" s="2" t="s">
        <v>11</v>
      </c>
      <c r="D3774">
        <v>40</v>
      </c>
      <c r="E3774" s="2" t="s">
        <v>24</v>
      </c>
      <c r="F3774" s="2" t="s">
        <v>13</v>
      </c>
      <c r="G3774">
        <v>42097</v>
      </c>
      <c r="H3774" s="1">
        <v>44918</v>
      </c>
      <c r="I3774">
        <v>7</v>
      </c>
      <c r="J3774">
        <v>1</v>
      </c>
      <c r="K3774">
        <v>4210</v>
      </c>
      <c r="L3774">
        <v>2105</v>
      </c>
      <c r="M3774">
        <v>44202</v>
      </c>
      <c r="N3774">
        <v>2105</v>
      </c>
      <c r="O3774">
        <v>48412</v>
      </c>
    </row>
    <row r="3775" spans="1:15" x14ac:dyDescent="0.35">
      <c r="A3775">
        <v>3774</v>
      </c>
      <c r="B3775" s="2" t="s">
        <v>27</v>
      </c>
      <c r="C3775" s="2" t="s">
        <v>15</v>
      </c>
      <c r="D3775">
        <v>36</v>
      </c>
      <c r="E3775" s="2" t="s">
        <v>29</v>
      </c>
      <c r="F3775" s="2" t="s">
        <v>25</v>
      </c>
      <c r="G3775">
        <v>69006</v>
      </c>
      <c r="H3775" s="1">
        <v>44828</v>
      </c>
      <c r="I3775">
        <v>2</v>
      </c>
      <c r="J3775">
        <v>5</v>
      </c>
      <c r="K3775">
        <v>6901</v>
      </c>
      <c r="L3775">
        <v>3450</v>
      </c>
      <c r="M3775">
        <v>72457</v>
      </c>
      <c r="N3775">
        <v>0</v>
      </c>
      <c r="O3775">
        <v>75907</v>
      </c>
    </row>
    <row r="3776" spans="1:15" x14ac:dyDescent="0.35">
      <c r="A3776">
        <v>3775</v>
      </c>
      <c r="B3776" s="2" t="s">
        <v>18</v>
      </c>
      <c r="C3776" s="2" t="s">
        <v>15</v>
      </c>
      <c r="D3776">
        <v>34</v>
      </c>
      <c r="E3776" s="2" t="s">
        <v>28</v>
      </c>
      <c r="F3776" s="2" t="s">
        <v>13</v>
      </c>
      <c r="G3776">
        <v>98983</v>
      </c>
      <c r="H3776" s="1">
        <v>45007</v>
      </c>
      <c r="I3776">
        <v>11</v>
      </c>
      <c r="J3776">
        <v>5</v>
      </c>
      <c r="K3776">
        <v>9898</v>
      </c>
      <c r="L3776">
        <v>4949</v>
      </c>
      <c r="M3776">
        <v>103932</v>
      </c>
      <c r="N3776">
        <v>4949</v>
      </c>
      <c r="O3776">
        <v>113830</v>
      </c>
    </row>
    <row r="3777" spans="1:15" x14ac:dyDescent="0.35">
      <c r="A3777">
        <v>3776</v>
      </c>
      <c r="B3777" s="2" t="s">
        <v>30</v>
      </c>
      <c r="C3777" s="2" t="s">
        <v>15</v>
      </c>
      <c r="D3777">
        <v>43</v>
      </c>
      <c r="E3777" s="2" t="s">
        <v>24</v>
      </c>
      <c r="F3777" s="2" t="s">
        <v>25</v>
      </c>
      <c r="G3777">
        <v>23411</v>
      </c>
      <c r="H3777" s="1">
        <v>45045</v>
      </c>
      <c r="I3777">
        <v>5</v>
      </c>
      <c r="J3777">
        <v>4</v>
      </c>
      <c r="K3777">
        <v>2341</v>
      </c>
      <c r="L3777">
        <v>1171</v>
      </c>
      <c r="M3777">
        <v>24581</v>
      </c>
      <c r="N3777">
        <v>0</v>
      </c>
      <c r="O3777">
        <v>25752</v>
      </c>
    </row>
    <row r="3778" spans="1:15" x14ac:dyDescent="0.35">
      <c r="A3778">
        <v>3777</v>
      </c>
      <c r="B3778" s="2" t="s">
        <v>31</v>
      </c>
      <c r="C3778" s="2" t="s">
        <v>15</v>
      </c>
      <c r="D3778">
        <v>48</v>
      </c>
      <c r="E3778" s="2" t="s">
        <v>28</v>
      </c>
      <c r="F3778" s="2" t="s">
        <v>17</v>
      </c>
      <c r="G3778">
        <v>28163</v>
      </c>
      <c r="H3778" s="1">
        <v>45119</v>
      </c>
      <c r="I3778">
        <v>6</v>
      </c>
      <c r="J3778">
        <v>1</v>
      </c>
      <c r="K3778">
        <v>2816</v>
      </c>
      <c r="L3778">
        <v>1408</v>
      </c>
      <c r="M3778">
        <v>29571</v>
      </c>
      <c r="N3778">
        <v>1408</v>
      </c>
      <c r="O3778">
        <v>32387</v>
      </c>
    </row>
    <row r="3779" spans="1:15" x14ac:dyDescent="0.35">
      <c r="A3779">
        <v>3778</v>
      </c>
      <c r="B3779" s="2" t="s">
        <v>27</v>
      </c>
      <c r="C3779" s="2" t="s">
        <v>11</v>
      </c>
      <c r="D3779">
        <v>56</v>
      </c>
      <c r="E3779" s="2" t="s">
        <v>28</v>
      </c>
      <c r="F3779" s="2" t="s">
        <v>21</v>
      </c>
      <c r="G3779">
        <v>80706</v>
      </c>
      <c r="H3779" s="1">
        <v>44831</v>
      </c>
      <c r="I3779">
        <v>7</v>
      </c>
      <c r="J3779">
        <v>5</v>
      </c>
      <c r="K3779">
        <v>8071</v>
      </c>
      <c r="L3779">
        <v>4035</v>
      </c>
      <c r="M3779">
        <v>84742</v>
      </c>
      <c r="N3779">
        <v>4035</v>
      </c>
      <c r="O3779">
        <v>92812</v>
      </c>
    </row>
    <row r="3780" spans="1:15" x14ac:dyDescent="0.35">
      <c r="A3780">
        <v>3779</v>
      </c>
      <c r="B3780" s="2" t="s">
        <v>31</v>
      </c>
      <c r="C3780" s="2" t="s">
        <v>11</v>
      </c>
      <c r="D3780">
        <v>29</v>
      </c>
      <c r="E3780" s="2" t="s">
        <v>24</v>
      </c>
      <c r="F3780" s="2" t="s">
        <v>25</v>
      </c>
      <c r="G3780">
        <v>27795</v>
      </c>
      <c r="H3780" s="1">
        <v>44716</v>
      </c>
      <c r="I3780">
        <v>7</v>
      </c>
      <c r="J3780">
        <v>5</v>
      </c>
      <c r="K3780">
        <v>2780</v>
      </c>
      <c r="L3780">
        <v>1390</v>
      </c>
      <c r="M3780">
        <v>29185</v>
      </c>
      <c r="N3780">
        <v>1390</v>
      </c>
      <c r="O3780">
        <v>31965</v>
      </c>
    </row>
    <row r="3781" spans="1:15" x14ac:dyDescent="0.35">
      <c r="A3781">
        <v>3780</v>
      </c>
      <c r="B3781" s="2" t="s">
        <v>20</v>
      </c>
      <c r="C3781" s="2" t="s">
        <v>15</v>
      </c>
      <c r="D3781">
        <v>29</v>
      </c>
      <c r="E3781" s="2" t="s">
        <v>29</v>
      </c>
      <c r="F3781" s="2" t="s">
        <v>19</v>
      </c>
      <c r="G3781">
        <v>70550</v>
      </c>
      <c r="H3781" s="1">
        <v>45443</v>
      </c>
      <c r="I3781">
        <v>10</v>
      </c>
      <c r="J3781">
        <v>5</v>
      </c>
      <c r="K3781">
        <v>7055</v>
      </c>
      <c r="L3781">
        <v>3528</v>
      </c>
      <c r="M3781">
        <v>74077</v>
      </c>
      <c r="N3781">
        <v>3528</v>
      </c>
      <c r="O3781">
        <v>81133</v>
      </c>
    </row>
    <row r="3782" spans="1:15" x14ac:dyDescent="0.35">
      <c r="A3782">
        <v>3781</v>
      </c>
      <c r="B3782" s="2" t="s">
        <v>10</v>
      </c>
      <c r="C3782" s="2" t="s">
        <v>11</v>
      </c>
      <c r="D3782">
        <v>40</v>
      </c>
      <c r="E3782" s="2" t="s">
        <v>28</v>
      </c>
      <c r="F3782" s="2" t="s">
        <v>17</v>
      </c>
      <c r="G3782">
        <v>70169</v>
      </c>
      <c r="H3782" s="1">
        <v>45513</v>
      </c>
      <c r="I3782">
        <v>20</v>
      </c>
      <c r="J3782">
        <v>5</v>
      </c>
      <c r="K3782">
        <v>7017</v>
      </c>
      <c r="L3782">
        <v>3508</v>
      </c>
      <c r="M3782">
        <v>73678</v>
      </c>
      <c r="N3782">
        <v>3508</v>
      </c>
      <c r="O3782">
        <v>80694</v>
      </c>
    </row>
    <row r="3783" spans="1:15" x14ac:dyDescent="0.35">
      <c r="A3783">
        <v>3782</v>
      </c>
      <c r="B3783" s="2" t="s">
        <v>31</v>
      </c>
      <c r="C3783" s="2" t="s">
        <v>11</v>
      </c>
      <c r="D3783">
        <v>45</v>
      </c>
      <c r="E3783" s="2" t="s">
        <v>28</v>
      </c>
      <c r="F3783" s="2" t="s">
        <v>25</v>
      </c>
      <c r="G3783">
        <v>59470</v>
      </c>
      <c r="H3783" s="1">
        <v>44641</v>
      </c>
      <c r="I3783">
        <v>5</v>
      </c>
      <c r="J3783">
        <v>1</v>
      </c>
      <c r="K3783">
        <v>5947</v>
      </c>
      <c r="L3783">
        <v>2974</v>
      </c>
      <c r="M3783">
        <v>62443</v>
      </c>
      <c r="N3783">
        <v>0</v>
      </c>
      <c r="O3783">
        <v>65417</v>
      </c>
    </row>
    <row r="3784" spans="1:15" x14ac:dyDescent="0.35">
      <c r="A3784">
        <v>3783</v>
      </c>
      <c r="B3784" s="2" t="s">
        <v>27</v>
      </c>
      <c r="C3784" s="2" t="s">
        <v>15</v>
      </c>
      <c r="D3784">
        <v>38</v>
      </c>
      <c r="E3784" s="2" t="s">
        <v>12</v>
      </c>
      <c r="F3784" s="2" t="s">
        <v>13</v>
      </c>
      <c r="G3784">
        <v>63095</v>
      </c>
      <c r="H3784" s="1">
        <v>45549</v>
      </c>
      <c r="I3784">
        <v>18</v>
      </c>
      <c r="J3784">
        <v>5</v>
      </c>
      <c r="K3784">
        <v>6310</v>
      </c>
      <c r="L3784">
        <v>3155</v>
      </c>
      <c r="M3784">
        <v>66250</v>
      </c>
      <c r="N3784">
        <v>3155</v>
      </c>
      <c r="O3784">
        <v>72560</v>
      </c>
    </row>
    <row r="3785" spans="1:15" x14ac:dyDescent="0.35">
      <c r="A3785">
        <v>3784</v>
      </c>
      <c r="B3785" s="2" t="s">
        <v>30</v>
      </c>
      <c r="C3785" s="2" t="s">
        <v>11</v>
      </c>
      <c r="D3785">
        <v>42</v>
      </c>
      <c r="E3785" s="2" t="s">
        <v>28</v>
      </c>
      <c r="F3785" s="2" t="s">
        <v>21</v>
      </c>
      <c r="G3785">
        <v>76611</v>
      </c>
      <c r="H3785" s="1">
        <v>45216</v>
      </c>
      <c r="I3785">
        <v>10</v>
      </c>
      <c r="J3785">
        <v>2</v>
      </c>
      <c r="K3785">
        <v>7661</v>
      </c>
      <c r="L3785">
        <v>3831</v>
      </c>
      <c r="M3785">
        <v>80441</v>
      </c>
      <c r="N3785">
        <v>3831</v>
      </c>
      <c r="O3785">
        <v>88103</v>
      </c>
    </row>
    <row r="3786" spans="1:15" x14ac:dyDescent="0.35">
      <c r="A3786">
        <v>3785</v>
      </c>
      <c r="B3786" s="2" t="s">
        <v>31</v>
      </c>
      <c r="C3786" s="2" t="s">
        <v>11</v>
      </c>
      <c r="D3786">
        <v>57</v>
      </c>
      <c r="E3786" s="2" t="s">
        <v>28</v>
      </c>
      <c r="F3786" s="2" t="s">
        <v>21</v>
      </c>
      <c r="G3786">
        <v>34663</v>
      </c>
      <c r="H3786" s="1">
        <v>45443</v>
      </c>
      <c r="I3786">
        <v>18</v>
      </c>
      <c r="J3786">
        <v>2</v>
      </c>
      <c r="K3786">
        <v>3466</v>
      </c>
      <c r="L3786">
        <v>1733</v>
      </c>
      <c r="M3786">
        <v>36396</v>
      </c>
      <c r="N3786">
        <v>1733</v>
      </c>
      <c r="O3786">
        <v>39862</v>
      </c>
    </row>
    <row r="3787" spans="1:15" x14ac:dyDescent="0.35">
      <c r="A3787">
        <v>3786</v>
      </c>
      <c r="B3787" s="2" t="s">
        <v>20</v>
      </c>
      <c r="C3787" s="2" t="s">
        <v>15</v>
      </c>
      <c r="D3787">
        <v>46</v>
      </c>
      <c r="E3787" s="2" t="s">
        <v>16</v>
      </c>
      <c r="F3787" s="2" t="s">
        <v>19</v>
      </c>
      <c r="G3787">
        <v>55469</v>
      </c>
      <c r="H3787" s="1">
        <v>45126</v>
      </c>
      <c r="I3787">
        <v>16</v>
      </c>
      <c r="J3787">
        <v>2</v>
      </c>
      <c r="K3787">
        <v>5547</v>
      </c>
      <c r="L3787">
        <v>2773</v>
      </c>
      <c r="M3787">
        <v>58243</v>
      </c>
      <c r="N3787">
        <v>2773</v>
      </c>
      <c r="O3787">
        <v>63789</v>
      </c>
    </row>
    <row r="3788" spans="1:15" x14ac:dyDescent="0.35">
      <c r="A3788">
        <v>3787</v>
      </c>
      <c r="B3788" s="2" t="s">
        <v>27</v>
      </c>
      <c r="C3788" s="2" t="s">
        <v>15</v>
      </c>
      <c r="D3788">
        <v>45</v>
      </c>
      <c r="E3788" s="2" t="s">
        <v>24</v>
      </c>
      <c r="F3788" s="2" t="s">
        <v>19</v>
      </c>
      <c r="G3788">
        <v>79071</v>
      </c>
      <c r="H3788" s="1">
        <v>45474</v>
      </c>
      <c r="I3788">
        <v>13</v>
      </c>
      <c r="J3788">
        <v>1</v>
      </c>
      <c r="K3788">
        <v>7907</v>
      </c>
      <c r="L3788">
        <v>3954</v>
      </c>
      <c r="M3788">
        <v>83024</v>
      </c>
      <c r="N3788">
        <v>3954</v>
      </c>
      <c r="O3788">
        <v>90932</v>
      </c>
    </row>
    <row r="3789" spans="1:15" x14ac:dyDescent="0.35">
      <c r="A3789">
        <v>3788</v>
      </c>
      <c r="B3789" s="2" t="s">
        <v>20</v>
      </c>
      <c r="C3789" s="2" t="s">
        <v>11</v>
      </c>
      <c r="D3789">
        <v>30</v>
      </c>
      <c r="E3789" s="2" t="s">
        <v>16</v>
      </c>
      <c r="F3789" s="2" t="s">
        <v>13</v>
      </c>
      <c r="G3789">
        <v>71797</v>
      </c>
      <c r="H3789" s="1">
        <v>44810</v>
      </c>
      <c r="I3789">
        <v>14</v>
      </c>
      <c r="J3789">
        <v>4</v>
      </c>
      <c r="K3789">
        <v>7180</v>
      </c>
      <c r="L3789">
        <v>3590</v>
      </c>
      <c r="M3789">
        <v>75387</v>
      </c>
      <c r="N3789">
        <v>3590</v>
      </c>
      <c r="O3789">
        <v>82567</v>
      </c>
    </row>
    <row r="3790" spans="1:15" x14ac:dyDescent="0.35">
      <c r="A3790">
        <v>3789</v>
      </c>
      <c r="B3790" s="2" t="s">
        <v>26</v>
      </c>
      <c r="C3790" s="2" t="s">
        <v>15</v>
      </c>
      <c r="D3790">
        <v>59</v>
      </c>
      <c r="E3790" s="2" t="s">
        <v>28</v>
      </c>
      <c r="F3790" s="2" t="s">
        <v>13</v>
      </c>
      <c r="G3790">
        <v>94614</v>
      </c>
      <c r="H3790" s="1">
        <v>44889</v>
      </c>
      <c r="I3790">
        <v>17</v>
      </c>
      <c r="J3790">
        <v>1</v>
      </c>
      <c r="K3790">
        <v>9461</v>
      </c>
      <c r="L3790">
        <v>4731</v>
      </c>
      <c r="M3790">
        <v>99344</v>
      </c>
      <c r="N3790">
        <v>4731</v>
      </c>
      <c r="O3790">
        <v>108806</v>
      </c>
    </row>
    <row r="3791" spans="1:15" x14ac:dyDescent="0.35">
      <c r="A3791">
        <v>3790</v>
      </c>
      <c r="B3791" s="2" t="s">
        <v>20</v>
      </c>
      <c r="C3791" s="2" t="s">
        <v>11</v>
      </c>
      <c r="D3791">
        <v>54</v>
      </c>
      <c r="E3791" s="2" t="s">
        <v>12</v>
      </c>
      <c r="F3791" s="2" t="s">
        <v>25</v>
      </c>
      <c r="G3791">
        <v>65687</v>
      </c>
      <c r="H3791" s="1">
        <v>44617</v>
      </c>
      <c r="I3791">
        <v>18</v>
      </c>
      <c r="J3791">
        <v>3</v>
      </c>
      <c r="K3791">
        <v>6569</v>
      </c>
      <c r="L3791">
        <v>3284</v>
      </c>
      <c r="M3791">
        <v>68972</v>
      </c>
      <c r="N3791">
        <v>3284</v>
      </c>
      <c r="O3791">
        <v>75540</v>
      </c>
    </row>
    <row r="3792" spans="1:15" x14ac:dyDescent="0.35">
      <c r="A3792">
        <v>3791</v>
      </c>
      <c r="B3792" s="2" t="s">
        <v>14</v>
      </c>
      <c r="C3792" s="2" t="s">
        <v>15</v>
      </c>
      <c r="D3792">
        <v>38</v>
      </c>
      <c r="E3792" s="2" t="s">
        <v>16</v>
      </c>
      <c r="F3792" s="2" t="s">
        <v>13</v>
      </c>
      <c r="G3792">
        <v>96006</v>
      </c>
      <c r="H3792" s="1">
        <v>45399</v>
      </c>
      <c r="I3792">
        <v>17</v>
      </c>
      <c r="J3792">
        <v>1</v>
      </c>
      <c r="K3792">
        <v>9601</v>
      </c>
      <c r="L3792">
        <v>4800</v>
      </c>
      <c r="M3792">
        <v>100807</v>
      </c>
      <c r="N3792">
        <v>4800</v>
      </c>
      <c r="O3792">
        <v>110407</v>
      </c>
    </row>
    <row r="3793" spans="1:15" x14ac:dyDescent="0.35">
      <c r="A3793">
        <v>3792</v>
      </c>
      <c r="B3793" s="2" t="s">
        <v>20</v>
      </c>
      <c r="C3793" s="2" t="s">
        <v>15</v>
      </c>
      <c r="D3793">
        <v>29</v>
      </c>
      <c r="E3793" s="2" t="s">
        <v>28</v>
      </c>
      <c r="F3793" s="2" t="s">
        <v>17</v>
      </c>
      <c r="G3793">
        <v>85168</v>
      </c>
      <c r="H3793" s="1">
        <v>45347</v>
      </c>
      <c r="I3793">
        <v>1</v>
      </c>
      <c r="J3793">
        <v>2</v>
      </c>
      <c r="K3793">
        <v>8517</v>
      </c>
      <c r="L3793">
        <v>4258</v>
      </c>
      <c r="M3793">
        <v>89427</v>
      </c>
      <c r="N3793">
        <v>0</v>
      </c>
      <c r="O3793">
        <v>93685</v>
      </c>
    </row>
    <row r="3794" spans="1:15" x14ac:dyDescent="0.35">
      <c r="A3794">
        <v>3793</v>
      </c>
      <c r="B3794" s="2" t="s">
        <v>14</v>
      </c>
      <c r="C3794" s="2" t="s">
        <v>15</v>
      </c>
      <c r="D3794">
        <v>54</v>
      </c>
      <c r="E3794" s="2" t="s">
        <v>16</v>
      </c>
      <c r="F3794" s="2" t="s">
        <v>19</v>
      </c>
      <c r="G3794">
        <v>48020</v>
      </c>
      <c r="H3794" s="1">
        <v>44759</v>
      </c>
      <c r="I3794">
        <v>13</v>
      </c>
      <c r="J3794">
        <v>1</v>
      </c>
      <c r="K3794">
        <v>4802</v>
      </c>
      <c r="L3794">
        <v>2401</v>
      </c>
      <c r="M3794">
        <v>50421</v>
      </c>
      <c r="N3794">
        <v>2401</v>
      </c>
      <c r="O3794">
        <v>55223</v>
      </c>
    </row>
    <row r="3795" spans="1:15" x14ac:dyDescent="0.35">
      <c r="A3795">
        <v>3794</v>
      </c>
      <c r="B3795" s="2" t="s">
        <v>31</v>
      </c>
      <c r="C3795" s="2" t="s">
        <v>11</v>
      </c>
      <c r="D3795">
        <v>50</v>
      </c>
      <c r="E3795" s="2" t="s">
        <v>29</v>
      </c>
      <c r="F3795" s="2" t="s">
        <v>21</v>
      </c>
      <c r="G3795">
        <v>30251</v>
      </c>
      <c r="H3795" s="1">
        <v>45214</v>
      </c>
      <c r="I3795">
        <v>11</v>
      </c>
      <c r="J3795">
        <v>1</v>
      </c>
      <c r="K3795">
        <v>3025</v>
      </c>
      <c r="L3795">
        <v>1513</v>
      </c>
      <c r="M3795">
        <v>31763</v>
      </c>
      <c r="N3795">
        <v>1513</v>
      </c>
      <c r="O3795">
        <v>34789</v>
      </c>
    </row>
    <row r="3796" spans="1:15" x14ac:dyDescent="0.35">
      <c r="A3796">
        <v>3795</v>
      </c>
      <c r="B3796" s="2" t="s">
        <v>14</v>
      </c>
      <c r="C3796" s="2" t="s">
        <v>11</v>
      </c>
      <c r="D3796">
        <v>43</v>
      </c>
      <c r="E3796" s="2" t="s">
        <v>29</v>
      </c>
      <c r="F3796" s="2" t="s">
        <v>25</v>
      </c>
      <c r="G3796">
        <v>89609</v>
      </c>
      <c r="H3796" s="1">
        <v>44790</v>
      </c>
      <c r="I3796">
        <v>1</v>
      </c>
      <c r="J3796">
        <v>5</v>
      </c>
      <c r="K3796">
        <v>8961</v>
      </c>
      <c r="L3796">
        <v>4480</v>
      </c>
      <c r="M3796">
        <v>94090</v>
      </c>
      <c r="N3796">
        <v>0</v>
      </c>
      <c r="O3796">
        <v>98570</v>
      </c>
    </row>
    <row r="3797" spans="1:15" x14ac:dyDescent="0.35">
      <c r="A3797">
        <v>3796</v>
      </c>
      <c r="B3797" s="2" t="s">
        <v>30</v>
      </c>
      <c r="C3797" s="2" t="s">
        <v>15</v>
      </c>
      <c r="D3797">
        <v>50</v>
      </c>
      <c r="E3797" s="2" t="s">
        <v>29</v>
      </c>
      <c r="F3797" s="2" t="s">
        <v>21</v>
      </c>
      <c r="G3797">
        <v>40461</v>
      </c>
      <c r="H3797" s="1">
        <v>45053</v>
      </c>
      <c r="I3797">
        <v>6</v>
      </c>
      <c r="J3797">
        <v>3</v>
      </c>
      <c r="K3797">
        <v>4046</v>
      </c>
      <c r="L3797">
        <v>2023</v>
      </c>
      <c r="M3797">
        <v>42484</v>
      </c>
      <c r="N3797">
        <v>2023</v>
      </c>
      <c r="O3797">
        <v>46530</v>
      </c>
    </row>
    <row r="3798" spans="1:15" x14ac:dyDescent="0.35">
      <c r="A3798">
        <v>3797</v>
      </c>
      <c r="B3798" s="2" t="s">
        <v>27</v>
      </c>
      <c r="C3798" s="2" t="s">
        <v>15</v>
      </c>
      <c r="D3798">
        <v>24</v>
      </c>
      <c r="E3798" s="2" t="s">
        <v>16</v>
      </c>
      <c r="F3798" s="2" t="s">
        <v>21</v>
      </c>
      <c r="G3798">
        <v>56115</v>
      </c>
      <c r="H3798" s="1">
        <v>45302</v>
      </c>
      <c r="I3798">
        <v>13</v>
      </c>
      <c r="J3798">
        <v>5</v>
      </c>
      <c r="K3798">
        <v>5612</v>
      </c>
      <c r="L3798">
        <v>2806</v>
      </c>
      <c r="M3798">
        <v>58921</v>
      </c>
      <c r="N3798">
        <v>2806</v>
      </c>
      <c r="O3798">
        <v>64533</v>
      </c>
    </row>
    <row r="3799" spans="1:15" x14ac:dyDescent="0.35">
      <c r="A3799">
        <v>3798</v>
      </c>
      <c r="B3799" s="2" t="s">
        <v>14</v>
      </c>
      <c r="C3799" s="2" t="s">
        <v>11</v>
      </c>
      <c r="D3799">
        <v>54</v>
      </c>
      <c r="E3799" s="2" t="s">
        <v>12</v>
      </c>
      <c r="F3799" s="2" t="s">
        <v>19</v>
      </c>
      <c r="G3799">
        <v>35976</v>
      </c>
      <c r="H3799" s="1">
        <v>45439</v>
      </c>
      <c r="I3799">
        <v>6</v>
      </c>
      <c r="J3799">
        <v>2</v>
      </c>
      <c r="K3799">
        <v>3598</v>
      </c>
      <c r="L3799">
        <v>1799</v>
      </c>
      <c r="M3799">
        <v>37775</v>
      </c>
      <c r="N3799">
        <v>1799</v>
      </c>
      <c r="O3799">
        <v>41373</v>
      </c>
    </row>
    <row r="3800" spans="1:15" x14ac:dyDescent="0.35">
      <c r="A3800">
        <v>3799</v>
      </c>
      <c r="B3800" s="2" t="s">
        <v>27</v>
      </c>
      <c r="C3800" s="2" t="s">
        <v>11</v>
      </c>
      <c r="D3800">
        <v>37</v>
      </c>
      <c r="E3800" s="2" t="s">
        <v>29</v>
      </c>
      <c r="F3800" s="2" t="s">
        <v>25</v>
      </c>
      <c r="G3800">
        <v>88133</v>
      </c>
      <c r="H3800" s="1">
        <v>44895</v>
      </c>
      <c r="I3800">
        <v>7</v>
      </c>
      <c r="J3800">
        <v>2</v>
      </c>
      <c r="K3800">
        <v>8813</v>
      </c>
      <c r="L3800">
        <v>4407</v>
      </c>
      <c r="M3800">
        <v>92539</v>
      </c>
      <c r="N3800">
        <v>4407</v>
      </c>
      <c r="O3800">
        <v>101353</v>
      </c>
    </row>
    <row r="3801" spans="1:15" x14ac:dyDescent="0.35">
      <c r="A3801">
        <v>3800</v>
      </c>
      <c r="B3801" s="2" t="s">
        <v>27</v>
      </c>
      <c r="C3801" s="2" t="s">
        <v>15</v>
      </c>
      <c r="D3801">
        <v>44</v>
      </c>
      <c r="E3801" s="2" t="s">
        <v>29</v>
      </c>
      <c r="F3801" s="2" t="s">
        <v>17</v>
      </c>
      <c r="G3801">
        <v>53751</v>
      </c>
      <c r="H3801" s="1">
        <v>45412</v>
      </c>
      <c r="I3801">
        <v>7</v>
      </c>
      <c r="J3801">
        <v>4</v>
      </c>
      <c r="K3801">
        <v>5375</v>
      </c>
      <c r="L3801">
        <v>2688</v>
      </c>
      <c r="M3801">
        <v>56438</v>
      </c>
      <c r="N3801">
        <v>2688</v>
      </c>
      <c r="O3801">
        <v>61814</v>
      </c>
    </row>
    <row r="3802" spans="1:15" x14ac:dyDescent="0.35">
      <c r="A3802">
        <v>3801</v>
      </c>
      <c r="B3802" s="2" t="s">
        <v>30</v>
      </c>
      <c r="C3802" s="2" t="s">
        <v>15</v>
      </c>
      <c r="D3802">
        <v>36</v>
      </c>
      <c r="E3802" s="2" t="s">
        <v>28</v>
      </c>
      <c r="F3802" s="2" t="s">
        <v>17</v>
      </c>
      <c r="G3802">
        <v>26413</v>
      </c>
      <c r="H3802" s="1">
        <v>44676</v>
      </c>
      <c r="I3802">
        <v>19</v>
      </c>
      <c r="J3802">
        <v>4</v>
      </c>
      <c r="K3802">
        <v>2641</v>
      </c>
      <c r="L3802">
        <v>1321</v>
      </c>
      <c r="M3802">
        <v>27733</v>
      </c>
      <c r="N3802">
        <v>1321</v>
      </c>
      <c r="O3802">
        <v>30375</v>
      </c>
    </row>
    <row r="3803" spans="1:15" x14ac:dyDescent="0.35">
      <c r="A3803">
        <v>3802</v>
      </c>
      <c r="B3803" s="2" t="s">
        <v>27</v>
      </c>
      <c r="C3803" s="2" t="s">
        <v>15</v>
      </c>
      <c r="D3803">
        <v>31</v>
      </c>
      <c r="E3803" s="2" t="s">
        <v>16</v>
      </c>
      <c r="F3803" s="2" t="s">
        <v>21</v>
      </c>
      <c r="G3803">
        <v>24499</v>
      </c>
      <c r="H3803" s="1">
        <v>45455</v>
      </c>
      <c r="I3803">
        <v>15</v>
      </c>
      <c r="J3803">
        <v>3</v>
      </c>
      <c r="K3803">
        <v>2450</v>
      </c>
      <c r="L3803">
        <v>1225</v>
      </c>
      <c r="M3803">
        <v>25724</v>
      </c>
      <c r="N3803">
        <v>1225</v>
      </c>
      <c r="O3803">
        <v>28174</v>
      </c>
    </row>
    <row r="3804" spans="1:15" x14ac:dyDescent="0.35">
      <c r="A3804">
        <v>3803</v>
      </c>
      <c r="B3804" s="2" t="s">
        <v>20</v>
      </c>
      <c r="C3804" s="2" t="s">
        <v>11</v>
      </c>
      <c r="D3804">
        <v>55</v>
      </c>
      <c r="E3804" s="2" t="s">
        <v>16</v>
      </c>
      <c r="F3804" s="2" t="s">
        <v>17</v>
      </c>
      <c r="G3804">
        <v>31853</v>
      </c>
      <c r="H3804" s="1">
        <v>44887</v>
      </c>
      <c r="I3804">
        <v>5</v>
      </c>
      <c r="J3804">
        <v>2</v>
      </c>
      <c r="K3804">
        <v>3185</v>
      </c>
      <c r="L3804">
        <v>1593</v>
      </c>
      <c r="M3804">
        <v>33445</v>
      </c>
      <c r="N3804">
        <v>0</v>
      </c>
      <c r="O3804">
        <v>35038</v>
      </c>
    </row>
    <row r="3805" spans="1:15" x14ac:dyDescent="0.35">
      <c r="A3805">
        <v>3804</v>
      </c>
      <c r="B3805" s="2" t="s">
        <v>22</v>
      </c>
      <c r="C3805" s="2" t="s">
        <v>15</v>
      </c>
      <c r="D3805">
        <v>34</v>
      </c>
      <c r="E3805" s="2" t="s">
        <v>28</v>
      </c>
      <c r="F3805" s="2" t="s">
        <v>19</v>
      </c>
      <c r="G3805">
        <v>87241</v>
      </c>
      <c r="H3805" s="1">
        <v>44971</v>
      </c>
      <c r="I3805">
        <v>2</v>
      </c>
      <c r="J3805">
        <v>4</v>
      </c>
      <c r="K3805">
        <v>8724</v>
      </c>
      <c r="L3805">
        <v>4362</v>
      </c>
      <c r="M3805">
        <v>91603</v>
      </c>
      <c r="N3805">
        <v>0</v>
      </c>
      <c r="O3805">
        <v>95965</v>
      </c>
    </row>
    <row r="3806" spans="1:15" x14ac:dyDescent="0.35">
      <c r="A3806">
        <v>3805</v>
      </c>
      <c r="B3806" s="2" t="s">
        <v>26</v>
      </c>
      <c r="C3806" s="2" t="s">
        <v>11</v>
      </c>
      <c r="D3806">
        <v>52</v>
      </c>
      <c r="E3806" s="2" t="s">
        <v>16</v>
      </c>
      <c r="F3806" s="2" t="s">
        <v>19</v>
      </c>
      <c r="G3806">
        <v>20758</v>
      </c>
      <c r="H3806" s="1">
        <v>44614</v>
      </c>
      <c r="I3806">
        <v>5</v>
      </c>
      <c r="J3806">
        <v>1</v>
      </c>
      <c r="K3806">
        <v>2076</v>
      </c>
      <c r="L3806">
        <v>1038</v>
      </c>
      <c r="M3806">
        <v>21796</v>
      </c>
      <c r="N3806">
        <v>0</v>
      </c>
      <c r="O3806">
        <v>22834</v>
      </c>
    </row>
    <row r="3807" spans="1:15" x14ac:dyDescent="0.35">
      <c r="A3807">
        <v>3806</v>
      </c>
      <c r="B3807" s="2" t="s">
        <v>31</v>
      </c>
      <c r="C3807" s="2" t="s">
        <v>11</v>
      </c>
      <c r="D3807">
        <v>42</v>
      </c>
      <c r="E3807" s="2" t="s">
        <v>28</v>
      </c>
      <c r="F3807" s="2" t="s">
        <v>19</v>
      </c>
      <c r="G3807">
        <v>93151</v>
      </c>
      <c r="H3807" s="1">
        <v>45285</v>
      </c>
      <c r="I3807">
        <v>13</v>
      </c>
      <c r="J3807">
        <v>2</v>
      </c>
      <c r="K3807">
        <v>9315</v>
      </c>
      <c r="L3807">
        <v>4658</v>
      </c>
      <c r="M3807">
        <v>97808</v>
      </c>
      <c r="N3807">
        <v>4658</v>
      </c>
      <c r="O3807">
        <v>107124</v>
      </c>
    </row>
    <row r="3808" spans="1:15" x14ac:dyDescent="0.35">
      <c r="A3808">
        <v>3807</v>
      </c>
      <c r="B3808" s="2" t="s">
        <v>20</v>
      </c>
      <c r="C3808" s="2" t="s">
        <v>11</v>
      </c>
      <c r="D3808">
        <v>22</v>
      </c>
      <c r="E3808" s="2" t="s">
        <v>24</v>
      </c>
      <c r="F3808" s="2" t="s">
        <v>19</v>
      </c>
      <c r="G3808">
        <v>55930</v>
      </c>
      <c r="H3808" s="1">
        <v>45101</v>
      </c>
      <c r="I3808">
        <v>2</v>
      </c>
      <c r="J3808">
        <v>4</v>
      </c>
      <c r="K3808">
        <v>5593</v>
      </c>
      <c r="L3808">
        <v>2796</v>
      </c>
      <c r="M3808">
        <v>58727</v>
      </c>
      <c r="N3808">
        <v>0</v>
      </c>
      <c r="O3808">
        <v>61523</v>
      </c>
    </row>
    <row r="3809" spans="1:15" x14ac:dyDescent="0.35">
      <c r="A3809">
        <v>3808</v>
      </c>
      <c r="B3809" s="2" t="s">
        <v>14</v>
      </c>
      <c r="C3809" s="2" t="s">
        <v>11</v>
      </c>
      <c r="D3809">
        <v>28</v>
      </c>
      <c r="E3809" s="2" t="s">
        <v>16</v>
      </c>
      <c r="F3809" s="2" t="s">
        <v>25</v>
      </c>
      <c r="G3809">
        <v>58539</v>
      </c>
      <c r="H3809" s="1">
        <v>44678</v>
      </c>
      <c r="I3809">
        <v>19</v>
      </c>
      <c r="J3809">
        <v>2</v>
      </c>
      <c r="K3809">
        <v>5854</v>
      </c>
      <c r="L3809">
        <v>2927</v>
      </c>
      <c r="M3809">
        <v>61466</v>
      </c>
      <c r="N3809">
        <v>2927</v>
      </c>
      <c r="O3809">
        <v>67320</v>
      </c>
    </row>
    <row r="3810" spans="1:15" x14ac:dyDescent="0.35">
      <c r="A3810">
        <v>3809</v>
      </c>
      <c r="B3810" s="2" t="s">
        <v>20</v>
      </c>
      <c r="C3810" s="2" t="s">
        <v>11</v>
      </c>
      <c r="D3810">
        <v>25</v>
      </c>
      <c r="E3810" s="2" t="s">
        <v>12</v>
      </c>
      <c r="F3810" s="2" t="s">
        <v>21</v>
      </c>
      <c r="G3810">
        <v>72187</v>
      </c>
      <c r="H3810" s="1">
        <v>45167</v>
      </c>
      <c r="I3810">
        <v>5</v>
      </c>
      <c r="J3810">
        <v>1</v>
      </c>
      <c r="K3810">
        <v>7219</v>
      </c>
      <c r="L3810">
        <v>3609</v>
      </c>
      <c r="M3810">
        <v>75797</v>
      </c>
      <c r="N3810">
        <v>0</v>
      </c>
      <c r="O3810">
        <v>79406</v>
      </c>
    </row>
    <row r="3811" spans="1:15" x14ac:dyDescent="0.35">
      <c r="A3811">
        <v>3810</v>
      </c>
      <c r="B3811" s="2" t="s">
        <v>26</v>
      </c>
      <c r="C3811" s="2" t="s">
        <v>11</v>
      </c>
      <c r="D3811">
        <v>53</v>
      </c>
      <c r="E3811" s="2" t="s">
        <v>24</v>
      </c>
      <c r="F3811" s="2" t="s">
        <v>19</v>
      </c>
      <c r="G3811">
        <v>30623</v>
      </c>
      <c r="H3811" s="1">
        <v>45128</v>
      </c>
      <c r="I3811">
        <v>18</v>
      </c>
      <c r="J3811">
        <v>2</v>
      </c>
      <c r="K3811">
        <v>3062</v>
      </c>
      <c r="L3811">
        <v>1531</v>
      </c>
      <c r="M3811">
        <v>32154</v>
      </c>
      <c r="N3811">
        <v>1531</v>
      </c>
      <c r="O3811">
        <v>35216</v>
      </c>
    </row>
    <row r="3812" spans="1:15" x14ac:dyDescent="0.35">
      <c r="A3812">
        <v>3811</v>
      </c>
      <c r="B3812" s="2" t="s">
        <v>26</v>
      </c>
      <c r="C3812" s="2" t="s">
        <v>15</v>
      </c>
      <c r="D3812">
        <v>52</v>
      </c>
      <c r="E3812" s="2" t="s">
        <v>12</v>
      </c>
      <c r="F3812" s="2" t="s">
        <v>19</v>
      </c>
      <c r="G3812">
        <v>46706</v>
      </c>
      <c r="H3812" s="1">
        <v>45547</v>
      </c>
      <c r="I3812">
        <v>15</v>
      </c>
      <c r="J3812">
        <v>5</v>
      </c>
      <c r="K3812">
        <v>4671</v>
      </c>
      <c r="L3812">
        <v>2335</v>
      </c>
      <c r="M3812">
        <v>49042</v>
      </c>
      <c r="N3812">
        <v>2335</v>
      </c>
      <c r="O3812">
        <v>53712</v>
      </c>
    </row>
    <row r="3813" spans="1:15" x14ac:dyDescent="0.35">
      <c r="A3813">
        <v>3812</v>
      </c>
      <c r="B3813" s="2" t="s">
        <v>23</v>
      </c>
      <c r="C3813" s="2" t="s">
        <v>15</v>
      </c>
      <c r="D3813">
        <v>46</v>
      </c>
      <c r="E3813" s="2" t="s">
        <v>16</v>
      </c>
      <c r="F3813" s="2" t="s">
        <v>19</v>
      </c>
      <c r="G3813">
        <v>66186</v>
      </c>
      <c r="H3813" s="1">
        <v>44790</v>
      </c>
      <c r="I3813">
        <v>12</v>
      </c>
      <c r="J3813">
        <v>3</v>
      </c>
      <c r="K3813">
        <v>6619</v>
      </c>
      <c r="L3813">
        <v>3309</v>
      </c>
      <c r="M3813">
        <v>69496</v>
      </c>
      <c r="N3813">
        <v>3309</v>
      </c>
      <c r="O3813">
        <v>76114</v>
      </c>
    </row>
    <row r="3814" spans="1:15" x14ac:dyDescent="0.35">
      <c r="A3814">
        <v>3813</v>
      </c>
      <c r="B3814" s="2" t="s">
        <v>23</v>
      </c>
      <c r="C3814" s="2" t="s">
        <v>11</v>
      </c>
      <c r="D3814">
        <v>51</v>
      </c>
      <c r="E3814" s="2" t="s">
        <v>16</v>
      </c>
      <c r="F3814" s="2" t="s">
        <v>19</v>
      </c>
      <c r="G3814">
        <v>53203</v>
      </c>
      <c r="H3814" s="1">
        <v>44933</v>
      </c>
      <c r="I3814">
        <v>9</v>
      </c>
      <c r="J3814">
        <v>1</v>
      </c>
      <c r="K3814">
        <v>5320</v>
      </c>
      <c r="L3814">
        <v>2660</v>
      </c>
      <c r="M3814">
        <v>55863</v>
      </c>
      <c r="N3814">
        <v>2660</v>
      </c>
      <c r="O3814">
        <v>61183</v>
      </c>
    </row>
    <row r="3815" spans="1:15" x14ac:dyDescent="0.35">
      <c r="A3815">
        <v>3814</v>
      </c>
      <c r="B3815" s="2" t="s">
        <v>14</v>
      </c>
      <c r="C3815" s="2" t="s">
        <v>15</v>
      </c>
      <c r="D3815">
        <v>45</v>
      </c>
      <c r="E3815" s="2" t="s">
        <v>12</v>
      </c>
      <c r="F3815" s="2" t="s">
        <v>25</v>
      </c>
      <c r="G3815">
        <v>25098</v>
      </c>
      <c r="H3815" s="1">
        <v>44697</v>
      </c>
      <c r="I3815">
        <v>14</v>
      </c>
      <c r="J3815">
        <v>5</v>
      </c>
      <c r="K3815">
        <v>2510</v>
      </c>
      <c r="L3815">
        <v>1255</v>
      </c>
      <c r="M3815">
        <v>26353</v>
      </c>
      <c r="N3815">
        <v>1255</v>
      </c>
      <c r="O3815">
        <v>28863</v>
      </c>
    </row>
    <row r="3816" spans="1:15" x14ac:dyDescent="0.35">
      <c r="A3816">
        <v>3815</v>
      </c>
      <c r="B3816" s="2" t="s">
        <v>27</v>
      </c>
      <c r="C3816" s="2" t="s">
        <v>11</v>
      </c>
      <c r="D3816">
        <v>31</v>
      </c>
      <c r="E3816" s="2" t="s">
        <v>16</v>
      </c>
      <c r="F3816" s="2" t="s">
        <v>25</v>
      </c>
      <c r="G3816">
        <v>39991</v>
      </c>
      <c r="H3816" s="1">
        <v>44692</v>
      </c>
      <c r="I3816">
        <v>3</v>
      </c>
      <c r="J3816">
        <v>4</v>
      </c>
      <c r="K3816">
        <v>3999</v>
      </c>
      <c r="L3816">
        <v>2000</v>
      </c>
      <c r="M3816">
        <v>41990</v>
      </c>
      <c r="N3816">
        <v>0</v>
      </c>
      <c r="O3816">
        <v>43990</v>
      </c>
    </row>
    <row r="3817" spans="1:15" x14ac:dyDescent="0.35">
      <c r="A3817">
        <v>3816</v>
      </c>
      <c r="B3817" s="2" t="s">
        <v>26</v>
      </c>
      <c r="C3817" s="2" t="s">
        <v>15</v>
      </c>
      <c r="D3817">
        <v>54</v>
      </c>
      <c r="E3817" s="2" t="s">
        <v>28</v>
      </c>
      <c r="F3817" s="2" t="s">
        <v>19</v>
      </c>
      <c r="G3817">
        <v>66936</v>
      </c>
      <c r="H3817" s="1">
        <v>44815</v>
      </c>
      <c r="I3817">
        <v>2</v>
      </c>
      <c r="J3817">
        <v>5</v>
      </c>
      <c r="K3817">
        <v>6694</v>
      </c>
      <c r="L3817">
        <v>3347</v>
      </c>
      <c r="M3817">
        <v>70283</v>
      </c>
      <c r="N3817">
        <v>0</v>
      </c>
      <c r="O3817">
        <v>73630</v>
      </c>
    </row>
    <row r="3818" spans="1:15" x14ac:dyDescent="0.35">
      <c r="A3818">
        <v>3817</v>
      </c>
      <c r="B3818" s="2" t="s">
        <v>14</v>
      </c>
      <c r="C3818" s="2" t="s">
        <v>11</v>
      </c>
      <c r="D3818">
        <v>36</v>
      </c>
      <c r="E3818" s="2" t="s">
        <v>16</v>
      </c>
      <c r="F3818" s="2" t="s">
        <v>13</v>
      </c>
      <c r="G3818">
        <v>52885</v>
      </c>
      <c r="H3818" s="1">
        <v>44751</v>
      </c>
      <c r="I3818">
        <v>11</v>
      </c>
      <c r="J3818">
        <v>3</v>
      </c>
      <c r="K3818">
        <v>5288</v>
      </c>
      <c r="L3818">
        <v>2644</v>
      </c>
      <c r="M3818">
        <v>55529</v>
      </c>
      <c r="N3818">
        <v>2644</v>
      </c>
      <c r="O3818">
        <v>60817</v>
      </c>
    </row>
    <row r="3819" spans="1:15" x14ac:dyDescent="0.35">
      <c r="A3819">
        <v>3818</v>
      </c>
      <c r="B3819" s="2" t="s">
        <v>10</v>
      </c>
      <c r="C3819" s="2" t="s">
        <v>11</v>
      </c>
      <c r="D3819">
        <v>59</v>
      </c>
      <c r="E3819" s="2" t="s">
        <v>24</v>
      </c>
      <c r="F3819" s="2" t="s">
        <v>13</v>
      </c>
      <c r="G3819">
        <v>35044</v>
      </c>
      <c r="H3819" s="1">
        <v>45005</v>
      </c>
      <c r="I3819">
        <v>5</v>
      </c>
      <c r="J3819">
        <v>5</v>
      </c>
      <c r="K3819">
        <v>3504</v>
      </c>
      <c r="L3819">
        <v>1752</v>
      </c>
      <c r="M3819">
        <v>36796</v>
      </c>
      <c r="N3819">
        <v>0</v>
      </c>
      <c r="O3819">
        <v>38548</v>
      </c>
    </row>
    <row r="3820" spans="1:15" x14ac:dyDescent="0.35">
      <c r="A3820">
        <v>3819</v>
      </c>
      <c r="B3820" s="2" t="s">
        <v>10</v>
      </c>
      <c r="C3820" s="2" t="s">
        <v>11</v>
      </c>
      <c r="D3820">
        <v>50</v>
      </c>
      <c r="E3820" s="2" t="s">
        <v>24</v>
      </c>
      <c r="F3820" s="2" t="s">
        <v>17</v>
      </c>
      <c r="G3820">
        <v>77288</v>
      </c>
      <c r="H3820" s="1">
        <v>45419</v>
      </c>
      <c r="I3820">
        <v>6</v>
      </c>
      <c r="J3820">
        <v>4</v>
      </c>
      <c r="K3820">
        <v>7729</v>
      </c>
      <c r="L3820">
        <v>3864</v>
      </c>
      <c r="M3820">
        <v>81153</v>
      </c>
      <c r="N3820">
        <v>3864</v>
      </c>
      <c r="O3820">
        <v>88881</v>
      </c>
    </row>
    <row r="3821" spans="1:15" x14ac:dyDescent="0.35">
      <c r="A3821">
        <v>3820</v>
      </c>
      <c r="B3821" s="2" t="s">
        <v>14</v>
      </c>
      <c r="C3821" s="2" t="s">
        <v>11</v>
      </c>
      <c r="D3821">
        <v>35</v>
      </c>
      <c r="E3821" s="2" t="s">
        <v>16</v>
      </c>
      <c r="F3821" s="2" t="s">
        <v>13</v>
      </c>
      <c r="G3821">
        <v>54006</v>
      </c>
      <c r="H3821" s="1">
        <v>44913</v>
      </c>
      <c r="I3821">
        <v>13</v>
      </c>
      <c r="J3821">
        <v>4</v>
      </c>
      <c r="K3821">
        <v>5401</v>
      </c>
      <c r="L3821">
        <v>2700</v>
      </c>
      <c r="M3821">
        <v>56707</v>
      </c>
      <c r="N3821">
        <v>2700</v>
      </c>
      <c r="O3821">
        <v>62107</v>
      </c>
    </row>
    <row r="3822" spans="1:15" x14ac:dyDescent="0.35">
      <c r="A3822">
        <v>3821</v>
      </c>
      <c r="B3822" s="2" t="s">
        <v>10</v>
      </c>
      <c r="C3822" s="2" t="s">
        <v>15</v>
      </c>
      <c r="D3822">
        <v>51</v>
      </c>
      <c r="E3822" s="2" t="s">
        <v>24</v>
      </c>
      <c r="F3822" s="2" t="s">
        <v>17</v>
      </c>
      <c r="G3822">
        <v>26942</v>
      </c>
      <c r="H3822" s="1">
        <v>45145</v>
      </c>
      <c r="I3822">
        <v>4</v>
      </c>
      <c r="J3822">
        <v>2</v>
      </c>
      <c r="K3822">
        <v>2694</v>
      </c>
      <c r="L3822">
        <v>1347</v>
      </c>
      <c r="M3822">
        <v>28289</v>
      </c>
      <c r="N3822">
        <v>0</v>
      </c>
      <c r="O3822">
        <v>29636</v>
      </c>
    </row>
    <row r="3823" spans="1:15" x14ac:dyDescent="0.35">
      <c r="A3823">
        <v>3822</v>
      </c>
      <c r="B3823" s="2" t="s">
        <v>23</v>
      </c>
      <c r="C3823" s="2" t="s">
        <v>15</v>
      </c>
      <c r="D3823">
        <v>23</v>
      </c>
      <c r="E3823" s="2" t="s">
        <v>29</v>
      </c>
      <c r="F3823" s="2" t="s">
        <v>17</v>
      </c>
      <c r="G3823">
        <v>63585</v>
      </c>
      <c r="H3823" s="1">
        <v>45231</v>
      </c>
      <c r="I3823">
        <v>5</v>
      </c>
      <c r="J3823">
        <v>2</v>
      </c>
      <c r="K3823">
        <v>6358</v>
      </c>
      <c r="L3823">
        <v>3179</v>
      </c>
      <c r="M3823">
        <v>66764</v>
      </c>
      <c r="N3823">
        <v>0</v>
      </c>
      <c r="O3823">
        <v>69943</v>
      </c>
    </row>
    <row r="3824" spans="1:15" x14ac:dyDescent="0.35">
      <c r="A3824">
        <v>3823</v>
      </c>
      <c r="B3824" s="2" t="s">
        <v>22</v>
      </c>
      <c r="C3824" s="2" t="s">
        <v>15</v>
      </c>
      <c r="D3824">
        <v>46</v>
      </c>
      <c r="E3824" s="2" t="s">
        <v>12</v>
      </c>
      <c r="F3824" s="2" t="s">
        <v>17</v>
      </c>
      <c r="G3824">
        <v>45521</v>
      </c>
      <c r="H3824" s="1">
        <v>44869</v>
      </c>
      <c r="I3824">
        <v>6</v>
      </c>
      <c r="J3824">
        <v>4</v>
      </c>
      <c r="K3824">
        <v>4552</v>
      </c>
      <c r="L3824">
        <v>2276</v>
      </c>
      <c r="M3824">
        <v>47797</v>
      </c>
      <c r="N3824">
        <v>2276</v>
      </c>
      <c r="O3824">
        <v>52349</v>
      </c>
    </row>
    <row r="3825" spans="1:15" x14ac:dyDescent="0.35">
      <c r="A3825">
        <v>3824</v>
      </c>
      <c r="B3825" s="2" t="s">
        <v>23</v>
      </c>
      <c r="C3825" s="2" t="s">
        <v>11</v>
      </c>
      <c r="D3825">
        <v>40</v>
      </c>
      <c r="E3825" s="2" t="s">
        <v>28</v>
      </c>
      <c r="F3825" s="2" t="s">
        <v>13</v>
      </c>
      <c r="G3825">
        <v>76663</v>
      </c>
      <c r="H3825" s="1">
        <v>45301</v>
      </c>
      <c r="I3825">
        <v>12</v>
      </c>
      <c r="J3825">
        <v>1</v>
      </c>
      <c r="K3825">
        <v>7666</v>
      </c>
      <c r="L3825">
        <v>3833</v>
      </c>
      <c r="M3825">
        <v>80496</v>
      </c>
      <c r="N3825">
        <v>3833</v>
      </c>
      <c r="O3825">
        <v>88162</v>
      </c>
    </row>
    <row r="3826" spans="1:15" x14ac:dyDescent="0.35">
      <c r="A3826">
        <v>3825</v>
      </c>
      <c r="B3826" s="2" t="s">
        <v>26</v>
      </c>
      <c r="C3826" s="2" t="s">
        <v>15</v>
      </c>
      <c r="D3826">
        <v>46</v>
      </c>
      <c r="E3826" s="2" t="s">
        <v>28</v>
      </c>
      <c r="F3826" s="2" t="s">
        <v>21</v>
      </c>
      <c r="G3826">
        <v>83775</v>
      </c>
      <c r="H3826" s="1">
        <v>44919</v>
      </c>
      <c r="I3826">
        <v>15</v>
      </c>
      <c r="J3826">
        <v>3</v>
      </c>
      <c r="K3826">
        <v>8378</v>
      </c>
      <c r="L3826">
        <v>4189</v>
      </c>
      <c r="M3826">
        <v>87964</v>
      </c>
      <c r="N3826">
        <v>4189</v>
      </c>
      <c r="O3826">
        <v>96342</v>
      </c>
    </row>
    <row r="3827" spans="1:15" x14ac:dyDescent="0.35">
      <c r="A3827">
        <v>3826</v>
      </c>
      <c r="B3827" s="2" t="s">
        <v>31</v>
      </c>
      <c r="C3827" s="2" t="s">
        <v>15</v>
      </c>
      <c r="D3827">
        <v>46</v>
      </c>
      <c r="E3827" s="2" t="s">
        <v>12</v>
      </c>
      <c r="F3827" s="2" t="s">
        <v>19</v>
      </c>
      <c r="G3827">
        <v>55276</v>
      </c>
      <c r="H3827" s="1">
        <v>44818</v>
      </c>
      <c r="I3827">
        <v>18</v>
      </c>
      <c r="J3827">
        <v>2</v>
      </c>
      <c r="K3827">
        <v>5528</v>
      </c>
      <c r="L3827">
        <v>2764</v>
      </c>
      <c r="M3827">
        <v>58040</v>
      </c>
      <c r="N3827">
        <v>2764</v>
      </c>
      <c r="O3827">
        <v>63568</v>
      </c>
    </row>
    <row r="3828" spans="1:15" x14ac:dyDescent="0.35">
      <c r="A3828">
        <v>3827</v>
      </c>
      <c r="B3828" s="2" t="s">
        <v>18</v>
      </c>
      <c r="C3828" s="2" t="s">
        <v>15</v>
      </c>
      <c r="D3828">
        <v>29</v>
      </c>
      <c r="E3828" s="2" t="s">
        <v>12</v>
      </c>
      <c r="F3828" s="2" t="s">
        <v>13</v>
      </c>
      <c r="G3828">
        <v>61595</v>
      </c>
      <c r="H3828" s="1">
        <v>45199</v>
      </c>
      <c r="I3828">
        <v>4</v>
      </c>
      <c r="J3828">
        <v>4</v>
      </c>
      <c r="K3828">
        <v>6160</v>
      </c>
      <c r="L3828">
        <v>3080</v>
      </c>
      <c r="M3828">
        <v>64675</v>
      </c>
      <c r="N3828">
        <v>0</v>
      </c>
      <c r="O3828">
        <v>67755</v>
      </c>
    </row>
    <row r="3829" spans="1:15" x14ac:dyDescent="0.35">
      <c r="A3829">
        <v>3828</v>
      </c>
      <c r="B3829" s="2" t="s">
        <v>10</v>
      </c>
      <c r="C3829" s="2" t="s">
        <v>11</v>
      </c>
      <c r="D3829">
        <v>38</v>
      </c>
      <c r="E3829" s="2" t="s">
        <v>28</v>
      </c>
      <c r="F3829" s="2" t="s">
        <v>25</v>
      </c>
      <c r="G3829">
        <v>45030</v>
      </c>
      <c r="H3829" s="1">
        <v>45407</v>
      </c>
      <c r="I3829">
        <v>1</v>
      </c>
      <c r="J3829">
        <v>1</v>
      </c>
      <c r="K3829">
        <v>4503</v>
      </c>
      <c r="L3829">
        <v>2252</v>
      </c>
      <c r="M3829">
        <v>47281</v>
      </c>
      <c r="N3829">
        <v>0</v>
      </c>
      <c r="O3829">
        <v>49533</v>
      </c>
    </row>
    <row r="3830" spans="1:15" x14ac:dyDescent="0.35">
      <c r="A3830">
        <v>3829</v>
      </c>
      <c r="B3830" s="2" t="s">
        <v>20</v>
      </c>
      <c r="C3830" s="2" t="s">
        <v>15</v>
      </c>
      <c r="D3830">
        <v>53</v>
      </c>
      <c r="E3830" s="2" t="s">
        <v>16</v>
      </c>
      <c r="F3830" s="2" t="s">
        <v>13</v>
      </c>
      <c r="G3830">
        <v>87694</v>
      </c>
      <c r="H3830" s="1">
        <v>45183</v>
      </c>
      <c r="I3830">
        <v>17</v>
      </c>
      <c r="J3830">
        <v>4</v>
      </c>
      <c r="K3830">
        <v>8769</v>
      </c>
      <c r="L3830">
        <v>4385</v>
      </c>
      <c r="M3830">
        <v>92078</v>
      </c>
      <c r="N3830">
        <v>4385</v>
      </c>
      <c r="O3830">
        <v>100848</v>
      </c>
    </row>
    <row r="3831" spans="1:15" x14ac:dyDescent="0.35">
      <c r="A3831">
        <v>3830</v>
      </c>
      <c r="B3831" s="2" t="s">
        <v>23</v>
      </c>
      <c r="C3831" s="2" t="s">
        <v>15</v>
      </c>
      <c r="D3831">
        <v>39</v>
      </c>
      <c r="E3831" s="2" t="s">
        <v>12</v>
      </c>
      <c r="F3831" s="2" t="s">
        <v>25</v>
      </c>
      <c r="G3831">
        <v>46581</v>
      </c>
      <c r="H3831" s="1">
        <v>44793</v>
      </c>
      <c r="I3831">
        <v>3</v>
      </c>
      <c r="J3831">
        <v>2</v>
      </c>
      <c r="K3831">
        <v>4658</v>
      </c>
      <c r="L3831">
        <v>2329</v>
      </c>
      <c r="M3831">
        <v>48910</v>
      </c>
      <c r="N3831">
        <v>0</v>
      </c>
      <c r="O3831">
        <v>51239</v>
      </c>
    </row>
    <row r="3832" spans="1:15" x14ac:dyDescent="0.35">
      <c r="A3832">
        <v>3831</v>
      </c>
      <c r="B3832" s="2" t="s">
        <v>20</v>
      </c>
      <c r="C3832" s="2" t="s">
        <v>11</v>
      </c>
      <c r="D3832">
        <v>45</v>
      </c>
      <c r="E3832" s="2" t="s">
        <v>12</v>
      </c>
      <c r="F3832" s="2" t="s">
        <v>19</v>
      </c>
      <c r="G3832">
        <v>77113</v>
      </c>
      <c r="H3832" s="1">
        <v>45539</v>
      </c>
      <c r="I3832">
        <v>13</v>
      </c>
      <c r="J3832">
        <v>5</v>
      </c>
      <c r="K3832">
        <v>7711</v>
      </c>
      <c r="L3832">
        <v>3856</v>
      </c>
      <c r="M3832">
        <v>80968</v>
      </c>
      <c r="N3832">
        <v>3856</v>
      </c>
      <c r="O3832">
        <v>88680</v>
      </c>
    </row>
    <row r="3833" spans="1:15" x14ac:dyDescent="0.35">
      <c r="A3833">
        <v>3832</v>
      </c>
      <c r="B3833" s="2" t="s">
        <v>26</v>
      </c>
      <c r="C3833" s="2" t="s">
        <v>15</v>
      </c>
      <c r="D3833">
        <v>58</v>
      </c>
      <c r="E3833" s="2" t="s">
        <v>12</v>
      </c>
      <c r="F3833" s="2" t="s">
        <v>25</v>
      </c>
      <c r="G3833">
        <v>69925</v>
      </c>
      <c r="H3833" s="1">
        <v>45515</v>
      </c>
      <c r="I3833">
        <v>6</v>
      </c>
      <c r="J3833">
        <v>1</v>
      </c>
      <c r="K3833">
        <v>6992</v>
      </c>
      <c r="L3833">
        <v>3496</v>
      </c>
      <c r="M3833">
        <v>73421</v>
      </c>
      <c r="N3833">
        <v>3496</v>
      </c>
      <c r="O3833">
        <v>80413</v>
      </c>
    </row>
    <row r="3834" spans="1:15" x14ac:dyDescent="0.35">
      <c r="A3834">
        <v>3833</v>
      </c>
      <c r="B3834" s="2" t="s">
        <v>20</v>
      </c>
      <c r="C3834" s="2" t="s">
        <v>11</v>
      </c>
      <c r="D3834">
        <v>30</v>
      </c>
      <c r="E3834" s="2" t="s">
        <v>28</v>
      </c>
      <c r="F3834" s="2" t="s">
        <v>13</v>
      </c>
      <c r="G3834">
        <v>73753</v>
      </c>
      <c r="H3834" s="1">
        <v>45136</v>
      </c>
      <c r="I3834">
        <v>10</v>
      </c>
      <c r="J3834">
        <v>1</v>
      </c>
      <c r="K3834">
        <v>7375</v>
      </c>
      <c r="L3834">
        <v>3688</v>
      </c>
      <c r="M3834">
        <v>77440</v>
      </c>
      <c r="N3834">
        <v>3688</v>
      </c>
      <c r="O3834">
        <v>84816</v>
      </c>
    </row>
    <row r="3835" spans="1:15" x14ac:dyDescent="0.35">
      <c r="A3835">
        <v>3834</v>
      </c>
      <c r="B3835" s="2" t="s">
        <v>27</v>
      </c>
      <c r="C3835" s="2" t="s">
        <v>11</v>
      </c>
      <c r="D3835">
        <v>43</v>
      </c>
      <c r="E3835" s="2" t="s">
        <v>16</v>
      </c>
      <c r="F3835" s="2" t="s">
        <v>17</v>
      </c>
      <c r="G3835">
        <v>25228</v>
      </c>
      <c r="H3835" s="1">
        <v>44871</v>
      </c>
      <c r="I3835">
        <v>9</v>
      </c>
      <c r="J3835">
        <v>3</v>
      </c>
      <c r="K3835">
        <v>2523</v>
      </c>
      <c r="L3835">
        <v>1261</v>
      </c>
      <c r="M3835">
        <v>26490</v>
      </c>
      <c r="N3835">
        <v>1261</v>
      </c>
      <c r="O3835">
        <v>29012</v>
      </c>
    </row>
    <row r="3836" spans="1:15" x14ac:dyDescent="0.35">
      <c r="A3836">
        <v>3835</v>
      </c>
      <c r="B3836" s="2" t="s">
        <v>30</v>
      </c>
      <c r="C3836" s="2" t="s">
        <v>15</v>
      </c>
      <c r="D3836">
        <v>25</v>
      </c>
      <c r="E3836" s="2" t="s">
        <v>28</v>
      </c>
      <c r="F3836" s="2" t="s">
        <v>21</v>
      </c>
      <c r="G3836">
        <v>91240</v>
      </c>
      <c r="H3836" s="1">
        <v>45460</v>
      </c>
      <c r="I3836">
        <v>15</v>
      </c>
      <c r="J3836">
        <v>5</v>
      </c>
      <c r="K3836">
        <v>9124</v>
      </c>
      <c r="L3836">
        <v>4562</v>
      </c>
      <c r="M3836">
        <v>95802</v>
      </c>
      <c r="N3836">
        <v>4562</v>
      </c>
      <c r="O3836">
        <v>104926</v>
      </c>
    </row>
    <row r="3837" spans="1:15" x14ac:dyDescent="0.35">
      <c r="A3837">
        <v>3836</v>
      </c>
      <c r="B3837" s="2" t="s">
        <v>27</v>
      </c>
      <c r="C3837" s="2" t="s">
        <v>11</v>
      </c>
      <c r="D3837">
        <v>38</v>
      </c>
      <c r="E3837" s="2" t="s">
        <v>24</v>
      </c>
      <c r="F3837" s="2" t="s">
        <v>25</v>
      </c>
      <c r="G3837">
        <v>84889</v>
      </c>
      <c r="H3837" s="1">
        <v>44643</v>
      </c>
      <c r="I3837">
        <v>19</v>
      </c>
      <c r="J3837">
        <v>4</v>
      </c>
      <c r="K3837">
        <v>8489</v>
      </c>
      <c r="L3837">
        <v>4244</v>
      </c>
      <c r="M3837">
        <v>89134</v>
      </c>
      <c r="N3837">
        <v>4244</v>
      </c>
      <c r="O3837">
        <v>97622</v>
      </c>
    </row>
    <row r="3838" spans="1:15" x14ac:dyDescent="0.35">
      <c r="A3838">
        <v>3837</v>
      </c>
      <c r="B3838" s="2" t="s">
        <v>23</v>
      </c>
      <c r="C3838" s="2" t="s">
        <v>15</v>
      </c>
      <c r="D3838">
        <v>43</v>
      </c>
      <c r="E3838" s="2" t="s">
        <v>16</v>
      </c>
      <c r="F3838" s="2" t="s">
        <v>19</v>
      </c>
      <c r="G3838">
        <v>45595</v>
      </c>
      <c r="H3838" s="1">
        <v>45071</v>
      </c>
      <c r="I3838">
        <v>3</v>
      </c>
      <c r="J3838">
        <v>5</v>
      </c>
      <c r="K3838">
        <v>4560</v>
      </c>
      <c r="L3838">
        <v>2280</v>
      </c>
      <c r="M3838">
        <v>47875</v>
      </c>
      <c r="N3838">
        <v>0</v>
      </c>
      <c r="O3838">
        <v>50155</v>
      </c>
    </row>
    <row r="3839" spans="1:15" x14ac:dyDescent="0.35">
      <c r="A3839">
        <v>3838</v>
      </c>
      <c r="B3839" s="2" t="s">
        <v>26</v>
      </c>
      <c r="C3839" s="2" t="s">
        <v>11</v>
      </c>
      <c r="D3839">
        <v>31</v>
      </c>
      <c r="E3839" s="2" t="s">
        <v>12</v>
      </c>
      <c r="F3839" s="2" t="s">
        <v>17</v>
      </c>
      <c r="G3839">
        <v>78704</v>
      </c>
      <c r="H3839" s="1">
        <v>44918</v>
      </c>
      <c r="I3839">
        <v>4</v>
      </c>
      <c r="J3839">
        <v>4</v>
      </c>
      <c r="K3839">
        <v>7870</v>
      </c>
      <c r="L3839">
        <v>3935</v>
      </c>
      <c r="M3839">
        <v>82639</v>
      </c>
      <c r="N3839">
        <v>0</v>
      </c>
      <c r="O3839">
        <v>86574</v>
      </c>
    </row>
    <row r="3840" spans="1:15" x14ac:dyDescent="0.35">
      <c r="A3840">
        <v>3839</v>
      </c>
      <c r="B3840" s="2" t="s">
        <v>22</v>
      </c>
      <c r="C3840" s="2" t="s">
        <v>15</v>
      </c>
      <c r="D3840">
        <v>51</v>
      </c>
      <c r="E3840" s="2" t="s">
        <v>28</v>
      </c>
      <c r="F3840" s="2" t="s">
        <v>21</v>
      </c>
      <c r="G3840">
        <v>35276</v>
      </c>
      <c r="H3840" s="1">
        <v>44902</v>
      </c>
      <c r="I3840">
        <v>1</v>
      </c>
      <c r="J3840">
        <v>5</v>
      </c>
      <c r="K3840">
        <v>3528</v>
      </c>
      <c r="L3840">
        <v>1764</v>
      </c>
      <c r="M3840">
        <v>37040</v>
      </c>
      <c r="N3840">
        <v>0</v>
      </c>
      <c r="O3840">
        <v>38804</v>
      </c>
    </row>
    <row r="3841" spans="1:15" x14ac:dyDescent="0.35">
      <c r="A3841">
        <v>3840</v>
      </c>
      <c r="B3841" s="2" t="s">
        <v>10</v>
      </c>
      <c r="C3841" s="2" t="s">
        <v>11</v>
      </c>
      <c r="D3841">
        <v>24</v>
      </c>
      <c r="E3841" s="2" t="s">
        <v>28</v>
      </c>
      <c r="F3841" s="2" t="s">
        <v>13</v>
      </c>
      <c r="G3841">
        <v>35747</v>
      </c>
      <c r="H3841" s="1">
        <v>44813</v>
      </c>
      <c r="I3841">
        <v>10</v>
      </c>
      <c r="J3841">
        <v>4</v>
      </c>
      <c r="K3841">
        <v>3575</v>
      </c>
      <c r="L3841">
        <v>1787</v>
      </c>
      <c r="M3841">
        <v>37535</v>
      </c>
      <c r="N3841">
        <v>1787</v>
      </c>
      <c r="O3841">
        <v>41109</v>
      </c>
    </row>
    <row r="3842" spans="1:15" x14ac:dyDescent="0.35">
      <c r="A3842">
        <v>3841</v>
      </c>
      <c r="B3842" s="2" t="s">
        <v>23</v>
      </c>
      <c r="C3842" s="2" t="s">
        <v>11</v>
      </c>
      <c r="D3842">
        <v>36</v>
      </c>
      <c r="E3842" s="2" t="s">
        <v>28</v>
      </c>
      <c r="F3842" s="2" t="s">
        <v>21</v>
      </c>
      <c r="G3842">
        <v>23799</v>
      </c>
      <c r="H3842" s="1">
        <v>45526</v>
      </c>
      <c r="I3842">
        <v>9</v>
      </c>
      <c r="J3842">
        <v>4</v>
      </c>
      <c r="K3842">
        <v>2380</v>
      </c>
      <c r="L3842">
        <v>1190</v>
      </c>
      <c r="M3842">
        <v>24989</v>
      </c>
      <c r="N3842">
        <v>1190</v>
      </c>
      <c r="O3842">
        <v>27369</v>
      </c>
    </row>
    <row r="3843" spans="1:15" x14ac:dyDescent="0.35">
      <c r="A3843">
        <v>3842</v>
      </c>
      <c r="B3843" s="2" t="s">
        <v>22</v>
      </c>
      <c r="C3843" s="2" t="s">
        <v>15</v>
      </c>
      <c r="D3843">
        <v>31</v>
      </c>
      <c r="E3843" s="2" t="s">
        <v>16</v>
      </c>
      <c r="F3843" s="2" t="s">
        <v>21</v>
      </c>
      <c r="G3843">
        <v>70116</v>
      </c>
      <c r="H3843" s="1">
        <v>44997</v>
      </c>
      <c r="I3843">
        <v>10</v>
      </c>
      <c r="J3843">
        <v>3</v>
      </c>
      <c r="K3843">
        <v>7012</v>
      </c>
      <c r="L3843">
        <v>3506</v>
      </c>
      <c r="M3843">
        <v>73622</v>
      </c>
      <c r="N3843">
        <v>3506</v>
      </c>
      <c r="O3843">
        <v>80634</v>
      </c>
    </row>
    <row r="3844" spans="1:15" x14ac:dyDescent="0.35">
      <c r="A3844">
        <v>3843</v>
      </c>
      <c r="B3844" s="2" t="s">
        <v>18</v>
      </c>
      <c r="C3844" s="2" t="s">
        <v>15</v>
      </c>
      <c r="D3844">
        <v>23</v>
      </c>
      <c r="E3844" s="2" t="s">
        <v>16</v>
      </c>
      <c r="F3844" s="2" t="s">
        <v>13</v>
      </c>
      <c r="G3844">
        <v>59939</v>
      </c>
      <c r="H3844" s="1">
        <v>45134</v>
      </c>
      <c r="I3844">
        <v>15</v>
      </c>
      <c r="J3844">
        <v>2</v>
      </c>
      <c r="K3844">
        <v>5994</v>
      </c>
      <c r="L3844">
        <v>2997</v>
      </c>
      <c r="M3844">
        <v>62936</v>
      </c>
      <c r="N3844">
        <v>2997</v>
      </c>
      <c r="O3844">
        <v>68930</v>
      </c>
    </row>
    <row r="3845" spans="1:15" x14ac:dyDescent="0.35">
      <c r="A3845">
        <v>3844</v>
      </c>
      <c r="B3845" s="2" t="s">
        <v>14</v>
      </c>
      <c r="C3845" s="2" t="s">
        <v>11</v>
      </c>
      <c r="D3845">
        <v>50</v>
      </c>
      <c r="E3845" s="2" t="s">
        <v>12</v>
      </c>
      <c r="F3845" s="2" t="s">
        <v>13</v>
      </c>
      <c r="G3845">
        <v>24172</v>
      </c>
      <c r="H3845" s="1">
        <v>45128</v>
      </c>
      <c r="I3845">
        <v>20</v>
      </c>
      <c r="J3845">
        <v>1</v>
      </c>
      <c r="K3845">
        <v>2417</v>
      </c>
      <c r="L3845">
        <v>1209</v>
      </c>
      <c r="M3845">
        <v>25380</v>
      </c>
      <c r="N3845">
        <v>1209</v>
      </c>
      <c r="O3845">
        <v>27798</v>
      </c>
    </row>
    <row r="3846" spans="1:15" x14ac:dyDescent="0.35">
      <c r="A3846">
        <v>3845</v>
      </c>
      <c r="B3846" s="2" t="s">
        <v>26</v>
      </c>
      <c r="C3846" s="2" t="s">
        <v>11</v>
      </c>
      <c r="D3846">
        <v>56</v>
      </c>
      <c r="E3846" s="2" t="s">
        <v>12</v>
      </c>
      <c r="F3846" s="2" t="s">
        <v>17</v>
      </c>
      <c r="G3846">
        <v>28164</v>
      </c>
      <c r="H3846" s="1">
        <v>45166</v>
      </c>
      <c r="I3846">
        <v>9</v>
      </c>
      <c r="J3846">
        <v>1</v>
      </c>
      <c r="K3846">
        <v>2816</v>
      </c>
      <c r="L3846">
        <v>1408</v>
      </c>
      <c r="M3846">
        <v>29572</v>
      </c>
      <c r="N3846">
        <v>1408</v>
      </c>
      <c r="O3846">
        <v>32388</v>
      </c>
    </row>
    <row r="3847" spans="1:15" x14ac:dyDescent="0.35">
      <c r="A3847">
        <v>3846</v>
      </c>
      <c r="B3847" s="2" t="s">
        <v>10</v>
      </c>
      <c r="C3847" s="2" t="s">
        <v>11</v>
      </c>
      <c r="D3847">
        <v>26</v>
      </c>
      <c r="E3847" s="2" t="s">
        <v>24</v>
      </c>
      <c r="F3847" s="2" t="s">
        <v>13</v>
      </c>
      <c r="G3847">
        <v>36042</v>
      </c>
      <c r="H3847" s="1">
        <v>45210</v>
      </c>
      <c r="I3847">
        <v>1</v>
      </c>
      <c r="J3847">
        <v>2</v>
      </c>
      <c r="K3847">
        <v>3604</v>
      </c>
      <c r="L3847">
        <v>1802</v>
      </c>
      <c r="M3847">
        <v>37844</v>
      </c>
      <c r="N3847">
        <v>0</v>
      </c>
      <c r="O3847">
        <v>39646</v>
      </c>
    </row>
    <row r="3848" spans="1:15" x14ac:dyDescent="0.35">
      <c r="A3848">
        <v>3847</v>
      </c>
      <c r="B3848" s="2" t="s">
        <v>20</v>
      </c>
      <c r="C3848" s="2" t="s">
        <v>11</v>
      </c>
      <c r="D3848">
        <v>53</v>
      </c>
      <c r="E3848" s="2" t="s">
        <v>12</v>
      </c>
      <c r="F3848" s="2" t="s">
        <v>25</v>
      </c>
      <c r="G3848">
        <v>46721</v>
      </c>
      <c r="H3848" s="1">
        <v>45562</v>
      </c>
      <c r="I3848">
        <v>5</v>
      </c>
      <c r="J3848">
        <v>4</v>
      </c>
      <c r="K3848">
        <v>4672</v>
      </c>
      <c r="L3848">
        <v>2336</v>
      </c>
      <c r="M3848">
        <v>49057</v>
      </c>
      <c r="N3848">
        <v>0</v>
      </c>
      <c r="O3848">
        <v>51393</v>
      </c>
    </row>
    <row r="3849" spans="1:15" x14ac:dyDescent="0.35">
      <c r="A3849">
        <v>3848</v>
      </c>
      <c r="B3849" s="2" t="s">
        <v>10</v>
      </c>
      <c r="C3849" s="2" t="s">
        <v>11</v>
      </c>
      <c r="D3849">
        <v>59</v>
      </c>
      <c r="E3849" s="2" t="s">
        <v>28</v>
      </c>
      <c r="F3849" s="2" t="s">
        <v>13</v>
      </c>
      <c r="G3849">
        <v>27761</v>
      </c>
      <c r="H3849" s="1">
        <v>45241</v>
      </c>
      <c r="I3849">
        <v>15</v>
      </c>
      <c r="J3849">
        <v>1</v>
      </c>
      <c r="K3849">
        <v>2776</v>
      </c>
      <c r="L3849">
        <v>1388</v>
      </c>
      <c r="M3849">
        <v>29149</v>
      </c>
      <c r="N3849">
        <v>1388</v>
      </c>
      <c r="O3849">
        <v>31925</v>
      </c>
    </row>
    <row r="3850" spans="1:15" x14ac:dyDescent="0.35">
      <c r="A3850">
        <v>3849</v>
      </c>
      <c r="B3850" s="2" t="s">
        <v>18</v>
      </c>
      <c r="C3850" s="2" t="s">
        <v>11</v>
      </c>
      <c r="D3850">
        <v>44</v>
      </c>
      <c r="E3850" s="2" t="s">
        <v>24</v>
      </c>
      <c r="F3850" s="2" t="s">
        <v>19</v>
      </c>
      <c r="G3850">
        <v>51647</v>
      </c>
      <c r="H3850" s="1">
        <v>44967</v>
      </c>
      <c r="I3850">
        <v>19</v>
      </c>
      <c r="J3850">
        <v>1</v>
      </c>
      <c r="K3850">
        <v>5165</v>
      </c>
      <c r="L3850">
        <v>2582</v>
      </c>
      <c r="M3850">
        <v>54230</v>
      </c>
      <c r="N3850">
        <v>2582</v>
      </c>
      <c r="O3850">
        <v>59394</v>
      </c>
    </row>
    <row r="3851" spans="1:15" x14ac:dyDescent="0.35">
      <c r="A3851">
        <v>3850</v>
      </c>
      <c r="B3851" s="2" t="s">
        <v>31</v>
      </c>
      <c r="C3851" s="2" t="s">
        <v>15</v>
      </c>
      <c r="D3851">
        <v>57</v>
      </c>
      <c r="E3851" s="2" t="s">
        <v>16</v>
      </c>
      <c r="F3851" s="2" t="s">
        <v>21</v>
      </c>
      <c r="G3851">
        <v>81080</v>
      </c>
      <c r="H3851" s="1">
        <v>44805</v>
      </c>
      <c r="I3851">
        <v>18</v>
      </c>
      <c r="J3851">
        <v>2</v>
      </c>
      <c r="K3851">
        <v>8108</v>
      </c>
      <c r="L3851">
        <v>4054</v>
      </c>
      <c r="M3851">
        <v>85134</v>
      </c>
      <c r="N3851">
        <v>4054</v>
      </c>
      <c r="O3851">
        <v>93242</v>
      </c>
    </row>
    <row r="3852" spans="1:15" x14ac:dyDescent="0.35">
      <c r="A3852">
        <v>3851</v>
      </c>
      <c r="B3852" s="2" t="s">
        <v>18</v>
      </c>
      <c r="C3852" s="2" t="s">
        <v>11</v>
      </c>
      <c r="D3852">
        <v>34</v>
      </c>
      <c r="E3852" s="2" t="s">
        <v>28</v>
      </c>
      <c r="F3852" s="2" t="s">
        <v>21</v>
      </c>
      <c r="G3852">
        <v>45285</v>
      </c>
      <c r="H3852" s="1">
        <v>45213</v>
      </c>
      <c r="I3852">
        <v>13</v>
      </c>
      <c r="J3852">
        <v>1</v>
      </c>
      <c r="K3852">
        <v>4528</v>
      </c>
      <c r="L3852">
        <v>2264</v>
      </c>
      <c r="M3852">
        <v>47549</v>
      </c>
      <c r="N3852">
        <v>2264</v>
      </c>
      <c r="O3852">
        <v>52077</v>
      </c>
    </row>
    <row r="3853" spans="1:15" x14ac:dyDescent="0.35">
      <c r="A3853">
        <v>3852</v>
      </c>
      <c r="B3853" s="2" t="s">
        <v>10</v>
      </c>
      <c r="C3853" s="2" t="s">
        <v>15</v>
      </c>
      <c r="D3853">
        <v>39</v>
      </c>
      <c r="E3853" s="2" t="s">
        <v>29</v>
      </c>
      <c r="F3853" s="2" t="s">
        <v>21</v>
      </c>
      <c r="G3853">
        <v>66070</v>
      </c>
      <c r="H3853" s="1">
        <v>44833</v>
      </c>
      <c r="I3853">
        <v>8</v>
      </c>
      <c r="J3853">
        <v>1</v>
      </c>
      <c r="K3853">
        <v>6607</v>
      </c>
      <c r="L3853">
        <v>3304</v>
      </c>
      <c r="M3853">
        <v>69373</v>
      </c>
      <c r="N3853">
        <v>3304</v>
      </c>
      <c r="O3853">
        <v>75981</v>
      </c>
    </row>
    <row r="3854" spans="1:15" x14ac:dyDescent="0.35">
      <c r="A3854">
        <v>3853</v>
      </c>
      <c r="B3854" s="2" t="s">
        <v>20</v>
      </c>
      <c r="C3854" s="2" t="s">
        <v>15</v>
      </c>
      <c r="D3854">
        <v>60</v>
      </c>
      <c r="E3854" s="2" t="s">
        <v>16</v>
      </c>
      <c r="F3854" s="2" t="s">
        <v>17</v>
      </c>
      <c r="G3854">
        <v>49837</v>
      </c>
      <c r="H3854" s="1">
        <v>45253</v>
      </c>
      <c r="I3854">
        <v>17</v>
      </c>
      <c r="J3854">
        <v>4</v>
      </c>
      <c r="K3854">
        <v>4984</v>
      </c>
      <c r="L3854">
        <v>2492</v>
      </c>
      <c r="M3854">
        <v>52329</v>
      </c>
      <c r="N3854">
        <v>2492</v>
      </c>
      <c r="O3854">
        <v>57313</v>
      </c>
    </row>
    <row r="3855" spans="1:15" x14ac:dyDescent="0.35">
      <c r="A3855">
        <v>3854</v>
      </c>
      <c r="B3855" s="2" t="s">
        <v>10</v>
      </c>
      <c r="C3855" s="2" t="s">
        <v>15</v>
      </c>
      <c r="D3855">
        <v>25</v>
      </c>
      <c r="E3855" s="2" t="s">
        <v>16</v>
      </c>
      <c r="F3855" s="2" t="s">
        <v>25</v>
      </c>
      <c r="G3855">
        <v>63127</v>
      </c>
      <c r="H3855" s="1">
        <v>45142</v>
      </c>
      <c r="I3855">
        <v>3</v>
      </c>
      <c r="J3855">
        <v>3</v>
      </c>
      <c r="K3855">
        <v>6313</v>
      </c>
      <c r="L3855">
        <v>3156</v>
      </c>
      <c r="M3855">
        <v>66284</v>
      </c>
      <c r="N3855">
        <v>0</v>
      </c>
      <c r="O3855">
        <v>69440</v>
      </c>
    </row>
    <row r="3856" spans="1:15" x14ac:dyDescent="0.35">
      <c r="A3856">
        <v>3855</v>
      </c>
      <c r="B3856" s="2" t="s">
        <v>23</v>
      </c>
      <c r="C3856" s="2" t="s">
        <v>11</v>
      </c>
      <c r="D3856">
        <v>25</v>
      </c>
      <c r="E3856" s="2" t="s">
        <v>29</v>
      </c>
      <c r="F3856" s="2" t="s">
        <v>17</v>
      </c>
      <c r="G3856">
        <v>60312</v>
      </c>
      <c r="H3856" s="1">
        <v>44682</v>
      </c>
      <c r="I3856">
        <v>15</v>
      </c>
      <c r="J3856">
        <v>4</v>
      </c>
      <c r="K3856">
        <v>6031</v>
      </c>
      <c r="L3856">
        <v>3016</v>
      </c>
      <c r="M3856">
        <v>63327</v>
      </c>
      <c r="N3856">
        <v>3016</v>
      </c>
      <c r="O3856">
        <v>69359</v>
      </c>
    </row>
    <row r="3857" spans="1:15" x14ac:dyDescent="0.35">
      <c r="A3857">
        <v>3856</v>
      </c>
      <c r="B3857" s="2" t="s">
        <v>27</v>
      </c>
      <c r="C3857" s="2" t="s">
        <v>15</v>
      </c>
      <c r="D3857">
        <v>41</v>
      </c>
      <c r="E3857" s="2" t="s">
        <v>24</v>
      </c>
      <c r="F3857" s="2" t="s">
        <v>17</v>
      </c>
      <c r="G3857">
        <v>80419</v>
      </c>
      <c r="H3857" s="1">
        <v>44688</v>
      </c>
      <c r="I3857">
        <v>15</v>
      </c>
      <c r="J3857">
        <v>5</v>
      </c>
      <c r="K3857">
        <v>8042</v>
      </c>
      <c r="L3857">
        <v>4021</v>
      </c>
      <c r="M3857">
        <v>84440</v>
      </c>
      <c r="N3857">
        <v>4021</v>
      </c>
      <c r="O3857">
        <v>92482</v>
      </c>
    </row>
    <row r="3858" spans="1:15" x14ac:dyDescent="0.35">
      <c r="A3858">
        <v>3857</v>
      </c>
      <c r="B3858" s="2" t="s">
        <v>18</v>
      </c>
      <c r="C3858" s="2" t="s">
        <v>11</v>
      </c>
      <c r="D3858">
        <v>49</v>
      </c>
      <c r="E3858" s="2" t="s">
        <v>12</v>
      </c>
      <c r="F3858" s="2" t="s">
        <v>17</v>
      </c>
      <c r="G3858">
        <v>50697</v>
      </c>
      <c r="H3858" s="1">
        <v>45154</v>
      </c>
      <c r="I3858">
        <v>4</v>
      </c>
      <c r="J3858">
        <v>5</v>
      </c>
      <c r="K3858">
        <v>5070</v>
      </c>
      <c r="L3858">
        <v>2535</v>
      </c>
      <c r="M3858">
        <v>53232</v>
      </c>
      <c r="N3858">
        <v>0</v>
      </c>
      <c r="O3858">
        <v>55767</v>
      </c>
    </row>
    <row r="3859" spans="1:15" x14ac:dyDescent="0.35">
      <c r="A3859">
        <v>3858</v>
      </c>
      <c r="B3859" s="2" t="s">
        <v>26</v>
      </c>
      <c r="C3859" s="2" t="s">
        <v>11</v>
      </c>
      <c r="D3859">
        <v>28</v>
      </c>
      <c r="E3859" s="2" t="s">
        <v>28</v>
      </c>
      <c r="F3859" s="2" t="s">
        <v>25</v>
      </c>
      <c r="G3859">
        <v>78607</v>
      </c>
      <c r="H3859" s="1">
        <v>45115</v>
      </c>
      <c r="I3859">
        <v>8</v>
      </c>
      <c r="J3859">
        <v>5</v>
      </c>
      <c r="K3859">
        <v>7861</v>
      </c>
      <c r="L3859">
        <v>3930</v>
      </c>
      <c r="M3859">
        <v>82538</v>
      </c>
      <c r="N3859">
        <v>3930</v>
      </c>
      <c r="O3859">
        <v>90398</v>
      </c>
    </row>
    <row r="3860" spans="1:15" x14ac:dyDescent="0.35">
      <c r="A3860">
        <v>3859</v>
      </c>
      <c r="B3860" s="2" t="s">
        <v>20</v>
      </c>
      <c r="C3860" s="2" t="s">
        <v>11</v>
      </c>
      <c r="D3860">
        <v>31</v>
      </c>
      <c r="E3860" s="2" t="s">
        <v>28</v>
      </c>
      <c r="F3860" s="2" t="s">
        <v>19</v>
      </c>
      <c r="G3860">
        <v>46474</v>
      </c>
      <c r="H3860" s="1">
        <v>45102</v>
      </c>
      <c r="I3860">
        <v>4</v>
      </c>
      <c r="J3860">
        <v>3</v>
      </c>
      <c r="K3860">
        <v>4647</v>
      </c>
      <c r="L3860">
        <v>2324</v>
      </c>
      <c r="M3860">
        <v>48797</v>
      </c>
      <c r="N3860">
        <v>0</v>
      </c>
      <c r="O3860">
        <v>51121</v>
      </c>
    </row>
    <row r="3861" spans="1:15" x14ac:dyDescent="0.35">
      <c r="A3861">
        <v>3860</v>
      </c>
      <c r="B3861" s="2" t="s">
        <v>14</v>
      </c>
      <c r="C3861" s="2" t="s">
        <v>11</v>
      </c>
      <c r="D3861">
        <v>51</v>
      </c>
      <c r="E3861" s="2" t="s">
        <v>12</v>
      </c>
      <c r="F3861" s="2" t="s">
        <v>19</v>
      </c>
      <c r="G3861">
        <v>84173</v>
      </c>
      <c r="H3861" s="1">
        <v>44969</v>
      </c>
      <c r="I3861">
        <v>16</v>
      </c>
      <c r="J3861">
        <v>2</v>
      </c>
      <c r="K3861">
        <v>8417</v>
      </c>
      <c r="L3861">
        <v>4209</v>
      </c>
      <c r="M3861">
        <v>88381</v>
      </c>
      <c r="N3861">
        <v>4209</v>
      </c>
      <c r="O3861">
        <v>96799</v>
      </c>
    </row>
    <row r="3862" spans="1:15" x14ac:dyDescent="0.35">
      <c r="A3862">
        <v>3861</v>
      </c>
      <c r="B3862" s="2" t="s">
        <v>30</v>
      </c>
      <c r="C3862" s="2" t="s">
        <v>11</v>
      </c>
      <c r="D3862">
        <v>53</v>
      </c>
      <c r="E3862" s="2" t="s">
        <v>29</v>
      </c>
      <c r="F3862" s="2" t="s">
        <v>21</v>
      </c>
      <c r="G3862">
        <v>98151</v>
      </c>
      <c r="H3862" s="1">
        <v>44640</v>
      </c>
      <c r="I3862">
        <v>15</v>
      </c>
      <c r="J3862">
        <v>4</v>
      </c>
      <c r="K3862">
        <v>9815</v>
      </c>
      <c r="L3862">
        <v>4908</v>
      </c>
      <c r="M3862">
        <v>103058</v>
      </c>
      <c r="N3862">
        <v>4908</v>
      </c>
      <c r="O3862">
        <v>112874</v>
      </c>
    </row>
    <row r="3863" spans="1:15" x14ac:dyDescent="0.35">
      <c r="A3863">
        <v>3862</v>
      </c>
      <c r="B3863" s="2" t="s">
        <v>31</v>
      </c>
      <c r="C3863" s="2" t="s">
        <v>11</v>
      </c>
      <c r="D3863">
        <v>26</v>
      </c>
      <c r="E3863" s="2" t="s">
        <v>16</v>
      </c>
      <c r="F3863" s="2" t="s">
        <v>17</v>
      </c>
      <c r="G3863">
        <v>67434</v>
      </c>
      <c r="H3863" s="1">
        <v>45097</v>
      </c>
      <c r="I3863">
        <v>13</v>
      </c>
      <c r="J3863">
        <v>2</v>
      </c>
      <c r="K3863">
        <v>6743</v>
      </c>
      <c r="L3863">
        <v>3372</v>
      </c>
      <c r="M3863">
        <v>70805</v>
      </c>
      <c r="N3863">
        <v>3372</v>
      </c>
      <c r="O3863">
        <v>77549</v>
      </c>
    </row>
    <row r="3864" spans="1:15" x14ac:dyDescent="0.35">
      <c r="A3864">
        <v>3863</v>
      </c>
      <c r="B3864" s="2" t="s">
        <v>31</v>
      </c>
      <c r="C3864" s="2" t="s">
        <v>11</v>
      </c>
      <c r="D3864">
        <v>49</v>
      </c>
      <c r="E3864" s="2" t="s">
        <v>12</v>
      </c>
      <c r="F3864" s="2" t="s">
        <v>17</v>
      </c>
      <c r="G3864">
        <v>45749</v>
      </c>
      <c r="H3864" s="1">
        <v>45055</v>
      </c>
      <c r="I3864">
        <v>16</v>
      </c>
      <c r="J3864">
        <v>3</v>
      </c>
      <c r="K3864">
        <v>4575</v>
      </c>
      <c r="L3864">
        <v>2287</v>
      </c>
      <c r="M3864">
        <v>48037</v>
      </c>
      <c r="N3864">
        <v>2287</v>
      </c>
      <c r="O3864">
        <v>52611</v>
      </c>
    </row>
    <row r="3865" spans="1:15" x14ac:dyDescent="0.35">
      <c r="A3865">
        <v>3864</v>
      </c>
      <c r="B3865" s="2" t="s">
        <v>27</v>
      </c>
      <c r="C3865" s="2" t="s">
        <v>15</v>
      </c>
      <c r="D3865">
        <v>44</v>
      </c>
      <c r="E3865" s="2" t="s">
        <v>29</v>
      </c>
      <c r="F3865" s="2" t="s">
        <v>25</v>
      </c>
      <c r="G3865">
        <v>31570</v>
      </c>
      <c r="H3865" s="1">
        <v>45043</v>
      </c>
      <c r="I3865">
        <v>13</v>
      </c>
      <c r="J3865">
        <v>4</v>
      </c>
      <c r="K3865">
        <v>3157</v>
      </c>
      <c r="L3865">
        <v>1578</v>
      </c>
      <c r="M3865">
        <v>33149</v>
      </c>
      <c r="N3865">
        <v>1578</v>
      </c>
      <c r="O3865">
        <v>36305</v>
      </c>
    </row>
    <row r="3866" spans="1:15" x14ac:dyDescent="0.35">
      <c r="A3866">
        <v>3865</v>
      </c>
      <c r="B3866" s="2" t="s">
        <v>31</v>
      </c>
      <c r="C3866" s="2" t="s">
        <v>11</v>
      </c>
      <c r="D3866">
        <v>21</v>
      </c>
      <c r="E3866" s="2" t="s">
        <v>24</v>
      </c>
      <c r="F3866" s="2" t="s">
        <v>21</v>
      </c>
      <c r="G3866">
        <v>86053</v>
      </c>
      <c r="H3866" s="1">
        <v>45115</v>
      </c>
      <c r="I3866">
        <v>6</v>
      </c>
      <c r="J3866">
        <v>3</v>
      </c>
      <c r="K3866">
        <v>8605</v>
      </c>
      <c r="L3866">
        <v>4303</v>
      </c>
      <c r="M3866">
        <v>90355</v>
      </c>
      <c r="N3866">
        <v>4303</v>
      </c>
      <c r="O3866">
        <v>98961</v>
      </c>
    </row>
    <row r="3867" spans="1:15" x14ac:dyDescent="0.35">
      <c r="A3867">
        <v>3866</v>
      </c>
      <c r="B3867" s="2" t="s">
        <v>27</v>
      </c>
      <c r="C3867" s="2" t="s">
        <v>15</v>
      </c>
      <c r="D3867">
        <v>42</v>
      </c>
      <c r="E3867" s="2" t="s">
        <v>24</v>
      </c>
      <c r="F3867" s="2" t="s">
        <v>13</v>
      </c>
      <c r="G3867">
        <v>48648</v>
      </c>
      <c r="H3867" s="1">
        <v>45409</v>
      </c>
      <c r="I3867">
        <v>12</v>
      </c>
      <c r="J3867">
        <v>5</v>
      </c>
      <c r="K3867">
        <v>4865</v>
      </c>
      <c r="L3867">
        <v>2432</v>
      </c>
      <c r="M3867">
        <v>51081</v>
      </c>
      <c r="N3867">
        <v>2432</v>
      </c>
      <c r="O3867">
        <v>55945</v>
      </c>
    </row>
    <row r="3868" spans="1:15" x14ac:dyDescent="0.35">
      <c r="A3868">
        <v>3867</v>
      </c>
      <c r="B3868" s="2" t="s">
        <v>26</v>
      </c>
      <c r="C3868" s="2" t="s">
        <v>11</v>
      </c>
      <c r="D3868">
        <v>35</v>
      </c>
      <c r="E3868" s="2" t="s">
        <v>24</v>
      </c>
      <c r="F3868" s="2" t="s">
        <v>17</v>
      </c>
      <c r="G3868">
        <v>66450</v>
      </c>
      <c r="H3868" s="1">
        <v>44806</v>
      </c>
      <c r="I3868">
        <v>8</v>
      </c>
      <c r="J3868">
        <v>3</v>
      </c>
      <c r="K3868">
        <v>6645</v>
      </c>
      <c r="L3868">
        <v>3322</v>
      </c>
      <c r="M3868">
        <v>69773</v>
      </c>
      <c r="N3868">
        <v>3322</v>
      </c>
      <c r="O3868">
        <v>76417</v>
      </c>
    </row>
    <row r="3869" spans="1:15" x14ac:dyDescent="0.35">
      <c r="A3869">
        <v>3868</v>
      </c>
      <c r="B3869" s="2" t="s">
        <v>27</v>
      </c>
      <c r="C3869" s="2" t="s">
        <v>11</v>
      </c>
      <c r="D3869">
        <v>47</v>
      </c>
      <c r="E3869" s="2" t="s">
        <v>29</v>
      </c>
      <c r="F3869" s="2" t="s">
        <v>21</v>
      </c>
      <c r="G3869">
        <v>71255</v>
      </c>
      <c r="H3869" s="1">
        <v>44590</v>
      </c>
      <c r="I3869">
        <v>7</v>
      </c>
      <c r="J3869">
        <v>3</v>
      </c>
      <c r="K3869">
        <v>7126</v>
      </c>
      <c r="L3869">
        <v>3563</v>
      </c>
      <c r="M3869">
        <v>74818</v>
      </c>
      <c r="N3869">
        <v>3563</v>
      </c>
      <c r="O3869">
        <v>81944</v>
      </c>
    </row>
    <row r="3870" spans="1:15" x14ac:dyDescent="0.35">
      <c r="A3870">
        <v>3869</v>
      </c>
      <c r="B3870" s="2" t="s">
        <v>23</v>
      </c>
      <c r="C3870" s="2" t="s">
        <v>11</v>
      </c>
      <c r="D3870">
        <v>50</v>
      </c>
      <c r="E3870" s="2" t="s">
        <v>29</v>
      </c>
      <c r="F3870" s="2" t="s">
        <v>13</v>
      </c>
      <c r="G3870">
        <v>85867</v>
      </c>
      <c r="H3870" s="1">
        <v>45160</v>
      </c>
      <c r="I3870">
        <v>8</v>
      </c>
      <c r="J3870">
        <v>5</v>
      </c>
      <c r="K3870">
        <v>8587</v>
      </c>
      <c r="L3870">
        <v>4293</v>
      </c>
      <c r="M3870">
        <v>90161</v>
      </c>
      <c r="N3870">
        <v>4293</v>
      </c>
      <c r="O3870">
        <v>98747</v>
      </c>
    </row>
    <row r="3871" spans="1:15" x14ac:dyDescent="0.35">
      <c r="A3871">
        <v>3870</v>
      </c>
      <c r="B3871" s="2" t="s">
        <v>14</v>
      </c>
      <c r="C3871" s="2" t="s">
        <v>11</v>
      </c>
      <c r="D3871">
        <v>44</v>
      </c>
      <c r="E3871" s="2" t="s">
        <v>28</v>
      </c>
      <c r="F3871" s="2" t="s">
        <v>13</v>
      </c>
      <c r="G3871">
        <v>82453</v>
      </c>
      <c r="H3871" s="1">
        <v>45555</v>
      </c>
      <c r="I3871">
        <v>6</v>
      </c>
      <c r="J3871">
        <v>4</v>
      </c>
      <c r="K3871">
        <v>8245</v>
      </c>
      <c r="L3871">
        <v>4123</v>
      </c>
      <c r="M3871">
        <v>86575</v>
      </c>
      <c r="N3871">
        <v>4123</v>
      </c>
      <c r="O3871">
        <v>94821</v>
      </c>
    </row>
    <row r="3872" spans="1:15" x14ac:dyDescent="0.35">
      <c r="A3872">
        <v>3871</v>
      </c>
      <c r="B3872" s="2" t="s">
        <v>27</v>
      </c>
      <c r="C3872" s="2" t="s">
        <v>11</v>
      </c>
      <c r="D3872">
        <v>21</v>
      </c>
      <c r="E3872" s="2" t="s">
        <v>24</v>
      </c>
      <c r="F3872" s="2" t="s">
        <v>19</v>
      </c>
      <c r="G3872">
        <v>32036</v>
      </c>
      <c r="H3872" s="1">
        <v>45532</v>
      </c>
      <c r="I3872">
        <v>12</v>
      </c>
      <c r="J3872">
        <v>2</v>
      </c>
      <c r="K3872">
        <v>3204</v>
      </c>
      <c r="L3872">
        <v>1602</v>
      </c>
      <c r="M3872">
        <v>33638</v>
      </c>
      <c r="N3872">
        <v>1602</v>
      </c>
      <c r="O3872">
        <v>36842</v>
      </c>
    </row>
    <row r="3873" spans="1:15" x14ac:dyDescent="0.35">
      <c r="A3873">
        <v>3872</v>
      </c>
      <c r="B3873" s="2" t="s">
        <v>22</v>
      </c>
      <c r="C3873" s="2" t="s">
        <v>11</v>
      </c>
      <c r="D3873">
        <v>45</v>
      </c>
      <c r="E3873" s="2" t="s">
        <v>29</v>
      </c>
      <c r="F3873" s="2" t="s">
        <v>13</v>
      </c>
      <c r="G3873">
        <v>97028</v>
      </c>
      <c r="H3873" s="1">
        <v>45102</v>
      </c>
      <c r="I3873">
        <v>9</v>
      </c>
      <c r="J3873">
        <v>4</v>
      </c>
      <c r="K3873">
        <v>9703</v>
      </c>
      <c r="L3873">
        <v>4851</v>
      </c>
      <c r="M3873">
        <v>101880</v>
      </c>
      <c r="N3873">
        <v>4851</v>
      </c>
      <c r="O3873">
        <v>111582</v>
      </c>
    </row>
    <row r="3874" spans="1:15" x14ac:dyDescent="0.35">
      <c r="A3874">
        <v>3873</v>
      </c>
      <c r="B3874" s="2" t="s">
        <v>26</v>
      </c>
      <c r="C3874" s="2" t="s">
        <v>11</v>
      </c>
      <c r="D3874">
        <v>25</v>
      </c>
      <c r="E3874" s="2" t="s">
        <v>24</v>
      </c>
      <c r="F3874" s="2" t="s">
        <v>21</v>
      </c>
      <c r="G3874">
        <v>38658</v>
      </c>
      <c r="H3874" s="1">
        <v>45417</v>
      </c>
      <c r="I3874">
        <v>14</v>
      </c>
      <c r="J3874">
        <v>4</v>
      </c>
      <c r="K3874">
        <v>3866</v>
      </c>
      <c r="L3874">
        <v>1933</v>
      </c>
      <c r="M3874">
        <v>40591</v>
      </c>
      <c r="N3874">
        <v>1933</v>
      </c>
      <c r="O3874">
        <v>44457</v>
      </c>
    </row>
    <row r="3875" spans="1:15" x14ac:dyDescent="0.35">
      <c r="A3875">
        <v>3874</v>
      </c>
      <c r="B3875" s="2" t="s">
        <v>30</v>
      </c>
      <c r="C3875" s="2" t="s">
        <v>11</v>
      </c>
      <c r="D3875">
        <v>22</v>
      </c>
      <c r="E3875" s="2" t="s">
        <v>12</v>
      </c>
      <c r="F3875" s="2" t="s">
        <v>17</v>
      </c>
      <c r="G3875">
        <v>75055</v>
      </c>
      <c r="H3875" s="1">
        <v>44780</v>
      </c>
      <c r="I3875">
        <v>1</v>
      </c>
      <c r="J3875">
        <v>1</v>
      </c>
      <c r="K3875">
        <v>7506</v>
      </c>
      <c r="L3875">
        <v>3753</v>
      </c>
      <c r="M3875">
        <v>78808</v>
      </c>
      <c r="N3875">
        <v>0</v>
      </c>
      <c r="O3875">
        <v>82561</v>
      </c>
    </row>
    <row r="3876" spans="1:15" x14ac:dyDescent="0.35">
      <c r="A3876">
        <v>3875</v>
      </c>
      <c r="B3876" s="2" t="s">
        <v>26</v>
      </c>
      <c r="C3876" s="2" t="s">
        <v>15</v>
      </c>
      <c r="D3876">
        <v>46</v>
      </c>
      <c r="E3876" s="2" t="s">
        <v>12</v>
      </c>
      <c r="F3876" s="2" t="s">
        <v>19</v>
      </c>
      <c r="G3876">
        <v>69422</v>
      </c>
      <c r="H3876" s="1">
        <v>45198</v>
      </c>
      <c r="I3876">
        <v>20</v>
      </c>
      <c r="J3876">
        <v>4</v>
      </c>
      <c r="K3876">
        <v>6942</v>
      </c>
      <c r="L3876">
        <v>3471</v>
      </c>
      <c r="M3876">
        <v>72893</v>
      </c>
      <c r="N3876">
        <v>3471</v>
      </c>
      <c r="O3876">
        <v>79835</v>
      </c>
    </row>
    <row r="3877" spans="1:15" x14ac:dyDescent="0.35">
      <c r="A3877">
        <v>3876</v>
      </c>
      <c r="B3877" s="2" t="s">
        <v>18</v>
      </c>
      <c r="C3877" s="2" t="s">
        <v>11</v>
      </c>
      <c r="D3877">
        <v>30</v>
      </c>
      <c r="E3877" s="2" t="s">
        <v>12</v>
      </c>
      <c r="F3877" s="2" t="s">
        <v>25</v>
      </c>
      <c r="G3877">
        <v>52861</v>
      </c>
      <c r="H3877" s="1">
        <v>45480</v>
      </c>
      <c r="I3877">
        <v>10</v>
      </c>
      <c r="J3877">
        <v>2</v>
      </c>
      <c r="K3877">
        <v>5286</v>
      </c>
      <c r="L3877">
        <v>2643</v>
      </c>
      <c r="M3877">
        <v>55504</v>
      </c>
      <c r="N3877">
        <v>2643</v>
      </c>
      <c r="O3877">
        <v>60790</v>
      </c>
    </row>
    <row r="3878" spans="1:15" x14ac:dyDescent="0.35">
      <c r="A3878">
        <v>3877</v>
      </c>
      <c r="B3878" s="2" t="s">
        <v>18</v>
      </c>
      <c r="C3878" s="2" t="s">
        <v>11</v>
      </c>
      <c r="D3878">
        <v>54</v>
      </c>
      <c r="E3878" s="2" t="s">
        <v>28</v>
      </c>
      <c r="F3878" s="2" t="s">
        <v>21</v>
      </c>
      <c r="G3878">
        <v>70561</v>
      </c>
      <c r="H3878" s="1">
        <v>44888</v>
      </c>
      <c r="I3878">
        <v>2</v>
      </c>
      <c r="J3878">
        <v>5</v>
      </c>
      <c r="K3878">
        <v>7056</v>
      </c>
      <c r="L3878">
        <v>3528</v>
      </c>
      <c r="M3878">
        <v>74089</v>
      </c>
      <c r="N3878">
        <v>0</v>
      </c>
      <c r="O3878">
        <v>77617</v>
      </c>
    </row>
    <row r="3879" spans="1:15" x14ac:dyDescent="0.35">
      <c r="A3879">
        <v>3878</v>
      </c>
      <c r="B3879" s="2" t="s">
        <v>31</v>
      </c>
      <c r="C3879" s="2" t="s">
        <v>15</v>
      </c>
      <c r="D3879">
        <v>40</v>
      </c>
      <c r="E3879" s="2" t="s">
        <v>24</v>
      </c>
      <c r="F3879" s="2" t="s">
        <v>21</v>
      </c>
      <c r="G3879">
        <v>74944</v>
      </c>
      <c r="H3879" s="1">
        <v>44577</v>
      </c>
      <c r="I3879">
        <v>18</v>
      </c>
      <c r="J3879">
        <v>4</v>
      </c>
      <c r="K3879">
        <v>7494</v>
      </c>
      <c r="L3879">
        <v>3747</v>
      </c>
      <c r="M3879">
        <v>78691</v>
      </c>
      <c r="N3879">
        <v>3747</v>
      </c>
      <c r="O3879">
        <v>86185</v>
      </c>
    </row>
    <row r="3880" spans="1:15" x14ac:dyDescent="0.35">
      <c r="A3880">
        <v>3879</v>
      </c>
      <c r="B3880" s="2" t="s">
        <v>30</v>
      </c>
      <c r="C3880" s="2" t="s">
        <v>11</v>
      </c>
      <c r="D3880">
        <v>25</v>
      </c>
      <c r="E3880" s="2" t="s">
        <v>12</v>
      </c>
      <c r="F3880" s="2" t="s">
        <v>17</v>
      </c>
      <c r="G3880">
        <v>99201</v>
      </c>
      <c r="H3880" s="1">
        <v>44955</v>
      </c>
      <c r="I3880">
        <v>9</v>
      </c>
      <c r="J3880">
        <v>1</v>
      </c>
      <c r="K3880">
        <v>9920</v>
      </c>
      <c r="L3880">
        <v>4960</v>
      </c>
      <c r="M3880">
        <v>104161</v>
      </c>
      <c r="N3880">
        <v>4960</v>
      </c>
      <c r="O3880">
        <v>114081</v>
      </c>
    </row>
    <row r="3881" spans="1:15" x14ac:dyDescent="0.35">
      <c r="A3881">
        <v>3880</v>
      </c>
      <c r="B3881" s="2" t="s">
        <v>18</v>
      </c>
      <c r="C3881" s="2" t="s">
        <v>15</v>
      </c>
      <c r="D3881">
        <v>60</v>
      </c>
      <c r="E3881" s="2" t="s">
        <v>12</v>
      </c>
      <c r="F3881" s="2" t="s">
        <v>21</v>
      </c>
      <c r="G3881">
        <v>70664</v>
      </c>
      <c r="H3881" s="1">
        <v>45132</v>
      </c>
      <c r="I3881">
        <v>10</v>
      </c>
      <c r="J3881">
        <v>2</v>
      </c>
      <c r="K3881">
        <v>7066</v>
      </c>
      <c r="L3881">
        <v>3533</v>
      </c>
      <c r="M3881">
        <v>74197</v>
      </c>
      <c r="N3881">
        <v>3533</v>
      </c>
      <c r="O3881">
        <v>81263</v>
      </c>
    </row>
    <row r="3882" spans="1:15" x14ac:dyDescent="0.35">
      <c r="A3882">
        <v>3881</v>
      </c>
      <c r="B3882" s="2" t="s">
        <v>20</v>
      </c>
      <c r="C3882" s="2" t="s">
        <v>11</v>
      </c>
      <c r="D3882">
        <v>51</v>
      </c>
      <c r="E3882" s="2" t="s">
        <v>29</v>
      </c>
      <c r="F3882" s="2" t="s">
        <v>19</v>
      </c>
      <c r="G3882">
        <v>52718</v>
      </c>
      <c r="H3882" s="1">
        <v>44615</v>
      </c>
      <c r="I3882">
        <v>1</v>
      </c>
      <c r="J3882">
        <v>1</v>
      </c>
      <c r="K3882">
        <v>5272</v>
      </c>
      <c r="L3882">
        <v>2636</v>
      </c>
      <c r="M3882">
        <v>55354</v>
      </c>
      <c r="N3882">
        <v>0</v>
      </c>
      <c r="O3882">
        <v>57990</v>
      </c>
    </row>
    <row r="3883" spans="1:15" x14ac:dyDescent="0.35">
      <c r="A3883">
        <v>3882</v>
      </c>
      <c r="B3883" s="2" t="s">
        <v>23</v>
      </c>
      <c r="C3883" s="2" t="s">
        <v>15</v>
      </c>
      <c r="D3883">
        <v>25</v>
      </c>
      <c r="E3883" s="2" t="s">
        <v>24</v>
      </c>
      <c r="F3883" s="2" t="s">
        <v>13</v>
      </c>
      <c r="G3883">
        <v>62898</v>
      </c>
      <c r="H3883" s="1">
        <v>44850</v>
      </c>
      <c r="I3883">
        <v>10</v>
      </c>
      <c r="J3883">
        <v>3</v>
      </c>
      <c r="K3883">
        <v>6290</v>
      </c>
      <c r="L3883">
        <v>3145</v>
      </c>
      <c r="M3883">
        <v>66043</v>
      </c>
      <c r="N3883">
        <v>3145</v>
      </c>
      <c r="O3883">
        <v>72333</v>
      </c>
    </row>
    <row r="3884" spans="1:15" x14ac:dyDescent="0.35">
      <c r="A3884">
        <v>3883</v>
      </c>
      <c r="B3884" s="2" t="s">
        <v>18</v>
      </c>
      <c r="C3884" s="2" t="s">
        <v>15</v>
      </c>
      <c r="D3884">
        <v>46</v>
      </c>
      <c r="E3884" s="2" t="s">
        <v>12</v>
      </c>
      <c r="F3884" s="2" t="s">
        <v>21</v>
      </c>
      <c r="G3884">
        <v>89835</v>
      </c>
      <c r="H3884" s="1">
        <v>44665</v>
      </c>
      <c r="I3884">
        <v>12</v>
      </c>
      <c r="J3884">
        <v>3</v>
      </c>
      <c r="K3884">
        <v>8984</v>
      </c>
      <c r="L3884">
        <v>4492</v>
      </c>
      <c r="M3884">
        <v>94327</v>
      </c>
      <c r="N3884">
        <v>4492</v>
      </c>
      <c r="O3884">
        <v>103311</v>
      </c>
    </row>
    <row r="3885" spans="1:15" x14ac:dyDescent="0.35">
      <c r="A3885">
        <v>3884</v>
      </c>
      <c r="B3885" s="2" t="s">
        <v>22</v>
      </c>
      <c r="C3885" s="2" t="s">
        <v>15</v>
      </c>
      <c r="D3885">
        <v>46</v>
      </c>
      <c r="E3885" s="2" t="s">
        <v>29</v>
      </c>
      <c r="F3885" s="2" t="s">
        <v>25</v>
      </c>
      <c r="G3885">
        <v>51724</v>
      </c>
      <c r="H3885" s="1">
        <v>44879</v>
      </c>
      <c r="I3885">
        <v>14</v>
      </c>
      <c r="J3885">
        <v>4</v>
      </c>
      <c r="K3885">
        <v>5172</v>
      </c>
      <c r="L3885">
        <v>2586</v>
      </c>
      <c r="M3885">
        <v>54310</v>
      </c>
      <c r="N3885">
        <v>2586</v>
      </c>
      <c r="O3885">
        <v>59482</v>
      </c>
    </row>
    <row r="3886" spans="1:15" x14ac:dyDescent="0.35">
      <c r="A3886">
        <v>3885</v>
      </c>
      <c r="B3886" s="2" t="s">
        <v>31</v>
      </c>
      <c r="C3886" s="2" t="s">
        <v>15</v>
      </c>
      <c r="D3886">
        <v>52</v>
      </c>
      <c r="E3886" s="2" t="s">
        <v>29</v>
      </c>
      <c r="F3886" s="2" t="s">
        <v>13</v>
      </c>
      <c r="G3886">
        <v>32858</v>
      </c>
      <c r="H3886" s="1">
        <v>44715</v>
      </c>
      <c r="I3886">
        <v>15</v>
      </c>
      <c r="J3886">
        <v>1</v>
      </c>
      <c r="K3886">
        <v>3286</v>
      </c>
      <c r="L3886">
        <v>1643</v>
      </c>
      <c r="M3886">
        <v>34501</v>
      </c>
      <c r="N3886">
        <v>1643</v>
      </c>
      <c r="O3886">
        <v>37787</v>
      </c>
    </row>
    <row r="3887" spans="1:15" x14ac:dyDescent="0.35">
      <c r="A3887">
        <v>3886</v>
      </c>
      <c r="B3887" s="2" t="s">
        <v>31</v>
      </c>
      <c r="C3887" s="2" t="s">
        <v>11</v>
      </c>
      <c r="D3887">
        <v>49</v>
      </c>
      <c r="E3887" s="2" t="s">
        <v>29</v>
      </c>
      <c r="F3887" s="2" t="s">
        <v>17</v>
      </c>
      <c r="G3887">
        <v>37032</v>
      </c>
      <c r="H3887" s="1">
        <v>45170</v>
      </c>
      <c r="I3887">
        <v>17</v>
      </c>
      <c r="J3887">
        <v>2</v>
      </c>
      <c r="K3887">
        <v>3703</v>
      </c>
      <c r="L3887">
        <v>1852</v>
      </c>
      <c r="M3887">
        <v>38883</v>
      </c>
      <c r="N3887">
        <v>1852</v>
      </c>
      <c r="O3887">
        <v>42587</v>
      </c>
    </row>
    <row r="3888" spans="1:15" x14ac:dyDescent="0.35">
      <c r="A3888">
        <v>3887</v>
      </c>
      <c r="B3888" s="2" t="s">
        <v>14</v>
      </c>
      <c r="C3888" s="2" t="s">
        <v>15</v>
      </c>
      <c r="D3888">
        <v>29</v>
      </c>
      <c r="E3888" s="2" t="s">
        <v>24</v>
      </c>
      <c r="F3888" s="2" t="s">
        <v>21</v>
      </c>
      <c r="G3888">
        <v>60567</v>
      </c>
      <c r="H3888" s="1">
        <v>44798</v>
      </c>
      <c r="I3888">
        <v>12</v>
      </c>
      <c r="J3888">
        <v>3</v>
      </c>
      <c r="K3888">
        <v>6057</v>
      </c>
      <c r="L3888">
        <v>3028</v>
      </c>
      <c r="M3888">
        <v>63596</v>
      </c>
      <c r="N3888">
        <v>3028</v>
      </c>
      <c r="O3888">
        <v>69652</v>
      </c>
    </row>
    <row r="3889" spans="1:15" x14ac:dyDescent="0.35">
      <c r="A3889">
        <v>3888</v>
      </c>
      <c r="B3889" s="2" t="s">
        <v>26</v>
      </c>
      <c r="C3889" s="2" t="s">
        <v>15</v>
      </c>
      <c r="D3889">
        <v>37</v>
      </c>
      <c r="E3889" s="2" t="s">
        <v>12</v>
      </c>
      <c r="F3889" s="2" t="s">
        <v>13</v>
      </c>
      <c r="G3889">
        <v>23388</v>
      </c>
      <c r="H3889" s="1">
        <v>45168</v>
      </c>
      <c r="I3889">
        <v>8</v>
      </c>
      <c r="J3889">
        <v>2</v>
      </c>
      <c r="K3889">
        <v>2339</v>
      </c>
      <c r="L3889">
        <v>1169</v>
      </c>
      <c r="M3889">
        <v>24558</v>
      </c>
      <c r="N3889">
        <v>1169</v>
      </c>
      <c r="O3889">
        <v>26896</v>
      </c>
    </row>
    <row r="3890" spans="1:15" x14ac:dyDescent="0.35">
      <c r="A3890">
        <v>3889</v>
      </c>
      <c r="B3890" s="2" t="s">
        <v>22</v>
      </c>
      <c r="C3890" s="2" t="s">
        <v>11</v>
      </c>
      <c r="D3890">
        <v>46</v>
      </c>
      <c r="E3890" s="2" t="s">
        <v>16</v>
      </c>
      <c r="F3890" s="2" t="s">
        <v>21</v>
      </c>
      <c r="G3890">
        <v>79038</v>
      </c>
      <c r="H3890" s="1">
        <v>44610</v>
      </c>
      <c r="I3890">
        <v>10</v>
      </c>
      <c r="J3890">
        <v>4</v>
      </c>
      <c r="K3890">
        <v>7904</v>
      </c>
      <c r="L3890">
        <v>3952</v>
      </c>
      <c r="M3890">
        <v>82990</v>
      </c>
      <c r="N3890">
        <v>3952</v>
      </c>
      <c r="O3890">
        <v>90894</v>
      </c>
    </row>
    <row r="3891" spans="1:15" x14ac:dyDescent="0.35">
      <c r="A3891">
        <v>3890</v>
      </c>
      <c r="B3891" s="2" t="s">
        <v>10</v>
      </c>
      <c r="C3891" s="2" t="s">
        <v>15</v>
      </c>
      <c r="D3891">
        <v>55</v>
      </c>
      <c r="E3891" s="2" t="s">
        <v>24</v>
      </c>
      <c r="F3891" s="2" t="s">
        <v>17</v>
      </c>
      <c r="G3891">
        <v>58879</v>
      </c>
      <c r="H3891" s="1">
        <v>45179</v>
      </c>
      <c r="I3891">
        <v>11</v>
      </c>
      <c r="J3891">
        <v>2</v>
      </c>
      <c r="K3891">
        <v>5888</v>
      </c>
      <c r="L3891">
        <v>2944</v>
      </c>
      <c r="M3891">
        <v>61823</v>
      </c>
      <c r="N3891">
        <v>2944</v>
      </c>
      <c r="O3891">
        <v>67711</v>
      </c>
    </row>
    <row r="3892" spans="1:15" x14ac:dyDescent="0.35">
      <c r="A3892">
        <v>3891</v>
      </c>
      <c r="B3892" s="2" t="s">
        <v>26</v>
      </c>
      <c r="C3892" s="2" t="s">
        <v>15</v>
      </c>
      <c r="D3892">
        <v>41</v>
      </c>
      <c r="E3892" s="2" t="s">
        <v>16</v>
      </c>
      <c r="F3892" s="2" t="s">
        <v>13</v>
      </c>
      <c r="G3892">
        <v>63665</v>
      </c>
      <c r="H3892" s="1">
        <v>45404</v>
      </c>
      <c r="I3892">
        <v>16</v>
      </c>
      <c r="J3892">
        <v>5</v>
      </c>
      <c r="K3892">
        <v>6366</v>
      </c>
      <c r="L3892">
        <v>3183</v>
      </c>
      <c r="M3892">
        <v>66848</v>
      </c>
      <c r="N3892">
        <v>3183</v>
      </c>
      <c r="O3892">
        <v>73214</v>
      </c>
    </row>
    <row r="3893" spans="1:15" x14ac:dyDescent="0.35">
      <c r="A3893">
        <v>3892</v>
      </c>
      <c r="B3893" s="2" t="s">
        <v>18</v>
      </c>
      <c r="C3893" s="2" t="s">
        <v>15</v>
      </c>
      <c r="D3893">
        <v>22</v>
      </c>
      <c r="E3893" s="2" t="s">
        <v>12</v>
      </c>
      <c r="F3893" s="2" t="s">
        <v>25</v>
      </c>
      <c r="G3893">
        <v>21467</v>
      </c>
      <c r="H3893" s="1">
        <v>45111</v>
      </c>
      <c r="I3893">
        <v>12</v>
      </c>
      <c r="J3893">
        <v>4</v>
      </c>
      <c r="K3893">
        <v>2147</v>
      </c>
      <c r="L3893">
        <v>1073</v>
      </c>
      <c r="M3893">
        <v>22541</v>
      </c>
      <c r="N3893">
        <v>1073</v>
      </c>
      <c r="O3893">
        <v>24687</v>
      </c>
    </row>
    <row r="3894" spans="1:15" x14ac:dyDescent="0.35">
      <c r="A3894">
        <v>3893</v>
      </c>
      <c r="B3894" s="2" t="s">
        <v>14</v>
      </c>
      <c r="C3894" s="2" t="s">
        <v>11</v>
      </c>
      <c r="D3894">
        <v>38</v>
      </c>
      <c r="E3894" s="2" t="s">
        <v>16</v>
      </c>
      <c r="F3894" s="2" t="s">
        <v>25</v>
      </c>
      <c r="G3894">
        <v>88488</v>
      </c>
      <c r="H3894" s="1">
        <v>44608</v>
      </c>
      <c r="I3894">
        <v>20</v>
      </c>
      <c r="J3894">
        <v>3</v>
      </c>
      <c r="K3894">
        <v>8849</v>
      </c>
      <c r="L3894">
        <v>4424</v>
      </c>
      <c r="M3894">
        <v>92913</v>
      </c>
      <c r="N3894">
        <v>4424</v>
      </c>
      <c r="O3894">
        <v>101761</v>
      </c>
    </row>
    <row r="3895" spans="1:15" x14ac:dyDescent="0.35">
      <c r="A3895">
        <v>3894</v>
      </c>
      <c r="B3895" s="2" t="s">
        <v>31</v>
      </c>
      <c r="C3895" s="2" t="s">
        <v>15</v>
      </c>
      <c r="D3895">
        <v>47</v>
      </c>
      <c r="E3895" s="2" t="s">
        <v>28</v>
      </c>
      <c r="F3895" s="2" t="s">
        <v>21</v>
      </c>
      <c r="G3895">
        <v>91526</v>
      </c>
      <c r="H3895" s="1">
        <v>45115</v>
      </c>
      <c r="I3895">
        <v>1</v>
      </c>
      <c r="J3895">
        <v>1</v>
      </c>
      <c r="K3895">
        <v>9153</v>
      </c>
      <c r="L3895">
        <v>4576</v>
      </c>
      <c r="M3895">
        <v>96103</v>
      </c>
      <c r="N3895">
        <v>0</v>
      </c>
      <c r="O3895">
        <v>100679</v>
      </c>
    </row>
    <row r="3896" spans="1:15" x14ac:dyDescent="0.35">
      <c r="A3896">
        <v>3895</v>
      </c>
      <c r="B3896" s="2" t="s">
        <v>31</v>
      </c>
      <c r="C3896" s="2" t="s">
        <v>15</v>
      </c>
      <c r="D3896">
        <v>50</v>
      </c>
      <c r="E3896" s="2" t="s">
        <v>28</v>
      </c>
      <c r="F3896" s="2" t="s">
        <v>19</v>
      </c>
      <c r="G3896">
        <v>35857</v>
      </c>
      <c r="H3896" s="1">
        <v>45175</v>
      </c>
      <c r="I3896">
        <v>17</v>
      </c>
      <c r="J3896">
        <v>3</v>
      </c>
      <c r="K3896">
        <v>3586</v>
      </c>
      <c r="L3896">
        <v>1793</v>
      </c>
      <c r="M3896">
        <v>37650</v>
      </c>
      <c r="N3896">
        <v>1793</v>
      </c>
      <c r="O3896">
        <v>41236</v>
      </c>
    </row>
    <row r="3897" spans="1:15" x14ac:dyDescent="0.35">
      <c r="A3897">
        <v>3896</v>
      </c>
      <c r="B3897" s="2" t="s">
        <v>10</v>
      </c>
      <c r="C3897" s="2" t="s">
        <v>15</v>
      </c>
      <c r="D3897">
        <v>29</v>
      </c>
      <c r="E3897" s="2" t="s">
        <v>28</v>
      </c>
      <c r="F3897" s="2" t="s">
        <v>19</v>
      </c>
      <c r="G3897">
        <v>31667</v>
      </c>
      <c r="H3897" s="1">
        <v>45374</v>
      </c>
      <c r="I3897">
        <v>3</v>
      </c>
      <c r="J3897">
        <v>3</v>
      </c>
      <c r="K3897">
        <v>3167</v>
      </c>
      <c r="L3897">
        <v>1583</v>
      </c>
      <c r="M3897">
        <v>33251</v>
      </c>
      <c r="N3897">
        <v>0</v>
      </c>
      <c r="O3897">
        <v>34834</v>
      </c>
    </row>
    <row r="3898" spans="1:15" x14ac:dyDescent="0.35">
      <c r="A3898">
        <v>3897</v>
      </c>
      <c r="B3898" s="2" t="s">
        <v>23</v>
      </c>
      <c r="C3898" s="2" t="s">
        <v>11</v>
      </c>
      <c r="D3898">
        <v>25</v>
      </c>
      <c r="E3898" s="2" t="s">
        <v>16</v>
      </c>
      <c r="F3898" s="2" t="s">
        <v>13</v>
      </c>
      <c r="G3898">
        <v>99316</v>
      </c>
      <c r="H3898" s="1">
        <v>45508</v>
      </c>
      <c r="I3898">
        <v>8</v>
      </c>
      <c r="J3898">
        <v>1</v>
      </c>
      <c r="K3898">
        <v>9932</v>
      </c>
      <c r="L3898">
        <v>4966</v>
      </c>
      <c r="M3898">
        <v>104282</v>
      </c>
      <c r="N3898">
        <v>4966</v>
      </c>
      <c r="O3898">
        <v>114214</v>
      </c>
    </row>
    <row r="3899" spans="1:15" x14ac:dyDescent="0.35">
      <c r="A3899">
        <v>3898</v>
      </c>
      <c r="B3899" s="2" t="s">
        <v>14</v>
      </c>
      <c r="C3899" s="2" t="s">
        <v>15</v>
      </c>
      <c r="D3899">
        <v>23</v>
      </c>
      <c r="E3899" s="2" t="s">
        <v>16</v>
      </c>
      <c r="F3899" s="2" t="s">
        <v>13</v>
      </c>
      <c r="G3899">
        <v>74463</v>
      </c>
      <c r="H3899" s="1">
        <v>45381</v>
      </c>
      <c r="I3899">
        <v>1</v>
      </c>
      <c r="J3899">
        <v>4</v>
      </c>
      <c r="K3899">
        <v>7446</v>
      </c>
      <c r="L3899">
        <v>3723</v>
      </c>
      <c r="M3899">
        <v>78186</v>
      </c>
      <c r="N3899">
        <v>0</v>
      </c>
      <c r="O3899">
        <v>81909</v>
      </c>
    </row>
    <row r="3900" spans="1:15" x14ac:dyDescent="0.35">
      <c r="A3900">
        <v>3899</v>
      </c>
      <c r="B3900" s="2" t="s">
        <v>30</v>
      </c>
      <c r="C3900" s="2" t="s">
        <v>15</v>
      </c>
      <c r="D3900">
        <v>51</v>
      </c>
      <c r="E3900" s="2" t="s">
        <v>12</v>
      </c>
      <c r="F3900" s="2" t="s">
        <v>21</v>
      </c>
      <c r="G3900">
        <v>34502</v>
      </c>
      <c r="H3900" s="1">
        <v>45209</v>
      </c>
      <c r="I3900">
        <v>17</v>
      </c>
      <c r="J3900">
        <v>1</v>
      </c>
      <c r="K3900">
        <v>3450</v>
      </c>
      <c r="L3900">
        <v>1725</v>
      </c>
      <c r="M3900">
        <v>36227</v>
      </c>
      <c r="N3900">
        <v>1725</v>
      </c>
      <c r="O3900">
        <v>39677</v>
      </c>
    </row>
    <row r="3901" spans="1:15" x14ac:dyDescent="0.35">
      <c r="A3901">
        <v>3900</v>
      </c>
      <c r="B3901" s="2" t="s">
        <v>23</v>
      </c>
      <c r="C3901" s="2" t="s">
        <v>11</v>
      </c>
      <c r="D3901">
        <v>59</v>
      </c>
      <c r="E3901" s="2" t="s">
        <v>29</v>
      </c>
      <c r="F3901" s="2" t="s">
        <v>25</v>
      </c>
      <c r="G3901">
        <v>37251</v>
      </c>
      <c r="H3901" s="1">
        <v>44573</v>
      </c>
      <c r="I3901">
        <v>4</v>
      </c>
      <c r="J3901">
        <v>4</v>
      </c>
      <c r="K3901">
        <v>3725</v>
      </c>
      <c r="L3901">
        <v>1863</v>
      </c>
      <c r="M3901">
        <v>39113</v>
      </c>
      <c r="N3901">
        <v>0</v>
      </c>
      <c r="O3901">
        <v>40976</v>
      </c>
    </row>
    <row r="3902" spans="1:15" x14ac:dyDescent="0.35">
      <c r="A3902">
        <v>3901</v>
      </c>
      <c r="B3902" s="2" t="s">
        <v>20</v>
      </c>
      <c r="C3902" s="2" t="s">
        <v>11</v>
      </c>
      <c r="D3902">
        <v>34</v>
      </c>
      <c r="E3902" s="2" t="s">
        <v>16</v>
      </c>
      <c r="F3902" s="2" t="s">
        <v>19</v>
      </c>
      <c r="G3902">
        <v>55269</v>
      </c>
      <c r="H3902" s="1">
        <v>44579</v>
      </c>
      <c r="I3902">
        <v>4</v>
      </c>
      <c r="J3902">
        <v>4</v>
      </c>
      <c r="K3902">
        <v>5527</v>
      </c>
      <c r="L3902">
        <v>2763</v>
      </c>
      <c r="M3902">
        <v>58033</v>
      </c>
      <c r="N3902">
        <v>0</v>
      </c>
      <c r="O3902">
        <v>60796</v>
      </c>
    </row>
    <row r="3903" spans="1:15" x14ac:dyDescent="0.35">
      <c r="A3903">
        <v>3902</v>
      </c>
      <c r="B3903" s="2" t="s">
        <v>30</v>
      </c>
      <c r="C3903" s="2" t="s">
        <v>15</v>
      </c>
      <c r="D3903">
        <v>36</v>
      </c>
      <c r="E3903" s="2" t="s">
        <v>24</v>
      </c>
      <c r="F3903" s="2" t="s">
        <v>17</v>
      </c>
      <c r="G3903">
        <v>54223</v>
      </c>
      <c r="H3903" s="1">
        <v>45073</v>
      </c>
      <c r="I3903">
        <v>8</v>
      </c>
      <c r="J3903">
        <v>3</v>
      </c>
      <c r="K3903">
        <v>5422</v>
      </c>
      <c r="L3903">
        <v>2711</v>
      </c>
      <c r="M3903">
        <v>56934</v>
      </c>
      <c r="N3903">
        <v>2711</v>
      </c>
      <c r="O3903">
        <v>62356</v>
      </c>
    </row>
    <row r="3904" spans="1:15" x14ac:dyDescent="0.35">
      <c r="A3904">
        <v>3903</v>
      </c>
      <c r="B3904" s="2" t="s">
        <v>30</v>
      </c>
      <c r="C3904" s="2" t="s">
        <v>15</v>
      </c>
      <c r="D3904">
        <v>59</v>
      </c>
      <c r="E3904" s="2" t="s">
        <v>28</v>
      </c>
      <c r="F3904" s="2" t="s">
        <v>19</v>
      </c>
      <c r="G3904">
        <v>93380</v>
      </c>
      <c r="H3904" s="1">
        <v>45091</v>
      </c>
      <c r="I3904">
        <v>6</v>
      </c>
      <c r="J3904">
        <v>4</v>
      </c>
      <c r="K3904">
        <v>9338</v>
      </c>
      <c r="L3904">
        <v>4669</v>
      </c>
      <c r="M3904">
        <v>98049</v>
      </c>
      <c r="N3904">
        <v>4669</v>
      </c>
      <c r="O3904">
        <v>107387</v>
      </c>
    </row>
    <row r="3905" spans="1:15" x14ac:dyDescent="0.35">
      <c r="A3905">
        <v>3904</v>
      </c>
      <c r="B3905" s="2" t="s">
        <v>27</v>
      </c>
      <c r="C3905" s="2" t="s">
        <v>15</v>
      </c>
      <c r="D3905">
        <v>41</v>
      </c>
      <c r="E3905" s="2" t="s">
        <v>24</v>
      </c>
      <c r="F3905" s="2" t="s">
        <v>19</v>
      </c>
      <c r="G3905">
        <v>82931</v>
      </c>
      <c r="H3905" s="1">
        <v>45230</v>
      </c>
      <c r="I3905">
        <v>6</v>
      </c>
      <c r="J3905">
        <v>5</v>
      </c>
      <c r="K3905">
        <v>8293</v>
      </c>
      <c r="L3905">
        <v>4147</v>
      </c>
      <c r="M3905">
        <v>87077</v>
      </c>
      <c r="N3905">
        <v>4147</v>
      </c>
      <c r="O3905">
        <v>95371</v>
      </c>
    </row>
    <row r="3906" spans="1:15" x14ac:dyDescent="0.35">
      <c r="A3906">
        <v>3905</v>
      </c>
      <c r="B3906" s="2" t="s">
        <v>31</v>
      </c>
      <c r="C3906" s="2" t="s">
        <v>11</v>
      </c>
      <c r="D3906">
        <v>38</v>
      </c>
      <c r="E3906" s="2" t="s">
        <v>24</v>
      </c>
      <c r="F3906" s="2" t="s">
        <v>25</v>
      </c>
      <c r="G3906">
        <v>65423</v>
      </c>
      <c r="H3906" s="1">
        <v>45055</v>
      </c>
      <c r="I3906">
        <v>16</v>
      </c>
      <c r="J3906">
        <v>4</v>
      </c>
      <c r="K3906">
        <v>6542</v>
      </c>
      <c r="L3906">
        <v>3271</v>
      </c>
      <c r="M3906">
        <v>68694</v>
      </c>
      <c r="N3906">
        <v>3271</v>
      </c>
      <c r="O3906">
        <v>75236</v>
      </c>
    </row>
    <row r="3907" spans="1:15" x14ac:dyDescent="0.35">
      <c r="A3907">
        <v>3906</v>
      </c>
      <c r="B3907" s="2" t="s">
        <v>31</v>
      </c>
      <c r="C3907" s="2" t="s">
        <v>11</v>
      </c>
      <c r="D3907">
        <v>25</v>
      </c>
      <c r="E3907" s="2" t="s">
        <v>28</v>
      </c>
      <c r="F3907" s="2" t="s">
        <v>19</v>
      </c>
      <c r="G3907">
        <v>66877</v>
      </c>
      <c r="H3907" s="1">
        <v>45033</v>
      </c>
      <c r="I3907">
        <v>19</v>
      </c>
      <c r="J3907">
        <v>2</v>
      </c>
      <c r="K3907">
        <v>6688</v>
      </c>
      <c r="L3907">
        <v>3344</v>
      </c>
      <c r="M3907">
        <v>70221</v>
      </c>
      <c r="N3907">
        <v>3344</v>
      </c>
      <c r="O3907">
        <v>76909</v>
      </c>
    </row>
    <row r="3908" spans="1:15" x14ac:dyDescent="0.35">
      <c r="A3908">
        <v>3907</v>
      </c>
      <c r="B3908" s="2" t="s">
        <v>10</v>
      </c>
      <c r="C3908" s="2" t="s">
        <v>15</v>
      </c>
      <c r="D3908">
        <v>42</v>
      </c>
      <c r="E3908" s="2" t="s">
        <v>16</v>
      </c>
      <c r="F3908" s="2" t="s">
        <v>25</v>
      </c>
      <c r="G3908">
        <v>95962</v>
      </c>
      <c r="H3908" s="1">
        <v>44690</v>
      </c>
      <c r="I3908">
        <v>3</v>
      </c>
      <c r="J3908">
        <v>4</v>
      </c>
      <c r="K3908">
        <v>9596</v>
      </c>
      <c r="L3908">
        <v>4798</v>
      </c>
      <c r="M3908">
        <v>100760</v>
      </c>
      <c r="N3908">
        <v>0</v>
      </c>
      <c r="O3908">
        <v>105558</v>
      </c>
    </row>
    <row r="3909" spans="1:15" x14ac:dyDescent="0.35">
      <c r="A3909">
        <v>3908</v>
      </c>
      <c r="B3909" s="2" t="s">
        <v>14</v>
      </c>
      <c r="C3909" s="2" t="s">
        <v>15</v>
      </c>
      <c r="D3909">
        <v>31</v>
      </c>
      <c r="E3909" s="2" t="s">
        <v>16</v>
      </c>
      <c r="F3909" s="2" t="s">
        <v>21</v>
      </c>
      <c r="G3909">
        <v>82476</v>
      </c>
      <c r="H3909" s="1">
        <v>45057</v>
      </c>
      <c r="I3909">
        <v>19</v>
      </c>
      <c r="J3909">
        <v>2</v>
      </c>
      <c r="K3909">
        <v>8248</v>
      </c>
      <c r="L3909">
        <v>4124</v>
      </c>
      <c r="M3909">
        <v>86600</v>
      </c>
      <c r="N3909">
        <v>4124</v>
      </c>
      <c r="O3909">
        <v>94848</v>
      </c>
    </row>
    <row r="3910" spans="1:15" x14ac:dyDescent="0.35">
      <c r="A3910">
        <v>3909</v>
      </c>
      <c r="B3910" s="2" t="s">
        <v>22</v>
      </c>
      <c r="C3910" s="2" t="s">
        <v>11</v>
      </c>
      <c r="D3910">
        <v>34</v>
      </c>
      <c r="E3910" s="2" t="s">
        <v>24</v>
      </c>
      <c r="F3910" s="2" t="s">
        <v>25</v>
      </c>
      <c r="G3910">
        <v>73417</v>
      </c>
      <c r="H3910" s="1">
        <v>44948</v>
      </c>
      <c r="I3910">
        <v>9</v>
      </c>
      <c r="J3910">
        <v>3</v>
      </c>
      <c r="K3910">
        <v>7342</v>
      </c>
      <c r="L3910">
        <v>3671</v>
      </c>
      <c r="M3910">
        <v>77088</v>
      </c>
      <c r="N3910">
        <v>3671</v>
      </c>
      <c r="O3910">
        <v>84430</v>
      </c>
    </row>
    <row r="3911" spans="1:15" x14ac:dyDescent="0.35">
      <c r="A3911">
        <v>3910</v>
      </c>
      <c r="B3911" s="2" t="s">
        <v>30</v>
      </c>
      <c r="C3911" s="2" t="s">
        <v>11</v>
      </c>
      <c r="D3911">
        <v>26</v>
      </c>
      <c r="E3911" s="2" t="s">
        <v>28</v>
      </c>
      <c r="F3911" s="2" t="s">
        <v>13</v>
      </c>
      <c r="G3911">
        <v>60236</v>
      </c>
      <c r="H3911" s="1">
        <v>45039</v>
      </c>
      <c r="I3911">
        <v>18</v>
      </c>
      <c r="J3911">
        <v>4</v>
      </c>
      <c r="K3911">
        <v>6024</v>
      </c>
      <c r="L3911">
        <v>3012</v>
      </c>
      <c r="M3911">
        <v>63248</v>
      </c>
      <c r="N3911">
        <v>3012</v>
      </c>
      <c r="O3911">
        <v>69272</v>
      </c>
    </row>
    <row r="3912" spans="1:15" x14ac:dyDescent="0.35">
      <c r="A3912">
        <v>3911</v>
      </c>
      <c r="B3912" s="2" t="s">
        <v>10</v>
      </c>
      <c r="C3912" s="2" t="s">
        <v>11</v>
      </c>
      <c r="D3912">
        <v>56</v>
      </c>
      <c r="E3912" s="2" t="s">
        <v>29</v>
      </c>
      <c r="F3912" s="2" t="s">
        <v>21</v>
      </c>
      <c r="G3912">
        <v>54189</v>
      </c>
      <c r="H3912" s="1">
        <v>44879</v>
      </c>
      <c r="I3912">
        <v>15</v>
      </c>
      <c r="J3912">
        <v>3</v>
      </c>
      <c r="K3912">
        <v>5419</v>
      </c>
      <c r="L3912">
        <v>2709</v>
      </c>
      <c r="M3912">
        <v>56899</v>
      </c>
      <c r="N3912">
        <v>2709</v>
      </c>
      <c r="O3912">
        <v>62317</v>
      </c>
    </row>
    <row r="3913" spans="1:15" x14ac:dyDescent="0.35">
      <c r="A3913">
        <v>3912</v>
      </c>
      <c r="B3913" s="2" t="s">
        <v>23</v>
      </c>
      <c r="C3913" s="2" t="s">
        <v>11</v>
      </c>
      <c r="D3913">
        <v>49</v>
      </c>
      <c r="E3913" s="2" t="s">
        <v>12</v>
      </c>
      <c r="F3913" s="2" t="s">
        <v>25</v>
      </c>
      <c r="G3913">
        <v>34324</v>
      </c>
      <c r="H3913" s="1">
        <v>45392</v>
      </c>
      <c r="I3913">
        <v>8</v>
      </c>
      <c r="J3913">
        <v>4</v>
      </c>
      <c r="K3913">
        <v>3432</v>
      </c>
      <c r="L3913">
        <v>1716</v>
      </c>
      <c r="M3913">
        <v>36040</v>
      </c>
      <c r="N3913">
        <v>1716</v>
      </c>
      <c r="O3913">
        <v>39472</v>
      </c>
    </row>
    <row r="3914" spans="1:15" x14ac:dyDescent="0.35">
      <c r="A3914">
        <v>3913</v>
      </c>
      <c r="B3914" s="2" t="s">
        <v>22</v>
      </c>
      <c r="C3914" s="2" t="s">
        <v>15</v>
      </c>
      <c r="D3914">
        <v>47</v>
      </c>
      <c r="E3914" s="2" t="s">
        <v>16</v>
      </c>
      <c r="F3914" s="2" t="s">
        <v>17</v>
      </c>
      <c r="G3914">
        <v>84956</v>
      </c>
      <c r="H3914" s="1">
        <v>45460</v>
      </c>
      <c r="I3914">
        <v>15</v>
      </c>
      <c r="J3914">
        <v>5</v>
      </c>
      <c r="K3914">
        <v>8496</v>
      </c>
      <c r="L3914">
        <v>4248</v>
      </c>
      <c r="M3914">
        <v>89204</v>
      </c>
      <c r="N3914">
        <v>4248</v>
      </c>
      <c r="O3914">
        <v>97700</v>
      </c>
    </row>
    <row r="3915" spans="1:15" x14ac:dyDescent="0.35">
      <c r="A3915">
        <v>3914</v>
      </c>
      <c r="B3915" s="2" t="s">
        <v>18</v>
      </c>
      <c r="C3915" s="2" t="s">
        <v>11</v>
      </c>
      <c r="D3915">
        <v>53</v>
      </c>
      <c r="E3915" s="2" t="s">
        <v>28</v>
      </c>
      <c r="F3915" s="2" t="s">
        <v>17</v>
      </c>
      <c r="G3915">
        <v>20916</v>
      </c>
      <c r="H3915" s="1">
        <v>45307</v>
      </c>
      <c r="I3915">
        <v>17</v>
      </c>
      <c r="J3915">
        <v>4</v>
      </c>
      <c r="K3915">
        <v>2092</v>
      </c>
      <c r="L3915">
        <v>1046</v>
      </c>
      <c r="M3915">
        <v>21962</v>
      </c>
      <c r="N3915">
        <v>1046</v>
      </c>
      <c r="O3915">
        <v>24054</v>
      </c>
    </row>
    <row r="3916" spans="1:15" x14ac:dyDescent="0.35">
      <c r="A3916">
        <v>3915</v>
      </c>
      <c r="B3916" s="2" t="s">
        <v>31</v>
      </c>
      <c r="C3916" s="2" t="s">
        <v>15</v>
      </c>
      <c r="D3916">
        <v>28</v>
      </c>
      <c r="E3916" s="2" t="s">
        <v>28</v>
      </c>
      <c r="F3916" s="2" t="s">
        <v>17</v>
      </c>
      <c r="G3916">
        <v>90697</v>
      </c>
      <c r="H3916" s="1">
        <v>45205</v>
      </c>
      <c r="I3916">
        <v>10</v>
      </c>
      <c r="J3916">
        <v>4</v>
      </c>
      <c r="K3916">
        <v>9070</v>
      </c>
      <c r="L3916">
        <v>4535</v>
      </c>
      <c r="M3916">
        <v>95232</v>
      </c>
      <c r="N3916">
        <v>4535</v>
      </c>
      <c r="O3916">
        <v>104302</v>
      </c>
    </row>
    <row r="3917" spans="1:15" x14ac:dyDescent="0.35">
      <c r="A3917">
        <v>3916</v>
      </c>
      <c r="B3917" s="2" t="s">
        <v>22</v>
      </c>
      <c r="C3917" s="2" t="s">
        <v>15</v>
      </c>
      <c r="D3917">
        <v>21</v>
      </c>
      <c r="E3917" s="2" t="s">
        <v>28</v>
      </c>
      <c r="F3917" s="2" t="s">
        <v>21</v>
      </c>
      <c r="G3917">
        <v>97792</v>
      </c>
      <c r="H3917" s="1">
        <v>44580</v>
      </c>
      <c r="I3917">
        <v>19</v>
      </c>
      <c r="J3917">
        <v>2</v>
      </c>
      <c r="K3917">
        <v>9779</v>
      </c>
      <c r="L3917">
        <v>4890</v>
      </c>
      <c r="M3917">
        <v>102681</v>
      </c>
      <c r="N3917">
        <v>4890</v>
      </c>
      <c r="O3917">
        <v>112461</v>
      </c>
    </row>
    <row r="3918" spans="1:15" x14ac:dyDescent="0.35">
      <c r="A3918">
        <v>3917</v>
      </c>
      <c r="B3918" s="2" t="s">
        <v>20</v>
      </c>
      <c r="C3918" s="2" t="s">
        <v>11</v>
      </c>
      <c r="D3918">
        <v>44</v>
      </c>
      <c r="E3918" s="2" t="s">
        <v>12</v>
      </c>
      <c r="F3918" s="2" t="s">
        <v>21</v>
      </c>
      <c r="G3918">
        <v>64064</v>
      </c>
      <c r="H3918" s="1">
        <v>45311</v>
      </c>
      <c r="I3918">
        <v>1</v>
      </c>
      <c r="J3918">
        <v>2</v>
      </c>
      <c r="K3918">
        <v>6406</v>
      </c>
      <c r="L3918">
        <v>3203</v>
      </c>
      <c r="M3918">
        <v>67267</v>
      </c>
      <c r="N3918">
        <v>0</v>
      </c>
      <c r="O3918">
        <v>70470</v>
      </c>
    </row>
    <row r="3919" spans="1:15" x14ac:dyDescent="0.35">
      <c r="A3919">
        <v>3918</v>
      </c>
      <c r="B3919" s="2" t="s">
        <v>18</v>
      </c>
      <c r="C3919" s="2" t="s">
        <v>11</v>
      </c>
      <c r="D3919">
        <v>53</v>
      </c>
      <c r="E3919" s="2" t="s">
        <v>24</v>
      </c>
      <c r="F3919" s="2" t="s">
        <v>25</v>
      </c>
      <c r="G3919">
        <v>86608</v>
      </c>
      <c r="H3919" s="1">
        <v>45200</v>
      </c>
      <c r="I3919">
        <v>10</v>
      </c>
      <c r="J3919">
        <v>3</v>
      </c>
      <c r="K3919">
        <v>8661</v>
      </c>
      <c r="L3919">
        <v>4330</v>
      </c>
      <c r="M3919">
        <v>90939</v>
      </c>
      <c r="N3919">
        <v>4330</v>
      </c>
      <c r="O3919">
        <v>99599</v>
      </c>
    </row>
    <row r="3920" spans="1:15" x14ac:dyDescent="0.35">
      <c r="A3920">
        <v>3919</v>
      </c>
      <c r="B3920" s="2" t="s">
        <v>18</v>
      </c>
      <c r="C3920" s="2" t="s">
        <v>11</v>
      </c>
      <c r="D3920">
        <v>52</v>
      </c>
      <c r="E3920" s="2" t="s">
        <v>12</v>
      </c>
      <c r="F3920" s="2" t="s">
        <v>13</v>
      </c>
      <c r="G3920">
        <v>71457</v>
      </c>
      <c r="H3920" s="1">
        <v>44906</v>
      </c>
      <c r="I3920">
        <v>6</v>
      </c>
      <c r="J3920">
        <v>3</v>
      </c>
      <c r="K3920">
        <v>7146</v>
      </c>
      <c r="L3920">
        <v>3573</v>
      </c>
      <c r="M3920">
        <v>75030</v>
      </c>
      <c r="N3920">
        <v>3573</v>
      </c>
      <c r="O3920">
        <v>82176</v>
      </c>
    </row>
    <row r="3921" spans="1:15" x14ac:dyDescent="0.35">
      <c r="A3921">
        <v>3920</v>
      </c>
      <c r="B3921" s="2" t="s">
        <v>27</v>
      </c>
      <c r="C3921" s="2" t="s">
        <v>11</v>
      </c>
      <c r="D3921">
        <v>48</v>
      </c>
      <c r="E3921" s="2" t="s">
        <v>12</v>
      </c>
      <c r="F3921" s="2" t="s">
        <v>17</v>
      </c>
      <c r="G3921">
        <v>68208</v>
      </c>
      <c r="H3921" s="1">
        <v>44662</v>
      </c>
      <c r="I3921">
        <v>4</v>
      </c>
      <c r="J3921">
        <v>3</v>
      </c>
      <c r="K3921">
        <v>6821</v>
      </c>
      <c r="L3921">
        <v>3410</v>
      </c>
      <c r="M3921">
        <v>71619</v>
      </c>
      <c r="N3921">
        <v>0</v>
      </c>
      <c r="O3921">
        <v>75029</v>
      </c>
    </row>
    <row r="3922" spans="1:15" x14ac:dyDescent="0.35">
      <c r="A3922">
        <v>3921</v>
      </c>
      <c r="B3922" s="2" t="s">
        <v>18</v>
      </c>
      <c r="C3922" s="2" t="s">
        <v>11</v>
      </c>
      <c r="D3922">
        <v>49</v>
      </c>
      <c r="E3922" s="2" t="s">
        <v>29</v>
      </c>
      <c r="F3922" s="2" t="s">
        <v>21</v>
      </c>
      <c r="G3922">
        <v>26826</v>
      </c>
      <c r="H3922" s="1">
        <v>44581</v>
      </c>
      <c r="I3922">
        <v>16</v>
      </c>
      <c r="J3922">
        <v>1</v>
      </c>
      <c r="K3922">
        <v>2683</v>
      </c>
      <c r="L3922">
        <v>1341</v>
      </c>
      <c r="M3922">
        <v>28168</v>
      </c>
      <c r="N3922">
        <v>1341</v>
      </c>
      <c r="O3922">
        <v>30850</v>
      </c>
    </row>
    <row r="3923" spans="1:15" x14ac:dyDescent="0.35">
      <c r="A3923">
        <v>3922</v>
      </c>
      <c r="B3923" s="2" t="s">
        <v>20</v>
      </c>
      <c r="C3923" s="2" t="s">
        <v>15</v>
      </c>
      <c r="D3923">
        <v>46</v>
      </c>
      <c r="E3923" s="2" t="s">
        <v>24</v>
      </c>
      <c r="F3923" s="2" t="s">
        <v>19</v>
      </c>
      <c r="G3923">
        <v>43321</v>
      </c>
      <c r="H3923" s="1">
        <v>45008</v>
      </c>
      <c r="I3923">
        <v>18</v>
      </c>
      <c r="J3923">
        <v>5</v>
      </c>
      <c r="K3923">
        <v>4332</v>
      </c>
      <c r="L3923">
        <v>2166</v>
      </c>
      <c r="M3923">
        <v>45487</v>
      </c>
      <c r="N3923">
        <v>2166</v>
      </c>
      <c r="O3923">
        <v>49819</v>
      </c>
    </row>
    <row r="3924" spans="1:15" x14ac:dyDescent="0.35">
      <c r="A3924">
        <v>3923</v>
      </c>
      <c r="B3924" s="2" t="s">
        <v>18</v>
      </c>
      <c r="C3924" s="2" t="s">
        <v>11</v>
      </c>
      <c r="D3924">
        <v>41</v>
      </c>
      <c r="E3924" s="2" t="s">
        <v>28</v>
      </c>
      <c r="F3924" s="2" t="s">
        <v>13</v>
      </c>
      <c r="G3924">
        <v>95341</v>
      </c>
      <c r="H3924" s="1">
        <v>45078</v>
      </c>
      <c r="I3924">
        <v>4</v>
      </c>
      <c r="J3924">
        <v>5</v>
      </c>
      <c r="K3924">
        <v>9534</v>
      </c>
      <c r="L3924">
        <v>4767</v>
      </c>
      <c r="M3924">
        <v>100108</v>
      </c>
      <c r="N3924">
        <v>0</v>
      </c>
      <c r="O3924">
        <v>104875</v>
      </c>
    </row>
    <row r="3925" spans="1:15" x14ac:dyDescent="0.35">
      <c r="A3925">
        <v>3924</v>
      </c>
      <c r="B3925" s="2" t="s">
        <v>30</v>
      </c>
      <c r="C3925" s="2" t="s">
        <v>11</v>
      </c>
      <c r="D3925">
        <v>56</v>
      </c>
      <c r="E3925" s="2" t="s">
        <v>24</v>
      </c>
      <c r="F3925" s="2" t="s">
        <v>21</v>
      </c>
      <c r="G3925">
        <v>29093</v>
      </c>
      <c r="H3925" s="1">
        <v>45278</v>
      </c>
      <c r="I3925">
        <v>4</v>
      </c>
      <c r="J3925">
        <v>1</v>
      </c>
      <c r="K3925">
        <v>2909</v>
      </c>
      <c r="L3925">
        <v>1455</v>
      </c>
      <c r="M3925">
        <v>30547</v>
      </c>
      <c r="N3925">
        <v>0</v>
      </c>
      <c r="O3925">
        <v>32002</v>
      </c>
    </row>
    <row r="3926" spans="1:15" x14ac:dyDescent="0.35">
      <c r="A3926">
        <v>3925</v>
      </c>
      <c r="B3926" s="2" t="s">
        <v>27</v>
      </c>
      <c r="C3926" s="2" t="s">
        <v>11</v>
      </c>
      <c r="D3926">
        <v>50</v>
      </c>
      <c r="E3926" s="2" t="s">
        <v>16</v>
      </c>
      <c r="F3926" s="2" t="s">
        <v>13</v>
      </c>
      <c r="G3926">
        <v>60639</v>
      </c>
      <c r="H3926" s="1">
        <v>44664</v>
      </c>
      <c r="I3926">
        <v>11</v>
      </c>
      <c r="J3926">
        <v>5</v>
      </c>
      <c r="K3926">
        <v>6064</v>
      </c>
      <c r="L3926">
        <v>3032</v>
      </c>
      <c r="M3926">
        <v>63671</v>
      </c>
      <c r="N3926">
        <v>3032</v>
      </c>
      <c r="O3926">
        <v>69735</v>
      </c>
    </row>
    <row r="3927" spans="1:15" x14ac:dyDescent="0.35">
      <c r="A3927">
        <v>3926</v>
      </c>
      <c r="B3927" s="2" t="s">
        <v>20</v>
      </c>
      <c r="C3927" s="2" t="s">
        <v>11</v>
      </c>
      <c r="D3927">
        <v>58</v>
      </c>
      <c r="E3927" s="2" t="s">
        <v>28</v>
      </c>
      <c r="F3927" s="2" t="s">
        <v>21</v>
      </c>
      <c r="G3927">
        <v>61152</v>
      </c>
      <c r="H3927" s="1">
        <v>44823</v>
      </c>
      <c r="I3927">
        <v>1</v>
      </c>
      <c r="J3927">
        <v>3</v>
      </c>
      <c r="K3927">
        <v>6115</v>
      </c>
      <c r="L3927">
        <v>3058</v>
      </c>
      <c r="M3927">
        <v>64209</v>
      </c>
      <c r="N3927">
        <v>0</v>
      </c>
      <c r="O3927">
        <v>67267</v>
      </c>
    </row>
    <row r="3928" spans="1:15" x14ac:dyDescent="0.35">
      <c r="A3928">
        <v>3927</v>
      </c>
      <c r="B3928" s="2" t="s">
        <v>14</v>
      </c>
      <c r="C3928" s="2" t="s">
        <v>11</v>
      </c>
      <c r="D3928">
        <v>31</v>
      </c>
      <c r="E3928" s="2" t="s">
        <v>12</v>
      </c>
      <c r="F3928" s="2" t="s">
        <v>21</v>
      </c>
      <c r="G3928">
        <v>80036</v>
      </c>
      <c r="H3928" s="1">
        <v>44765</v>
      </c>
      <c r="I3928">
        <v>17</v>
      </c>
      <c r="J3928">
        <v>3</v>
      </c>
      <c r="K3928">
        <v>8004</v>
      </c>
      <c r="L3928">
        <v>4002</v>
      </c>
      <c r="M3928">
        <v>84038</v>
      </c>
      <c r="N3928">
        <v>4002</v>
      </c>
      <c r="O3928">
        <v>92042</v>
      </c>
    </row>
    <row r="3929" spans="1:15" x14ac:dyDescent="0.35">
      <c r="A3929">
        <v>3928</v>
      </c>
      <c r="B3929" s="2" t="s">
        <v>10</v>
      </c>
      <c r="C3929" s="2" t="s">
        <v>11</v>
      </c>
      <c r="D3929">
        <v>57</v>
      </c>
      <c r="E3929" s="2" t="s">
        <v>28</v>
      </c>
      <c r="F3929" s="2" t="s">
        <v>13</v>
      </c>
      <c r="G3929">
        <v>21156</v>
      </c>
      <c r="H3929" s="1">
        <v>44897</v>
      </c>
      <c r="I3929">
        <v>15</v>
      </c>
      <c r="J3929">
        <v>2</v>
      </c>
      <c r="K3929">
        <v>2116</v>
      </c>
      <c r="L3929">
        <v>1058</v>
      </c>
      <c r="M3929">
        <v>22214</v>
      </c>
      <c r="N3929">
        <v>1058</v>
      </c>
      <c r="O3929">
        <v>24330</v>
      </c>
    </row>
    <row r="3930" spans="1:15" x14ac:dyDescent="0.35">
      <c r="A3930">
        <v>3929</v>
      </c>
      <c r="B3930" s="2" t="s">
        <v>10</v>
      </c>
      <c r="C3930" s="2" t="s">
        <v>11</v>
      </c>
      <c r="D3930">
        <v>29</v>
      </c>
      <c r="E3930" s="2" t="s">
        <v>24</v>
      </c>
      <c r="F3930" s="2" t="s">
        <v>13</v>
      </c>
      <c r="G3930">
        <v>46506</v>
      </c>
      <c r="H3930" s="1">
        <v>45468</v>
      </c>
      <c r="I3930">
        <v>13</v>
      </c>
      <c r="J3930">
        <v>3</v>
      </c>
      <c r="K3930">
        <v>4651</v>
      </c>
      <c r="L3930">
        <v>2325</v>
      </c>
      <c r="M3930">
        <v>48832</v>
      </c>
      <c r="N3930">
        <v>2325</v>
      </c>
      <c r="O3930">
        <v>53482</v>
      </c>
    </row>
    <row r="3931" spans="1:15" x14ac:dyDescent="0.35">
      <c r="A3931">
        <v>3930</v>
      </c>
      <c r="B3931" s="2" t="s">
        <v>20</v>
      </c>
      <c r="C3931" s="2" t="s">
        <v>15</v>
      </c>
      <c r="D3931">
        <v>59</v>
      </c>
      <c r="E3931" s="2" t="s">
        <v>28</v>
      </c>
      <c r="F3931" s="2" t="s">
        <v>25</v>
      </c>
      <c r="G3931">
        <v>58748</v>
      </c>
      <c r="H3931" s="1">
        <v>45311</v>
      </c>
      <c r="I3931">
        <v>5</v>
      </c>
      <c r="J3931">
        <v>4</v>
      </c>
      <c r="K3931">
        <v>5875</v>
      </c>
      <c r="L3931">
        <v>2937</v>
      </c>
      <c r="M3931">
        <v>61686</v>
      </c>
      <c r="N3931">
        <v>0</v>
      </c>
      <c r="O3931">
        <v>64623</v>
      </c>
    </row>
    <row r="3932" spans="1:15" x14ac:dyDescent="0.35">
      <c r="A3932">
        <v>3931</v>
      </c>
      <c r="B3932" s="2" t="s">
        <v>23</v>
      </c>
      <c r="C3932" s="2" t="s">
        <v>15</v>
      </c>
      <c r="D3932">
        <v>27</v>
      </c>
      <c r="E3932" s="2" t="s">
        <v>24</v>
      </c>
      <c r="F3932" s="2" t="s">
        <v>21</v>
      </c>
      <c r="G3932">
        <v>97776</v>
      </c>
      <c r="H3932" s="1">
        <v>44625</v>
      </c>
      <c r="I3932">
        <v>12</v>
      </c>
      <c r="J3932">
        <v>1</v>
      </c>
      <c r="K3932">
        <v>9778</v>
      </c>
      <c r="L3932">
        <v>4889</v>
      </c>
      <c r="M3932">
        <v>102665</v>
      </c>
      <c r="N3932">
        <v>4889</v>
      </c>
      <c r="O3932">
        <v>112443</v>
      </c>
    </row>
    <row r="3933" spans="1:15" x14ac:dyDescent="0.35">
      <c r="A3933">
        <v>3932</v>
      </c>
      <c r="B3933" s="2" t="s">
        <v>10</v>
      </c>
      <c r="C3933" s="2" t="s">
        <v>11</v>
      </c>
      <c r="D3933">
        <v>45</v>
      </c>
      <c r="E3933" s="2" t="s">
        <v>12</v>
      </c>
      <c r="F3933" s="2" t="s">
        <v>19</v>
      </c>
      <c r="G3933">
        <v>65410</v>
      </c>
      <c r="H3933" s="1">
        <v>44867</v>
      </c>
      <c r="I3933">
        <v>19</v>
      </c>
      <c r="J3933">
        <v>1</v>
      </c>
      <c r="K3933">
        <v>6541</v>
      </c>
      <c r="L3933">
        <v>3270</v>
      </c>
      <c r="M3933">
        <v>68681</v>
      </c>
      <c r="N3933">
        <v>3270</v>
      </c>
      <c r="O3933">
        <v>75221</v>
      </c>
    </row>
    <row r="3934" spans="1:15" x14ac:dyDescent="0.35">
      <c r="A3934">
        <v>3933</v>
      </c>
      <c r="B3934" s="2" t="s">
        <v>31</v>
      </c>
      <c r="C3934" s="2" t="s">
        <v>15</v>
      </c>
      <c r="D3934">
        <v>57</v>
      </c>
      <c r="E3934" s="2" t="s">
        <v>16</v>
      </c>
      <c r="F3934" s="2" t="s">
        <v>13</v>
      </c>
      <c r="G3934">
        <v>20405</v>
      </c>
      <c r="H3934" s="1">
        <v>44635</v>
      </c>
      <c r="I3934">
        <v>17</v>
      </c>
      <c r="J3934">
        <v>3</v>
      </c>
      <c r="K3934">
        <v>2040</v>
      </c>
      <c r="L3934">
        <v>1020</v>
      </c>
      <c r="M3934">
        <v>21425</v>
      </c>
      <c r="N3934">
        <v>1020</v>
      </c>
      <c r="O3934">
        <v>23465</v>
      </c>
    </row>
    <row r="3935" spans="1:15" x14ac:dyDescent="0.35">
      <c r="A3935">
        <v>3934</v>
      </c>
      <c r="B3935" s="2" t="s">
        <v>30</v>
      </c>
      <c r="C3935" s="2" t="s">
        <v>11</v>
      </c>
      <c r="D3935">
        <v>45</v>
      </c>
      <c r="E3935" s="2" t="s">
        <v>28</v>
      </c>
      <c r="F3935" s="2" t="s">
        <v>13</v>
      </c>
      <c r="G3935">
        <v>65122</v>
      </c>
      <c r="H3935" s="1">
        <v>44708</v>
      </c>
      <c r="I3935">
        <v>14</v>
      </c>
      <c r="J3935">
        <v>5</v>
      </c>
      <c r="K3935">
        <v>6512</v>
      </c>
      <c r="L3935">
        <v>3256</v>
      </c>
      <c r="M3935">
        <v>68378</v>
      </c>
      <c r="N3935">
        <v>3256</v>
      </c>
      <c r="O3935">
        <v>74890</v>
      </c>
    </row>
    <row r="3936" spans="1:15" x14ac:dyDescent="0.35">
      <c r="A3936">
        <v>3935</v>
      </c>
      <c r="B3936" s="2" t="s">
        <v>30</v>
      </c>
      <c r="C3936" s="2" t="s">
        <v>11</v>
      </c>
      <c r="D3936">
        <v>26</v>
      </c>
      <c r="E3936" s="2" t="s">
        <v>24</v>
      </c>
      <c r="F3936" s="2" t="s">
        <v>21</v>
      </c>
      <c r="G3936">
        <v>84430</v>
      </c>
      <c r="H3936" s="1">
        <v>44592</v>
      </c>
      <c r="I3936">
        <v>2</v>
      </c>
      <c r="J3936">
        <v>4</v>
      </c>
      <c r="K3936">
        <v>8443</v>
      </c>
      <c r="L3936">
        <v>4222</v>
      </c>
      <c r="M3936">
        <v>88651</v>
      </c>
      <c r="N3936">
        <v>0</v>
      </c>
      <c r="O3936">
        <v>92873</v>
      </c>
    </row>
    <row r="3937" spans="1:15" x14ac:dyDescent="0.35">
      <c r="A3937">
        <v>3936</v>
      </c>
      <c r="B3937" s="2" t="s">
        <v>26</v>
      </c>
      <c r="C3937" s="2" t="s">
        <v>11</v>
      </c>
      <c r="D3937">
        <v>56</v>
      </c>
      <c r="E3937" s="2" t="s">
        <v>28</v>
      </c>
      <c r="F3937" s="2" t="s">
        <v>13</v>
      </c>
      <c r="G3937">
        <v>46265</v>
      </c>
      <c r="H3937" s="1">
        <v>44637</v>
      </c>
      <c r="I3937">
        <v>13</v>
      </c>
      <c r="J3937">
        <v>4</v>
      </c>
      <c r="K3937">
        <v>4626</v>
      </c>
      <c r="L3937">
        <v>2313</v>
      </c>
      <c r="M3937">
        <v>48578</v>
      </c>
      <c r="N3937">
        <v>2313</v>
      </c>
      <c r="O3937">
        <v>53204</v>
      </c>
    </row>
    <row r="3938" spans="1:15" x14ac:dyDescent="0.35">
      <c r="A3938">
        <v>3937</v>
      </c>
      <c r="B3938" s="2" t="s">
        <v>18</v>
      </c>
      <c r="C3938" s="2" t="s">
        <v>11</v>
      </c>
      <c r="D3938">
        <v>29</v>
      </c>
      <c r="E3938" s="2" t="s">
        <v>12</v>
      </c>
      <c r="F3938" s="2" t="s">
        <v>13</v>
      </c>
      <c r="G3938">
        <v>67833</v>
      </c>
      <c r="H3938" s="1">
        <v>45115</v>
      </c>
      <c r="I3938">
        <v>14</v>
      </c>
      <c r="J3938">
        <v>5</v>
      </c>
      <c r="K3938">
        <v>6783</v>
      </c>
      <c r="L3938">
        <v>3392</v>
      </c>
      <c r="M3938">
        <v>71224</v>
      </c>
      <c r="N3938">
        <v>3392</v>
      </c>
      <c r="O3938">
        <v>78008</v>
      </c>
    </row>
    <row r="3939" spans="1:15" x14ac:dyDescent="0.35">
      <c r="A3939">
        <v>3938</v>
      </c>
      <c r="B3939" s="2" t="s">
        <v>18</v>
      </c>
      <c r="C3939" s="2" t="s">
        <v>15</v>
      </c>
      <c r="D3939">
        <v>39</v>
      </c>
      <c r="E3939" s="2" t="s">
        <v>29</v>
      </c>
      <c r="F3939" s="2" t="s">
        <v>25</v>
      </c>
      <c r="G3939">
        <v>50056</v>
      </c>
      <c r="H3939" s="1">
        <v>45478</v>
      </c>
      <c r="I3939">
        <v>17</v>
      </c>
      <c r="J3939">
        <v>1</v>
      </c>
      <c r="K3939">
        <v>5006</v>
      </c>
      <c r="L3939">
        <v>2503</v>
      </c>
      <c r="M3939">
        <v>52559</v>
      </c>
      <c r="N3939">
        <v>2503</v>
      </c>
      <c r="O3939">
        <v>57565</v>
      </c>
    </row>
    <row r="3940" spans="1:15" x14ac:dyDescent="0.35">
      <c r="A3940">
        <v>3939</v>
      </c>
      <c r="B3940" s="2" t="s">
        <v>18</v>
      </c>
      <c r="C3940" s="2" t="s">
        <v>15</v>
      </c>
      <c r="D3940">
        <v>37</v>
      </c>
      <c r="E3940" s="2" t="s">
        <v>28</v>
      </c>
      <c r="F3940" s="2" t="s">
        <v>17</v>
      </c>
      <c r="G3940">
        <v>77959</v>
      </c>
      <c r="H3940" s="1">
        <v>45389</v>
      </c>
      <c r="I3940">
        <v>18</v>
      </c>
      <c r="J3940">
        <v>5</v>
      </c>
      <c r="K3940">
        <v>7796</v>
      </c>
      <c r="L3940">
        <v>3898</v>
      </c>
      <c r="M3940">
        <v>81857</v>
      </c>
      <c r="N3940">
        <v>3898</v>
      </c>
      <c r="O3940">
        <v>89653</v>
      </c>
    </row>
    <row r="3941" spans="1:15" x14ac:dyDescent="0.35">
      <c r="A3941">
        <v>3940</v>
      </c>
      <c r="B3941" s="2" t="s">
        <v>10</v>
      </c>
      <c r="C3941" s="2" t="s">
        <v>15</v>
      </c>
      <c r="D3941">
        <v>57</v>
      </c>
      <c r="E3941" s="2" t="s">
        <v>24</v>
      </c>
      <c r="F3941" s="2" t="s">
        <v>19</v>
      </c>
      <c r="G3941">
        <v>56507</v>
      </c>
      <c r="H3941" s="1">
        <v>44655</v>
      </c>
      <c r="I3941">
        <v>2</v>
      </c>
      <c r="J3941">
        <v>2</v>
      </c>
      <c r="K3941">
        <v>5651</v>
      </c>
      <c r="L3941">
        <v>2825</v>
      </c>
      <c r="M3941">
        <v>59333</v>
      </c>
      <c r="N3941">
        <v>0</v>
      </c>
      <c r="O3941">
        <v>62158</v>
      </c>
    </row>
    <row r="3942" spans="1:15" x14ac:dyDescent="0.35">
      <c r="A3942">
        <v>3941</v>
      </c>
      <c r="B3942" s="2" t="s">
        <v>26</v>
      </c>
      <c r="C3942" s="2" t="s">
        <v>11</v>
      </c>
      <c r="D3942">
        <v>21</v>
      </c>
      <c r="E3942" s="2" t="s">
        <v>16</v>
      </c>
      <c r="F3942" s="2" t="s">
        <v>13</v>
      </c>
      <c r="G3942">
        <v>36502</v>
      </c>
      <c r="H3942" s="1">
        <v>45029</v>
      </c>
      <c r="I3942">
        <v>7</v>
      </c>
      <c r="J3942">
        <v>4</v>
      </c>
      <c r="K3942">
        <v>3650</v>
      </c>
      <c r="L3942">
        <v>1825</v>
      </c>
      <c r="M3942">
        <v>38327</v>
      </c>
      <c r="N3942">
        <v>1825</v>
      </c>
      <c r="O3942">
        <v>41977</v>
      </c>
    </row>
    <row r="3943" spans="1:15" x14ac:dyDescent="0.35">
      <c r="A3943">
        <v>3942</v>
      </c>
      <c r="B3943" s="2" t="s">
        <v>10</v>
      </c>
      <c r="C3943" s="2" t="s">
        <v>11</v>
      </c>
      <c r="D3943">
        <v>60</v>
      </c>
      <c r="E3943" s="2" t="s">
        <v>29</v>
      </c>
      <c r="F3943" s="2" t="s">
        <v>21</v>
      </c>
      <c r="G3943">
        <v>87393</v>
      </c>
      <c r="H3943" s="1">
        <v>44757</v>
      </c>
      <c r="I3943">
        <v>4</v>
      </c>
      <c r="J3943">
        <v>4</v>
      </c>
      <c r="K3943">
        <v>8739</v>
      </c>
      <c r="L3943">
        <v>4370</v>
      </c>
      <c r="M3943">
        <v>91762</v>
      </c>
      <c r="N3943">
        <v>0</v>
      </c>
      <c r="O3943">
        <v>96132</v>
      </c>
    </row>
    <row r="3944" spans="1:15" x14ac:dyDescent="0.35">
      <c r="A3944">
        <v>3943</v>
      </c>
      <c r="B3944" s="2" t="s">
        <v>20</v>
      </c>
      <c r="C3944" s="2" t="s">
        <v>15</v>
      </c>
      <c r="D3944">
        <v>31</v>
      </c>
      <c r="E3944" s="2" t="s">
        <v>29</v>
      </c>
      <c r="F3944" s="2" t="s">
        <v>17</v>
      </c>
      <c r="G3944">
        <v>90072</v>
      </c>
      <c r="H3944" s="1">
        <v>45439</v>
      </c>
      <c r="I3944">
        <v>4</v>
      </c>
      <c r="J3944">
        <v>5</v>
      </c>
      <c r="K3944">
        <v>9007</v>
      </c>
      <c r="L3944">
        <v>4504</v>
      </c>
      <c r="M3944">
        <v>94575</v>
      </c>
      <c r="N3944">
        <v>0</v>
      </c>
      <c r="O3944">
        <v>99079</v>
      </c>
    </row>
    <row r="3945" spans="1:15" x14ac:dyDescent="0.35">
      <c r="A3945">
        <v>3944</v>
      </c>
      <c r="B3945" s="2" t="s">
        <v>10</v>
      </c>
      <c r="C3945" s="2" t="s">
        <v>11</v>
      </c>
      <c r="D3945">
        <v>25</v>
      </c>
      <c r="E3945" s="2" t="s">
        <v>12</v>
      </c>
      <c r="F3945" s="2" t="s">
        <v>13</v>
      </c>
      <c r="G3945">
        <v>55917</v>
      </c>
      <c r="H3945" s="1">
        <v>45257</v>
      </c>
      <c r="I3945">
        <v>18</v>
      </c>
      <c r="J3945">
        <v>4</v>
      </c>
      <c r="K3945">
        <v>5592</v>
      </c>
      <c r="L3945">
        <v>2796</v>
      </c>
      <c r="M3945">
        <v>58713</v>
      </c>
      <c r="N3945">
        <v>2796</v>
      </c>
      <c r="O3945">
        <v>64305</v>
      </c>
    </row>
    <row r="3946" spans="1:15" x14ac:dyDescent="0.35">
      <c r="A3946">
        <v>3945</v>
      </c>
      <c r="B3946" s="2" t="s">
        <v>20</v>
      </c>
      <c r="C3946" s="2" t="s">
        <v>15</v>
      </c>
      <c r="D3946">
        <v>31</v>
      </c>
      <c r="E3946" s="2" t="s">
        <v>12</v>
      </c>
      <c r="F3946" s="2" t="s">
        <v>19</v>
      </c>
      <c r="G3946">
        <v>88390</v>
      </c>
      <c r="H3946" s="1">
        <v>44750</v>
      </c>
      <c r="I3946">
        <v>6</v>
      </c>
      <c r="J3946">
        <v>5</v>
      </c>
      <c r="K3946">
        <v>8839</v>
      </c>
      <c r="L3946">
        <v>4420</v>
      </c>
      <c r="M3946">
        <v>92809</v>
      </c>
      <c r="N3946">
        <v>4420</v>
      </c>
      <c r="O3946">
        <v>101649</v>
      </c>
    </row>
    <row r="3947" spans="1:15" x14ac:dyDescent="0.35">
      <c r="A3947">
        <v>3946</v>
      </c>
      <c r="B3947" s="2" t="s">
        <v>14</v>
      </c>
      <c r="C3947" s="2" t="s">
        <v>15</v>
      </c>
      <c r="D3947">
        <v>55</v>
      </c>
      <c r="E3947" s="2" t="s">
        <v>12</v>
      </c>
      <c r="F3947" s="2" t="s">
        <v>19</v>
      </c>
      <c r="G3947">
        <v>98268</v>
      </c>
      <c r="H3947" s="1">
        <v>44618</v>
      </c>
      <c r="I3947">
        <v>6</v>
      </c>
      <c r="J3947">
        <v>3</v>
      </c>
      <c r="K3947">
        <v>9827</v>
      </c>
      <c r="L3947">
        <v>4913</v>
      </c>
      <c r="M3947">
        <v>103182</v>
      </c>
      <c r="N3947">
        <v>4913</v>
      </c>
      <c r="O3947">
        <v>113008</v>
      </c>
    </row>
    <row r="3948" spans="1:15" x14ac:dyDescent="0.35">
      <c r="A3948">
        <v>3947</v>
      </c>
      <c r="B3948" s="2" t="s">
        <v>22</v>
      </c>
      <c r="C3948" s="2" t="s">
        <v>15</v>
      </c>
      <c r="D3948">
        <v>25</v>
      </c>
      <c r="E3948" s="2" t="s">
        <v>28</v>
      </c>
      <c r="F3948" s="2" t="s">
        <v>21</v>
      </c>
      <c r="G3948">
        <v>94321</v>
      </c>
      <c r="H3948" s="1">
        <v>45034</v>
      </c>
      <c r="I3948">
        <v>6</v>
      </c>
      <c r="J3948">
        <v>3</v>
      </c>
      <c r="K3948">
        <v>9432</v>
      </c>
      <c r="L3948">
        <v>4716</v>
      </c>
      <c r="M3948">
        <v>99037</v>
      </c>
      <c r="N3948">
        <v>4716</v>
      </c>
      <c r="O3948">
        <v>108469</v>
      </c>
    </row>
    <row r="3949" spans="1:15" x14ac:dyDescent="0.35">
      <c r="A3949">
        <v>3948</v>
      </c>
      <c r="B3949" s="2" t="s">
        <v>18</v>
      </c>
      <c r="C3949" s="2" t="s">
        <v>11</v>
      </c>
      <c r="D3949">
        <v>29</v>
      </c>
      <c r="E3949" s="2" t="s">
        <v>29</v>
      </c>
      <c r="F3949" s="2" t="s">
        <v>17</v>
      </c>
      <c r="G3949">
        <v>52049</v>
      </c>
      <c r="H3949" s="1">
        <v>44746</v>
      </c>
      <c r="I3949">
        <v>10</v>
      </c>
      <c r="J3949">
        <v>5</v>
      </c>
      <c r="K3949">
        <v>5205</v>
      </c>
      <c r="L3949">
        <v>2602</v>
      </c>
      <c r="M3949">
        <v>54652</v>
      </c>
      <c r="N3949">
        <v>2602</v>
      </c>
      <c r="O3949">
        <v>59856</v>
      </c>
    </row>
    <row r="3950" spans="1:15" x14ac:dyDescent="0.35">
      <c r="A3950">
        <v>3949</v>
      </c>
      <c r="B3950" s="2" t="s">
        <v>14</v>
      </c>
      <c r="C3950" s="2" t="s">
        <v>15</v>
      </c>
      <c r="D3950">
        <v>43</v>
      </c>
      <c r="E3950" s="2" t="s">
        <v>12</v>
      </c>
      <c r="F3950" s="2" t="s">
        <v>21</v>
      </c>
      <c r="G3950">
        <v>69329</v>
      </c>
      <c r="H3950" s="1">
        <v>45076</v>
      </c>
      <c r="I3950">
        <v>10</v>
      </c>
      <c r="J3950">
        <v>1</v>
      </c>
      <c r="K3950">
        <v>6933</v>
      </c>
      <c r="L3950">
        <v>3466</v>
      </c>
      <c r="M3950">
        <v>72796</v>
      </c>
      <c r="N3950">
        <v>3466</v>
      </c>
      <c r="O3950">
        <v>79728</v>
      </c>
    </row>
    <row r="3951" spans="1:15" x14ac:dyDescent="0.35">
      <c r="A3951">
        <v>3950</v>
      </c>
      <c r="B3951" s="2" t="s">
        <v>30</v>
      </c>
      <c r="C3951" s="2" t="s">
        <v>15</v>
      </c>
      <c r="D3951">
        <v>22</v>
      </c>
      <c r="E3951" s="2" t="s">
        <v>16</v>
      </c>
      <c r="F3951" s="2" t="s">
        <v>13</v>
      </c>
      <c r="G3951">
        <v>97224</v>
      </c>
      <c r="H3951" s="1">
        <v>44906</v>
      </c>
      <c r="I3951">
        <v>1</v>
      </c>
      <c r="J3951">
        <v>3</v>
      </c>
      <c r="K3951">
        <v>9722</v>
      </c>
      <c r="L3951">
        <v>4861</v>
      </c>
      <c r="M3951">
        <v>102085</v>
      </c>
      <c r="N3951">
        <v>0</v>
      </c>
      <c r="O3951">
        <v>106946</v>
      </c>
    </row>
    <row r="3952" spans="1:15" x14ac:dyDescent="0.35">
      <c r="A3952">
        <v>3951</v>
      </c>
      <c r="B3952" s="2" t="s">
        <v>23</v>
      </c>
      <c r="C3952" s="2" t="s">
        <v>11</v>
      </c>
      <c r="D3952">
        <v>46</v>
      </c>
      <c r="E3952" s="2" t="s">
        <v>24</v>
      </c>
      <c r="F3952" s="2" t="s">
        <v>21</v>
      </c>
      <c r="G3952">
        <v>93343</v>
      </c>
      <c r="H3952" s="1">
        <v>45164</v>
      </c>
      <c r="I3952">
        <v>18</v>
      </c>
      <c r="J3952">
        <v>4</v>
      </c>
      <c r="K3952">
        <v>9334</v>
      </c>
      <c r="L3952">
        <v>4667</v>
      </c>
      <c r="M3952">
        <v>98010</v>
      </c>
      <c r="N3952">
        <v>4667</v>
      </c>
      <c r="O3952">
        <v>107344</v>
      </c>
    </row>
    <row r="3953" spans="1:15" x14ac:dyDescent="0.35">
      <c r="A3953">
        <v>3952</v>
      </c>
      <c r="B3953" s="2" t="s">
        <v>31</v>
      </c>
      <c r="C3953" s="2" t="s">
        <v>15</v>
      </c>
      <c r="D3953">
        <v>59</v>
      </c>
      <c r="E3953" s="2" t="s">
        <v>29</v>
      </c>
      <c r="F3953" s="2" t="s">
        <v>19</v>
      </c>
      <c r="G3953">
        <v>52986</v>
      </c>
      <c r="H3953" s="1">
        <v>45184</v>
      </c>
      <c r="I3953">
        <v>8</v>
      </c>
      <c r="J3953">
        <v>3</v>
      </c>
      <c r="K3953">
        <v>5299</v>
      </c>
      <c r="L3953">
        <v>2649</v>
      </c>
      <c r="M3953">
        <v>55636</v>
      </c>
      <c r="N3953">
        <v>2649</v>
      </c>
      <c r="O3953">
        <v>60934</v>
      </c>
    </row>
    <row r="3954" spans="1:15" x14ac:dyDescent="0.35">
      <c r="A3954">
        <v>3953</v>
      </c>
      <c r="B3954" s="2" t="s">
        <v>18</v>
      </c>
      <c r="C3954" s="2" t="s">
        <v>15</v>
      </c>
      <c r="D3954">
        <v>55</v>
      </c>
      <c r="E3954" s="2" t="s">
        <v>29</v>
      </c>
      <c r="F3954" s="2" t="s">
        <v>19</v>
      </c>
      <c r="G3954">
        <v>79564</v>
      </c>
      <c r="H3954" s="1">
        <v>44781</v>
      </c>
      <c r="I3954">
        <v>16</v>
      </c>
      <c r="J3954">
        <v>5</v>
      </c>
      <c r="K3954">
        <v>7956</v>
      </c>
      <c r="L3954">
        <v>3978</v>
      </c>
      <c r="M3954">
        <v>83542</v>
      </c>
      <c r="N3954">
        <v>3978</v>
      </c>
      <c r="O3954">
        <v>91498</v>
      </c>
    </row>
    <row r="3955" spans="1:15" x14ac:dyDescent="0.35">
      <c r="A3955">
        <v>3954</v>
      </c>
      <c r="B3955" s="2" t="s">
        <v>23</v>
      </c>
      <c r="C3955" s="2" t="s">
        <v>11</v>
      </c>
      <c r="D3955">
        <v>25</v>
      </c>
      <c r="E3955" s="2" t="s">
        <v>16</v>
      </c>
      <c r="F3955" s="2" t="s">
        <v>13</v>
      </c>
      <c r="G3955">
        <v>35962</v>
      </c>
      <c r="H3955" s="1">
        <v>44954</v>
      </c>
      <c r="I3955">
        <v>15</v>
      </c>
      <c r="J3955">
        <v>5</v>
      </c>
      <c r="K3955">
        <v>3596</v>
      </c>
      <c r="L3955">
        <v>1798</v>
      </c>
      <c r="M3955">
        <v>37760</v>
      </c>
      <c r="N3955">
        <v>1798</v>
      </c>
      <c r="O3955">
        <v>41356</v>
      </c>
    </row>
    <row r="3956" spans="1:15" x14ac:dyDescent="0.35">
      <c r="A3956">
        <v>3955</v>
      </c>
      <c r="B3956" s="2" t="s">
        <v>18</v>
      </c>
      <c r="C3956" s="2" t="s">
        <v>15</v>
      </c>
      <c r="D3956">
        <v>38</v>
      </c>
      <c r="E3956" s="2" t="s">
        <v>28</v>
      </c>
      <c r="F3956" s="2" t="s">
        <v>19</v>
      </c>
      <c r="G3956">
        <v>95313</v>
      </c>
      <c r="H3956" s="1">
        <v>45253</v>
      </c>
      <c r="I3956">
        <v>1</v>
      </c>
      <c r="J3956">
        <v>3</v>
      </c>
      <c r="K3956">
        <v>9531</v>
      </c>
      <c r="L3956">
        <v>4766</v>
      </c>
      <c r="M3956">
        <v>100078</v>
      </c>
      <c r="N3956">
        <v>0</v>
      </c>
      <c r="O3956">
        <v>104844</v>
      </c>
    </row>
    <row r="3957" spans="1:15" x14ac:dyDescent="0.35">
      <c r="A3957">
        <v>3956</v>
      </c>
      <c r="B3957" s="2" t="s">
        <v>22</v>
      </c>
      <c r="C3957" s="2" t="s">
        <v>15</v>
      </c>
      <c r="D3957">
        <v>43</v>
      </c>
      <c r="E3957" s="2" t="s">
        <v>24</v>
      </c>
      <c r="F3957" s="2" t="s">
        <v>19</v>
      </c>
      <c r="G3957">
        <v>67129</v>
      </c>
      <c r="H3957" s="1">
        <v>45538</v>
      </c>
      <c r="I3957">
        <v>10</v>
      </c>
      <c r="J3957">
        <v>3</v>
      </c>
      <c r="K3957">
        <v>6713</v>
      </c>
      <c r="L3957">
        <v>3356</v>
      </c>
      <c r="M3957">
        <v>70486</v>
      </c>
      <c r="N3957">
        <v>3356</v>
      </c>
      <c r="O3957">
        <v>77198</v>
      </c>
    </row>
    <row r="3958" spans="1:15" x14ac:dyDescent="0.35">
      <c r="A3958">
        <v>3957</v>
      </c>
      <c r="B3958" s="2" t="s">
        <v>18</v>
      </c>
      <c r="C3958" s="2" t="s">
        <v>15</v>
      </c>
      <c r="D3958">
        <v>22</v>
      </c>
      <c r="E3958" s="2" t="s">
        <v>16</v>
      </c>
      <c r="F3958" s="2" t="s">
        <v>21</v>
      </c>
      <c r="G3958">
        <v>28214</v>
      </c>
      <c r="H3958" s="1">
        <v>45245</v>
      </c>
      <c r="I3958">
        <v>8</v>
      </c>
      <c r="J3958">
        <v>2</v>
      </c>
      <c r="K3958">
        <v>2821</v>
      </c>
      <c r="L3958">
        <v>1411</v>
      </c>
      <c r="M3958">
        <v>29624</v>
      </c>
      <c r="N3958">
        <v>1411</v>
      </c>
      <c r="O3958">
        <v>32446</v>
      </c>
    </row>
    <row r="3959" spans="1:15" x14ac:dyDescent="0.35">
      <c r="A3959">
        <v>3958</v>
      </c>
      <c r="B3959" s="2" t="s">
        <v>23</v>
      </c>
      <c r="C3959" s="2" t="s">
        <v>15</v>
      </c>
      <c r="D3959">
        <v>32</v>
      </c>
      <c r="E3959" s="2" t="s">
        <v>12</v>
      </c>
      <c r="F3959" s="2" t="s">
        <v>25</v>
      </c>
      <c r="G3959">
        <v>33229</v>
      </c>
      <c r="H3959" s="1">
        <v>44755</v>
      </c>
      <c r="I3959">
        <v>11</v>
      </c>
      <c r="J3959">
        <v>1</v>
      </c>
      <c r="K3959">
        <v>3323</v>
      </c>
      <c r="L3959">
        <v>1661</v>
      </c>
      <c r="M3959">
        <v>34891</v>
      </c>
      <c r="N3959">
        <v>1661</v>
      </c>
      <c r="O3959">
        <v>38213</v>
      </c>
    </row>
    <row r="3960" spans="1:15" x14ac:dyDescent="0.35">
      <c r="A3960">
        <v>3959</v>
      </c>
      <c r="B3960" s="2" t="s">
        <v>26</v>
      </c>
      <c r="C3960" s="2" t="s">
        <v>15</v>
      </c>
      <c r="D3960">
        <v>33</v>
      </c>
      <c r="E3960" s="2" t="s">
        <v>24</v>
      </c>
      <c r="F3960" s="2" t="s">
        <v>21</v>
      </c>
      <c r="G3960">
        <v>93956</v>
      </c>
      <c r="H3960" s="1">
        <v>45327</v>
      </c>
      <c r="I3960">
        <v>7</v>
      </c>
      <c r="J3960">
        <v>1</v>
      </c>
      <c r="K3960">
        <v>9396</v>
      </c>
      <c r="L3960">
        <v>4698</v>
      </c>
      <c r="M3960">
        <v>98654</v>
      </c>
      <c r="N3960">
        <v>4698</v>
      </c>
      <c r="O3960">
        <v>108050</v>
      </c>
    </row>
    <row r="3961" spans="1:15" x14ac:dyDescent="0.35">
      <c r="A3961">
        <v>3960</v>
      </c>
      <c r="B3961" s="2" t="s">
        <v>31</v>
      </c>
      <c r="C3961" s="2" t="s">
        <v>15</v>
      </c>
      <c r="D3961">
        <v>53</v>
      </c>
      <c r="E3961" s="2" t="s">
        <v>12</v>
      </c>
      <c r="F3961" s="2" t="s">
        <v>19</v>
      </c>
      <c r="G3961">
        <v>82455</v>
      </c>
      <c r="H3961" s="1">
        <v>45096</v>
      </c>
      <c r="I3961">
        <v>17</v>
      </c>
      <c r="J3961">
        <v>5</v>
      </c>
      <c r="K3961">
        <v>8246</v>
      </c>
      <c r="L3961">
        <v>4123</v>
      </c>
      <c r="M3961">
        <v>86578</v>
      </c>
      <c r="N3961">
        <v>4123</v>
      </c>
      <c r="O3961">
        <v>94824</v>
      </c>
    </row>
    <row r="3962" spans="1:15" x14ac:dyDescent="0.35">
      <c r="A3962">
        <v>3961</v>
      </c>
      <c r="B3962" s="2" t="s">
        <v>31</v>
      </c>
      <c r="C3962" s="2" t="s">
        <v>11</v>
      </c>
      <c r="D3962">
        <v>25</v>
      </c>
      <c r="E3962" s="2" t="s">
        <v>29</v>
      </c>
      <c r="F3962" s="2" t="s">
        <v>19</v>
      </c>
      <c r="G3962">
        <v>64152</v>
      </c>
      <c r="H3962" s="1">
        <v>45045</v>
      </c>
      <c r="I3962">
        <v>10</v>
      </c>
      <c r="J3962">
        <v>4</v>
      </c>
      <c r="K3962">
        <v>6415</v>
      </c>
      <c r="L3962">
        <v>3208</v>
      </c>
      <c r="M3962">
        <v>67359</v>
      </c>
      <c r="N3962">
        <v>3208</v>
      </c>
      <c r="O3962">
        <v>73775</v>
      </c>
    </row>
    <row r="3963" spans="1:15" x14ac:dyDescent="0.35">
      <c r="A3963">
        <v>3962</v>
      </c>
      <c r="B3963" s="2" t="s">
        <v>14</v>
      </c>
      <c r="C3963" s="2" t="s">
        <v>15</v>
      </c>
      <c r="D3963">
        <v>41</v>
      </c>
      <c r="E3963" s="2" t="s">
        <v>16</v>
      </c>
      <c r="F3963" s="2" t="s">
        <v>25</v>
      </c>
      <c r="G3963">
        <v>58161</v>
      </c>
      <c r="H3963" s="1">
        <v>45083</v>
      </c>
      <c r="I3963">
        <v>13</v>
      </c>
      <c r="J3963">
        <v>3</v>
      </c>
      <c r="K3963">
        <v>5816</v>
      </c>
      <c r="L3963">
        <v>2908</v>
      </c>
      <c r="M3963">
        <v>61069</v>
      </c>
      <c r="N3963">
        <v>2908</v>
      </c>
      <c r="O3963">
        <v>66885</v>
      </c>
    </row>
    <row r="3964" spans="1:15" x14ac:dyDescent="0.35">
      <c r="A3964">
        <v>3963</v>
      </c>
      <c r="B3964" s="2" t="s">
        <v>31</v>
      </c>
      <c r="C3964" s="2" t="s">
        <v>11</v>
      </c>
      <c r="D3964">
        <v>29</v>
      </c>
      <c r="E3964" s="2" t="s">
        <v>16</v>
      </c>
      <c r="F3964" s="2" t="s">
        <v>21</v>
      </c>
      <c r="G3964">
        <v>54389</v>
      </c>
      <c r="H3964" s="1">
        <v>45261</v>
      </c>
      <c r="I3964">
        <v>5</v>
      </c>
      <c r="J3964">
        <v>1</v>
      </c>
      <c r="K3964">
        <v>5439</v>
      </c>
      <c r="L3964">
        <v>2719</v>
      </c>
      <c r="M3964">
        <v>57109</v>
      </c>
      <c r="N3964">
        <v>0</v>
      </c>
      <c r="O3964">
        <v>59828</v>
      </c>
    </row>
    <row r="3965" spans="1:15" x14ac:dyDescent="0.35">
      <c r="A3965">
        <v>3964</v>
      </c>
      <c r="B3965" s="2" t="s">
        <v>18</v>
      </c>
      <c r="C3965" s="2" t="s">
        <v>15</v>
      </c>
      <c r="D3965">
        <v>23</v>
      </c>
      <c r="E3965" s="2" t="s">
        <v>24</v>
      </c>
      <c r="F3965" s="2" t="s">
        <v>21</v>
      </c>
      <c r="G3965">
        <v>87194</v>
      </c>
      <c r="H3965" s="1">
        <v>45130</v>
      </c>
      <c r="I3965">
        <v>19</v>
      </c>
      <c r="J3965">
        <v>4</v>
      </c>
      <c r="K3965">
        <v>8719</v>
      </c>
      <c r="L3965">
        <v>4360</v>
      </c>
      <c r="M3965">
        <v>91553</v>
      </c>
      <c r="N3965">
        <v>4360</v>
      </c>
      <c r="O3965">
        <v>100273</v>
      </c>
    </row>
    <row r="3966" spans="1:15" x14ac:dyDescent="0.35">
      <c r="A3966">
        <v>3965</v>
      </c>
      <c r="B3966" s="2" t="s">
        <v>18</v>
      </c>
      <c r="C3966" s="2" t="s">
        <v>15</v>
      </c>
      <c r="D3966">
        <v>55</v>
      </c>
      <c r="E3966" s="2" t="s">
        <v>29</v>
      </c>
      <c r="F3966" s="2" t="s">
        <v>19</v>
      </c>
      <c r="G3966">
        <v>62149</v>
      </c>
      <c r="H3966" s="1">
        <v>44706</v>
      </c>
      <c r="I3966">
        <v>9</v>
      </c>
      <c r="J3966">
        <v>2</v>
      </c>
      <c r="K3966">
        <v>6215</v>
      </c>
      <c r="L3966">
        <v>3107</v>
      </c>
      <c r="M3966">
        <v>65257</v>
      </c>
      <c r="N3966">
        <v>3107</v>
      </c>
      <c r="O3966">
        <v>71471</v>
      </c>
    </row>
    <row r="3967" spans="1:15" x14ac:dyDescent="0.35">
      <c r="A3967">
        <v>3966</v>
      </c>
      <c r="B3967" s="2" t="s">
        <v>14</v>
      </c>
      <c r="C3967" s="2" t="s">
        <v>11</v>
      </c>
      <c r="D3967">
        <v>27</v>
      </c>
      <c r="E3967" s="2" t="s">
        <v>12</v>
      </c>
      <c r="F3967" s="2" t="s">
        <v>25</v>
      </c>
      <c r="G3967">
        <v>53885</v>
      </c>
      <c r="H3967" s="1">
        <v>44803</v>
      </c>
      <c r="I3967">
        <v>2</v>
      </c>
      <c r="J3967">
        <v>1</v>
      </c>
      <c r="K3967">
        <v>5388</v>
      </c>
      <c r="L3967">
        <v>2694</v>
      </c>
      <c r="M3967">
        <v>56579</v>
      </c>
      <c r="N3967">
        <v>0</v>
      </c>
      <c r="O3967">
        <v>59273</v>
      </c>
    </row>
    <row r="3968" spans="1:15" x14ac:dyDescent="0.35">
      <c r="A3968">
        <v>3967</v>
      </c>
      <c r="B3968" s="2" t="s">
        <v>31</v>
      </c>
      <c r="C3968" s="2" t="s">
        <v>15</v>
      </c>
      <c r="D3968">
        <v>33</v>
      </c>
      <c r="E3968" s="2" t="s">
        <v>16</v>
      </c>
      <c r="F3968" s="2" t="s">
        <v>21</v>
      </c>
      <c r="G3968">
        <v>35442</v>
      </c>
      <c r="H3968" s="1">
        <v>45026</v>
      </c>
      <c r="I3968">
        <v>20</v>
      </c>
      <c r="J3968">
        <v>3</v>
      </c>
      <c r="K3968">
        <v>3544</v>
      </c>
      <c r="L3968">
        <v>1772</v>
      </c>
      <c r="M3968">
        <v>37214</v>
      </c>
      <c r="N3968">
        <v>1772</v>
      </c>
      <c r="O3968">
        <v>40758</v>
      </c>
    </row>
    <row r="3969" spans="1:15" x14ac:dyDescent="0.35">
      <c r="A3969">
        <v>3968</v>
      </c>
      <c r="B3969" s="2" t="s">
        <v>20</v>
      </c>
      <c r="C3969" s="2" t="s">
        <v>15</v>
      </c>
      <c r="D3969">
        <v>42</v>
      </c>
      <c r="E3969" s="2" t="s">
        <v>16</v>
      </c>
      <c r="F3969" s="2" t="s">
        <v>19</v>
      </c>
      <c r="G3969">
        <v>29369</v>
      </c>
      <c r="H3969" s="1">
        <v>45143</v>
      </c>
      <c r="I3969">
        <v>1</v>
      </c>
      <c r="J3969">
        <v>5</v>
      </c>
      <c r="K3969">
        <v>2937</v>
      </c>
      <c r="L3969">
        <v>1468</v>
      </c>
      <c r="M3969">
        <v>30838</v>
      </c>
      <c r="N3969">
        <v>0</v>
      </c>
      <c r="O3969">
        <v>32306</v>
      </c>
    </row>
    <row r="3970" spans="1:15" x14ac:dyDescent="0.35">
      <c r="A3970">
        <v>3969</v>
      </c>
      <c r="B3970" s="2" t="s">
        <v>22</v>
      </c>
      <c r="C3970" s="2" t="s">
        <v>15</v>
      </c>
      <c r="D3970">
        <v>33</v>
      </c>
      <c r="E3970" s="2" t="s">
        <v>29</v>
      </c>
      <c r="F3970" s="2" t="s">
        <v>19</v>
      </c>
      <c r="G3970">
        <v>36685</v>
      </c>
      <c r="H3970" s="1">
        <v>45538</v>
      </c>
      <c r="I3970">
        <v>10</v>
      </c>
      <c r="J3970">
        <v>2</v>
      </c>
      <c r="K3970">
        <v>3668</v>
      </c>
      <c r="L3970">
        <v>1834</v>
      </c>
      <c r="M3970">
        <v>38519</v>
      </c>
      <c r="N3970">
        <v>1834</v>
      </c>
      <c r="O3970">
        <v>42187</v>
      </c>
    </row>
    <row r="3971" spans="1:15" x14ac:dyDescent="0.35">
      <c r="A3971">
        <v>3970</v>
      </c>
      <c r="B3971" s="2" t="s">
        <v>20</v>
      </c>
      <c r="C3971" s="2" t="s">
        <v>15</v>
      </c>
      <c r="D3971">
        <v>36</v>
      </c>
      <c r="E3971" s="2" t="s">
        <v>28</v>
      </c>
      <c r="F3971" s="2" t="s">
        <v>21</v>
      </c>
      <c r="G3971">
        <v>42676</v>
      </c>
      <c r="H3971" s="1">
        <v>44794</v>
      </c>
      <c r="I3971">
        <v>14</v>
      </c>
      <c r="J3971">
        <v>4</v>
      </c>
      <c r="K3971">
        <v>4268</v>
      </c>
      <c r="L3971">
        <v>2134</v>
      </c>
      <c r="M3971">
        <v>44810</v>
      </c>
      <c r="N3971">
        <v>2134</v>
      </c>
      <c r="O3971">
        <v>49078</v>
      </c>
    </row>
    <row r="3972" spans="1:15" x14ac:dyDescent="0.35">
      <c r="A3972">
        <v>3971</v>
      </c>
      <c r="B3972" s="2" t="s">
        <v>10</v>
      </c>
      <c r="C3972" s="2" t="s">
        <v>11</v>
      </c>
      <c r="D3972">
        <v>26</v>
      </c>
      <c r="E3972" s="2" t="s">
        <v>24</v>
      </c>
      <c r="F3972" s="2" t="s">
        <v>21</v>
      </c>
      <c r="G3972">
        <v>61287</v>
      </c>
      <c r="H3972" s="1">
        <v>45092</v>
      </c>
      <c r="I3972">
        <v>1</v>
      </c>
      <c r="J3972">
        <v>1</v>
      </c>
      <c r="K3972">
        <v>6129</v>
      </c>
      <c r="L3972">
        <v>3064</v>
      </c>
      <c r="M3972">
        <v>64352</v>
      </c>
      <c r="N3972">
        <v>0</v>
      </c>
      <c r="O3972">
        <v>67416</v>
      </c>
    </row>
    <row r="3973" spans="1:15" x14ac:dyDescent="0.35">
      <c r="A3973">
        <v>3972</v>
      </c>
      <c r="B3973" s="2" t="s">
        <v>14</v>
      </c>
      <c r="C3973" s="2" t="s">
        <v>11</v>
      </c>
      <c r="D3973">
        <v>30</v>
      </c>
      <c r="E3973" s="2" t="s">
        <v>12</v>
      </c>
      <c r="F3973" s="2" t="s">
        <v>19</v>
      </c>
      <c r="G3973">
        <v>40677</v>
      </c>
      <c r="H3973" s="1">
        <v>45048</v>
      </c>
      <c r="I3973">
        <v>6</v>
      </c>
      <c r="J3973">
        <v>1</v>
      </c>
      <c r="K3973">
        <v>4068</v>
      </c>
      <c r="L3973">
        <v>2034</v>
      </c>
      <c r="M3973">
        <v>42711</v>
      </c>
      <c r="N3973">
        <v>2034</v>
      </c>
      <c r="O3973">
        <v>46779</v>
      </c>
    </row>
    <row r="3974" spans="1:15" x14ac:dyDescent="0.35">
      <c r="A3974">
        <v>3973</v>
      </c>
      <c r="B3974" s="2" t="s">
        <v>30</v>
      </c>
      <c r="C3974" s="2" t="s">
        <v>15</v>
      </c>
      <c r="D3974">
        <v>38</v>
      </c>
      <c r="E3974" s="2" t="s">
        <v>24</v>
      </c>
      <c r="F3974" s="2" t="s">
        <v>19</v>
      </c>
      <c r="G3974">
        <v>91314</v>
      </c>
      <c r="H3974" s="1">
        <v>45024</v>
      </c>
      <c r="I3974">
        <v>11</v>
      </c>
      <c r="J3974">
        <v>4</v>
      </c>
      <c r="K3974">
        <v>9131</v>
      </c>
      <c r="L3974">
        <v>4566</v>
      </c>
      <c r="M3974">
        <v>95879</v>
      </c>
      <c r="N3974">
        <v>4566</v>
      </c>
      <c r="O3974">
        <v>105011</v>
      </c>
    </row>
    <row r="3975" spans="1:15" x14ac:dyDescent="0.35">
      <c r="A3975">
        <v>3974</v>
      </c>
      <c r="B3975" s="2" t="s">
        <v>30</v>
      </c>
      <c r="C3975" s="2" t="s">
        <v>15</v>
      </c>
      <c r="D3975">
        <v>56</v>
      </c>
      <c r="E3975" s="2" t="s">
        <v>12</v>
      </c>
      <c r="F3975" s="2" t="s">
        <v>19</v>
      </c>
      <c r="G3975">
        <v>98945</v>
      </c>
      <c r="H3975" s="1">
        <v>44852</v>
      </c>
      <c r="I3975">
        <v>2</v>
      </c>
      <c r="J3975">
        <v>2</v>
      </c>
      <c r="K3975">
        <v>9894</v>
      </c>
      <c r="L3975">
        <v>4947</v>
      </c>
      <c r="M3975">
        <v>103892</v>
      </c>
      <c r="N3975">
        <v>0</v>
      </c>
      <c r="O3975">
        <v>108839</v>
      </c>
    </row>
    <row r="3976" spans="1:15" x14ac:dyDescent="0.35">
      <c r="A3976">
        <v>3975</v>
      </c>
      <c r="B3976" s="2" t="s">
        <v>22</v>
      </c>
      <c r="C3976" s="2" t="s">
        <v>11</v>
      </c>
      <c r="D3976">
        <v>27</v>
      </c>
      <c r="E3976" s="2" t="s">
        <v>12</v>
      </c>
      <c r="F3976" s="2" t="s">
        <v>13</v>
      </c>
      <c r="G3976">
        <v>88532</v>
      </c>
      <c r="H3976" s="1">
        <v>44786</v>
      </c>
      <c r="I3976">
        <v>16</v>
      </c>
      <c r="J3976">
        <v>2</v>
      </c>
      <c r="K3976">
        <v>8853</v>
      </c>
      <c r="L3976">
        <v>4427</v>
      </c>
      <c r="M3976">
        <v>92958</v>
      </c>
      <c r="N3976">
        <v>4427</v>
      </c>
      <c r="O3976">
        <v>101812</v>
      </c>
    </row>
    <row r="3977" spans="1:15" x14ac:dyDescent="0.35">
      <c r="A3977">
        <v>3976</v>
      </c>
      <c r="B3977" s="2" t="s">
        <v>27</v>
      </c>
      <c r="C3977" s="2" t="s">
        <v>11</v>
      </c>
      <c r="D3977">
        <v>54</v>
      </c>
      <c r="E3977" s="2" t="s">
        <v>16</v>
      </c>
      <c r="F3977" s="2" t="s">
        <v>13</v>
      </c>
      <c r="G3977">
        <v>33884</v>
      </c>
      <c r="H3977" s="1">
        <v>45505</v>
      </c>
      <c r="I3977">
        <v>11</v>
      </c>
      <c r="J3977">
        <v>4</v>
      </c>
      <c r="K3977">
        <v>3388</v>
      </c>
      <c r="L3977">
        <v>1694</v>
      </c>
      <c r="M3977">
        <v>35578</v>
      </c>
      <c r="N3977">
        <v>1694</v>
      </c>
      <c r="O3977">
        <v>38966</v>
      </c>
    </row>
    <row r="3978" spans="1:15" x14ac:dyDescent="0.35">
      <c r="A3978">
        <v>3977</v>
      </c>
      <c r="B3978" s="2" t="s">
        <v>26</v>
      </c>
      <c r="C3978" s="2" t="s">
        <v>11</v>
      </c>
      <c r="D3978">
        <v>46</v>
      </c>
      <c r="E3978" s="2" t="s">
        <v>29</v>
      </c>
      <c r="F3978" s="2" t="s">
        <v>13</v>
      </c>
      <c r="G3978">
        <v>75280</v>
      </c>
      <c r="H3978" s="1">
        <v>44968</v>
      </c>
      <c r="I3978">
        <v>6</v>
      </c>
      <c r="J3978">
        <v>5</v>
      </c>
      <c r="K3978">
        <v>7528</v>
      </c>
      <c r="L3978">
        <v>3764</v>
      </c>
      <c r="M3978">
        <v>79044</v>
      </c>
      <c r="N3978">
        <v>3764</v>
      </c>
      <c r="O3978">
        <v>86572</v>
      </c>
    </row>
    <row r="3979" spans="1:15" x14ac:dyDescent="0.35">
      <c r="A3979">
        <v>3978</v>
      </c>
      <c r="B3979" s="2" t="s">
        <v>30</v>
      </c>
      <c r="C3979" s="2" t="s">
        <v>15</v>
      </c>
      <c r="D3979">
        <v>37</v>
      </c>
      <c r="E3979" s="2" t="s">
        <v>28</v>
      </c>
      <c r="F3979" s="2" t="s">
        <v>21</v>
      </c>
      <c r="G3979">
        <v>97275</v>
      </c>
      <c r="H3979" s="1">
        <v>44962</v>
      </c>
      <c r="I3979">
        <v>14</v>
      </c>
      <c r="J3979">
        <v>4</v>
      </c>
      <c r="K3979">
        <v>9728</v>
      </c>
      <c r="L3979">
        <v>4864</v>
      </c>
      <c r="M3979">
        <v>102139</v>
      </c>
      <c r="N3979">
        <v>4864</v>
      </c>
      <c r="O3979">
        <v>111867</v>
      </c>
    </row>
    <row r="3980" spans="1:15" x14ac:dyDescent="0.35">
      <c r="A3980">
        <v>3979</v>
      </c>
      <c r="B3980" s="2" t="s">
        <v>31</v>
      </c>
      <c r="C3980" s="2" t="s">
        <v>11</v>
      </c>
      <c r="D3980">
        <v>28</v>
      </c>
      <c r="E3980" s="2" t="s">
        <v>29</v>
      </c>
      <c r="F3980" s="2" t="s">
        <v>19</v>
      </c>
      <c r="G3980">
        <v>69085</v>
      </c>
      <c r="H3980" s="1">
        <v>45451</v>
      </c>
      <c r="I3980">
        <v>10</v>
      </c>
      <c r="J3980">
        <v>1</v>
      </c>
      <c r="K3980">
        <v>6908</v>
      </c>
      <c r="L3980">
        <v>3454</v>
      </c>
      <c r="M3980">
        <v>72539</v>
      </c>
      <c r="N3980">
        <v>3454</v>
      </c>
      <c r="O3980">
        <v>79447</v>
      </c>
    </row>
    <row r="3981" spans="1:15" x14ac:dyDescent="0.35">
      <c r="A3981">
        <v>3980</v>
      </c>
      <c r="B3981" s="2" t="s">
        <v>18</v>
      </c>
      <c r="C3981" s="2" t="s">
        <v>11</v>
      </c>
      <c r="D3981">
        <v>34</v>
      </c>
      <c r="E3981" s="2" t="s">
        <v>28</v>
      </c>
      <c r="F3981" s="2" t="s">
        <v>13</v>
      </c>
      <c r="G3981">
        <v>47003</v>
      </c>
      <c r="H3981" s="1">
        <v>45439</v>
      </c>
      <c r="I3981">
        <v>2</v>
      </c>
      <c r="J3981">
        <v>5</v>
      </c>
      <c r="K3981">
        <v>4700</v>
      </c>
      <c r="L3981">
        <v>2350</v>
      </c>
      <c r="M3981">
        <v>49353</v>
      </c>
      <c r="N3981">
        <v>0</v>
      </c>
      <c r="O3981">
        <v>51703</v>
      </c>
    </row>
    <row r="3982" spans="1:15" x14ac:dyDescent="0.35">
      <c r="A3982">
        <v>3981</v>
      </c>
      <c r="B3982" s="2" t="s">
        <v>20</v>
      </c>
      <c r="C3982" s="2" t="s">
        <v>15</v>
      </c>
      <c r="D3982">
        <v>28</v>
      </c>
      <c r="E3982" s="2" t="s">
        <v>12</v>
      </c>
      <c r="F3982" s="2" t="s">
        <v>13</v>
      </c>
      <c r="G3982">
        <v>40520</v>
      </c>
      <c r="H3982" s="1">
        <v>44582</v>
      </c>
      <c r="I3982">
        <v>14</v>
      </c>
      <c r="J3982">
        <v>3</v>
      </c>
      <c r="K3982">
        <v>4052</v>
      </c>
      <c r="L3982">
        <v>2026</v>
      </c>
      <c r="M3982">
        <v>42546</v>
      </c>
      <c r="N3982">
        <v>2026</v>
      </c>
      <c r="O3982">
        <v>46598</v>
      </c>
    </row>
    <row r="3983" spans="1:15" x14ac:dyDescent="0.35">
      <c r="A3983">
        <v>3982</v>
      </c>
      <c r="B3983" s="2" t="s">
        <v>27</v>
      </c>
      <c r="C3983" s="2" t="s">
        <v>15</v>
      </c>
      <c r="D3983">
        <v>37</v>
      </c>
      <c r="E3983" s="2" t="s">
        <v>29</v>
      </c>
      <c r="F3983" s="2" t="s">
        <v>17</v>
      </c>
      <c r="G3983">
        <v>52771</v>
      </c>
      <c r="H3983" s="1">
        <v>44927</v>
      </c>
      <c r="I3983">
        <v>8</v>
      </c>
      <c r="J3983">
        <v>4</v>
      </c>
      <c r="K3983">
        <v>5277</v>
      </c>
      <c r="L3983">
        <v>2639</v>
      </c>
      <c r="M3983">
        <v>55409</v>
      </c>
      <c r="N3983">
        <v>2639</v>
      </c>
      <c r="O3983">
        <v>60687</v>
      </c>
    </row>
    <row r="3984" spans="1:15" x14ac:dyDescent="0.35">
      <c r="A3984">
        <v>3983</v>
      </c>
      <c r="B3984" s="2" t="s">
        <v>30</v>
      </c>
      <c r="C3984" s="2" t="s">
        <v>11</v>
      </c>
      <c r="D3984">
        <v>21</v>
      </c>
      <c r="E3984" s="2" t="s">
        <v>16</v>
      </c>
      <c r="F3984" s="2" t="s">
        <v>17</v>
      </c>
      <c r="G3984">
        <v>56973</v>
      </c>
      <c r="H3984" s="1">
        <v>45383</v>
      </c>
      <c r="I3984">
        <v>8</v>
      </c>
      <c r="J3984">
        <v>4</v>
      </c>
      <c r="K3984">
        <v>5697</v>
      </c>
      <c r="L3984">
        <v>2849</v>
      </c>
      <c r="M3984">
        <v>59821</v>
      </c>
      <c r="N3984">
        <v>2849</v>
      </c>
      <c r="O3984">
        <v>65519</v>
      </c>
    </row>
    <row r="3985" spans="1:15" x14ac:dyDescent="0.35">
      <c r="A3985">
        <v>3984</v>
      </c>
      <c r="B3985" s="2" t="s">
        <v>20</v>
      </c>
      <c r="C3985" s="2" t="s">
        <v>11</v>
      </c>
      <c r="D3985">
        <v>53</v>
      </c>
      <c r="E3985" s="2" t="s">
        <v>29</v>
      </c>
      <c r="F3985" s="2" t="s">
        <v>21</v>
      </c>
      <c r="G3985">
        <v>51544</v>
      </c>
      <c r="H3985" s="1">
        <v>45336</v>
      </c>
      <c r="I3985">
        <v>18</v>
      </c>
      <c r="J3985">
        <v>5</v>
      </c>
      <c r="K3985">
        <v>5154</v>
      </c>
      <c r="L3985">
        <v>2577</v>
      </c>
      <c r="M3985">
        <v>54121</v>
      </c>
      <c r="N3985">
        <v>2577</v>
      </c>
      <c r="O3985">
        <v>59275</v>
      </c>
    </row>
    <row r="3986" spans="1:15" x14ac:dyDescent="0.35">
      <c r="A3986">
        <v>3985</v>
      </c>
      <c r="B3986" s="2" t="s">
        <v>10</v>
      </c>
      <c r="C3986" s="2" t="s">
        <v>15</v>
      </c>
      <c r="D3986">
        <v>41</v>
      </c>
      <c r="E3986" s="2" t="s">
        <v>29</v>
      </c>
      <c r="F3986" s="2" t="s">
        <v>19</v>
      </c>
      <c r="G3986">
        <v>76681</v>
      </c>
      <c r="H3986" s="1">
        <v>44719</v>
      </c>
      <c r="I3986">
        <v>19</v>
      </c>
      <c r="J3986">
        <v>1</v>
      </c>
      <c r="K3986">
        <v>7668</v>
      </c>
      <c r="L3986">
        <v>3834</v>
      </c>
      <c r="M3986">
        <v>80515</v>
      </c>
      <c r="N3986">
        <v>3834</v>
      </c>
      <c r="O3986">
        <v>88183</v>
      </c>
    </row>
    <row r="3987" spans="1:15" x14ac:dyDescent="0.35">
      <c r="A3987">
        <v>3986</v>
      </c>
      <c r="B3987" s="2" t="s">
        <v>31</v>
      </c>
      <c r="C3987" s="2" t="s">
        <v>11</v>
      </c>
      <c r="D3987">
        <v>52</v>
      </c>
      <c r="E3987" s="2" t="s">
        <v>16</v>
      </c>
      <c r="F3987" s="2" t="s">
        <v>13</v>
      </c>
      <c r="G3987">
        <v>43794</v>
      </c>
      <c r="H3987" s="1">
        <v>44647</v>
      </c>
      <c r="I3987">
        <v>10</v>
      </c>
      <c r="J3987">
        <v>1</v>
      </c>
      <c r="K3987">
        <v>4379</v>
      </c>
      <c r="L3987">
        <v>2190</v>
      </c>
      <c r="M3987">
        <v>45983</v>
      </c>
      <c r="N3987">
        <v>2190</v>
      </c>
      <c r="O3987">
        <v>50363</v>
      </c>
    </row>
    <row r="3988" spans="1:15" x14ac:dyDescent="0.35">
      <c r="A3988">
        <v>3987</v>
      </c>
      <c r="B3988" s="2" t="s">
        <v>31</v>
      </c>
      <c r="C3988" s="2" t="s">
        <v>11</v>
      </c>
      <c r="D3988">
        <v>34</v>
      </c>
      <c r="E3988" s="2" t="s">
        <v>28</v>
      </c>
      <c r="F3988" s="2" t="s">
        <v>21</v>
      </c>
      <c r="G3988">
        <v>64136</v>
      </c>
      <c r="H3988" s="1">
        <v>44788</v>
      </c>
      <c r="I3988">
        <v>2</v>
      </c>
      <c r="J3988">
        <v>4</v>
      </c>
      <c r="K3988">
        <v>6414</v>
      </c>
      <c r="L3988">
        <v>3207</v>
      </c>
      <c r="M3988">
        <v>67343</v>
      </c>
      <c r="N3988">
        <v>0</v>
      </c>
      <c r="O3988">
        <v>70550</v>
      </c>
    </row>
    <row r="3989" spans="1:15" x14ac:dyDescent="0.35">
      <c r="A3989">
        <v>3988</v>
      </c>
      <c r="B3989" s="2" t="s">
        <v>14</v>
      </c>
      <c r="C3989" s="2" t="s">
        <v>15</v>
      </c>
      <c r="D3989">
        <v>35</v>
      </c>
      <c r="E3989" s="2" t="s">
        <v>16</v>
      </c>
      <c r="F3989" s="2" t="s">
        <v>19</v>
      </c>
      <c r="G3989">
        <v>37127</v>
      </c>
      <c r="H3989" s="1">
        <v>45118</v>
      </c>
      <c r="I3989">
        <v>3</v>
      </c>
      <c r="J3989">
        <v>2</v>
      </c>
      <c r="K3989">
        <v>3713</v>
      </c>
      <c r="L3989">
        <v>1856</v>
      </c>
      <c r="M3989">
        <v>38984</v>
      </c>
      <c r="N3989">
        <v>0</v>
      </c>
      <c r="O3989">
        <v>40840</v>
      </c>
    </row>
    <row r="3990" spans="1:15" x14ac:dyDescent="0.35">
      <c r="A3990">
        <v>3989</v>
      </c>
      <c r="B3990" s="2" t="s">
        <v>18</v>
      </c>
      <c r="C3990" s="2" t="s">
        <v>15</v>
      </c>
      <c r="D3990">
        <v>47</v>
      </c>
      <c r="E3990" s="2" t="s">
        <v>16</v>
      </c>
      <c r="F3990" s="2" t="s">
        <v>25</v>
      </c>
      <c r="G3990">
        <v>32009</v>
      </c>
      <c r="H3990" s="1">
        <v>44588</v>
      </c>
      <c r="I3990">
        <v>8</v>
      </c>
      <c r="J3990">
        <v>4</v>
      </c>
      <c r="K3990">
        <v>3201</v>
      </c>
      <c r="L3990">
        <v>1600</v>
      </c>
      <c r="M3990">
        <v>33610</v>
      </c>
      <c r="N3990">
        <v>1600</v>
      </c>
      <c r="O3990">
        <v>36810</v>
      </c>
    </row>
    <row r="3991" spans="1:15" x14ac:dyDescent="0.35">
      <c r="A3991">
        <v>3990</v>
      </c>
      <c r="B3991" s="2" t="s">
        <v>22</v>
      </c>
      <c r="C3991" s="2" t="s">
        <v>11</v>
      </c>
      <c r="D3991">
        <v>26</v>
      </c>
      <c r="E3991" s="2" t="s">
        <v>28</v>
      </c>
      <c r="F3991" s="2" t="s">
        <v>13</v>
      </c>
      <c r="G3991">
        <v>39119</v>
      </c>
      <c r="H3991" s="1">
        <v>45420</v>
      </c>
      <c r="I3991">
        <v>18</v>
      </c>
      <c r="J3991">
        <v>5</v>
      </c>
      <c r="K3991">
        <v>3912</v>
      </c>
      <c r="L3991">
        <v>1956</v>
      </c>
      <c r="M3991">
        <v>41075</v>
      </c>
      <c r="N3991">
        <v>1956</v>
      </c>
      <c r="O3991">
        <v>44987</v>
      </c>
    </row>
    <row r="3992" spans="1:15" x14ac:dyDescent="0.35">
      <c r="A3992">
        <v>3991</v>
      </c>
      <c r="B3992" s="2" t="s">
        <v>30</v>
      </c>
      <c r="C3992" s="2" t="s">
        <v>15</v>
      </c>
      <c r="D3992">
        <v>26</v>
      </c>
      <c r="E3992" s="2" t="s">
        <v>28</v>
      </c>
      <c r="F3992" s="2" t="s">
        <v>25</v>
      </c>
      <c r="G3992">
        <v>60279</v>
      </c>
      <c r="H3992" s="1">
        <v>45225</v>
      </c>
      <c r="I3992">
        <v>12</v>
      </c>
      <c r="J3992">
        <v>1</v>
      </c>
      <c r="K3992">
        <v>6028</v>
      </c>
      <c r="L3992">
        <v>3014</v>
      </c>
      <c r="M3992">
        <v>63293</v>
      </c>
      <c r="N3992">
        <v>3014</v>
      </c>
      <c r="O3992">
        <v>69321</v>
      </c>
    </row>
    <row r="3993" spans="1:15" x14ac:dyDescent="0.35">
      <c r="A3993">
        <v>3992</v>
      </c>
      <c r="B3993" s="2" t="s">
        <v>10</v>
      </c>
      <c r="C3993" s="2" t="s">
        <v>15</v>
      </c>
      <c r="D3993">
        <v>28</v>
      </c>
      <c r="E3993" s="2" t="s">
        <v>16</v>
      </c>
      <c r="F3993" s="2" t="s">
        <v>19</v>
      </c>
      <c r="G3993">
        <v>60422</v>
      </c>
      <c r="H3993" s="1">
        <v>44659</v>
      </c>
      <c r="I3993">
        <v>7</v>
      </c>
      <c r="J3993">
        <v>4</v>
      </c>
      <c r="K3993">
        <v>6042</v>
      </c>
      <c r="L3993">
        <v>3021</v>
      </c>
      <c r="M3993">
        <v>63443</v>
      </c>
      <c r="N3993">
        <v>3021</v>
      </c>
      <c r="O3993">
        <v>69485</v>
      </c>
    </row>
    <row r="3994" spans="1:15" x14ac:dyDescent="0.35">
      <c r="A3994">
        <v>3993</v>
      </c>
      <c r="B3994" s="2" t="s">
        <v>27</v>
      </c>
      <c r="C3994" s="2" t="s">
        <v>11</v>
      </c>
      <c r="D3994">
        <v>49</v>
      </c>
      <c r="E3994" s="2" t="s">
        <v>16</v>
      </c>
      <c r="F3994" s="2" t="s">
        <v>19</v>
      </c>
      <c r="G3994">
        <v>91778</v>
      </c>
      <c r="H3994" s="1">
        <v>45149</v>
      </c>
      <c r="I3994">
        <v>19</v>
      </c>
      <c r="J3994">
        <v>4</v>
      </c>
      <c r="K3994">
        <v>9178</v>
      </c>
      <c r="L3994">
        <v>4589</v>
      </c>
      <c r="M3994">
        <v>96367</v>
      </c>
      <c r="N3994">
        <v>4589</v>
      </c>
      <c r="O3994">
        <v>105545</v>
      </c>
    </row>
    <row r="3995" spans="1:15" x14ac:dyDescent="0.35">
      <c r="A3995">
        <v>3994</v>
      </c>
      <c r="B3995" s="2" t="s">
        <v>26</v>
      </c>
      <c r="C3995" s="2" t="s">
        <v>11</v>
      </c>
      <c r="D3995">
        <v>57</v>
      </c>
      <c r="E3995" s="2" t="s">
        <v>16</v>
      </c>
      <c r="F3995" s="2" t="s">
        <v>25</v>
      </c>
      <c r="G3995">
        <v>24133</v>
      </c>
      <c r="H3995" s="1">
        <v>45115</v>
      </c>
      <c r="I3995">
        <v>14</v>
      </c>
      <c r="J3995">
        <v>5</v>
      </c>
      <c r="K3995">
        <v>2413</v>
      </c>
      <c r="L3995">
        <v>1207</v>
      </c>
      <c r="M3995">
        <v>25339</v>
      </c>
      <c r="N3995">
        <v>1207</v>
      </c>
      <c r="O3995">
        <v>27753</v>
      </c>
    </row>
    <row r="3996" spans="1:15" x14ac:dyDescent="0.35">
      <c r="A3996">
        <v>3995</v>
      </c>
      <c r="B3996" s="2" t="s">
        <v>10</v>
      </c>
      <c r="C3996" s="2" t="s">
        <v>15</v>
      </c>
      <c r="D3996">
        <v>35</v>
      </c>
      <c r="E3996" s="2" t="s">
        <v>28</v>
      </c>
      <c r="F3996" s="2" t="s">
        <v>13</v>
      </c>
      <c r="G3996">
        <v>39511</v>
      </c>
      <c r="H3996" s="1">
        <v>45406</v>
      </c>
      <c r="I3996">
        <v>17</v>
      </c>
      <c r="J3996">
        <v>4</v>
      </c>
      <c r="K3996">
        <v>3951</v>
      </c>
      <c r="L3996">
        <v>1976</v>
      </c>
      <c r="M3996">
        <v>41486</v>
      </c>
      <c r="N3996">
        <v>1976</v>
      </c>
      <c r="O3996">
        <v>45438</v>
      </c>
    </row>
    <row r="3997" spans="1:15" x14ac:dyDescent="0.35">
      <c r="A3997">
        <v>3996</v>
      </c>
      <c r="B3997" s="2" t="s">
        <v>14</v>
      </c>
      <c r="C3997" s="2" t="s">
        <v>15</v>
      </c>
      <c r="D3997">
        <v>45</v>
      </c>
      <c r="E3997" s="2" t="s">
        <v>28</v>
      </c>
      <c r="F3997" s="2" t="s">
        <v>21</v>
      </c>
      <c r="G3997">
        <v>59442</v>
      </c>
      <c r="H3997" s="1">
        <v>44604</v>
      </c>
      <c r="I3997">
        <v>1</v>
      </c>
      <c r="J3997">
        <v>3</v>
      </c>
      <c r="K3997">
        <v>5944</v>
      </c>
      <c r="L3997">
        <v>2972</v>
      </c>
      <c r="M3997">
        <v>62414</v>
      </c>
      <c r="N3997">
        <v>0</v>
      </c>
      <c r="O3997">
        <v>65386</v>
      </c>
    </row>
    <row r="3998" spans="1:15" x14ac:dyDescent="0.35">
      <c r="A3998">
        <v>3997</v>
      </c>
      <c r="B3998" s="2" t="s">
        <v>20</v>
      </c>
      <c r="C3998" s="2" t="s">
        <v>15</v>
      </c>
      <c r="D3998">
        <v>50</v>
      </c>
      <c r="E3998" s="2" t="s">
        <v>12</v>
      </c>
      <c r="F3998" s="2" t="s">
        <v>19</v>
      </c>
      <c r="G3998">
        <v>75971</v>
      </c>
      <c r="H3998" s="1">
        <v>44808</v>
      </c>
      <c r="I3998">
        <v>7</v>
      </c>
      <c r="J3998">
        <v>4</v>
      </c>
      <c r="K3998">
        <v>7597</v>
      </c>
      <c r="L3998">
        <v>3799</v>
      </c>
      <c r="M3998">
        <v>79769</v>
      </c>
      <c r="N3998">
        <v>3799</v>
      </c>
      <c r="O3998">
        <v>87367</v>
      </c>
    </row>
    <row r="3999" spans="1:15" x14ac:dyDescent="0.35">
      <c r="A3999">
        <v>3998</v>
      </c>
      <c r="B3999" s="2" t="s">
        <v>23</v>
      </c>
      <c r="C3999" s="2" t="s">
        <v>15</v>
      </c>
      <c r="D3999">
        <v>48</v>
      </c>
      <c r="E3999" s="2" t="s">
        <v>28</v>
      </c>
      <c r="F3999" s="2" t="s">
        <v>21</v>
      </c>
      <c r="G3999">
        <v>42383</v>
      </c>
      <c r="H3999" s="1">
        <v>44634</v>
      </c>
      <c r="I3999">
        <v>14</v>
      </c>
      <c r="J3999">
        <v>3</v>
      </c>
      <c r="K3999">
        <v>4238</v>
      </c>
      <c r="L3999">
        <v>2119</v>
      </c>
      <c r="M3999">
        <v>44502</v>
      </c>
      <c r="N3999">
        <v>2119</v>
      </c>
      <c r="O3999">
        <v>48740</v>
      </c>
    </row>
    <row r="4000" spans="1:15" x14ac:dyDescent="0.35">
      <c r="A4000">
        <v>3999</v>
      </c>
      <c r="B4000" s="2" t="s">
        <v>14</v>
      </c>
      <c r="C4000" s="2" t="s">
        <v>15</v>
      </c>
      <c r="D4000">
        <v>52</v>
      </c>
      <c r="E4000" s="2" t="s">
        <v>24</v>
      </c>
      <c r="F4000" s="2" t="s">
        <v>13</v>
      </c>
      <c r="G4000">
        <v>52561</v>
      </c>
      <c r="H4000" s="1">
        <v>45318</v>
      </c>
      <c r="I4000">
        <v>14</v>
      </c>
      <c r="J4000">
        <v>4</v>
      </c>
      <c r="K4000">
        <v>5256</v>
      </c>
      <c r="L4000">
        <v>2628</v>
      </c>
      <c r="M4000">
        <v>55189</v>
      </c>
      <c r="N4000">
        <v>2628</v>
      </c>
      <c r="O4000">
        <v>60445</v>
      </c>
    </row>
    <row r="4001" spans="1:15" x14ac:dyDescent="0.35">
      <c r="A4001">
        <v>4000</v>
      </c>
      <c r="B4001" s="2" t="s">
        <v>23</v>
      </c>
      <c r="C4001" s="2" t="s">
        <v>15</v>
      </c>
      <c r="D4001">
        <v>33</v>
      </c>
      <c r="E4001" s="2" t="s">
        <v>24</v>
      </c>
      <c r="F4001" s="2" t="s">
        <v>17</v>
      </c>
      <c r="G4001">
        <v>27067</v>
      </c>
      <c r="H4001" s="1">
        <v>44985</v>
      </c>
      <c r="I4001">
        <v>9</v>
      </c>
      <c r="J4001">
        <v>2</v>
      </c>
      <c r="K4001">
        <v>2707</v>
      </c>
      <c r="L4001">
        <v>1353</v>
      </c>
      <c r="M4001">
        <v>28421</v>
      </c>
      <c r="N4001">
        <v>1353</v>
      </c>
      <c r="O4001">
        <v>31127</v>
      </c>
    </row>
    <row r="4002" spans="1:15" x14ac:dyDescent="0.35">
      <c r="A4002">
        <v>4001</v>
      </c>
      <c r="B4002" s="2" t="s">
        <v>10</v>
      </c>
      <c r="C4002" s="2" t="s">
        <v>11</v>
      </c>
      <c r="D4002">
        <v>34</v>
      </c>
      <c r="E4002" s="2" t="s">
        <v>24</v>
      </c>
      <c r="F4002" s="2" t="s">
        <v>25</v>
      </c>
      <c r="G4002">
        <v>44594</v>
      </c>
      <c r="H4002" s="1">
        <v>44649</v>
      </c>
      <c r="I4002">
        <v>7</v>
      </c>
      <c r="J4002">
        <v>3</v>
      </c>
      <c r="K4002">
        <v>4459</v>
      </c>
      <c r="L4002">
        <v>2230</v>
      </c>
      <c r="M4002">
        <v>46823</v>
      </c>
      <c r="N4002">
        <v>2230</v>
      </c>
      <c r="O4002">
        <v>51283</v>
      </c>
    </row>
    <row r="4003" spans="1:15" x14ac:dyDescent="0.35">
      <c r="A4003">
        <v>4002</v>
      </c>
      <c r="B4003" s="2" t="s">
        <v>14</v>
      </c>
      <c r="C4003" s="2" t="s">
        <v>11</v>
      </c>
      <c r="D4003">
        <v>29</v>
      </c>
      <c r="E4003" s="2" t="s">
        <v>29</v>
      </c>
      <c r="F4003" s="2" t="s">
        <v>25</v>
      </c>
      <c r="G4003">
        <v>72995</v>
      </c>
      <c r="H4003" s="1">
        <v>44795</v>
      </c>
      <c r="I4003">
        <v>7</v>
      </c>
      <c r="J4003">
        <v>2</v>
      </c>
      <c r="K4003">
        <v>7300</v>
      </c>
      <c r="L4003">
        <v>3650</v>
      </c>
      <c r="M4003">
        <v>76645</v>
      </c>
      <c r="N4003">
        <v>3650</v>
      </c>
      <c r="O4003">
        <v>83945</v>
      </c>
    </row>
    <row r="4004" spans="1:15" x14ac:dyDescent="0.35">
      <c r="A4004">
        <v>4003</v>
      </c>
      <c r="B4004" s="2" t="s">
        <v>10</v>
      </c>
      <c r="C4004" s="2" t="s">
        <v>15</v>
      </c>
      <c r="D4004">
        <v>31</v>
      </c>
      <c r="E4004" s="2" t="s">
        <v>28</v>
      </c>
      <c r="F4004" s="2" t="s">
        <v>25</v>
      </c>
      <c r="G4004">
        <v>93838</v>
      </c>
      <c r="H4004" s="1">
        <v>45234</v>
      </c>
      <c r="I4004">
        <v>15</v>
      </c>
      <c r="J4004">
        <v>3</v>
      </c>
      <c r="K4004">
        <v>9384</v>
      </c>
      <c r="L4004">
        <v>4692</v>
      </c>
      <c r="M4004">
        <v>98530</v>
      </c>
      <c r="N4004">
        <v>4692</v>
      </c>
      <c r="O4004">
        <v>107914</v>
      </c>
    </row>
    <row r="4005" spans="1:15" x14ac:dyDescent="0.35">
      <c r="A4005">
        <v>4004</v>
      </c>
      <c r="B4005" s="2" t="s">
        <v>22</v>
      </c>
      <c r="C4005" s="2" t="s">
        <v>11</v>
      </c>
      <c r="D4005">
        <v>28</v>
      </c>
      <c r="E4005" s="2" t="s">
        <v>12</v>
      </c>
      <c r="F4005" s="2" t="s">
        <v>13</v>
      </c>
      <c r="G4005">
        <v>37759</v>
      </c>
      <c r="H4005" s="1">
        <v>45241</v>
      </c>
      <c r="I4005">
        <v>1</v>
      </c>
      <c r="J4005">
        <v>4</v>
      </c>
      <c r="K4005">
        <v>3776</v>
      </c>
      <c r="L4005">
        <v>1888</v>
      </c>
      <c r="M4005">
        <v>39647</v>
      </c>
      <c r="N4005">
        <v>0</v>
      </c>
      <c r="O4005">
        <v>41535</v>
      </c>
    </row>
    <row r="4006" spans="1:15" x14ac:dyDescent="0.35">
      <c r="A4006">
        <v>4005</v>
      </c>
      <c r="B4006" s="2" t="s">
        <v>14</v>
      </c>
      <c r="C4006" s="2" t="s">
        <v>15</v>
      </c>
      <c r="D4006">
        <v>39</v>
      </c>
      <c r="E4006" s="2" t="s">
        <v>24</v>
      </c>
      <c r="F4006" s="2" t="s">
        <v>13</v>
      </c>
      <c r="G4006">
        <v>83025</v>
      </c>
      <c r="H4006" s="1">
        <v>45375</v>
      </c>
      <c r="I4006">
        <v>13</v>
      </c>
      <c r="J4006">
        <v>1</v>
      </c>
      <c r="K4006">
        <v>8302</v>
      </c>
      <c r="L4006">
        <v>4151</v>
      </c>
      <c r="M4006">
        <v>87176</v>
      </c>
      <c r="N4006">
        <v>4151</v>
      </c>
      <c r="O4006">
        <v>95478</v>
      </c>
    </row>
    <row r="4007" spans="1:15" x14ac:dyDescent="0.35">
      <c r="A4007">
        <v>4006</v>
      </c>
      <c r="B4007" s="2" t="s">
        <v>14</v>
      </c>
      <c r="C4007" s="2" t="s">
        <v>11</v>
      </c>
      <c r="D4007">
        <v>48</v>
      </c>
      <c r="E4007" s="2" t="s">
        <v>29</v>
      </c>
      <c r="F4007" s="2" t="s">
        <v>25</v>
      </c>
      <c r="G4007">
        <v>45673</v>
      </c>
      <c r="H4007" s="1">
        <v>44694</v>
      </c>
      <c r="I4007">
        <v>11</v>
      </c>
      <c r="J4007">
        <v>5</v>
      </c>
      <c r="K4007">
        <v>4567</v>
      </c>
      <c r="L4007">
        <v>2284</v>
      </c>
      <c r="M4007">
        <v>47956</v>
      </c>
      <c r="N4007">
        <v>2284</v>
      </c>
      <c r="O4007">
        <v>52524</v>
      </c>
    </row>
    <row r="4008" spans="1:15" x14ac:dyDescent="0.35">
      <c r="A4008">
        <v>4007</v>
      </c>
      <c r="B4008" s="2" t="s">
        <v>26</v>
      </c>
      <c r="C4008" s="2" t="s">
        <v>15</v>
      </c>
      <c r="D4008">
        <v>48</v>
      </c>
      <c r="E4008" s="2" t="s">
        <v>16</v>
      </c>
      <c r="F4008" s="2" t="s">
        <v>17</v>
      </c>
      <c r="G4008">
        <v>89918</v>
      </c>
      <c r="H4008" s="1">
        <v>45137</v>
      </c>
      <c r="I4008">
        <v>12</v>
      </c>
      <c r="J4008">
        <v>2</v>
      </c>
      <c r="K4008">
        <v>8992</v>
      </c>
      <c r="L4008">
        <v>4496</v>
      </c>
      <c r="M4008">
        <v>94414</v>
      </c>
      <c r="N4008">
        <v>4496</v>
      </c>
      <c r="O4008">
        <v>103406</v>
      </c>
    </row>
    <row r="4009" spans="1:15" x14ac:dyDescent="0.35">
      <c r="A4009">
        <v>4008</v>
      </c>
      <c r="B4009" s="2" t="s">
        <v>26</v>
      </c>
      <c r="C4009" s="2" t="s">
        <v>11</v>
      </c>
      <c r="D4009">
        <v>37</v>
      </c>
      <c r="E4009" s="2" t="s">
        <v>16</v>
      </c>
      <c r="F4009" s="2" t="s">
        <v>17</v>
      </c>
      <c r="G4009">
        <v>75032</v>
      </c>
      <c r="H4009" s="1">
        <v>44953</v>
      </c>
      <c r="I4009">
        <v>5</v>
      </c>
      <c r="J4009">
        <v>1</v>
      </c>
      <c r="K4009">
        <v>7503</v>
      </c>
      <c r="L4009">
        <v>3752</v>
      </c>
      <c r="M4009">
        <v>78783</v>
      </c>
      <c r="N4009">
        <v>0</v>
      </c>
      <c r="O4009">
        <v>82535</v>
      </c>
    </row>
    <row r="4010" spans="1:15" x14ac:dyDescent="0.35">
      <c r="A4010">
        <v>4009</v>
      </c>
      <c r="B4010" s="2" t="s">
        <v>14</v>
      </c>
      <c r="C4010" s="2" t="s">
        <v>15</v>
      </c>
      <c r="D4010">
        <v>23</v>
      </c>
      <c r="E4010" s="2" t="s">
        <v>24</v>
      </c>
      <c r="F4010" s="2" t="s">
        <v>19</v>
      </c>
      <c r="G4010">
        <v>45462</v>
      </c>
      <c r="H4010" s="1">
        <v>44788</v>
      </c>
      <c r="I4010">
        <v>10</v>
      </c>
      <c r="J4010">
        <v>4</v>
      </c>
      <c r="K4010">
        <v>4546</v>
      </c>
      <c r="L4010">
        <v>2273</v>
      </c>
      <c r="M4010">
        <v>47735</v>
      </c>
      <c r="N4010">
        <v>2273</v>
      </c>
      <c r="O4010">
        <v>52281</v>
      </c>
    </row>
    <row r="4011" spans="1:15" x14ac:dyDescent="0.35">
      <c r="A4011">
        <v>4010</v>
      </c>
      <c r="B4011" s="2" t="s">
        <v>27</v>
      </c>
      <c r="C4011" s="2" t="s">
        <v>11</v>
      </c>
      <c r="D4011">
        <v>59</v>
      </c>
      <c r="E4011" s="2" t="s">
        <v>24</v>
      </c>
      <c r="F4011" s="2" t="s">
        <v>21</v>
      </c>
      <c r="G4011">
        <v>52118</v>
      </c>
      <c r="H4011" s="1">
        <v>44870</v>
      </c>
      <c r="I4011">
        <v>4</v>
      </c>
      <c r="J4011">
        <v>2</v>
      </c>
      <c r="K4011">
        <v>5212</v>
      </c>
      <c r="L4011">
        <v>2606</v>
      </c>
      <c r="M4011">
        <v>54724</v>
      </c>
      <c r="N4011">
        <v>0</v>
      </c>
      <c r="O4011">
        <v>57330</v>
      </c>
    </row>
    <row r="4012" spans="1:15" x14ac:dyDescent="0.35">
      <c r="A4012">
        <v>4011</v>
      </c>
      <c r="B4012" s="2" t="s">
        <v>20</v>
      </c>
      <c r="C4012" s="2" t="s">
        <v>11</v>
      </c>
      <c r="D4012">
        <v>48</v>
      </c>
      <c r="E4012" s="2" t="s">
        <v>29</v>
      </c>
      <c r="F4012" s="2" t="s">
        <v>13</v>
      </c>
      <c r="G4012">
        <v>31943</v>
      </c>
      <c r="H4012" s="1">
        <v>44740</v>
      </c>
      <c r="I4012">
        <v>1</v>
      </c>
      <c r="J4012">
        <v>1</v>
      </c>
      <c r="K4012">
        <v>3194</v>
      </c>
      <c r="L4012">
        <v>1597</v>
      </c>
      <c r="M4012">
        <v>33540</v>
      </c>
      <c r="N4012">
        <v>0</v>
      </c>
      <c r="O4012">
        <v>35137</v>
      </c>
    </row>
    <row r="4013" spans="1:15" x14ac:dyDescent="0.35">
      <c r="A4013">
        <v>4012</v>
      </c>
      <c r="B4013" s="2" t="s">
        <v>31</v>
      </c>
      <c r="C4013" s="2" t="s">
        <v>11</v>
      </c>
      <c r="D4013">
        <v>21</v>
      </c>
      <c r="E4013" s="2" t="s">
        <v>16</v>
      </c>
      <c r="F4013" s="2" t="s">
        <v>21</v>
      </c>
      <c r="G4013">
        <v>55018</v>
      </c>
      <c r="H4013" s="1">
        <v>45424</v>
      </c>
      <c r="I4013">
        <v>11</v>
      </c>
      <c r="J4013">
        <v>3</v>
      </c>
      <c r="K4013">
        <v>5502</v>
      </c>
      <c r="L4013">
        <v>2751</v>
      </c>
      <c r="M4013">
        <v>57769</v>
      </c>
      <c r="N4013">
        <v>2751</v>
      </c>
      <c r="O4013">
        <v>63271</v>
      </c>
    </row>
    <row r="4014" spans="1:15" x14ac:dyDescent="0.35">
      <c r="A4014">
        <v>4013</v>
      </c>
      <c r="B4014" s="2" t="s">
        <v>18</v>
      </c>
      <c r="C4014" s="2" t="s">
        <v>11</v>
      </c>
      <c r="D4014">
        <v>54</v>
      </c>
      <c r="E4014" s="2" t="s">
        <v>24</v>
      </c>
      <c r="F4014" s="2" t="s">
        <v>17</v>
      </c>
      <c r="G4014">
        <v>89234</v>
      </c>
      <c r="H4014" s="1">
        <v>44893</v>
      </c>
      <c r="I4014">
        <v>9</v>
      </c>
      <c r="J4014">
        <v>5</v>
      </c>
      <c r="K4014">
        <v>8923</v>
      </c>
      <c r="L4014">
        <v>4462</v>
      </c>
      <c r="M4014">
        <v>93695</v>
      </c>
      <c r="N4014">
        <v>4462</v>
      </c>
      <c r="O4014">
        <v>102619</v>
      </c>
    </row>
    <row r="4015" spans="1:15" x14ac:dyDescent="0.35">
      <c r="A4015">
        <v>4014</v>
      </c>
      <c r="B4015" s="2" t="s">
        <v>23</v>
      </c>
      <c r="C4015" s="2" t="s">
        <v>15</v>
      </c>
      <c r="D4015">
        <v>25</v>
      </c>
      <c r="E4015" s="2" t="s">
        <v>24</v>
      </c>
      <c r="F4015" s="2" t="s">
        <v>13</v>
      </c>
      <c r="G4015">
        <v>21984</v>
      </c>
      <c r="H4015" s="1">
        <v>44768</v>
      </c>
      <c r="I4015">
        <v>15</v>
      </c>
      <c r="J4015">
        <v>1</v>
      </c>
      <c r="K4015">
        <v>2198</v>
      </c>
      <c r="L4015">
        <v>1099</v>
      </c>
      <c r="M4015">
        <v>23083</v>
      </c>
      <c r="N4015">
        <v>1099</v>
      </c>
      <c r="O4015">
        <v>25281</v>
      </c>
    </row>
    <row r="4016" spans="1:15" x14ac:dyDescent="0.35">
      <c r="A4016">
        <v>4015</v>
      </c>
      <c r="B4016" s="2" t="s">
        <v>18</v>
      </c>
      <c r="C4016" s="2" t="s">
        <v>15</v>
      </c>
      <c r="D4016">
        <v>24</v>
      </c>
      <c r="E4016" s="2" t="s">
        <v>28</v>
      </c>
      <c r="F4016" s="2" t="s">
        <v>19</v>
      </c>
      <c r="G4016">
        <v>91665</v>
      </c>
      <c r="H4016" s="1">
        <v>45033</v>
      </c>
      <c r="I4016">
        <v>8</v>
      </c>
      <c r="J4016">
        <v>4</v>
      </c>
      <c r="K4016">
        <v>9166</v>
      </c>
      <c r="L4016">
        <v>4583</v>
      </c>
      <c r="M4016">
        <v>96248</v>
      </c>
      <c r="N4016">
        <v>4583</v>
      </c>
      <c r="O4016">
        <v>105414</v>
      </c>
    </row>
    <row r="4017" spans="1:15" x14ac:dyDescent="0.35">
      <c r="A4017">
        <v>4016</v>
      </c>
      <c r="B4017" s="2" t="s">
        <v>18</v>
      </c>
      <c r="C4017" s="2" t="s">
        <v>15</v>
      </c>
      <c r="D4017">
        <v>52</v>
      </c>
      <c r="E4017" s="2" t="s">
        <v>29</v>
      </c>
      <c r="F4017" s="2" t="s">
        <v>17</v>
      </c>
      <c r="G4017">
        <v>99412</v>
      </c>
      <c r="H4017" s="1">
        <v>44702</v>
      </c>
      <c r="I4017">
        <v>14</v>
      </c>
      <c r="J4017">
        <v>3</v>
      </c>
      <c r="K4017">
        <v>9941</v>
      </c>
      <c r="L4017">
        <v>4971</v>
      </c>
      <c r="M4017">
        <v>104382</v>
      </c>
      <c r="N4017">
        <v>4971</v>
      </c>
      <c r="O4017">
        <v>114324</v>
      </c>
    </row>
    <row r="4018" spans="1:15" x14ac:dyDescent="0.35">
      <c r="A4018">
        <v>4017</v>
      </c>
      <c r="B4018" s="2" t="s">
        <v>31</v>
      </c>
      <c r="C4018" s="2" t="s">
        <v>15</v>
      </c>
      <c r="D4018">
        <v>27</v>
      </c>
      <c r="E4018" s="2" t="s">
        <v>12</v>
      </c>
      <c r="F4018" s="2" t="s">
        <v>19</v>
      </c>
      <c r="G4018">
        <v>30476</v>
      </c>
      <c r="H4018" s="1">
        <v>45413</v>
      </c>
      <c r="I4018">
        <v>10</v>
      </c>
      <c r="J4018">
        <v>4</v>
      </c>
      <c r="K4018">
        <v>3048</v>
      </c>
      <c r="L4018">
        <v>1524</v>
      </c>
      <c r="M4018">
        <v>32000</v>
      </c>
      <c r="N4018">
        <v>1524</v>
      </c>
      <c r="O4018">
        <v>35048</v>
      </c>
    </row>
    <row r="4019" spans="1:15" x14ac:dyDescent="0.35">
      <c r="A4019">
        <v>4018</v>
      </c>
      <c r="B4019" s="2" t="s">
        <v>26</v>
      </c>
      <c r="C4019" s="2" t="s">
        <v>15</v>
      </c>
      <c r="D4019">
        <v>36</v>
      </c>
      <c r="E4019" s="2" t="s">
        <v>24</v>
      </c>
      <c r="F4019" s="2" t="s">
        <v>17</v>
      </c>
      <c r="G4019">
        <v>50435</v>
      </c>
      <c r="H4019" s="1">
        <v>44855</v>
      </c>
      <c r="I4019">
        <v>4</v>
      </c>
      <c r="J4019">
        <v>1</v>
      </c>
      <c r="K4019">
        <v>5044</v>
      </c>
      <c r="L4019">
        <v>2522</v>
      </c>
      <c r="M4019">
        <v>52957</v>
      </c>
      <c r="N4019">
        <v>0</v>
      </c>
      <c r="O4019">
        <v>55479</v>
      </c>
    </row>
    <row r="4020" spans="1:15" x14ac:dyDescent="0.35">
      <c r="A4020">
        <v>4019</v>
      </c>
      <c r="B4020" s="2" t="s">
        <v>18</v>
      </c>
      <c r="C4020" s="2" t="s">
        <v>15</v>
      </c>
      <c r="D4020">
        <v>51</v>
      </c>
      <c r="E4020" s="2" t="s">
        <v>29</v>
      </c>
      <c r="F4020" s="2" t="s">
        <v>25</v>
      </c>
      <c r="G4020">
        <v>45031</v>
      </c>
      <c r="H4020" s="1">
        <v>44712</v>
      </c>
      <c r="I4020">
        <v>14</v>
      </c>
      <c r="J4020">
        <v>3</v>
      </c>
      <c r="K4020">
        <v>4503</v>
      </c>
      <c r="L4020">
        <v>2252</v>
      </c>
      <c r="M4020">
        <v>47282</v>
      </c>
      <c r="N4020">
        <v>2252</v>
      </c>
      <c r="O4020">
        <v>51786</v>
      </c>
    </row>
    <row r="4021" spans="1:15" x14ac:dyDescent="0.35">
      <c r="A4021">
        <v>4020</v>
      </c>
      <c r="B4021" s="2" t="s">
        <v>31</v>
      </c>
      <c r="C4021" s="2" t="s">
        <v>15</v>
      </c>
      <c r="D4021">
        <v>54</v>
      </c>
      <c r="E4021" s="2" t="s">
        <v>24</v>
      </c>
      <c r="F4021" s="2" t="s">
        <v>25</v>
      </c>
      <c r="G4021">
        <v>90464</v>
      </c>
      <c r="H4021" s="1">
        <v>45059</v>
      </c>
      <c r="I4021">
        <v>12</v>
      </c>
      <c r="J4021">
        <v>5</v>
      </c>
      <c r="K4021">
        <v>9046</v>
      </c>
      <c r="L4021">
        <v>4523</v>
      </c>
      <c r="M4021">
        <v>94987</v>
      </c>
      <c r="N4021">
        <v>4523</v>
      </c>
      <c r="O4021">
        <v>104033</v>
      </c>
    </row>
    <row r="4022" spans="1:15" x14ac:dyDescent="0.35">
      <c r="A4022">
        <v>4021</v>
      </c>
      <c r="B4022" s="2" t="s">
        <v>20</v>
      </c>
      <c r="C4022" s="2" t="s">
        <v>15</v>
      </c>
      <c r="D4022">
        <v>50</v>
      </c>
      <c r="E4022" s="2" t="s">
        <v>12</v>
      </c>
      <c r="F4022" s="2" t="s">
        <v>25</v>
      </c>
      <c r="G4022">
        <v>38314</v>
      </c>
      <c r="H4022" s="1">
        <v>44867</v>
      </c>
      <c r="I4022">
        <v>12</v>
      </c>
      <c r="J4022">
        <v>1</v>
      </c>
      <c r="K4022">
        <v>3831</v>
      </c>
      <c r="L4022">
        <v>1916</v>
      </c>
      <c r="M4022">
        <v>40229</v>
      </c>
      <c r="N4022">
        <v>1916</v>
      </c>
      <c r="O4022">
        <v>44061</v>
      </c>
    </row>
    <row r="4023" spans="1:15" x14ac:dyDescent="0.35">
      <c r="A4023">
        <v>4022</v>
      </c>
      <c r="B4023" s="2" t="s">
        <v>22</v>
      </c>
      <c r="C4023" s="2" t="s">
        <v>11</v>
      </c>
      <c r="D4023">
        <v>48</v>
      </c>
      <c r="E4023" s="2" t="s">
        <v>28</v>
      </c>
      <c r="F4023" s="2" t="s">
        <v>21</v>
      </c>
      <c r="G4023">
        <v>43678</v>
      </c>
      <c r="H4023" s="1">
        <v>45278</v>
      </c>
      <c r="I4023">
        <v>10</v>
      </c>
      <c r="J4023">
        <v>2</v>
      </c>
      <c r="K4023">
        <v>4368</v>
      </c>
      <c r="L4023">
        <v>2184</v>
      </c>
      <c r="M4023">
        <v>45862</v>
      </c>
      <c r="N4023">
        <v>2184</v>
      </c>
      <c r="O4023">
        <v>50230</v>
      </c>
    </row>
    <row r="4024" spans="1:15" x14ac:dyDescent="0.35">
      <c r="A4024">
        <v>4023</v>
      </c>
      <c r="B4024" s="2" t="s">
        <v>30</v>
      </c>
      <c r="C4024" s="2" t="s">
        <v>15</v>
      </c>
      <c r="D4024">
        <v>54</v>
      </c>
      <c r="E4024" s="2" t="s">
        <v>28</v>
      </c>
      <c r="F4024" s="2" t="s">
        <v>25</v>
      </c>
      <c r="G4024">
        <v>95384</v>
      </c>
      <c r="H4024" s="1">
        <v>44677</v>
      </c>
      <c r="I4024">
        <v>16</v>
      </c>
      <c r="J4024">
        <v>1</v>
      </c>
      <c r="K4024">
        <v>9538</v>
      </c>
      <c r="L4024">
        <v>4769</v>
      </c>
      <c r="M4024">
        <v>100153</v>
      </c>
      <c r="N4024">
        <v>4769</v>
      </c>
      <c r="O4024">
        <v>109691</v>
      </c>
    </row>
    <row r="4025" spans="1:15" x14ac:dyDescent="0.35">
      <c r="A4025">
        <v>4024</v>
      </c>
      <c r="B4025" s="2" t="s">
        <v>30</v>
      </c>
      <c r="C4025" s="2" t="s">
        <v>15</v>
      </c>
      <c r="D4025">
        <v>26</v>
      </c>
      <c r="E4025" s="2" t="s">
        <v>29</v>
      </c>
      <c r="F4025" s="2" t="s">
        <v>25</v>
      </c>
      <c r="G4025">
        <v>63456</v>
      </c>
      <c r="H4025" s="1">
        <v>44852</v>
      </c>
      <c r="I4025">
        <v>17</v>
      </c>
      <c r="J4025">
        <v>3</v>
      </c>
      <c r="K4025">
        <v>6346</v>
      </c>
      <c r="L4025">
        <v>3173</v>
      </c>
      <c r="M4025">
        <v>66629</v>
      </c>
      <c r="N4025">
        <v>3173</v>
      </c>
      <c r="O4025">
        <v>72975</v>
      </c>
    </row>
    <row r="4026" spans="1:15" x14ac:dyDescent="0.35">
      <c r="A4026">
        <v>4025</v>
      </c>
      <c r="B4026" s="2" t="s">
        <v>26</v>
      </c>
      <c r="C4026" s="2" t="s">
        <v>15</v>
      </c>
      <c r="D4026">
        <v>48</v>
      </c>
      <c r="E4026" s="2" t="s">
        <v>12</v>
      </c>
      <c r="F4026" s="2" t="s">
        <v>19</v>
      </c>
      <c r="G4026">
        <v>93370</v>
      </c>
      <c r="H4026" s="1">
        <v>44890</v>
      </c>
      <c r="I4026">
        <v>9</v>
      </c>
      <c r="J4026">
        <v>2</v>
      </c>
      <c r="K4026">
        <v>9337</v>
      </c>
      <c r="L4026">
        <v>4668</v>
      </c>
      <c r="M4026">
        <v>98039</v>
      </c>
      <c r="N4026">
        <v>4668</v>
      </c>
      <c r="O4026">
        <v>107375</v>
      </c>
    </row>
    <row r="4027" spans="1:15" x14ac:dyDescent="0.35">
      <c r="A4027">
        <v>4026</v>
      </c>
      <c r="B4027" s="2" t="s">
        <v>27</v>
      </c>
      <c r="C4027" s="2" t="s">
        <v>11</v>
      </c>
      <c r="D4027">
        <v>24</v>
      </c>
      <c r="E4027" s="2" t="s">
        <v>28</v>
      </c>
      <c r="F4027" s="2" t="s">
        <v>13</v>
      </c>
      <c r="G4027">
        <v>33063</v>
      </c>
      <c r="H4027" s="1">
        <v>44762</v>
      </c>
      <c r="I4027">
        <v>5</v>
      </c>
      <c r="J4027">
        <v>1</v>
      </c>
      <c r="K4027">
        <v>3306</v>
      </c>
      <c r="L4027">
        <v>1653</v>
      </c>
      <c r="M4027">
        <v>34716</v>
      </c>
      <c r="N4027">
        <v>0</v>
      </c>
      <c r="O4027">
        <v>36369</v>
      </c>
    </row>
    <row r="4028" spans="1:15" x14ac:dyDescent="0.35">
      <c r="A4028">
        <v>4027</v>
      </c>
      <c r="B4028" s="2" t="s">
        <v>18</v>
      </c>
      <c r="C4028" s="2" t="s">
        <v>15</v>
      </c>
      <c r="D4028">
        <v>33</v>
      </c>
      <c r="E4028" s="2" t="s">
        <v>24</v>
      </c>
      <c r="F4028" s="2" t="s">
        <v>13</v>
      </c>
      <c r="G4028">
        <v>93107</v>
      </c>
      <c r="H4028" s="1">
        <v>44777</v>
      </c>
      <c r="I4028">
        <v>3</v>
      </c>
      <c r="J4028">
        <v>5</v>
      </c>
      <c r="K4028">
        <v>9311</v>
      </c>
      <c r="L4028">
        <v>4655</v>
      </c>
      <c r="M4028">
        <v>97763</v>
      </c>
      <c r="N4028">
        <v>0</v>
      </c>
      <c r="O4028">
        <v>102418</v>
      </c>
    </row>
    <row r="4029" spans="1:15" x14ac:dyDescent="0.35">
      <c r="A4029">
        <v>4028</v>
      </c>
      <c r="B4029" s="2" t="s">
        <v>26</v>
      </c>
      <c r="C4029" s="2" t="s">
        <v>15</v>
      </c>
      <c r="D4029">
        <v>55</v>
      </c>
      <c r="E4029" s="2" t="s">
        <v>16</v>
      </c>
      <c r="F4029" s="2" t="s">
        <v>13</v>
      </c>
      <c r="G4029">
        <v>28176</v>
      </c>
      <c r="H4029" s="1">
        <v>45509</v>
      </c>
      <c r="I4029">
        <v>12</v>
      </c>
      <c r="J4029">
        <v>3</v>
      </c>
      <c r="K4029">
        <v>2818</v>
      </c>
      <c r="L4029">
        <v>1409</v>
      </c>
      <c r="M4029">
        <v>29585</v>
      </c>
      <c r="N4029">
        <v>1409</v>
      </c>
      <c r="O4029">
        <v>32403</v>
      </c>
    </row>
    <row r="4030" spans="1:15" x14ac:dyDescent="0.35">
      <c r="A4030">
        <v>4029</v>
      </c>
      <c r="B4030" s="2" t="s">
        <v>22</v>
      </c>
      <c r="C4030" s="2" t="s">
        <v>15</v>
      </c>
      <c r="D4030">
        <v>29</v>
      </c>
      <c r="E4030" s="2" t="s">
        <v>12</v>
      </c>
      <c r="F4030" s="2" t="s">
        <v>13</v>
      </c>
      <c r="G4030">
        <v>67361</v>
      </c>
      <c r="H4030" s="1">
        <v>45499</v>
      </c>
      <c r="I4030">
        <v>19</v>
      </c>
      <c r="J4030">
        <v>5</v>
      </c>
      <c r="K4030">
        <v>6736</v>
      </c>
      <c r="L4030">
        <v>3368</v>
      </c>
      <c r="M4030">
        <v>70729</v>
      </c>
      <c r="N4030">
        <v>3368</v>
      </c>
      <c r="O4030">
        <v>77465</v>
      </c>
    </row>
    <row r="4031" spans="1:15" x14ac:dyDescent="0.35">
      <c r="A4031">
        <v>4030</v>
      </c>
      <c r="B4031" s="2" t="s">
        <v>14</v>
      </c>
      <c r="C4031" s="2" t="s">
        <v>15</v>
      </c>
      <c r="D4031">
        <v>26</v>
      </c>
      <c r="E4031" s="2" t="s">
        <v>28</v>
      </c>
      <c r="F4031" s="2" t="s">
        <v>21</v>
      </c>
      <c r="G4031">
        <v>85601</v>
      </c>
      <c r="H4031" s="1">
        <v>45451</v>
      </c>
      <c r="I4031">
        <v>14</v>
      </c>
      <c r="J4031">
        <v>2</v>
      </c>
      <c r="K4031">
        <v>8560</v>
      </c>
      <c r="L4031">
        <v>4280</v>
      </c>
      <c r="M4031">
        <v>89881</v>
      </c>
      <c r="N4031">
        <v>4280</v>
      </c>
      <c r="O4031">
        <v>98441</v>
      </c>
    </row>
    <row r="4032" spans="1:15" x14ac:dyDescent="0.35">
      <c r="A4032">
        <v>4031</v>
      </c>
      <c r="B4032" s="2" t="s">
        <v>31</v>
      </c>
      <c r="C4032" s="2" t="s">
        <v>11</v>
      </c>
      <c r="D4032">
        <v>24</v>
      </c>
      <c r="E4032" s="2" t="s">
        <v>29</v>
      </c>
      <c r="F4032" s="2" t="s">
        <v>25</v>
      </c>
      <c r="G4032">
        <v>77076</v>
      </c>
      <c r="H4032" s="1">
        <v>44885</v>
      </c>
      <c r="I4032">
        <v>15</v>
      </c>
      <c r="J4032">
        <v>4</v>
      </c>
      <c r="K4032">
        <v>7708</v>
      </c>
      <c r="L4032">
        <v>3854</v>
      </c>
      <c r="M4032">
        <v>80930</v>
      </c>
      <c r="N4032">
        <v>3854</v>
      </c>
      <c r="O4032">
        <v>88638</v>
      </c>
    </row>
    <row r="4033" spans="1:15" x14ac:dyDescent="0.35">
      <c r="A4033">
        <v>4032</v>
      </c>
      <c r="B4033" s="2" t="s">
        <v>30</v>
      </c>
      <c r="C4033" s="2" t="s">
        <v>11</v>
      </c>
      <c r="D4033">
        <v>40</v>
      </c>
      <c r="E4033" s="2" t="s">
        <v>16</v>
      </c>
      <c r="F4033" s="2" t="s">
        <v>13</v>
      </c>
      <c r="G4033">
        <v>48986</v>
      </c>
      <c r="H4033" s="1">
        <v>44775</v>
      </c>
      <c r="I4033">
        <v>2</v>
      </c>
      <c r="J4033">
        <v>2</v>
      </c>
      <c r="K4033">
        <v>4899</v>
      </c>
      <c r="L4033">
        <v>2449</v>
      </c>
      <c r="M4033">
        <v>51436</v>
      </c>
      <c r="N4033">
        <v>0</v>
      </c>
      <c r="O4033">
        <v>53885</v>
      </c>
    </row>
    <row r="4034" spans="1:15" x14ac:dyDescent="0.35">
      <c r="A4034">
        <v>4033</v>
      </c>
      <c r="B4034" s="2" t="s">
        <v>18</v>
      </c>
      <c r="C4034" s="2" t="s">
        <v>11</v>
      </c>
      <c r="D4034">
        <v>47</v>
      </c>
      <c r="E4034" s="2" t="s">
        <v>24</v>
      </c>
      <c r="F4034" s="2" t="s">
        <v>17</v>
      </c>
      <c r="G4034">
        <v>21474</v>
      </c>
      <c r="H4034" s="1">
        <v>44709</v>
      </c>
      <c r="I4034">
        <v>20</v>
      </c>
      <c r="J4034">
        <v>5</v>
      </c>
      <c r="K4034">
        <v>2147</v>
      </c>
      <c r="L4034">
        <v>1074</v>
      </c>
      <c r="M4034">
        <v>22547</v>
      </c>
      <c r="N4034">
        <v>1074</v>
      </c>
      <c r="O4034">
        <v>24695</v>
      </c>
    </row>
    <row r="4035" spans="1:15" x14ac:dyDescent="0.35">
      <c r="A4035">
        <v>4034</v>
      </c>
      <c r="B4035" s="2" t="s">
        <v>26</v>
      </c>
      <c r="C4035" s="2" t="s">
        <v>11</v>
      </c>
      <c r="D4035">
        <v>59</v>
      </c>
      <c r="E4035" s="2" t="s">
        <v>16</v>
      </c>
      <c r="F4035" s="2" t="s">
        <v>25</v>
      </c>
      <c r="G4035">
        <v>44250</v>
      </c>
      <c r="H4035" s="1">
        <v>45161</v>
      </c>
      <c r="I4035">
        <v>15</v>
      </c>
      <c r="J4035">
        <v>5</v>
      </c>
      <c r="K4035">
        <v>4425</v>
      </c>
      <c r="L4035">
        <v>2212</v>
      </c>
      <c r="M4035">
        <v>46463</v>
      </c>
      <c r="N4035">
        <v>2212</v>
      </c>
      <c r="O4035">
        <v>50887</v>
      </c>
    </row>
    <row r="4036" spans="1:15" x14ac:dyDescent="0.35">
      <c r="A4036">
        <v>4035</v>
      </c>
      <c r="B4036" s="2" t="s">
        <v>10</v>
      </c>
      <c r="C4036" s="2" t="s">
        <v>15</v>
      </c>
      <c r="D4036">
        <v>32</v>
      </c>
      <c r="E4036" s="2" t="s">
        <v>24</v>
      </c>
      <c r="F4036" s="2" t="s">
        <v>25</v>
      </c>
      <c r="G4036">
        <v>96157</v>
      </c>
      <c r="H4036" s="1">
        <v>45451</v>
      </c>
      <c r="I4036">
        <v>1</v>
      </c>
      <c r="J4036">
        <v>4</v>
      </c>
      <c r="K4036">
        <v>9616</v>
      </c>
      <c r="L4036">
        <v>4808</v>
      </c>
      <c r="M4036">
        <v>100965</v>
      </c>
      <c r="N4036">
        <v>0</v>
      </c>
      <c r="O4036">
        <v>105773</v>
      </c>
    </row>
    <row r="4037" spans="1:15" x14ac:dyDescent="0.35">
      <c r="A4037">
        <v>4036</v>
      </c>
      <c r="B4037" s="2" t="s">
        <v>20</v>
      </c>
      <c r="C4037" s="2" t="s">
        <v>11</v>
      </c>
      <c r="D4037">
        <v>42</v>
      </c>
      <c r="E4037" s="2" t="s">
        <v>12</v>
      </c>
      <c r="F4037" s="2" t="s">
        <v>21</v>
      </c>
      <c r="G4037">
        <v>76710</v>
      </c>
      <c r="H4037" s="1">
        <v>45514</v>
      </c>
      <c r="I4037">
        <v>11</v>
      </c>
      <c r="J4037">
        <v>5</v>
      </c>
      <c r="K4037">
        <v>7671</v>
      </c>
      <c r="L4037">
        <v>3836</v>
      </c>
      <c r="M4037">
        <v>80545</v>
      </c>
      <c r="N4037">
        <v>3836</v>
      </c>
      <c r="O4037">
        <v>88217</v>
      </c>
    </row>
    <row r="4038" spans="1:15" x14ac:dyDescent="0.35">
      <c r="A4038">
        <v>4037</v>
      </c>
      <c r="B4038" s="2" t="s">
        <v>22</v>
      </c>
      <c r="C4038" s="2" t="s">
        <v>15</v>
      </c>
      <c r="D4038">
        <v>58</v>
      </c>
      <c r="E4038" s="2" t="s">
        <v>24</v>
      </c>
      <c r="F4038" s="2" t="s">
        <v>17</v>
      </c>
      <c r="G4038">
        <v>57862</v>
      </c>
      <c r="H4038" s="1">
        <v>45561</v>
      </c>
      <c r="I4038">
        <v>14</v>
      </c>
      <c r="J4038">
        <v>1</v>
      </c>
      <c r="K4038">
        <v>5786</v>
      </c>
      <c r="L4038">
        <v>2893</v>
      </c>
      <c r="M4038">
        <v>60755</v>
      </c>
      <c r="N4038">
        <v>2893</v>
      </c>
      <c r="O4038">
        <v>66541</v>
      </c>
    </row>
    <row r="4039" spans="1:15" x14ac:dyDescent="0.35">
      <c r="A4039">
        <v>4038</v>
      </c>
      <c r="B4039" s="2" t="s">
        <v>31</v>
      </c>
      <c r="C4039" s="2" t="s">
        <v>11</v>
      </c>
      <c r="D4039">
        <v>42</v>
      </c>
      <c r="E4039" s="2" t="s">
        <v>16</v>
      </c>
      <c r="F4039" s="2" t="s">
        <v>19</v>
      </c>
      <c r="G4039">
        <v>50556</v>
      </c>
      <c r="H4039" s="1">
        <v>45284</v>
      </c>
      <c r="I4039">
        <v>19</v>
      </c>
      <c r="J4039">
        <v>3</v>
      </c>
      <c r="K4039">
        <v>5056</v>
      </c>
      <c r="L4039">
        <v>2528</v>
      </c>
      <c r="M4039">
        <v>53084</v>
      </c>
      <c r="N4039">
        <v>2528</v>
      </c>
      <c r="O4039">
        <v>58140</v>
      </c>
    </row>
    <row r="4040" spans="1:15" x14ac:dyDescent="0.35">
      <c r="A4040">
        <v>4039</v>
      </c>
      <c r="B4040" s="2" t="s">
        <v>30</v>
      </c>
      <c r="C4040" s="2" t="s">
        <v>15</v>
      </c>
      <c r="D4040">
        <v>22</v>
      </c>
      <c r="E4040" s="2" t="s">
        <v>16</v>
      </c>
      <c r="F4040" s="2" t="s">
        <v>25</v>
      </c>
      <c r="G4040">
        <v>63405</v>
      </c>
      <c r="H4040" s="1">
        <v>44599</v>
      </c>
      <c r="I4040">
        <v>9</v>
      </c>
      <c r="J4040">
        <v>1</v>
      </c>
      <c r="K4040">
        <v>6340</v>
      </c>
      <c r="L4040">
        <v>3170</v>
      </c>
      <c r="M4040">
        <v>66575</v>
      </c>
      <c r="N4040">
        <v>3170</v>
      </c>
      <c r="O4040">
        <v>72915</v>
      </c>
    </row>
    <row r="4041" spans="1:15" x14ac:dyDescent="0.35">
      <c r="A4041">
        <v>4040</v>
      </c>
      <c r="B4041" s="2" t="s">
        <v>20</v>
      </c>
      <c r="C4041" s="2" t="s">
        <v>11</v>
      </c>
      <c r="D4041">
        <v>32</v>
      </c>
      <c r="E4041" s="2" t="s">
        <v>16</v>
      </c>
      <c r="F4041" s="2" t="s">
        <v>25</v>
      </c>
      <c r="G4041">
        <v>71284</v>
      </c>
      <c r="H4041" s="1">
        <v>44921</v>
      </c>
      <c r="I4041">
        <v>15</v>
      </c>
      <c r="J4041">
        <v>4</v>
      </c>
      <c r="K4041">
        <v>7128</v>
      </c>
      <c r="L4041">
        <v>3564</v>
      </c>
      <c r="M4041">
        <v>74848</v>
      </c>
      <c r="N4041">
        <v>3564</v>
      </c>
      <c r="O4041">
        <v>81976</v>
      </c>
    </row>
    <row r="4042" spans="1:15" x14ac:dyDescent="0.35">
      <c r="A4042">
        <v>4041</v>
      </c>
      <c r="B4042" s="2" t="s">
        <v>14</v>
      </c>
      <c r="C4042" s="2" t="s">
        <v>15</v>
      </c>
      <c r="D4042">
        <v>40</v>
      </c>
      <c r="E4042" s="2" t="s">
        <v>16</v>
      </c>
      <c r="F4042" s="2" t="s">
        <v>25</v>
      </c>
      <c r="G4042">
        <v>90620</v>
      </c>
      <c r="H4042" s="1">
        <v>45224</v>
      </c>
      <c r="I4042">
        <v>19</v>
      </c>
      <c r="J4042">
        <v>5</v>
      </c>
      <c r="K4042">
        <v>9062</v>
      </c>
      <c r="L4042">
        <v>4531</v>
      </c>
      <c r="M4042">
        <v>95151</v>
      </c>
      <c r="N4042">
        <v>4531</v>
      </c>
      <c r="O4042">
        <v>104213</v>
      </c>
    </row>
    <row r="4043" spans="1:15" x14ac:dyDescent="0.35">
      <c r="A4043">
        <v>4042</v>
      </c>
      <c r="B4043" s="2" t="s">
        <v>30</v>
      </c>
      <c r="C4043" s="2" t="s">
        <v>11</v>
      </c>
      <c r="D4043">
        <v>48</v>
      </c>
      <c r="E4043" s="2" t="s">
        <v>28</v>
      </c>
      <c r="F4043" s="2" t="s">
        <v>25</v>
      </c>
      <c r="G4043">
        <v>22550</v>
      </c>
      <c r="H4043" s="1">
        <v>45353</v>
      </c>
      <c r="I4043">
        <v>20</v>
      </c>
      <c r="J4043">
        <v>4</v>
      </c>
      <c r="K4043">
        <v>2255</v>
      </c>
      <c r="L4043">
        <v>1128</v>
      </c>
      <c r="M4043">
        <v>23677</v>
      </c>
      <c r="N4043">
        <v>1128</v>
      </c>
      <c r="O4043">
        <v>25933</v>
      </c>
    </row>
    <row r="4044" spans="1:15" x14ac:dyDescent="0.35">
      <c r="A4044">
        <v>4043</v>
      </c>
      <c r="B4044" s="2" t="s">
        <v>30</v>
      </c>
      <c r="C4044" s="2" t="s">
        <v>15</v>
      </c>
      <c r="D4044">
        <v>28</v>
      </c>
      <c r="E4044" s="2" t="s">
        <v>12</v>
      </c>
      <c r="F4044" s="2" t="s">
        <v>13</v>
      </c>
      <c r="G4044">
        <v>44741</v>
      </c>
      <c r="H4044" s="1">
        <v>44843</v>
      </c>
      <c r="I4044">
        <v>17</v>
      </c>
      <c r="J4044">
        <v>2</v>
      </c>
      <c r="K4044">
        <v>4474</v>
      </c>
      <c r="L4044">
        <v>2237</v>
      </c>
      <c r="M4044">
        <v>46978</v>
      </c>
      <c r="N4044">
        <v>2237</v>
      </c>
      <c r="O4044">
        <v>51452</v>
      </c>
    </row>
    <row r="4045" spans="1:15" x14ac:dyDescent="0.35">
      <c r="A4045">
        <v>4044</v>
      </c>
      <c r="B4045" s="2" t="s">
        <v>30</v>
      </c>
      <c r="C4045" s="2" t="s">
        <v>15</v>
      </c>
      <c r="D4045">
        <v>49</v>
      </c>
      <c r="E4045" s="2" t="s">
        <v>12</v>
      </c>
      <c r="F4045" s="2" t="s">
        <v>25</v>
      </c>
      <c r="G4045">
        <v>36682</v>
      </c>
      <c r="H4045" s="1">
        <v>45194</v>
      </c>
      <c r="I4045">
        <v>11</v>
      </c>
      <c r="J4045">
        <v>4</v>
      </c>
      <c r="K4045">
        <v>3668</v>
      </c>
      <c r="L4045">
        <v>1834</v>
      </c>
      <c r="M4045">
        <v>38516</v>
      </c>
      <c r="N4045">
        <v>1834</v>
      </c>
      <c r="O4045">
        <v>42184</v>
      </c>
    </row>
    <row r="4046" spans="1:15" x14ac:dyDescent="0.35">
      <c r="A4046">
        <v>4045</v>
      </c>
      <c r="B4046" s="2" t="s">
        <v>31</v>
      </c>
      <c r="C4046" s="2" t="s">
        <v>11</v>
      </c>
      <c r="D4046">
        <v>21</v>
      </c>
      <c r="E4046" s="2" t="s">
        <v>12</v>
      </c>
      <c r="F4046" s="2" t="s">
        <v>19</v>
      </c>
      <c r="G4046">
        <v>97146</v>
      </c>
      <c r="H4046" s="1">
        <v>45545</v>
      </c>
      <c r="I4046">
        <v>20</v>
      </c>
      <c r="J4046">
        <v>2</v>
      </c>
      <c r="K4046">
        <v>9715</v>
      </c>
      <c r="L4046">
        <v>4857</v>
      </c>
      <c r="M4046">
        <v>102004</v>
      </c>
      <c r="N4046">
        <v>4857</v>
      </c>
      <c r="O4046">
        <v>111718</v>
      </c>
    </row>
    <row r="4047" spans="1:15" x14ac:dyDescent="0.35">
      <c r="A4047">
        <v>4046</v>
      </c>
      <c r="B4047" s="2" t="s">
        <v>27</v>
      </c>
      <c r="C4047" s="2" t="s">
        <v>11</v>
      </c>
      <c r="D4047">
        <v>52</v>
      </c>
      <c r="E4047" s="2" t="s">
        <v>29</v>
      </c>
      <c r="F4047" s="2" t="s">
        <v>17</v>
      </c>
      <c r="G4047">
        <v>62519</v>
      </c>
      <c r="H4047" s="1">
        <v>45189</v>
      </c>
      <c r="I4047">
        <v>8</v>
      </c>
      <c r="J4047">
        <v>1</v>
      </c>
      <c r="K4047">
        <v>6252</v>
      </c>
      <c r="L4047">
        <v>3126</v>
      </c>
      <c r="M4047">
        <v>65645</v>
      </c>
      <c r="N4047">
        <v>3126</v>
      </c>
      <c r="O4047">
        <v>71897</v>
      </c>
    </row>
    <row r="4048" spans="1:15" x14ac:dyDescent="0.35">
      <c r="A4048">
        <v>4047</v>
      </c>
      <c r="B4048" s="2" t="s">
        <v>30</v>
      </c>
      <c r="C4048" s="2" t="s">
        <v>11</v>
      </c>
      <c r="D4048">
        <v>30</v>
      </c>
      <c r="E4048" s="2" t="s">
        <v>29</v>
      </c>
      <c r="F4048" s="2" t="s">
        <v>17</v>
      </c>
      <c r="G4048">
        <v>27432</v>
      </c>
      <c r="H4048" s="1">
        <v>44919</v>
      </c>
      <c r="I4048">
        <v>14</v>
      </c>
      <c r="J4048">
        <v>3</v>
      </c>
      <c r="K4048">
        <v>2743</v>
      </c>
      <c r="L4048">
        <v>1372</v>
      </c>
      <c r="M4048">
        <v>28803</v>
      </c>
      <c r="N4048">
        <v>1372</v>
      </c>
      <c r="O4048">
        <v>31547</v>
      </c>
    </row>
    <row r="4049" spans="1:15" x14ac:dyDescent="0.35">
      <c r="A4049">
        <v>4048</v>
      </c>
      <c r="B4049" s="2" t="s">
        <v>10</v>
      </c>
      <c r="C4049" s="2" t="s">
        <v>11</v>
      </c>
      <c r="D4049">
        <v>30</v>
      </c>
      <c r="E4049" s="2" t="s">
        <v>24</v>
      </c>
      <c r="F4049" s="2" t="s">
        <v>19</v>
      </c>
      <c r="G4049">
        <v>24174</v>
      </c>
      <c r="H4049" s="1">
        <v>45193</v>
      </c>
      <c r="I4049">
        <v>16</v>
      </c>
      <c r="J4049">
        <v>5</v>
      </c>
      <c r="K4049">
        <v>2417</v>
      </c>
      <c r="L4049">
        <v>1209</v>
      </c>
      <c r="M4049">
        <v>25382</v>
      </c>
      <c r="N4049">
        <v>1209</v>
      </c>
      <c r="O4049">
        <v>27800</v>
      </c>
    </row>
    <row r="4050" spans="1:15" x14ac:dyDescent="0.35">
      <c r="A4050">
        <v>4049</v>
      </c>
      <c r="B4050" s="2" t="s">
        <v>23</v>
      </c>
      <c r="C4050" s="2" t="s">
        <v>15</v>
      </c>
      <c r="D4050">
        <v>51</v>
      </c>
      <c r="E4050" s="2" t="s">
        <v>29</v>
      </c>
      <c r="F4050" s="2" t="s">
        <v>13</v>
      </c>
      <c r="G4050">
        <v>81934</v>
      </c>
      <c r="H4050" s="1">
        <v>45075</v>
      </c>
      <c r="I4050">
        <v>14</v>
      </c>
      <c r="J4050">
        <v>4</v>
      </c>
      <c r="K4050">
        <v>8193</v>
      </c>
      <c r="L4050">
        <v>4097</v>
      </c>
      <c r="M4050">
        <v>86030</v>
      </c>
      <c r="N4050">
        <v>4097</v>
      </c>
      <c r="O4050">
        <v>94224</v>
      </c>
    </row>
    <row r="4051" spans="1:15" x14ac:dyDescent="0.35">
      <c r="A4051">
        <v>4050</v>
      </c>
      <c r="B4051" s="2" t="s">
        <v>22</v>
      </c>
      <c r="C4051" s="2" t="s">
        <v>15</v>
      </c>
      <c r="D4051">
        <v>47</v>
      </c>
      <c r="E4051" s="2" t="s">
        <v>29</v>
      </c>
      <c r="F4051" s="2" t="s">
        <v>19</v>
      </c>
      <c r="G4051">
        <v>80452</v>
      </c>
      <c r="H4051" s="1">
        <v>45168</v>
      </c>
      <c r="I4051">
        <v>14</v>
      </c>
      <c r="J4051">
        <v>1</v>
      </c>
      <c r="K4051">
        <v>8045</v>
      </c>
      <c r="L4051">
        <v>4023</v>
      </c>
      <c r="M4051">
        <v>84474</v>
      </c>
      <c r="N4051">
        <v>4023</v>
      </c>
      <c r="O4051">
        <v>92520</v>
      </c>
    </row>
    <row r="4052" spans="1:15" x14ac:dyDescent="0.35">
      <c r="A4052">
        <v>4051</v>
      </c>
      <c r="B4052" s="2" t="s">
        <v>10</v>
      </c>
      <c r="C4052" s="2" t="s">
        <v>11</v>
      </c>
      <c r="D4052">
        <v>43</v>
      </c>
      <c r="E4052" s="2" t="s">
        <v>28</v>
      </c>
      <c r="F4052" s="2" t="s">
        <v>13</v>
      </c>
      <c r="G4052">
        <v>79474</v>
      </c>
      <c r="H4052" s="1">
        <v>44807</v>
      </c>
      <c r="I4052">
        <v>6</v>
      </c>
      <c r="J4052">
        <v>4</v>
      </c>
      <c r="K4052">
        <v>7947</v>
      </c>
      <c r="L4052">
        <v>3974</v>
      </c>
      <c r="M4052">
        <v>83447</v>
      </c>
      <c r="N4052">
        <v>3974</v>
      </c>
      <c r="O4052">
        <v>91395</v>
      </c>
    </row>
    <row r="4053" spans="1:15" x14ac:dyDescent="0.35">
      <c r="A4053">
        <v>4052</v>
      </c>
      <c r="B4053" s="2" t="s">
        <v>26</v>
      </c>
      <c r="C4053" s="2" t="s">
        <v>15</v>
      </c>
      <c r="D4053">
        <v>46</v>
      </c>
      <c r="E4053" s="2" t="s">
        <v>24</v>
      </c>
      <c r="F4053" s="2" t="s">
        <v>19</v>
      </c>
      <c r="G4053">
        <v>62105</v>
      </c>
      <c r="H4053" s="1">
        <v>45173</v>
      </c>
      <c r="I4053">
        <v>12</v>
      </c>
      <c r="J4053">
        <v>5</v>
      </c>
      <c r="K4053">
        <v>6210</v>
      </c>
      <c r="L4053">
        <v>3105</v>
      </c>
      <c r="M4053">
        <v>65210</v>
      </c>
      <c r="N4053">
        <v>3105</v>
      </c>
      <c r="O4053">
        <v>71420</v>
      </c>
    </row>
    <row r="4054" spans="1:15" x14ac:dyDescent="0.35">
      <c r="A4054">
        <v>4053</v>
      </c>
      <c r="B4054" s="2" t="s">
        <v>10</v>
      </c>
      <c r="C4054" s="2" t="s">
        <v>11</v>
      </c>
      <c r="D4054">
        <v>37</v>
      </c>
      <c r="E4054" s="2" t="s">
        <v>29</v>
      </c>
      <c r="F4054" s="2" t="s">
        <v>25</v>
      </c>
      <c r="G4054">
        <v>73275</v>
      </c>
      <c r="H4054" s="1">
        <v>44615</v>
      </c>
      <c r="I4054">
        <v>13</v>
      </c>
      <c r="J4054">
        <v>3</v>
      </c>
      <c r="K4054">
        <v>7328</v>
      </c>
      <c r="L4054">
        <v>3664</v>
      </c>
      <c r="M4054">
        <v>76939</v>
      </c>
      <c r="N4054">
        <v>3664</v>
      </c>
      <c r="O4054">
        <v>84267</v>
      </c>
    </row>
    <row r="4055" spans="1:15" x14ac:dyDescent="0.35">
      <c r="A4055">
        <v>4054</v>
      </c>
      <c r="B4055" s="2" t="s">
        <v>26</v>
      </c>
      <c r="C4055" s="2" t="s">
        <v>11</v>
      </c>
      <c r="D4055">
        <v>38</v>
      </c>
      <c r="E4055" s="2" t="s">
        <v>29</v>
      </c>
      <c r="F4055" s="2" t="s">
        <v>13</v>
      </c>
      <c r="G4055">
        <v>48103</v>
      </c>
      <c r="H4055" s="1">
        <v>45424</v>
      </c>
      <c r="I4055">
        <v>14</v>
      </c>
      <c r="J4055">
        <v>4</v>
      </c>
      <c r="K4055">
        <v>4810</v>
      </c>
      <c r="L4055">
        <v>2405</v>
      </c>
      <c r="M4055">
        <v>50508</v>
      </c>
      <c r="N4055">
        <v>2405</v>
      </c>
      <c r="O4055">
        <v>55318</v>
      </c>
    </row>
    <row r="4056" spans="1:15" x14ac:dyDescent="0.35">
      <c r="A4056">
        <v>4055</v>
      </c>
      <c r="B4056" s="2" t="s">
        <v>18</v>
      </c>
      <c r="C4056" s="2" t="s">
        <v>15</v>
      </c>
      <c r="D4056">
        <v>24</v>
      </c>
      <c r="E4056" s="2" t="s">
        <v>28</v>
      </c>
      <c r="F4056" s="2" t="s">
        <v>17</v>
      </c>
      <c r="G4056">
        <v>50772</v>
      </c>
      <c r="H4056" s="1">
        <v>44792</v>
      </c>
      <c r="I4056">
        <v>2</v>
      </c>
      <c r="J4056">
        <v>5</v>
      </c>
      <c r="K4056">
        <v>5077</v>
      </c>
      <c r="L4056">
        <v>2539</v>
      </c>
      <c r="M4056">
        <v>53310</v>
      </c>
      <c r="N4056">
        <v>0</v>
      </c>
      <c r="O4056">
        <v>55849</v>
      </c>
    </row>
    <row r="4057" spans="1:15" x14ac:dyDescent="0.35">
      <c r="A4057">
        <v>4056</v>
      </c>
      <c r="B4057" s="2" t="s">
        <v>20</v>
      </c>
      <c r="C4057" s="2" t="s">
        <v>15</v>
      </c>
      <c r="D4057">
        <v>52</v>
      </c>
      <c r="E4057" s="2" t="s">
        <v>29</v>
      </c>
      <c r="F4057" s="2" t="s">
        <v>19</v>
      </c>
      <c r="G4057">
        <v>29619</v>
      </c>
      <c r="H4057" s="1">
        <v>44662</v>
      </c>
      <c r="I4057">
        <v>6</v>
      </c>
      <c r="J4057">
        <v>5</v>
      </c>
      <c r="K4057">
        <v>2962</v>
      </c>
      <c r="L4057">
        <v>1481</v>
      </c>
      <c r="M4057">
        <v>31100</v>
      </c>
      <c r="N4057">
        <v>1481</v>
      </c>
      <c r="O4057">
        <v>34062</v>
      </c>
    </row>
    <row r="4058" spans="1:15" x14ac:dyDescent="0.35">
      <c r="A4058">
        <v>4057</v>
      </c>
      <c r="B4058" s="2" t="s">
        <v>30</v>
      </c>
      <c r="C4058" s="2" t="s">
        <v>11</v>
      </c>
      <c r="D4058">
        <v>26</v>
      </c>
      <c r="E4058" s="2" t="s">
        <v>16</v>
      </c>
      <c r="F4058" s="2" t="s">
        <v>13</v>
      </c>
      <c r="G4058">
        <v>85616</v>
      </c>
      <c r="H4058" s="1">
        <v>44742</v>
      </c>
      <c r="I4058">
        <v>12</v>
      </c>
      <c r="J4058">
        <v>3</v>
      </c>
      <c r="K4058">
        <v>8562</v>
      </c>
      <c r="L4058">
        <v>4281</v>
      </c>
      <c r="M4058">
        <v>89897</v>
      </c>
      <c r="N4058">
        <v>4281</v>
      </c>
      <c r="O4058">
        <v>98459</v>
      </c>
    </row>
    <row r="4059" spans="1:15" x14ac:dyDescent="0.35">
      <c r="A4059">
        <v>4058</v>
      </c>
      <c r="B4059" s="2" t="s">
        <v>31</v>
      </c>
      <c r="C4059" s="2" t="s">
        <v>11</v>
      </c>
      <c r="D4059">
        <v>56</v>
      </c>
      <c r="E4059" s="2" t="s">
        <v>28</v>
      </c>
      <c r="F4059" s="2" t="s">
        <v>25</v>
      </c>
      <c r="G4059">
        <v>22477</v>
      </c>
      <c r="H4059" s="1">
        <v>44884</v>
      </c>
      <c r="I4059">
        <v>2</v>
      </c>
      <c r="J4059">
        <v>2</v>
      </c>
      <c r="K4059">
        <v>2248</v>
      </c>
      <c r="L4059">
        <v>1124</v>
      </c>
      <c r="M4059">
        <v>23601</v>
      </c>
      <c r="N4059">
        <v>0</v>
      </c>
      <c r="O4059">
        <v>24725</v>
      </c>
    </row>
    <row r="4060" spans="1:15" x14ac:dyDescent="0.35">
      <c r="A4060">
        <v>4059</v>
      </c>
      <c r="B4060" s="2" t="s">
        <v>22</v>
      </c>
      <c r="C4060" s="2" t="s">
        <v>15</v>
      </c>
      <c r="D4060">
        <v>37</v>
      </c>
      <c r="E4060" s="2" t="s">
        <v>28</v>
      </c>
      <c r="F4060" s="2" t="s">
        <v>21</v>
      </c>
      <c r="G4060">
        <v>70867</v>
      </c>
      <c r="H4060" s="1">
        <v>44750</v>
      </c>
      <c r="I4060">
        <v>8</v>
      </c>
      <c r="J4060">
        <v>5</v>
      </c>
      <c r="K4060">
        <v>7087</v>
      </c>
      <c r="L4060">
        <v>3543</v>
      </c>
      <c r="M4060">
        <v>74411</v>
      </c>
      <c r="N4060">
        <v>3543</v>
      </c>
      <c r="O4060">
        <v>81497</v>
      </c>
    </row>
    <row r="4061" spans="1:15" x14ac:dyDescent="0.35">
      <c r="A4061">
        <v>4060</v>
      </c>
      <c r="B4061" s="2" t="s">
        <v>10</v>
      </c>
      <c r="C4061" s="2" t="s">
        <v>11</v>
      </c>
      <c r="D4061">
        <v>53</v>
      </c>
      <c r="E4061" s="2" t="s">
        <v>16</v>
      </c>
      <c r="F4061" s="2" t="s">
        <v>13</v>
      </c>
      <c r="G4061">
        <v>64546</v>
      </c>
      <c r="H4061" s="1">
        <v>45168</v>
      </c>
      <c r="I4061">
        <v>2</v>
      </c>
      <c r="J4061">
        <v>1</v>
      </c>
      <c r="K4061">
        <v>6455</v>
      </c>
      <c r="L4061">
        <v>3227</v>
      </c>
      <c r="M4061">
        <v>67774</v>
      </c>
      <c r="N4061">
        <v>0</v>
      </c>
      <c r="O4061">
        <v>71001</v>
      </c>
    </row>
    <row r="4062" spans="1:15" x14ac:dyDescent="0.35">
      <c r="A4062">
        <v>4061</v>
      </c>
      <c r="B4062" s="2" t="s">
        <v>30</v>
      </c>
      <c r="C4062" s="2" t="s">
        <v>15</v>
      </c>
      <c r="D4062">
        <v>31</v>
      </c>
      <c r="E4062" s="2" t="s">
        <v>24</v>
      </c>
      <c r="F4062" s="2" t="s">
        <v>21</v>
      </c>
      <c r="G4062">
        <v>84558</v>
      </c>
      <c r="H4062" s="1">
        <v>45377</v>
      </c>
      <c r="I4062">
        <v>5</v>
      </c>
      <c r="J4062">
        <v>5</v>
      </c>
      <c r="K4062">
        <v>8456</v>
      </c>
      <c r="L4062">
        <v>4228</v>
      </c>
      <c r="M4062">
        <v>88786</v>
      </c>
      <c r="N4062">
        <v>0</v>
      </c>
      <c r="O4062">
        <v>93014</v>
      </c>
    </row>
    <row r="4063" spans="1:15" x14ac:dyDescent="0.35">
      <c r="A4063">
        <v>4062</v>
      </c>
      <c r="B4063" s="2" t="s">
        <v>22</v>
      </c>
      <c r="C4063" s="2" t="s">
        <v>15</v>
      </c>
      <c r="D4063">
        <v>43</v>
      </c>
      <c r="E4063" s="2" t="s">
        <v>29</v>
      </c>
      <c r="F4063" s="2" t="s">
        <v>25</v>
      </c>
      <c r="G4063">
        <v>41495</v>
      </c>
      <c r="H4063" s="1">
        <v>44683</v>
      </c>
      <c r="I4063">
        <v>19</v>
      </c>
      <c r="J4063">
        <v>4</v>
      </c>
      <c r="K4063">
        <v>4150</v>
      </c>
      <c r="L4063">
        <v>2075</v>
      </c>
      <c r="M4063">
        <v>43570</v>
      </c>
      <c r="N4063">
        <v>2075</v>
      </c>
      <c r="O4063">
        <v>47720</v>
      </c>
    </row>
    <row r="4064" spans="1:15" x14ac:dyDescent="0.35">
      <c r="A4064">
        <v>4063</v>
      </c>
      <c r="B4064" s="2" t="s">
        <v>20</v>
      </c>
      <c r="C4064" s="2" t="s">
        <v>11</v>
      </c>
      <c r="D4064">
        <v>31</v>
      </c>
      <c r="E4064" s="2" t="s">
        <v>24</v>
      </c>
      <c r="F4064" s="2" t="s">
        <v>19</v>
      </c>
      <c r="G4064">
        <v>81849</v>
      </c>
      <c r="H4064" s="1">
        <v>44582</v>
      </c>
      <c r="I4064">
        <v>9</v>
      </c>
      <c r="J4064">
        <v>4</v>
      </c>
      <c r="K4064">
        <v>8185</v>
      </c>
      <c r="L4064">
        <v>4092</v>
      </c>
      <c r="M4064">
        <v>85942</v>
      </c>
      <c r="N4064">
        <v>4092</v>
      </c>
      <c r="O4064">
        <v>94126</v>
      </c>
    </row>
    <row r="4065" spans="1:15" x14ac:dyDescent="0.35">
      <c r="A4065">
        <v>4064</v>
      </c>
      <c r="B4065" s="2" t="s">
        <v>22</v>
      </c>
      <c r="C4065" s="2" t="s">
        <v>15</v>
      </c>
      <c r="D4065">
        <v>58</v>
      </c>
      <c r="E4065" s="2" t="s">
        <v>16</v>
      </c>
      <c r="F4065" s="2" t="s">
        <v>19</v>
      </c>
      <c r="G4065">
        <v>99647</v>
      </c>
      <c r="H4065" s="1">
        <v>44742</v>
      </c>
      <c r="I4065">
        <v>13</v>
      </c>
      <c r="J4065">
        <v>2</v>
      </c>
      <c r="K4065">
        <v>9965</v>
      </c>
      <c r="L4065">
        <v>4982</v>
      </c>
      <c r="M4065">
        <v>104630</v>
      </c>
      <c r="N4065">
        <v>4982</v>
      </c>
      <c r="O4065">
        <v>114594</v>
      </c>
    </row>
    <row r="4066" spans="1:15" x14ac:dyDescent="0.35">
      <c r="A4066">
        <v>4065</v>
      </c>
      <c r="B4066" s="2" t="s">
        <v>10</v>
      </c>
      <c r="C4066" s="2" t="s">
        <v>15</v>
      </c>
      <c r="D4066">
        <v>52</v>
      </c>
      <c r="E4066" s="2" t="s">
        <v>24</v>
      </c>
      <c r="F4066" s="2" t="s">
        <v>19</v>
      </c>
      <c r="G4066">
        <v>20931</v>
      </c>
      <c r="H4066" s="1">
        <v>44854</v>
      </c>
      <c r="I4066">
        <v>13</v>
      </c>
      <c r="J4066">
        <v>3</v>
      </c>
      <c r="K4066">
        <v>2093</v>
      </c>
      <c r="L4066">
        <v>1047</v>
      </c>
      <c r="M4066">
        <v>21977</v>
      </c>
      <c r="N4066">
        <v>1047</v>
      </c>
      <c r="O4066">
        <v>24071</v>
      </c>
    </row>
    <row r="4067" spans="1:15" x14ac:dyDescent="0.35">
      <c r="A4067">
        <v>4066</v>
      </c>
      <c r="B4067" s="2" t="s">
        <v>22</v>
      </c>
      <c r="C4067" s="2" t="s">
        <v>11</v>
      </c>
      <c r="D4067">
        <v>23</v>
      </c>
      <c r="E4067" s="2" t="s">
        <v>16</v>
      </c>
      <c r="F4067" s="2" t="s">
        <v>19</v>
      </c>
      <c r="G4067">
        <v>90766</v>
      </c>
      <c r="H4067" s="1">
        <v>45451</v>
      </c>
      <c r="I4067">
        <v>7</v>
      </c>
      <c r="J4067">
        <v>1</v>
      </c>
      <c r="K4067">
        <v>9077</v>
      </c>
      <c r="L4067">
        <v>4538</v>
      </c>
      <c r="M4067">
        <v>95305</v>
      </c>
      <c r="N4067">
        <v>4538</v>
      </c>
      <c r="O4067">
        <v>104381</v>
      </c>
    </row>
    <row r="4068" spans="1:15" x14ac:dyDescent="0.35">
      <c r="A4068">
        <v>4067</v>
      </c>
      <c r="B4068" s="2" t="s">
        <v>20</v>
      </c>
      <c r="C4068" s="2" t="s">
        <v>15</v>
      </c>
      <c r="D4068">
        <v>26</v>
      </c>
      <c r="E4068" s="2" t="s">
        <v>29</v>
      </c>
      <c r="F4068" s="2" t="s">
        <v>17</v>
      </c>
      <c r="G4068">
        <v>44706</v>
      </c>
      <c r="H4068" s="1">
        <v>45043</v>
      </c>
      <c r="I4068">
        <v>5</v>
      </c>
      <c r="J4068">
        <v>2</v>
      </c>
      <c r="K4068">
        <v>4471</v>
      </c>
      <c r="L4068">
        <v>2235</v>
      </c>
      <c r="M4068">
        <v>46942</v>
      </c>
      <c r="N4068">
        <v>0</v>
      </c>
      <c r="O4068">
        <v>49177</v>
      </c>
    </row>
    <row r="4069" spans="1:15" x14ac:dyDescent="0.35">
      <c r="A4069">
        <v>4068</v>
      </c>
      <c r="B4069" s="2" t="s">
        <v>23</v>
      </c>
      <c r="C4069" s="2" t="s">
        <v>15</v>
      </c>
      <c r="D4069">
        <v>52</v>
      </c>
      <c r="E4069" s="2" t="s">
        <v>12</v>
      </c>
      <c r="F4069" s="2" t="s">
        <v>19</v>
      </c>
      <c r="G4069">
        <v>81617</v>
      </c>
      <c r="H4069" s="1">
        <v>44575</v>
      </c>
      <c r="I4069">
        <v>7</v>
      </c>
      <c r="J4069">
        <v>4</v>
      </c>
      <c r="K4069">
        <v>8162</v>
      </c>
      <c r="L4069">
        <v>4081</v>
      </c>
      <c r="M4069">
        <v>85698</v>
      </c>
      <c r="N4069">
        <v>4081</v>
      </c>
      <c r="O4069">
        <v>93860</v>
      </c>
    </row>
    <row r="4070" spans="1:15" x14ac:dyDescent="0.35">
      <c r="A4070">
        <v>4069</v>
      </c>
      <c r="B4070" s="2" t="s">
        <v>27</v>
      </c>
      <c r="C4070" s="2" t="s">
        <v>11</v>
      </c>
      <c r="D4070">
        <v>25</v>
      </c>
      <c r="E4070" s="2" t="s">
        <v>24</v>
      </c>
      <c r="F4070" s="2" t="s">
        <v>25</v>
      </c>
      <c r="G4070">
        <v>78871</v>
      </c>
      <c r="H4070" s="1">
        <v>45378</v>
      </c>
      <c r="I4070">
        <v>5</v>
      </c>
      <c r="J4070">
        <v>2</v>
      </c>
      <c r="K4070">
        <v>7887</v>
      </c>
      <c r="L4070">
        <v>3944</v>
      </c>
      <c r="M4070">
        <v>82814</v>
      </c>
      <c r="N4070">
        <v>0</v>
      </c>
      <c r="O4070">
        <v>86758</v>
      </c>
    </row>
    <row r="4071" spans="1:15" x14ac:dyDescent="0.35">
      <c r="A4071">
        <v>4070</v>
      </c>
      <c r="B4071" s="2" t="s">
        <v>31</v>
      </c>
      <c r="C4071" s="2" t="s">
        <v>15</v>
      </c>
      <c r="D4071">
        <v>30</v>
      </c>
      <c r="E4071" s="2" t="s">
        <v>28</v>
      </c>
      <c r="F4071" s="2" t="s">
        <v>13</v>
      </c>
      <c r="G4071">
        <v>92227</v>
      </c>
      <c r="H4071" s="1">
        <v>44834</v>
      </c>
      <c r="I4071">
        <v>16</v>
      </c>
      <c r="J4071">
        <v>4</v>
      </c>
      <c r="K4071">
        <v>9223</v>
      </c>
      <c r="L4071">
        <v>4611</v>
      </c>
      <c r="M4071">
        <v>96839</v>
      </c>
      <c r="N4071">
        <v>4611</v>
      </c>
      <c r="O4071">
        <v>106061</v>
      </c>
    </row>
    <row r="4072" spans="1:15" x14ac:dyDescent="0.35">
      <c r="A4072">
        <v>4071</v>
      </c>
      <c r="B4072" s="2" t="s">
        <v>31</v>
      </c>
      <c r="C4072" s="2" t="s">
        <v>11</v>
      </c>
      <c r="D4072">
        <v>45</v>
      </c>
      <c r="E4072" s="2" t="s">
        <v>16</v>
      </c>
      <c r="F4072" s="2" t="s">
        <v>21</v>
      </c>
      <c r="G4072">
        <v>75169</v>
      </c>
      <c r="H4072" s="1">
        <v>45108</v>
      </c>
      <c r="I4072">
        <v>2</v>
      </c>
      <c r="J4072">
        <v>3</v>
      </c>
      <c r="K4072">
        <v>7517</v>
      </c>
      <c r="L4072">
        <v>3758</v>
      </c>
      <c r="M4072">
        <v>78928</v>
      </c>
      <c r="N4072">
        <v>0</v>
      </c>
      <c r="O4072">
        <v>82686</v>
      </c>
    </row>
    <row r="4073" spans="1:15" x14ac:dyDescent="0.35">
      <c r="A4073">
        <v>4072</v>
      </c>
      <c r="B4073" s="2" t="s">
        <v>23</v>
      </c>
      <c r="C4073" s="2" t="s">
        <v>15</v>
      </c>
      <c r="D4073">
        <v>47</v>
      </c>
      <c r="E4073" s="2" t="s">
        <v>29</v>
      </c>
      <c r="F4073" s="2" t="s">
        <v>25</v>
      </c>
      <c r="G4073">
        <v>61525</v>
      </c>
      <c r="H4073" s="1">
        <v>44593</v>
      </c>
      <c r="I4073">
        <v>16</v>
      </c>
      <c r="J4073">
        <v>3</v>
      </c>
      <c r="K4073">
        <v>6152</v>
      </c>
      <c r="L4073">
        <v>3076</v>
      </c>
      <c r="M4073">
        <v>64601</v>
      </c>
      <c r="N4073">
        <v>3076</v>
      </c>
      <c r="O4073">
        <v>70753</v>
      </c>
    </row>
    <row r="4074" spans="1:15" x14ac:dyDescent="0.35">
      <c r="A4074">
        <v>4073</v>
      </c>
      <c r="B4074" s="2" t="s">
        <v>14</v>
      </c>
      <c r="C4074" s="2" t="s">
        <v>15</v>
      </c>
      <c r="D4074">
        <v>33</v>
      </c>
      <c r="E4074" s="2" t="s">
        <v>28</v>
      </c>
      <c r="F4074" s="2" t="s">
        <v>19</v>
      </c>
      <c r="G4074">
        <v>61123</v>
      </c>
      <c r="H4074" s="1">
        <v>45524</v>
      </c>
      <c r="I4074">
        <v>6</v>
      </c>
      <c r="J4074">
        <v>4</v>
      </c>
      <c r="K4074">
        <v>6112</v>
      </c>
      <c r="L4074">
        <v>3056</v>
      </c>
      <c r="M4074">
        <v>64179</v>
      </c>
      <c r="N4074">
        <v>3056</v>
      </c>
      <c r="O4074">
        <v>70291</v>
      </c>
    </row>
    <row r="4075" spans="1:15" x14ac:dyDescent="0.35">
      <c r="A4075">
        <v>4074</v>
      </c>
      <c r="B4075" s="2" t="s">
        <v>20</v>
      </c>
      <c r="C4075" s="2" t="s">
        <v>15</v>
      </c>
      <c r="D4075">
        <v>46</v>
      </c>
      <c r="E4075" s="2" t="s">
        <v>12</v>
      </c>
      <c r="F4075" s="2" t="s">
        <v>17</v>
      </c>
      <c r="G4075">
        <v>55537</v>
      </c>
      <c r="H4075" s="1">
        <v>45471</v>
      </c>
      <c r="I4075">
        <v>10</v>
      </c>
      <c r="J4075">
        <v>4</v>
      </c>
      <c r="K4075">
        <v>5554</v>
      </c>
      <c r="L4075">
        <v>2777</v>
      </c>
      <c r="M4075">
        <v>58314</v>
      </c>
      <c r="N4075">
        <v>2777</v>
      </c>
      <c r="O4075">
        <v>63868</v>
      </c>
    </row>
    <row r="4076" spans="1:15" x14ac:dyDescent="0.35">
      <c r="A4076">
        <v>4075</v>
      </c>
      <c r="B4076" s="2" t="s">
        <v>10</v>
      </c>
      <c r="C4076" s="2" t="s">
        <v>11</v>
      </c>
      <c r="D4076">
        <v>31</v>
      </c>
      <c r="E4076" s="2" t="s">
        <v>24</v>
      </c>
      <c r="F4076" s="2" t="s">
        <v>13</v>
      </c>
      <c r="G4076">
        <v>32584</v>
      </c>
      <c r="H4076" s="1">
        <v>44782</v>
      </c>
      <c r="I4076">
        <v>17</v>
      </c>
      <c r="J4076">
        <v>4</v>
      </c>
      <c r="K4076">
        <v>3258</v>
      </c>
      <c r="L4076">
        <v>1629</v>
      </c>
      <c r="M4076">
        <v>34213</v>
      </c>
      <c r="N4076">
        <v>1629</v>
      </c>
      <c r="O4076">
        <v>37471</v>
      </c>
    </row>
    <row r="4077" spans="1:15" x14ac:dyDescent="0.35">
      <c r="A4077">
        <v>4076</v>
      </c>
      <c r="B4077" s="2" t="s">
        <v>22</v>
      </c>
      <c r="C4077" s="2" t="s">
        <v>11</v>
      </c>
      <c r="D4077">
        <v>59</v>
      </c>
      <c r="E4077" s="2" t="s">
        <v>29</v>
      </c>
      <c r="F4077" s="2" t="s">
        <v>19</v>
      </c>
      <c r="G4077">
        <v>33458</v>
      </c>
      <c r="H4077" s="1">
        <v>45259</v>
      </c>
      <c r="I4077">
        <v>7</v>
      </c>
      <c r="J4077">
        <v>2</v>
      </c>
      <c r="K4077">
        <v>3346</v>
      </c>
      <c r="L4077">
        <v>1673</v>
      </c>
      <c r="M4077">
        <v>35131</v>
      </c>
      <c r="N4077">
        <v>1673</v>
      </c>
      <c r="O4077">
        <v>38477</v>
      </c>
    </row>
    <row r="4078" spans="1:15" x14ac:dyDescent="0.35">
      <c r="A4078">
        <v>4077</v>
      </c>
      <c r="B4078" s="2" t="s">
        <v>23</v>
      </c>
      <c r="C4078" s="2" t="s">
        <v>11</v>
      </c>
      <c r="D4078">
        <v>45</v>
      </c>
      <c r="E4078" s="2" t="s">
        <v>29</v>
      </c>
      <c r="F4078" s="2" t="s">
        <v>17</v>
      </c>
      <c r="G4078">
        <v>56348</v>
      </c>
      <c r="H4078" s="1">
        <v>44734</v>
      </c>
      <c r="I4078">
        <v>9</v>
      </c>
      <c r="J4078">
        <v>5</v>
      </c>
      <c r="K4078">
        <v>5635</v>
      </c>
      <c r="L4078">
        <v>2817</v>
      </c>
      <c r="M4078">
        <v>59166</v>
      </c>
      <c r="N4078">
        <v>2817</v>
      </c>
      <c r="O4078">
        <v>64800</v>
      </c>
    </row>
    <row r="4079" spans="1:15" x14ac:dyDescent="0.35">
      <c r="A4079">
        <v>4078</v>
      </c>
      <c r="B4079" s="2" t="s">
        <v>22</v>
      </c>
      <c r="C4079" s="2" t="s">
        <v>15</v>
      </c>
      <c r="D4079">
        <v>59</v>
      </c>
      <c r="E4079" s="2" t="s">
        <v>16</v>
      </c>
      <c r="F4079" s="2" t="s">
        <v>19</v>
      </c>
      <c r="G4079">
        <v>27914</v>
      </c>
      <c r="H4079" s="1">
        <v>44669</v>
      </c>
      <c r="I4079">
        <v>2</v>
      </c>
      <c r="J4079">
        <v>1</v>
      </c>
      <c r="K4079">
        <v>2791</v>
      </c>
      <c r="L4079">
        <v>1396</v>
      </c>
      <c r="M4079">
        <v>29309</v>
      </c>
      <c r="N4079">
        <v>0</v>
      </c>
      <c r="O4079">
        <v>30705</v>
      </c>
    </row>
    <row r="4080" spans="1:15" x14ac:dyDescent="0.35">
      <c r="A4080">
        <v>4079</v>
      </c>
      <c r="B4080" s="2" t="s">
        <v>10</v>
      </c>
      <c r="C4080" s="2" t="s">
        <v>15</v>
      </c>
      <c r="D4080">
        <v>35</v>
      </c>
      <c r="E4080" s="2" t="s">
        <v>16</v>
      </c>
      <c r="F4080" s="2" t="s">
        <v>21</v>
      </c>
      <c r="G4080">
        <v>46596</v>
      </c>
      <c r="H4080" s="1">
        <v>45401</v>
      </c>
      <c r="I4080">
        <v>20</v>
      </c>
      <c r="J4080">
        <v>2</v>
      </c>
      <c r="K4080">
        <v>4660</v>
      </c>
      <c r="L4080">
        <v>2330</v>
      </c>
      <c r="M4080">
        <v>48926</v>
      </c>
      <c r="N4080">
        <v>2330</v>
      </c>
      <c r="O4080">
        <v>53586</v>
      </c>
    </row>
    <row r="4081" spans="1:15" x14ac:dyDescent="0.35">
      <c r="A4081">
        <v>4080</v>
      </c>
      <c r="B4081" s="2" t="s">
        <v>22</v>
      </c>
      <c r="C4081" s="2" t="s">
        <v>15</v>
      </c>
      <c r="D4081">
        <v>56</v>
      </c>
      <c r="E4081" s="2" t="s">
        <v>29</v>
      </c>
      <c r="F4081" s="2" t="s">
        <v>25</v>
      </c>
      <c r="G4081">
        <v>34822</v>
      </c>
      <c r="H4081" s="1">
        <v>44934</v>
      </c>
      <c r="I4081">
        <v>6</v>
      </c>
      <c r="J4081">
        <v>1</v>
      </c>
      <c r="K4081">
        <v>3482</v>
      </c>
      <c r="L4081">
        <v>1741</v>
      </c>
      <c r="M4081">
        <v>36563</v>
      </c>
      <c r="N4081">
        <v>1741</v>
      </c>
      <c r="O4081">
        <v>40045</v>
      </c>
    </row>
    <row r="4082" spans="1:15" x14ac:dyDescent="0.35">
      <c r="A4082">
        <v>4081</v>
      </c>
      <c r="B4082" s="2" t="s">
        <v>18</v>
      </c>
      <c r="C4082" s="2" t="s">
        <v>11</v>
      </c>
      <c r="D4082">
        <v>26</v>
      </c>
      <c r="E4082" s="2" t="s">
        <v>28</v>
      </c>
      <c r="F4082" s="2" t="s">
        <v>13</v>
      </c>
      <c r="G4082">
        <v>48153</v>
      </c>
      <c r="H4082" s="1">
        <v>45232</v>
      </c>
      <c r="I4082">
        <v>3</v>
      </c>
      <c r="J4082">
        <v>4</v>
      </c>
      <c r="K4082">
        <v>4815</v>
      </c>
      <c r="L4082">
        <v>2408</v>
      </c>
      <c r="M4082">
        <v>50560</v>
      </c>
      <c r="N4082">
        <v>0</v>
      </c>
      <c r="O4082">
        <v>52968</v>
      </c>
    </row>
    <row r="4083" spans="1:15" x14ac:dyDescent="0.35">
      <c r="A4083">
        <v>4082</v>
      </c>
      <c r="B4083" s="2" t="s">
        <v>23</v>
      </c>
      <c r="C4083" s="2" t="s">
        <v>11</v>
      </c>
      <c r="D4083">
        <v>22</v>
      </c>
      <c r="E4083" s="2" t="s">
        <v>16</v>
      </c>
      <c r="F4083" s="2" t="s">
        <v>13</v>
      </c>
      <c r="G4083">
        <v>51065</v>
      </c>
      <c r="H4083" s="1">
        <v>45246</v>
      </c>
      <c r="I4083">
        <v>6</v>
      </c>
      <c r="J4083">
        <v>2</v>
      </c>
      <c r="K4083">
        <v>5106</v>
      </c>
      <c r="L4083">
        <v>2553</v>
      </c>
      <c r="M4083">
        <v>53618</v>
      </c>
      <c r="N4083">
        <v>2553</v>
      </c>
      <c r="O4083">
        <v>58724</v>
      </c>
    </row>
    <row r="4084" spans="1:15" x14ac:dyDescent="0.35">
      <c r="A4084">
        <v>4083</v>
      </c>
      <c r="B4084" s="2" t="s">
        <v>31</v>
      </c>
      <c r="C4084" s="2" t="s">
        <v>15</v>
      </c>
      <c r="D4084">
        <v>55</v>
      </c>
      <c r="E4084" s="2" t="s">
        <v>28</v>
      </c>
      <c r="F4084" s="2" t="s">
        <v>21</v>
      </c>
      <c r="G4084">
        <v>31171</v>
      </c>
      <c r="H4084" s="1">
        <v>44881</v>
      </c>
      <c r="I4084">
        <v>7</v>
      </c>
      <c r="J4084">
        <v>4</v>
      </c>
      <c r="K4084">
        <v>3117</v>
      </c>
      <c r="L4084">
        <v>1559</v>
      </c>
      <c r="M4084">
        <v>32729</v>
      </c>
      <c r="N4084">
        <v>1559</v>
      </c>
      <c r="O4084">
        <v>35847</v>
      </c>
    </row>
    <row r="4085" spans="1:15" x14ac:dyDescent="0.35">
      <c r="A4085">
        <v>4084</v>
      </c>
      <c r="B4085" s="2" t="s">
        <v>31</v>
      </c>
      <c r="C4085" s="2" t="s">
        <v>15</v>
      </c>
      <c r="D4085">
        <v>25</v>
      </c>
      <c r="E4085" s="2" t="s">
        <v>29</v>
      </c>
      <c r="F4085" s="2" t="s">
        <v>19</v>
      </c>
      <c r="G4085">
        <v>87956</v>
      </c>
      <c r="H4085" s="1">
        <v>45256</v>
      </c>
      <c r="I4085">
        <v>19</v>
      </c>
      <c r="J4085">
        <v>5</v>
      </c>
      <c r="K4085">
        <v>8796</v>
      </c>
      <c r="L4085">
        <v>4398</v>
      </c>
      <c r="M4085">
        <v>92354</v>
      </c>
      <c r="N4085">
        <v>4398</v>
      </c>
      <c r="O4085">
        <v>101150</v>
      </c>
    </row>
    <row r="4086" spans="1:15" x14ac:dyDescent="0.35">
      <c r="A4086">
        <v>4085</v>
      </c>
      <c r="B4086" s="2" t="s">
        <v>10</v>
      </c>
      <c r="C4086" s="2" t="s">
        <v>11</v>
      </c>
      <c r="D4086">
        <v>55</v>
      </c>
      <c r="E4086" s="2" t="s">
        <v>12</v>
      </c>
      <c r="F4086" s="2" t="s">
        <v>19</v>
      </c>
      <c r="G4086">
        <v>52509</v>
      </c>
      <c r="H4086" s="1">
        <v>45115</v>
      </c>
      <c r="I4086">
        <v>3</v>
      </c>
      <c r="J4086">
        <v>4</v>
      </c>
      <c r="K4086">
        <v>5251</v>
      </c>
      <c r="L4086">
        <v>2625</v>
      </c>
      <c r="M4086">
        <v>55135</v>
      </c>
      <c r="N4086">
        <v>0</v>
      </c>
      <c r="O4086">
        <v>57760</v>
      </c>
    </row>
    <row r="4087" spans="1:15" x14ac:dyDescent="0.35">
      <c r="A4087">
        <v>4086</v>
      </c>
      <c r="B4087" s="2" t="s">
        <v>10</v>
      </c>
      <c r="C4087" s="2" t="s">
        <v>15</v>
      </c>
      <c r="D4087">
        <v>51</v>
      </c>
      <c r="E4087" s="2" t="s">
        <v>29</v>
      </c>
      <c r="F4087" s="2" t="s">
        <v>25</v>
      </c>
      <c r="G4087">
        <v>23459</v>
      </c>
      <c r="H4087" s="1">
        <v>44816</v>
      </c>
      <c r="I4087">
        <v>5</v>
      </c>
      <c r="J4087">
        <v>3</v>
      </c>
      <c r="K4087">
        <v>2346</v>
      </c>
      <c r="L4087">
        <v>1173</v>
      </c>
      <c r="M4087">
        <v>24632</v>
      </c>
      <c r="N4087">
        <v>0</v>
      </c>
      <c r="O4087">
        <v>25805</v>
      </c>
    </row>
    <row r="4088" spans="1:15" x14ac:dyDescent="0.35">
      <c r="A4088">
        <v>4087</v>
      </c>
      <c r="B4088" s="2" t="s">
        <v>30</v>
      </c>
      <c r="C4088" s="2" t="s">
        <v>11</v>
      </c>
      <c r="D4088">
        <v>52</v>
      </c>
      <c r="E4088" s="2" t="s">
        <v>16</v>
      </c>
      <c r="F4088" s="2" t="s">
        <v>25</v>
      </c>
      <c r="G4088">
        <v>74543</v>
      </c>
      <c r="H4088" s="1">
        <v>44749</v>
      </c>
      <c r="I4088">
        <v>9</v>
      </c>
      <c r="J4088">
        <v>5</v>
      </c>
      <c r="K4088">
        <v>7454</v>
      </c>
      <c r="L4088">
        <v>3727</v>
      </c>
      <c r="M4088">
        <v>78270</v>
      </c>
      <c r="N4088">
        <v>3727</v>
      </c>
      <c r="O4088">
        <v>85724</v>
      </c>
    </row>
    <row r="4089" spans="1:15" x14ac:dyDescent="0.35">
      <c r="A4089">
        <v>4088</v>
      </c>
      <c r="B4089" s="2" t="s">
        <v>23</v>
      </c>
      <c r="C4089" s="2" t="s">
        <v>15</v>
      </c>
      <c r="D4089">
        <v>24</v>
      </c>
      <c r="E4089" s="2" t="s">
        <v>16</v>
      </c>
      <c r="F4089" s="2" t="s">
        <v>19</v>
      </c>
      <c r="G4089">
        <v>80730</v>
      </c>
      <c r="H4089" s="1">
        <v>44889</v>
      </c>
      <c r="I4089">
        <v>4</v>
      </c>
      <c r="J4089">
        <v>4</v>
      </c>
      <c r="K4089">
        <v>8073</v>
      </c>
      <c r="L4089">
        <v>4036</v>
      </c>
      <c r="M4089">
        <v>84767</v>
      </c>
      <c r="N4089">
        <v>0</v>
      </c>
      <c r="O4089">
        <v>88803</v>
      </c>
    </row>
    <row r="4090" spans="1:15" x14ac:dyDescent="0.35">
      <c r="A4090">
        <v>4089</v>
      </c>
      <c r="B4090" s="2" t="s">
        <v>31</v>
      </c>
      <c r="C4090" s="2" t="s">
        <v>11</v>
      </c>
      <c r="D4090">
        <v>42</v>
      </c>
      <c r="E4090" s="2" t="s">
        <v>16</v>
      </c>
      <c r="F4090" s="2" t="s">
        <v>13</v>
      </c>
      <c r="G4090">
        <v>55917</v>
      </c>
      <c r="H4090" s="1">
        <v>44710</v>
      </c>
      <c r="I4090">
        <v>3</v>
      </c>
      <c r="J4090">
        <v>1</v>
      </c>
      <c r="K4090">
        <v>5592</v>
      </c>
      <c r="L4090">
        <v>2796</v>
      </c>
      <c r="M4090">
        <v>58713</v>
      </c>
      <c r="N4090">
        <v>0</v>
      </c>
      <c r="O4090">
        <v>61509</v>
      </c>
    </row>
    <row r="4091" spans="1:15" x14ac:dyDescent="0.35">
      <c r="A4091">
        <v>4090</v>
      </c>
      <c r="B4091" s="2" t="s">
        <v>26</v>
      </c>
      <c r="C4091" s="2" t="s">
        <v>11</v>
      </c>
      <c r="D4091">
        <v>28</v>
      </c>
      <c r="E4091" s="2" t="s">
        <v>12</v>
      </c>
      <c r="F4091" s="2" t="s">
        <v>17</v>
      </c>
      <c r="G4091">
        <v>27757</v>
      </c>
      <c r="H4091" s="1">
        <v>44913</v>
      </c>
      <c r="I4091">
        <v>10</v>
      </c>
      <c r="J4091">
        <v>4</v>
      </c>
      <c r="K4091">
        <v>2776</v>
      </c>
      <c r="L4091">
        <v>1388</v>
      </c>
      <c r="M4091">
        <v>29145</v>
      </c>
      <c r="N4091">
        <v>1388</v>
      </c>
      <c r="O4091">
        <v>31921</v>
      </c>
    </row>
    <row r="4092" spans="1:15" x14ac:dyDescent="0.35">
      <c r="A4092">
        <v>4091</v>
      </c>
      <c r="B4092" s="2" t="s">
        <v>31</v>
      </c>
      <c r="C4092" s="2" t="s">
        <v>15</v>
      </c>
      <c r="D4092">
        <v>43</v>
      </c>
      <c r="E4092" s="2" t="s">
        <v>12</v>
      </c>
      <c r="F4092" s="2" t="s">
        <v>19</v>
      </c>
      <c r="G4092">
        <v>91308</v>
      </c>
      <c r="H4092" s="1">
        <v>45451</v>
      </c>
      <c r="I4092">
        <v>17</v>
      </c>
      <c r="J4092">
        <v>1</v>
      </c>
      <c r="K4092">
        <v>9131</v>
      </c>
      <c r="L4092">
        <v>4565</v>
      </c>
      <c r="M4092">
        <v>95874</v>
      </c>
      <c r="N4092">
        <v>4565</v>
      </c>
      <c r="O4092">
        <v>105004</v>
      </c>
    </row>
    <row r="4093" spans="1:15" x14ac:dyDescent="0.35">
      <c r="A4093">
        <v>4092</v>
      </c>
      <c r="B4093" s="2" t="s">
        <v>26</v>
      </c>
      <c r="C4093" s="2" t="s">
        <v>11</v>
      </c>
      <c r="D4093">
        <v>47</v>
      </c>
      <c r="E4093" s="2" t="s">
        <v>24</v>
      </c>
      <c r="F4093" s="2" t="s">
        <v>19</v>
      </c>
      <c r="G4093">
        <v>66384</v>
      </c>
      <c r="H4093" s="1">
        <v>44925</v>
      </c>
      <c r="I4093">
        <v>14</v>
      </c>
      <c r="J4093">
        <v>5</v>
      </c>
      <c r="K4093">
        <v>6638</v>
      </c>
      <c r="L4093">
        <v>3319</v>
      </c>
      <c r="M4093">
        <v>69703</v>
      </c>
      <c r="N4093">
        <v>3319</v>
      </c>
      <c r="O4093">
        <v>76341</v>
      </c>
    </row>
    <row r="4094" spans="1:15" x14ac:dyDescent="0.35">
      <c r="A4094">
        <v>4093</v>
      </c>
      <c r="B4094" s="2" t="s">
        <v>22</v>
      </c>
      <c r="C4094" s="2" t="s">
        <v>15</v>
      </c>
      <c r="D4094">
        <v>33</v>
      </c>
      <c r="E4094" s="2" t="s">
        <v>29</v>
      </c>
      <c r="F4094" s="2" t="s">
        <v>13</v>
      </c>
      <c r="G4094">
        <v>75315</v>
      </c>
      <c r="H4094" s="1">
        <v>45250</v>
      </c>
      <c r="I4094">
        <v>18</v>
      </c>
      <c r="J4094">
        <v>4</v>
      </c>
      <c r="K4094">
        <v>7532</v>
      </c>
      <c r="L4094">
        <v>3766</v>
      </c>
      <c r="M4094">
        <v>79081</v>
      </c>
      <c r="N4094">
        <v>3766</v>
      </c>
      <c r="O4094">
        <v>86613</v>
      </c>
    </row>
    <row r="4095" spans="1:15" x14ac:dyDescent="0.35">
      <c r="A4095">
        <v>4094</v>
      </c>
      <c r="B4095" s="2" t="s">
        <v>23</v>
      </c>
      <c r="C4095" s="2" t="s">
        <v>15</v>
      </c>
      <c r="D4095">
        <v>59</v>
      </c>
      <c r="E4095" s="2" t="s">
        <v>28</v>
      </c>
      <c r="F4095" s="2" t="s">
        <v>17</v>
      </c>
      <c r="G4095">
        <v>68422</v>
      </c>
      <c r="H4095" s="1">
        <v>45102</v>
      </c>
      <c r="I4095">
        <v>13</v>
      </c>
      <c r="J4095">
        <v>3</v>
      </c>
      <c r="K4095">
        <v>6842</v>
      </c>
      <c r="L4095">
        <v>3421</v>
      </c>
      <c r="M4095">
        <v>71843</v>
      </c>
      <c r="N4095">
        <v>3421</v>
      </c>
      <c r="O4095">
        <v>78685</v>
      </c>
    </row>
    <row r="4096" spans="1:15" x14ac:dyDescent="0.35">
      <c r="A4096">
        <v>4095</v>
      </c>
      <c r="B4096" s="2" t="s">
        <v>18</v>
      </c>
      <c r="C4096" s="2" t="s">
        <v>15</v>
      </c>
      <c r="D4096">
        <v>53</v>
      </c>
      <c r="E4096" s="2" t="s">
        <v>12</v>
      </c>
      <c r="F4096" s="2" t="s">
        <v>25</v>
      </c>
      <c r="G4096">
        <v>80482</v>
      </c>
      <c r="H4096" s="1">
        <v>45106</v>
      </c>
      <c r="I4096">
        <v>20</v>
      </c>
      <c r="J4096">
        <v>5</v>
      </c>
      <c r="K4096">
        <v>8048</v>
      </c>
      <c r="L4096">
        <v>4024</v>
      </c>
      <c r="M4096">
        <v>84506</v>
      </c>
      <c r="N4096">
        <v>4024</v>
      </c>
      <c r="O4096">
        <v>92554</v>
      </c>
    </row>
    <row r="4097" spans="1:15" x14ac:dyDescent="0.35">
      <c r="A4097">
        <v>4096</v>
      </c>
      <c r="B4097" s="2" t="s">
        <v>30</v>
      </c>
      <c r="C4097" s="2" t="s">
        <v>11</v>
      </c>
      <c r="D4097">
        <v>32</v>
      </c>
      <c r="E4097" s="2" t="s">
        <v>29</v>
      </c>
      <c r="F4097" s="2" t="s">
        <v>19</v>
      </c>
      <c r="G4097">
        <v>22289</v>
      </c>
      <c r="H4097" s="1">
        <v>45386</v>
      </c>
      <c r="I4097">
        <v>10</v>
      </c>
      <c r="J4097">
        <v>2</v>
      </c>
      <c r="K4097">
        <v>2229</v>
      </c>
      <c r="L4097">
        <v>1114</v>
      </c>
      <c r="M4097">
        <v>23404</v>
      </c>
      <c r="N4097">
        <v>1114</v>
      </c>
      <c r="O4097">
        <v>25632</v>
      </c>
    </row>
    <row r="4098" spans="1:15" x14ac:dyDescent="0.35">
      <c r="A4098">
        <v>4097</v>
      </c>
      <c r="B4098" s="2" t="s">
        <v>23</v>
      </c>
      <c r="C4098" s="2" t="s">
        <v>15</v>
      </c>
      <c r="D4098">
        <v>24</v>
      </c>
      <c r="E4098" s="2" t="s">
        <v>29</v>
      </c>
      <c r="F4098" s="2" t="s">
        <v>19</v>
      </c>
      <c r="G4098">
        <v>74125</v>
      </c>
      <c r="H4098" s="1">
        <v>44965</v>
      </c>
      <c r="I4098">
        <v>8</v>
      </c>
      <c r="J4098">
        <v>4</v>
      </c>
      <c r="K4098">
        <v>7412</v>
      </c>
      <c r="L4098">
        <v>3706</v>
      </c>
      <c r="M4098">
        <v>77831</v>
      </c>
      <c r="N4098">
        <v>3706</v>
      </c>
      <c r="O4098">
        <v>85243</v>
      </c>
    </row>
    <row r="4099" spans="1:15" x14ac:dyDescent="0.35">
      <c r="A4099">
        <v>4098</v>
      </c>
      <c r="B4099" s="2" t="s">
        <v>20</v>
      </c>
      <c r="C4099" s="2" t="s">
        <v>15</v>
      </c>
      <c r="D4099">
        <v>41</v>
      </c>
      <c r="E4099" s="2" t="s">
        <v>24</v>
      </c>
      <c r="F4099" s="2" t="s">
        <v>21</v>
      </c>
      <c r="G4099">
        <v>73010</v>
      </c>
      <c r="H4099" s="1">
        <v>44676</v>
      </c>
      <c r="I4099">
        <v>9</v>
      </c>
      <c r="J4099">
        <v>5</v>
      </c>
      <c r="K4099">
        <v>7301</v>
      </c>
      <c r="L4099">
        <v>3650</v>
      </c>
      <c r="M4099">
        <v>76661</v>
      </c>
      <c r="N4099">
        <v>3650</v>
      </c>
      <c r="O4099">
        <v>83961</v>
      </c>
    </row>
    <row r="4100" spans="1:15" x14ac:dyDescent="0.35">
      <c r="A4100">
        <v>4099</v>
      </c>
      <c r="B4100" s="2" t="s">
        <v>22</v>
      </c>
      <c r="C4100" s="2" t="s">
        <v>15</v>
      </c>
      <c r="D4100">
        <v>59</v>
      </c>
      <c r="E4100" s="2" t="s">
        <v>12</v>
      </c>
      <c r="F4100" s="2" t="s">
        <v>13</v>
      </c>
      <c r="G4100">
        <v>93723</v>
      </c>
      <c r="H4100" s="1">
        <v>45366</v>
      </c>
      <c r="I4100">
        <v>7</v>
      </c>
      <c r="J4100">
        <v>5</v>
      </c>
      <c r="K4100">
        <v>9372</v>
      </c>
      <c r="L4100">
        <v>4686</v>
      </c>
      <c r="M4100">
        <v>98409</v>
      </c>
      <c r="N4100">
        <v>4686</v>
      </c>
      <c r="O4100">
        <v>107781</v>
      </c>
    </row>
    <row r="4101" spans="1:15" x14ac:dyDescent="0.35">
      <c r="A4101">
        <v>4100</v>
      </c>
      <c r="B4101" s="2" t="s">
        <v>22</v>
      </c>
      <c r="C4101" s="2" t="s">
        <v>15</v>
      </c>
      <c r="D4101">
        <v>54</v>
      </c>
      <c r="E4101" s="2" t="s">
        <v>16</v>
      </c>
      <c r="F4101" s="2" t="s">
        <v>19</v>
      </c>
      <c r="G4101">
        <v>52106</v>
      </c>
      <c r="H4101" s="1">
        <v>45262</v>
      </c>
      <c r="I4101">
        <v>2</v>
      </c>
      <c r="J4101">
        <v>2</v>
      </c>
      <c r="K4101">
        <v>5211</v>
      </c>
      <c r="L4101">
        <v>2605</v>
      </c>
      <c r="M4101">
        <v>54712</v>
      </c>
      <c r="N4101">
        <v>0</v>
      </c>
      <c r="O4101">
        <v>57317</v>
      </c>
    </row>
    <row r="4102" spans="1:15" x14ac:dyDescent="0.35">
      <c r="A4102">
        <v>4101</v>
      </c>
      <c r="B4102" s="2" t="s">
        <v>31</v>
      </c>
      <c r="C4102" s="2" t="s">
        <v>15</v>
      </c>
      <c r="D4102">
        <v>24</v>
      </c>
      <c r="E4102" s="2" t="s">
        <v>16</v>
      </c>
      <c r="F4102" s="2" t="s">
        <v>13</v>
      </c>
      <c r="G4102">
        <v>84664</v>
      </c>
      <c r="H4102" s="1">
        <v>44690</v>
      </c>
      <c r="I4102">
        <v>4</v>
      </c>
      <c r="J4102">
        <v>4</v>
      </c>
      <c r="K4102">
        <v>8466</v>
      </c>
      <c r="L4102">
        <v>4233</v>
      </c>
      <c r="M4102">
        <v>88897</v>
      </c>
      <c r="N4102">
        <v>0</v>
      </c>
      <c r="O4102">
        <v>93130</v>
      </c>
    </row>
    <row r="4103" spans="1:15" x14ac:dyDescent="0.35">
      <c r="A4103">
        <v>4102</v>
      </c>
      <c r="B4103" s="2" t="s">
        <v>31</v>
      </c>
      <c r="C4103" s="2" t="s">
        <v>15</v>
      </c>
      <c r="D4103">
        <v>56</v>
      </c>
      <c r="E4103" s="2" t="s">
        <v>28</v>
      </c>
      <c r="F4103" s="2" t="s">
        <v>17</v>
      </c>
      <c r="G4103">
        <v>52073</v>
      </c>
      <c r="H4103" s="1">
        <v>45122</v>
      </c>
      <c r="I4103">
        <v>7</v>
      </c>
      <c r="J4103">
        <v>1</v>
      </c>
      <c r="K4103">
        <v>5207</v>
      </c>
      <c r="L4103">
        <v>2604</v>
      </c>
      <c r="M4103">
        <v>54676</v>
      </c>
      <c r="N4103">
        <v>2604</v>
      </c>
      <c r="O4103">
        <v>59884</v>
      </c>
    </row>
    <row r="4104" spans="1:15" x14ac:dyDescent="0.35">
      <c r="A4104">
        <v>4103</v>
      </c>
      <c r="B4104" s="2" t="s">
        <v>30</v>
      </c>
      <c r="C4104" s="2" t="s">
        <v>11</v>
      </c>
      <c r="D4104">
        <v>60</v>
      </c>
      <c r="E4104" s="2" t="s">
        <v>29</v>
      </c>
      <c r="F4104" s="2" t="s">
        <v>25</v>
      </c>
      <c r="G4104">
        <v>53872</v>
      </c>
      <c r="H4104" s="1">
        <v>44811</v>
      </c>
      <c r="I4104">
        <v>14</v>
      </c>
      <c r="J4104">
        <v>4</v>
      </c>
      <c r="K4104">
        <v>5387</v>
      </c>
      <c r="L4104">
        <v>2694</v>
      </c>
      <c r="M4104">
        <v>56565</v>
      </c>
      <c r="N4104">
        <v>2694</v>
      </c>
      <c r="O4104">
        <v>61953</v>
      </c>
    </row>
    <row r="4105" spans="1:15" x14ac:dyDescent="0.35">
      <c r="A4105">
        <v>4104</v>
      </c>
      <c r="B4105" s="2" t="s">
        <v>20</v>
      </c>
      <c r="C4105" s="2" t="s">
        <v>15</v>
      </c>
      <c r="D4105">
        <v>23</v>
      </c>
      <c r="E4105" s="2" t="s">
        <v>29</v>
      </c>
      <c r="F4105" s="2" t="s">
        <v>25</v>
      </c>
      <c r="G4105">
        <v>42244</v>
      </c>
      <c r="H4105" s="1">
        <v>45348</v>
      </c>
      <c r="I4105">
        <v>10</v>
      </c>
      <c r="J4105">
        <v>2</v>
      </c>
      <c r="K4105">
        <v>4224</v>
      </c>
      <c r="L4105">
        <v>2112</v>
      </c>
      <c r="M4105">
        <v>44356</v>
      </c>
      <c r="N4105">
        <v>2112</v>
      </c>
      <c r="O4105">
        <v>48580</v>
      </c>
    </row>
    <row r="4106" spans="1:15" x14ac:dyDescent="0.35">
      <c r="A4106">
        <v>4105</v>
      </c>
      <c r="B4106" s="2" t="s">
        <v>18</v>
      </c>
      <c r="C4106" s="2" t="s">
        <v>15</v>
      </c>
      <c r="D4106">
        <v>32</v>
      </c>
      <c r="E4106" s="2" t="s">
        <v>12</v>
      </c>
      <c r="F4106" s="2" t="s">
        <v>21</v>
      </c>
      <c r="G4106">
        <v>66729</v>
      </c>
      <c r="H4106" s="1">
        <v>44732</v>
      </c>
      <c r="I4106">
        <v>3</v>
      </c>
      <c r="J4106">
        <v>1</v>
      </c>
      <c r="K4106">
        <v>6673</v>
      </c>
      <c r="L4106">
        <v>3336</v>
      </c>
      <c r="M4106">
        <v>70066</v>
      </c>
      <c r="N4106">
        <v>0</v>
      </c>
      <c r="O4106">
        <v>73402</v>
      </c>
    </row>
    <row r="4107" spans="1:15" x14ac:dyDescent="0.35">
      <c r="A4107">
        <v>4106</v>
      </c>
      <c r="B4107" s="2" t="s">
        <v>10</v>
      </c>
      <c r="C4107" s="2" t="s">
        <v>11</v>
      </c>
      <c r="D4107">
        <v>60</v>
      </c>
      <c r="E4107" s="2" t="s">
        <v>16</v>
      </c>
      <c r="F4107" s="2" t="s">
        <v>25</v>
      </c>
      <c r="G4107">
        <v>61258</v>
      </c>
      <c r="H4107" s="1">
        <v>44588</v>
      </c>
      <c r="I4107">
        <v>14</v>
      </c>
      <c r="J4107">
        <v>2</v>
      </c>
      <c r="K4107">
        <v>6126</v>
      </c>
      <c r="L4107">
        <v>3063</v>
      </c>
      <c r="M4107">
        <v>64321</v>
      </c>
      <c r="N4107">
        <v>3063</v>
      </c>
      <c r="O4107">
        <v>70447</v>
      </c>
    </row>
    <row r="4108" spans="1:15" x14ac:dyDescent="0.35">
      <c r="A4108">
        <v>4107</v>
      </c>
      <c r="B4108" s="2" t="s">
        <v>10</v>
      </c>
      <c r="C4108" s="2" t="s">
        <v>11</v>
      </c>
      <c r="D4108">
        <v>54</v>
      </c>
      <c r="E4108" s="2" t="s">
        <v>28</v>
      </c>
      <c r="F4108" s="2" t="s">
        <v>19</v>
      </c>
      <c r="G4108">
        <v>41112</v>
      </c>
      <c r="H4108" s="1">
        <v>45117</v>
      </c>
      <c r="I4108">
        <v>8</v>
      </c>
      <c r="J4108">
        <v>3</v>
      </c>
      <c r="K4108">
        <v>4111</v>
      </c>
      <c r="L4108">
        <v>2056</v>
      </c>
      <c r="M4108">
        <v>43167</v>
      </c>
      <c r="N4108">
        <v>2056</v>
      </c>
      <c r="O4108">
        <v>47279</v>
      </c>
    </row>
    <row r="4109" spans="1:15" x14ac:dyDescent="0.35">
      <c r="A4109">
        <v>4108</v>
      </c>
      <c r="B4109" s="2" t="s">
        <v>27</v>
      </c>
      <c r="C4109" s="2" t="s">
        <v>11</v>
      </c>
      <c r="D4109">
        <v>46</v>
      </c>
      <c r="E4109" s="2" t="s">
        <v>24</v>
      </c>
      <c r="F4109" s="2" t="s">
        <v>13</v>
      </c>
      <c r="G4109">
        <v>99815</v>
      </c>
      <c r="H4109" s="1">
        <v>45105</v>
      </c>
      <c r="I4109">
        <v>17</v>
      </c>
      <c r="J4109">
        <v>2</v>
      </c>
      <c r="K4109">
        <v>9982</v>
      </c>
      <c r="L4109">
        <v>4991</v>
      </c>
      <c r="M4109">
        <v>104806</v>
      </c>
      <c r="N4109">
        <v>4991</v>
      </c>
      <c r="O4109">
        <v>114788</v>
      </c>
    </row>
    <row r="4110" spans="1:15" x14ac:dyDescent="0.35">
      <c r="A4110">
        <v>4109</v>
      </c>
      <c r="B4110" s="2" t="s">
        <v>31</v>
      </c>
      <c r="C4110" s="2" t="s">
        <v>15</v>
      </c>
      <c r="D4110">
        <v>59</v>
      </c>
      <c r="E4110" s="2" t="s">
        <v>16</v>
      </c>
      <c r="F4110" s="2" t="s">
        <v>13</v>
      </c>
      <c r="G4110">
        <v>98738</v>
      </c>
      <c r="H4110" s="1">
        <v>44995</v>
      </c>
      <c r="I4110">
        <v>5</v>
      </c>
      <c r="J4110">
        <v>5</v>
      </c>
      <c r="K4110">
        <v>9874</v>
      </c>
      <c r="L4110">
        <v>4937</v>
      </c>
      <c r="M4110">
        <v>103675</v>
      </c>
      <c r="N4110">
        <v>0</v>
      </c>
      <c r="O4110">
        <v>108612</v>
      </c>
    </row>
    <row r="4111" spans="1:15" x14ac:dyDescent="0.35">
      <c r="A4111">
        <v>4110</v>
      </c>
      <c r="B4111" s="2" t="s">
        <v>26</v>
      </c>
      <c r="C4111" s="2" t="s">
        <v>15</v>
      </c>
      <c r="D4111">
        <v>60</v>
      </c>
      <c r="E4111" s="2" t="s">
        <v>12</v>
      </c>
      <c r="F4111" s="2" t="s">
        <v>17</v>
      </c>
      <c r="G4111">
        <v>26451</v>
      </c>
      <c r="H4111" s="1">
        <v>45236</v>
      </c>
      <c r="I4111">
        <v>12</v>
      </c>
      <c r="J4111">
        <v>3</v>
      </c>
      <c r="K4111">
        <v>2645</v>
      </c>
      <c r="L4111">
        <v>1323</v>
      </c>
      <c r="M4111">
        <v>27773</v>
      </c>
      <c r="N4111">
        <v>1323</v>
      </c>
      <c r="O4111">
        <v>30419</v>
      </c>
    </row>
    <row r="4112" spans="1:15" x14ac:dyDescent="0.35">
      <c r="A4112">
        <v>4111</v>
      </c>
      <c r="B4112" s="2" t="s">
        <v>22</v>
      </c>
      <c r="C4112" s="2" t="s">
        <v>11</v>
      </c>
      <c r="D4112">
        <v>37</v>
      </c>
      <c r="E4112" s="2" t="s">
        <v>28</v>
      </c>
      <c r="F4112" s="2" t="s">
        <v>13</v>
      </c>
      <c r="G4112">
        <v>39450</v>
      </c>
      <c r="H4112" s="1">
        <v>45347</v>
      </c>
      <c r="I4112">
        <v>14</v>
      </c>
      <c r="J4112">
        <v>5</v>
      </c>
      <c r="K4112">
        <v>3945</v>
      </c>
      <c r="L4112">
        <v>1972</v>
      </c>
      <c r="M4112">
        <v>41423</v>
      </c>
      <c r="N4112">
        <v>1972</v>
      </c>
      <c r="O4112">
        <v>45367</v>
      </c>
    </row>
    <row r="4113" spans="1:15" x14ac:dyDescent="0.35">
      <c r="A4113">
        <v>4112</v>
      </c>
      <c r="B4113" s="2" t="s">
        <v>26</v>
      </c>
      <c r="C4113" s="2" t="s">
        <v>11</v>
      </c>
      <c r="D4113">
        <v>43</v>
      </c>
      <c r="E4113" s="2" t="s">
        <v>24</v>
      </c>
      <c r="F4113" s="2" t="s">
        <v>19</v>
      </c>
      <c r="G4113">
        <v>96925</v>
      </c>
      <c r="H4113" s="1">
        <v>45479</v>
      </c>
      <c r="I4113">
        <v>20</v>
      </c>
      <c r="J4113">
        <v>5</v>
      </c>
      <c r="K4113">
        <v>9692</v>
      </c>
      <c r="L4113">
        <v>4846</v>
      </c>
      <c r="M4113">
        <v>101771</v>
      </c>
      <c r="N4113">
        <v>4846</v>
      </c>
      <c r="O4113">
        <v>111463</v>
      </c>
    </row>
    <row r="4114" spans="1:15" x14ac:dyDescent="0.35">
      <c r="A4114">
        <v>4113</v>
      </c>
      <c r="B4114" s="2" t="s">
        <v>18</v>
      </c>
      <c r="C4114" s="2" t="s">
        <v>15</v>
      </c>
      <c r="D4114">
        <v>59</v>
      </c>
      <c r="E4114" s="2" t="s">
        <v>24</v>
      </c>
      <c r="F4114" s="2" t="s">
        <v>21</v>
      </c>
      <c r="G4114">
        <v>92276</v>
      </c>
      <c r="H4114" s="1">
        <v>44642</v>
      </c>
      <c r="I4114">
        <v>9</v>
      </c>
      <c r="J4114">
        <v>4</v>
      </c>
      <c r="K4114">
        <v>9228</v>
      </c>
      <c r="L4114">
        <v>4614</v>
      </c>
      <c r="M4114">
        <v>96890</v>
      </c>
      <c r="N4114">
        <v>4614</v>
      </c>
      <c r="O4114">
        <v>106118</v>
      </c>
    </row>
    <row r="4115" spans="1:15" x14ac:dyDescent="0.35">
      <c r="A4115">
        <v>4114</v>
      </c>
      <c r="B4115" s="2" t="s">
        <v>20</v>
      </c>
      <c r="C4115" s="2" t="s">
        <v>15</v>
      </c>
      <c r="D4115">
        <v>42</v>
      </c>
      <c r="E4115" s="2" t="s">
        <v>29</v>
      </c>
      <c r="F4115" s="2" t="s">
        <v>19</v>
      </c>
      <c r="G4115">
        <v>75805</v>
      </c>
      <c r="H4115" s="1">
        <v>44708</v>
      </c>
      <c r="I4115">
        <v>12</v>
      </c>
      <c r="J4115">
        <v>4</v>
      </c>
      <c r="K4115">
        <v>7580</v>
      </c>
      <c r="L4115">
        <v>3790</v>
      </c>
      <c r="M4115">
        <v>79595</v>
      </c>
      <c r="N4115">
        <v>3790</v>
      </c>
      <c r="O4115">
        <v>87175</v>
      </c>
    </row>
    <row r="4116" spans="1:15" x14ac:dyDescent="0.35">
      <c r="A4116">
        <v>4115</v>
      </c>
      <c r="B4116" s="2" t="s">
        <v>26</v>
      </c>
      <c r="C4116" s="2" t="s">
        <v>15</v>
      </c>
      <c r="D4116">
        <v>47</v>
      </c>
      <c r="E4116" s="2" t="s">
        <v>24</v>
      </c>
      <c r="F4116" s="2" t="s">
        <v>13</v>
      </c>
      <c r="G4116">
        <v>71685</v>
      </c>
      <c r="H4116" s="1">
        <v>44973</v>
      </c>
      <c r="I4116">
        <v>18</v>
      </c>
      <c r="J4116">
        <v>2</v>
      </c>
      <c r="K4116">
        <v>7168</v>
      </c>
      <c r="L4116">
        <v>3584</v>
      </c>
      <c r="M4116">
        <v>75269</v>
      </c>
      <c r="N4116">
        <v>3584</v>
      </c>
      <c r="O4116">
        <v>82437</v>
      </c>
    </row>
    <row r="4117" spans="1:15" x14ac:dyDescent="0.35">
      <c r="A4117">
        <v>4116</v>
      </c>
      <c r="B4117" s="2" t="s">
        <v>22</v>
      </c>
      <c r="C4117" s="2" t="s">
        <v>11</v>
      </c>
      <c r="D4117">
        <v>45</v>
      </c>
      <c r="E4117" s="2" t="s">
        <v>28</v>
      </c>
      <c r="F4117" s="2" t="s">
        <v>25</v>
      </c>
      <c r="G4117">
        <v>89933</v>
      </c>
      <c r="H4117" s="1">
        <v>45371</v>
      </c>
      <c r="I4117">
        <v>2</v>
      </c>
      <c r="J4117">
        <v>3</v>
      </c>
      <c r="K4117">
        <v>8993</v>
      </c>
      <c r="L4117">
        <v>4497</v>
      </c>
      <c r="M4117">
        <v>94429</v>
      </c>
      <c r="N4117">
        <v>0</v>
      </c>
      <c r="O4117">
        <v>98926</v>
      </c>
    </row>
    <row r="4118" spans="1:15" x14ac:dyDescent="0.35">
      <c r="A4118">
        <v>4117</v>
      </c>
      <c r="B4118" s="2" t="s">
        <v>26</v>
      </c>
      <c r="C4118" s="2" t="s">
        <v>15</v>
      </c>
      <c r="D4118">
        <v>59</v>
      </c>
      <c r="E4118" s="2" t="s">
        <v>24</v>
      </c>
      <c r="F4118" s="2" t="s">
        <v>17</v>
      </c>
      <c r="G4118">
        <v>24243</v>
      </c>
      <c r="H4118" s="1">
        <v>45403</v>
      </c>
      <c r="I4118">
        <v>8</v>
      </c>
      <c r="J4118">
        <v>5</v>
      </c>
      <c r="K4118">
        <v>2424</v>
      </c>
      <c r="L4118">
        <v>1212</v>
      </c>
      <c r="M4118">
        <v>25455</v>
      </c>
      <c r="N4118">
        <v>1212</v>
      </c>
      <c r="O4118">
        <v>27879</v>
      </c>
    </row>
    <row r="4119" spans="1:15" x14ac:dyDescent="0.35">
      <c r="A4119">
        <v>4118</v>
      </c>
      <c r="B4119" s="2" t="s">
        <v>30</v>
      </c>
      <c r="C4119" s="2" t="s">
        <v>11</v>
      </c>
      <c r="D4119">
        <v>48</v>
      </c>
      <c r="E4119" s="2" t="s">
        <v>24</v>
      </c>
      <c r="F4119" s="2" t="s">
        <v>17</v>
      </c>
      <c r="G4119">
        <v>89843</v>
      </c>
      <c r="H4119" s="1">
        <v>45420</v>
      </c>
      <c r="I4119">
        <v>7</v>
      </c>
      <c r="J4119">
        <v>3</v>
      </c>
      <c r="K4119">
        <v>8984</v>
      </c>
      <c r="L4119">
        <v>4492</v>
      </c>
      <c r="M4119">
        <v>94335</v>
      </c>
      <c r="N4119">
        <v>4492</v>
      </c>
      <c r="O4119">
        <v>103319</v>
      </c>
    </row>
    <row r="4120" spans="1:15" x14ac:dyDescent="0.35">
      <c r="A4120">
        <v>4119</v>
      </c>
      <c r="B4120" s="2" t="s">
        <v>30</v>
      </c>
      <c r="C4120" s="2" t="s">
        <v>11</v>
      </c>
      <c r="D4120">
        <v>23</v>
      </c>
      <c r="E4120" s="2" t="s">
        <v>29</v>
      </c>
      <c r="F4120" s="2" t="s">
        <v>21</v>
      </c>
      <c r="G4120">
        <v>70334</v>
      </c>
      <c r="H4120" s="1">
        <v>44699</v>
      </c>
      <c r="I4120">
        <v>13</v>
      </c>
      <c r="J4120">
        <v>5</v>
      </c>
      <c r="K4120">
        <v>7033</v>
      </c>
      <c r="L4120">
        <v>3517</v>
      </c>
      <c r="M4120">
        <v>73850</v>
      </c>
      <c r="N4120">
        <v>3517</v>
      </c>
      <c r="O4120">
        <v>80884</v>
      </c>
    </row>
    <row r="4121" spans="1:15" x14ac:dyDescent="0.35">
      <c r="A4121">
        <v>4120</v>
      </c>
      <c r="B4121" s="2" t="s">
        <v>20</v>
      </c>
      <c r="C4121" s="2" t="s">
        <v>15</v>
      </c>
      <c r="D4121">
        <v>31</v>
      </c>
      <c r="E4121" s="2" t="s">
        <v>29</v>
      </c>
      <c r="F4121" s="2" t="s">
        <v>13</v>
      </c>
      <c r="G4121">
        <v>32167</v>
      </c>
      <c r="H4121" s="1">
        <v>45349</v>
      </c>
      <c r="I4121">
        <v>1</v>
      </c>
      <c r="J4121">
        <v>1</v>
      </c>
      <c r="K4121">
        <v>3217</v>
      </c>
      <c r="L4121">
        <v>1608</v>
      </c>
      <c r="M4121">
        <v>33776</v>
      </c>
      <c r="N4121">
        <v>0</v>
      </c>
      <c r="O4121">
        <v>35384</v>
      </c>
    </row>
    <row r="4122" spans="1:15" x14ac:dyDescent="0.35">
      <c r="A4122">
        <v>4121</v>
      </c>
      <c r="B4122" s="2" t="s">
        <v>23</v>
      </c>
      <c r="C4122" s="2" t="s">
        <v>11</v>
      </c>
      <c r="D4122">
        <v>49</v>
      </c>
      <c r="E4122" s="2" t="s">
        <v>24</v>
      </c>
      <c r="F4122" s="2" t="s">
        <v>13</v>
      </c>
      <c r="G4122">
        <v>25279</v>
      </c>
      <c r="H4122" s="1">
        <v>45555</v>
      </c>
      <c r="I4122">
        <v>5</v>
      </c>
      <c r="J4122">
        <v>3</v>
      </c>
      <c r="K4122">
        <v>2528</v>
      </c>
      <c r="L4122">
        <v>1264</v>
      </c>
      <c r="M4122">
        <v>26543</v>
      </c>
      <c r="N4122">
        <v>0</v>
      </c>
      <c r="O4122">
        <v>27807</v>
      </c>
    </row>
    <row r="4123" spans="1:15" x14ac:dyDescent="0.35">
      <c r="A4123">
        <v>4122</v>
      </c>
      <c r="B4123" s="2" t="s">
        <v>20</v>
      </c>
      <c r="C4123" s="2" t="s">
        <v>11</v>
      </c>
      <c r="D4123">
        <v>46</v>
      </c>
      <c r="E4123" s="2" t="s">
        <v>28</v>
      </c>
      <c r="F4123" s="2" t="s">
        <v>13</v>
      </c>
      <c r="G4123">
        <v>72884</v>
      </c>
      <c r="H4123" s="1">
        <v>44805</v>
      </c>
      <c r="I4123">
        <v>6</v>
      </c>
      <c r="J4123">
        <v>1</v>
      </c>
      <c r="K4123">
        <v>7288</v>
      </c>
      <c r="L4123">
        <v>3644</v>
      </c>
      <c r="M4123">
        <v>76528</v>
      </c>
      <c r="N4123">
        <v>3644</v>
      </c>
      <c r="O4123">
        <v>83816</v>
      </c>
    </row>
    <row r="4124" spans="1:15" x14ac:dyDescent="0.35">
      <c r="A4124">
        <v>4123</v>
      </c>
      <c r="B4124" s="2" t="s">
        <v>22</v>
      </c>
      <c r="C4124" s="2" t="s">
        <v>11</v>
      </c>
      <c r="D4124">
        <v>57</v>
      </c>
      <c r="E4124" s="2" t="s">
        <v>16</v>
      </c>
      <c r="F4124" s="2" t="s">
        <v>25</v>
      </c>
      <c r="G4124">
        <v>25353</v>
      </c>
      <c r="H4124" s="1">
        <v>45313</v>
      </c>
      <c r="I4124">
        <v>3</v>
      </c>
      <c r="J4124">
        <v>3</v>
      </c>
      <c r="K4124">
        <v>2535</v>
      </c>
      <c r="L4124">
        <v>1268</v>
      </c>
      <c r="M4124">
        <v>26620</v>
      </c>
      <c r="N4124">
        <v>0</v>
      </c>
      <c r="O4124">
        <v>27888</v>
      </c>
    </row>
    <row r="4125" spans="1:15" x14ac:dyDescent="0.35">
      <c r="A4125">
        <v>4124</v>
      </c>
      <c r="B4125" s="2" t="s">
        <v>14</v>
      </c>
      <c r="C4125" s="2" t="s">
        <v>11</v>
      </c>
      <c r="D4125">
        <v>57</v>
      </c>
      <c r="E4125" s="2" t="s">
        <v>24</v>
      </c>
      <c r="F4125" s="2" t="s">
        <v>25</v>
      </c>
      <c r="G4125">
        <v>44144</v>
      </c>
      <c r="H4125" s="1">
        <v>45355</v>
      </c>
      <c r="I4125">
        <v>9</v>
      </c>
      <c r="J4125">
        <v>3</v>
      </c>
      <c r="K4125">
        <v>4414</v>
      </c>
      <c r="L4125">
        <v>2207</v>
      </c>
      <c r="M4125">
        <v>46351</v>
      </c>
      <c r="N4125">
        <v>2207</v>
      </c>
      <c r="O4125">
        <v>50765</v>
      </c>
    </row>
    <row r="4126" spans="1:15" x14ac:dyDescent="0.35">
      <c r="A4126">
        <v>4125</v>
      </c>
      <c r="B4126" s="2" t="s">
        <v>22</v>
      </c>
      <c r="C4126" s="2" t="s">
        <v>11</v>
      </c>
      <c r="D4126">
        <v>58</v>
      </c>
      <c r="E4126" s="2" t="s">
        <v>12</v>
      </c>
      <c r="F4126" s="2" t="s">
        <v>19</v>
      </c>
      <c r="G4126">
        <v>92261</v>
      </c>
      <c r="H4126" s="1">
        <v>45310</v>
      </c>
      <c r="I4126">
        <v>18</v>
      </c>
      <c r="J4126">
        <v>1</v>
      </c>
      <c r="K4126">
        <v>9226</v>
      </c>
      <c r="L4126">
        <v>4613</v>
      </c>
      <c r="M4126">
        <v>96874</v>
      </c>
      <c r="N4126">
        <v>4613</v>
      </c>
      <c r="O4126">
        <v>106100</v>
      </c>
    </row>
    <row r="4127" spans="1:15" x14ac:dyDescent="0.35">
      <c r="A4127">
        <v>4126</v>
      </c>
      <c r="B4127" s="2" t="s">
        <v>10</v>
      </c>
      <c r="C4127" s="2" t="s">
        <v>15</v>
      </c>
      <c r="D4127">
        <v>53</v>
      </c>
      <c r="E4127" s="2" t="s">
        <v>28</v>
      </c>
      <c r="F4127" s="2" t="s">
        <v>17</v>
      </c>
      <c r="G4127">
        <v>94978</v>
      </c>
      <c r="H4127" s="1">
        <v>45530</v>
      </c>
      <c r="I4127">
        <v>16</v>
      </c>
      <c r="J4127">
        <v>4</v>
      </c>
      <c r="K4127">
        <v>9498</v>
      </c>
      <c r="L4127">
        <v>4749</v>
      </c>
      <c r="M4127">
        <v>99727</v>
      </c>
      <c r="N4127">
        <v>4749</v>
      </c>
      <c r="O4127">
        <v>109225</v>
      </c>
    </row>
    <row r="4128" spans="1:15" x14ac:dyDescent="0.35">
      <c r="A4128">
        <v>4127</v>
      </c>
      <c r="B4128" s="2" t="s">
        <v>22</v>
      </c>
      <c r="C4128" s="2" t="s">
        <v>15</v>
      </c>
      <c r="D4128">
        <v>32</v>
      </c>
      <c r="E4128" s="2" t="s">
        <v>28</v>
      </c>
      <c r="F4128" s="2" t="s">
        <v>21</v>
      </c>
      <c r="G4128">
        <v>51467</v>
      </c>
      <c r="H4128" s="1">
        <v>45070</v>
      </c>
      <c r="I4128">
        <v>7</v>
      </c>
      <c r="J4128">
        <v>4</v>
      </c>
      <c r="K4128">
        <v>5147</v>
      </c>
      <c r="L4128">
        <v>2573</v>
      </c>
      <c r="M4128">
        <v>54041</v>
      </c>
      <c r="N4128">
        <v>2573</v>
      </c>
      <c r="O4128">
        <v>59187</v>
      </c>
    </row>
    <row r="4129" spans="1:15" x14ac:dyDescent="0.35">
      <c r="A4129">
        <v>4128</v>
      </c>
      <c r="B4129" s="2" t="s">
        <v>22</v>
      </c>
      <c r="C4129" s="2" t="s">
        <v>15</v>
      </c>
      <c r="D4129">
        <v>45</v>
      </c>
      <c r="E4129" s="2" t="s">
        <v>28</v>
      </c>
      <c r="F4129" s="2" t="s">
        <v>25</v>
      </c>
      <c r="G4129">
        <v>97466</v>
      </c>
      <c r="H4129" s="1">
        <v>44582</v>
      </c>
      <c r="I4129">
        <v>7</v>
      </c>
      <c r="J4129">
        <v>5</v>
      </c>
      <c r="K4129">
        <v>9747</v>
      </c>
      <c r="L4129">
        <v>4873</v>
      </c>
      <c r="M4129">
        <v>102340</v>
      </c>
      <c r="N4129">
        <v>4873</v>
      </c>
      <c r="O4129">
        <v>112086</v>
      </c>
    </row>
    <row r="4130" spans="1:15" x14ac:dyDescent="0.35">
      <c r="A4130">
        <v>4129</v>
      </c>
      <c r="B4130" s="2" t="s">
        <v>18</v>
      </c>
      <c r="C4130" s="2" t="s">
        <v>11</v>
      </c>
      <c r="D4130">
        <v>59</v>
      </c>
      <c r="E4130" s="2" t="s">
        <v>28</v>
      </c>
      <c r="F4130" s="2" t="s">
        <v>21</v>
      </c>
      <c r="G4130">
        <v>31062</v>
      </c>
      <c r="H4130" s="1">
        <v>44849</v>
      </c>
      <c r="I4130">
        <v>10</v>
      </c>
      <c r="J4130">
        <v>1</v>
      </c>
      <c r="K4130">
        <v>3106</v>
      </c>
      <c r="L4130">
        <v>1553</v>
      </c>
      <c r="M4130">
        <v>32615</v>
      </c>
      <c r="N4130">
        <v>1553</v>
      </c>
      <c r="O4130">
        <v>35721</v>
      </c>
    </row>
    <row r="4131" spans="1:15" x14ac:dyDescent="0.35">
      <c r="A4131">
        <v>4130</v>
      </c>
      <c r="B4131" s="2" t="s">
        <v>27</v>
      </c>
      <c r="C4131" s="2" t="s">
        <v>11</v>
      </c>
      <c r="D4131">
        <v>49</v>
      </c>
      <c r="E4131" s="2" t="s">
        <v>16</v>
      </c>
      <c r="F4131" s="2" t="s">
        <v>13</v>
      </c>
      <c r="G4131">
        <v>56640</v>
      </c>
      <c r="H4131" s="1">
        <v>45445</v>
      </c>
      <c r="I4131">
        <v>13</v>
      </c>
      <c r="J4131">
        <v>5</v>
      </c>
      <c r="K4131">
        <v>5664</v>
      </c>
      <c r="L4131">
        <v>2832</v>
      </c>
      <c r="M4131">
        <v>59472</v>
      </c>
      <c r="N4131">
        <v>2832</v>
      </c>
      <c r="O4131">
        <v>65136</v>
      </c>
    </row>
    <row r="4132" spans="1:15" x14ac:dyDescent="0.35">
      <c r="A4132">
        <v>4131</v>
      </c>
      <c r="B4132" s="2" t="s">
        <v>30</v>
      </c>
      <c r="C4132" s="2" t="s">
        <v>15</v>
      </c>
      <c r="D4132">
        <v>38</v>
      </c>
      <c r="E4132" s="2" t="s">
        <v>29</v>
      </c>
      <c r="F4132" s="2" t="s">
        <v>17</v>
      </c>
      <c r="G4132">
        <v>77855</v>
      </c>
      <c r="H4132" s="1">
        <v>45472</v>
      </c>
      <c r="I4132">
        <v>9</v>
      </c>
      <c r="J4132">
        <v>1</v>
      </c>
      <c r="K4132">
        <v>7786</v>
      </c>
      <c r="L4132">
        <v>3893</v>
      </c>
      <c r="M4132">
        <v>81748</v>
      </c>
      <c r="N4132">
        <v>3893</v>
      </c>
      <c r="O4132">
        <v>89534</v>
      </c>
    </row>
    <row r="4133" spans="1:15" x14ac:dyDescent="0.35">
      <c r="A4133">
        <v>4132</v>
      </c>
      <c r="B4133" s="2" t="s">
        <v>20</v>
      </c>
      <c r="C4133" s="2" t="s">
        <v>15</v>
      </c>
      <c r="D4133">
        <v>50</v>
      </c>
      <c r="E4133" s="2" t="s">
        <v>12</v>
      </c>
      <c r="F4133" s="2" t="s">
        <v>17</v>
      </c>
      <c r="G4133">
        <v>56951</v>
      </c>
      <c r="H4133" s="1">
        <v>45196</v>
      </c>
      <c r="I4133">
        <v>7</v>
      </c>
      <c r="J4133">
        <v>5</v>
      </c>
      <c r="K4133">
        <v>5695</v>
      </c>
      <c r="L4133">
        <v>2848</v>
      </c>
      <c r="M4133">
        <v>59798</v>
      </c>
      <c r="N4133">
        <v>2848</v>
      </c>
      <c r="O4133">
        <v>65494</v>
      </c>
    </row>
    <row r="4134" spans="1:15" x14ac:dyDescent="0.35">
      <c r="A4134">
        <v>4133</v>
      </c>
      <c r="B4134" s="2" t="s">
        <v>27</v>
      </c>
      <c r="C4134" s="2" t="s">
        <v>11</v>
      </c>
      <c r="D4134">
        <v>55</v>
      </c>
      <c r="E4134" s="2" t="s">
        <v>29</v>
      </c>
      <c r="F4134" s="2" t="s">
        <v>25</v>
      </c>
      <c r="G4134">
        <v>92975</v>
      </c>
      <c r="H4134" s="1">
        <v>44650</v>
      </c>
      <c r="I4134">
        <v>20</v>
      </c>
      <c r="J4134">
        <v>5</v>
      </c>
      <c r="K4134">
        <v>9298</v>
      </c>
      <c r="L4134">
        <v>4649</v>
      </c>
      <c r="M4134">
        <v>97624</v>
      </c>
      <c r="N4134">
        <v>4649</v>
      </c>
      <c r="O4134">
        <v>106922</v>
      </c>
    </row>
    <row r="4135" spans="1:15" x14ac:dyDescent="0.35">
      <c r="A4135">
        <v>4134</v>
      </c>
      <c r="B4135" s="2" t="s">
        <v>20</v>
      </c>
      <c r="C4135" s="2" t="s">
        <v>11</v>
      </c>
      <c r="D4135">
        <v>36</v>
      </c>
      <c r="E4135" s="2" t="s">
        <v>12</v>
      </c>
      <c r="F4135" s="2" t="s">
        <v>13</v>
      </c>
      <c r="G4135">
        <v>32628</v>
      </c>
      <c r="H4135" s="1">
        <v>45160</v>
      </c>
      <c r="I4135">
        <v>18</v>
      </c>
      <c r="J4135">
        <v>3</v>
      </c>
      <c r="K4135">
        <v>3263</v>
      </c>
      <c r="L4135">
        <v>1631</v>
      </c>
      <c r="M4135">
        <v>34260</v>
      </c>
      <c r="N4135">
        <v>1631</v>
      </c>
      <c r="O4135">
        <v>37522</v>
      </c>
    </row>
    <row r="4136" spans="1:15" x14ac:dyDescent="0.35">
      <c r="A4136">
        <v>4135</v>
      </c>
      <c r="B4136" s="2" t="s">
        <v>27</v>
      </c>
      <c r="C4136" s="2" t="s">
        <v>11</v>
      </c>
      <c r="D4136">
        <v>57</v>
      </c>
      <c r="E4136" s="2" t="s">
        <v>29</v>
      </c>
      <c r="F4136" s="2" t="s">
        <v>13</v>
      </c>
      <c r="G4136">
        <v>95752</v>
      </c>
      <c r="H4136" s="1">
        <v>44642</v>
      </c>
      <c r="I4136">
        <v>11</v>
      </c>
      <c r="J4136">
        <v>2</v>
      </c>
      <c r="K4136">
        <v>9575</v>
      </c>
      <c r="L4136">
        <v>4788</v>
      </c>
      <c r="M4136">
        <v>100539</v>
      </c>
      <c r="N4136">
        <v>4788</v>
      </c>
      <c r="O4136">
        <v>110115</v>
      </c>
    </row>
    <row r="4137" spans="1:15" x14ac:dyDescent="0.35">
      <c r="A4137">
        <v>4136</v>
      </c>
      <c r="B4137" s="2" t="s">
        <v>23</v>
      </c>
      <c r="C4137" s="2" t="s">
        <v>11</v>
      </c>
      <c r="D4137">
        <v>53</v>
      </c>
      <c r="E4137" s="2" t="s">
        <v>16</v>
      </c>
      <c r="F4137" s="2" t="s">
        <v>17</v>
      </c>
      <c r="G4137">
        <v>82218</v>
      </c>
      <c r="H4137" s="1">
        <v>44654</v>
      </c>
      <c r="I4137">
        <v>3</v>
      </c>
      <c r="J4137">
        <v>5</v>
      </c>
      <c r="K4137">
        <v>8222</v>
      </c>
      <c r="L4137">
        <v>4111</v>
      </c>
      <c r="M4137">
        <v>86329</v>
      </c>
      <c r="N4137">
        <v>0</v>
      </c>
      <c r="O4137">
        <v>90440</v>
      </c>
    </row>
    <row r="4138" spans="1:15" x14ac:dyDescent="0.35">
      <c r="A4138">
        <v>4137</v>
      </c>
      <c r="B4138" s="2" t="s">
        <v>22</v>
      </c>
      <c r="C4138" s="2" t="s">
        <v>15</v>
      </c>
      <c r="D4138">
        <v>38</v>
      </c>
      <c r="E4138" s="2" t="s">
        <v>28</v>
      </c>
      <c r="F4138" s="2" t="s">
        <v>21</v>
      </c>
      <c r="G4138">
        <v>88188</v>
      </c>
      <c r="H4138" s="1">
        <v>44712</v>
      </c>
      <c r="I4138">
        <v>3</v>
      </c>
      <c r="J4138">
        <v>3</v>
      </c>
      <c r="K4138">
        <v>8819</v>
      </c>
      <c r="L4138">
        <v>4409</v>
      </c>
      <c r="M4138">
        <v>92598</v>
      </c>
      <c r="N4138">
        <v>0</v>
      </c>
      <c r="O4138">
        <v>97007</v>
      </c>
    </row>
    <row r="4139" spans="1:15" x14ac:dyDescent="0.35">
      <c r="A4139">
        <v>4138</v>
      </c>
      <c r="B4139" s="2" t="s">
        <v>14</v>
      </c>
      <c r="C4139" s="2" t="s">
        <v>11</v>
      </c>
      <c r="D4139">
        <v>39</v>
      </c>
      <c r="E4139" s="2" t="s">
        <v>16</v>
      </c>
      <c r="F4139" s="2" t="s">
        <v>13</v>
      </c>
      <c r="G4139">
        <v>50384</v>
      </c>
      <c r="H4139" s="1">
        <v>45495</v>
      </c>
      <c r="I4139">
        <v>3</v>
      </c>
      <c r="J4139">
        <v>5</v>
      </c>
      <c r="K4139">
        <v>5038</v>
      </c>
      <c r="L4139">
        <v>2519</v>
      </c>
      <c r="M4139">
        <v>52903</v>
      </c>
      <c r="N4139">
        <v>0</v>
      </c>
      <c r="O4139">
        <v>55422</v>
      </c>
    </row>
    <row r="4140" spans="1:15" x14ac:dyDescent="0.35">
      <c r="A4140">
        <v>4139</v>
      </c>
      <c r="B4140" s="2" t="s">
        <v>30</v>
      </c>
      <c r="C4140" s="2" t="s">
        <v>11</v>
      </c>
      <c r="D4140">
        <v>36</v>
      </c>
      <c r="E4140" s="2" t="s">
        <v>24</v>
      </c>
      <c r="F4140" s="2" t="s">
        <v>17</v>
      </c>
      <c r="G4140">
        <v>32392</v>
      </c>
      <c r="H4140" s="1">
        <v>45186</v>
      </c>
      <c r="I4140">
        <v>11</v>
      </c>
      <c r="J4140">
        <v>5</v>
      </c>
      <c r="K4140">
        <v>3239</v>
      </c>
      <c r="L4140">
        <v>1620</v>
      </c>
      <c r="M4140">
        <v>34011</v>
      </c>
      <c r="N4140">
        <v>1620</v>
      </c>
      <c r="O4140">
        <v>37251</v>
      </c>
    </row>
    <row r="4141" spans="1:15" x14ac:dyDescent="0.35">
      <c r="A4141">
        <v>4140</v>
      </c>
      <c r="B4141" s="2" t="s">
        <v>22</v>
      </c>
      <c r="C4141" s="2" t="s">
        <v>15</v>
      </c>
      <c r="D4141">
        <v>35</v>
      </c>
      <c r="E4141" s="2" t="s">
        <v>28</v>
      </c>
      <c r="F4141" s="2" t="s">
        <v>17</v>
      </c>
      <c r="G4141">
        <v>28890</v>
      </c>
      <c r="H4141" s="1">
        <v>45262</v>
      </c>
      <c r="I4141">
        <v>4</v>
      </c>
      <c r="J4141">
        <v>3</v>
      </c>
      <c r="K4141">
        <v>2889</v>
      </c>
      <c r="L4141">
        <v>1444</v>
      </c>
      <c r="M4141">
        <v>30335</v>
      </c>
      <c r="N4141">
        <v>0</v>
      </c>
      <c r="O4141">
        <v>31779</v>
      </c>
    </row>
    <row r="4142" spans="1:15" x14ac:dyDescent="0.35">
      <c r="A4142">
        <v>4141</v>
      </c>
      <c r="B4142" s="2" t="s">
        <v>23</v>
      </c>
      <c r="C4142" s="2" t="s">
        <v>11</v>
      </c>
      <c r="D4142">
        <v>50</v>
      </c>
      <c r="E4142" s="2" t="s">
        <v>29</v>
      </c>
      <c r="F4142" s="2" t="s">
        <v>13</v>
      </c>
      <c r="G4142">
        <v>34975</v>
      </c>
      <c r="H4142" s="1">
        <v>45397</v>
      </c>
      <c r="I4142">
        <v>15</v>
      </c>
      <c r="J4142">
        <v>5</v>
      </c>
      <c r="K4142">
        <v>3498</v>
      </c>
      <c r="L4142">
        <v>1749</v>
      </c>
      <c r="M4142">
        <v>36724</v>
      </c>
      <c r="N4142">
        <v>1749</v>
      </c>
      <c r="O4142">
        <v>40222</v>
      </c>
    </row>
    <row r="4143" spans="1:15" x14ac:dyDescent="0.35">
      <c r="A4143">
        <v>4142</v>
      </c>
      <c r="B4143" s="2" t="s">
        <v>20</v>
      </c>
      <c r="C4143" s="2" t="s">
        <v>11</v>
      </c>
      <c r="D4143">
        <v>41</v>
      </c>
      <c r="E4143" s="2" t="s">
        <v>12</v>
      </c>
      <c r="F4143" s="2" t="s">
        <v>13</v>
      </c>
      <c r="G4143">
        <v>92072</v>
      </c>
      <c r="H4143" s="1">
        <v>44955</v>
      </c>
      <c r="I4143">
        <v>9</v>
      </c>
      <c r="J4143">
        <v>1</v>
      </c>
      <c r="K4143">
        <v>9207</v>
      </c>
      <c r="L4143">
        <v>4604</v>
      </c>
      <c r="M4143">
        <v>96675</v>
      </c>
      <c r="N4143">
        <v>4604</v>
      </c>
      <c r="O4143">
        <v>105883</v>
      </c>
    </row>
    <row r="4144" spans="1:15" x14ac:dyDescent="0.35">
      <c r="A4144">
        <v>4143</v>
      </c>
      <c r="B4144" s="2" t="s">
        <v>23</v>
      </c>
      <c r="C4144" s="2" t="s">
        <v>15</v>
      </c>
      <c r="D4144">
        <v>58</v>
      </c>
      <c r="E4144" s="2" t="s">
        <v>16</v>
      </c>
      <c r="F4144" s="2" t="s">
        <v>17</v>
      </c>
      <c r="G4144">
        <v>86100</v>
      </c>
      <c r="H4144" s="1">
        <v>45412</v>
      </c>
      <c r="I4144">
        <v>10</v>
      </c>
      <c r="J4144">
        <v>2</v>
      </c>
      <c r="K4144">
        <v>8610</v>
      </c>
      <c r="L4144">
        <v>4305</v>
      </c>
      <c r="M4144">
        <v>90405</v>
      </c>
      <c r="N4144">
        <v>4305</v>
      </c>
      <c r="O4144">
        <v>99015</v>
      </c>
    </row>
    <row r="4145" spans="1:15" x14ac:dyDescent="0.35">
      <c r="A4145">
        <v>4144</v>
      </c>
      <c r="B4145" s="2" t="s">
        <v>23</v>
      </c>
      <c r="C4145" s="2" t="s">
        <v>15</v>
      </c>
      <c r="D4145">
        <v>44</v>
      </c>
      <c r="E4145" s="2" t="s">
        <v>24</v>
      </c>
      <c r="F4145" s="2" t="s">
        <v>19</v>
      </c>
      <c r="G4145">
        <v>48496</v>
      </c>
      <c r="H4145" s="1">
        <v>45544</v>
      </c>
      <c r="I4145">
        <v>3</v>
      </c>
      <c r="J4145">
        <v>2</v>
      </c>
      <c r="K4145">
        <v>4850</v>
      </c>
      <c r="L4145">
        <v>2425</v>
      </c>
      <c r="M4145">
        <v>50921</v>
      </c>
      <c r="N4145">
        <v>0</v>
      </c>
      <c r="O4145">
        <v>53346</v>
      </c>
    </row>
    <row r="4146" spans="1:15" x14ac:dyDescent="0.35">
      <c r="A4146">
        <v>4145</v>
      </c>
      <c r="B4146" s="2" t="s">
        <v>22</v>
      </c>
      <c r="C4146" s="2" t="s">
        <v>15</v>
      </c>
      <c r="D4146">
        <v>28</v>
      </c>
      <c r="E4146" s="2" t="s">
        <v>29</v>
      </c>
      <c r="F4146" s="2" t="s">
        <v>13</v>
      </c>
      <c r="G4146">
        <v>60807</v>
      </c>
      <c r="H4146" s="1">
        <v>44595</v>
      </c>
      <c r="I4146">
        <v>8</v>
      </c>
      <c r="J4146">
        <v>1</v>
      </c>
      <c r="K4146">
        <v>6081</v>
      </c>
      <c r="L4146">
        <v>3040</v>
      </c>
      <c r="M4146">
        <v>63848</v>
      </c>
      <c r="N4146">
        <v>3040</v>
      </c>
      <c r="O4146">
        <v>69928</v>
      </c>
    </row>
    <row r="4147" spans="1:15" x14ac:dyDescent="0.35">
      <c r="A4147">
        <v>4146</v>
      </c>
      <c r="B4147" s="2" t="s">
        <v>14</v>
      </c>
      <c r="C4147" s="2" t="s">
        <v>15</v>
      </c>
      <c r="D4147">
        <v>54</v>
      </c>
      <c r="E4147" s="2" t="s">
        <v>24</v>
      </c>
      <c r="F4147" s="2" t="s">
        <v>13</v>
      </c>
      <c r="G4147">
        <v>51021</v>
      </c>
      <c r="H4147" s="1">
        <v>45115</v>
      </c>
      <c r="I4147">
        <v>18</v>
      </c>
      <c r="J4147">
        <v>1</v>
      </c>
      <c r="K4147">
        <v>5102</v>
      </c>
      <c r="L4147">
        <v>2551</v>
      </c>
      <c r="M4147">
        <v>53572</v>
      </c>
      <c r="N4147">
        <v>2551</v>
      </c>
      <c r="O4147">
        <v>58674</v>
      </c>
    </row>
    <row r="4148" spans="1:15" x14ac:dyDescent="0.35">
      <c r="A4148">
        <v>4147</v>
      </c>
      <c r="B4148" s="2" t="s">
        <v>10</v>
      </c>
      <c r="C4148" s="2" t="s">
        <v>11</v>
      </c>
      <c r="D4148">
        <v>26</v>
      </c>
      <c r="E4148" s="2" t="s">
        <v>24</v>
      </c>
      <c r="F4148" s="2" t="s">
        <v>21</v>
      </c>
      <c r="G4148">
        <v>52264</v>
      </c>
      <c r="H4148" s="1">
        <v>45291</v>
      </c>
      <c r="I4148">
        <v>2</v>
      </c>
      <c r="J4148">
        <v>4</v>
      </c>
      <c r="K4148">
        <v>5226</v>
      </c>
      <c r="L4148">
        <v>2613</v>
      </c>
      <c r="M4148">
        <v>54877</v>
      </c>
      <c r="N4148">
        <v>0</v>
      </c>
      <c r="O4148">
        <v>57490</v>
      </c>
    </row>
    <row r="4149" spans="1:15" x14ac:dyDescent="0.35">
      <c r="A4149">
        <v>4148</v>
      </c>
      <c r="B4149" s="2" t="s">
        <v>23</v>
      </c>
      <c r="C4149" s="2" t="s">
        <v>15</v>
      </c>
      <c r="D4149">
        <v>39</v>
      </c>
      <c r="E4149" s="2" t="s">
        <v>28</v>
      </c>
      <c r="F4149" s="2" t="s">
        <v>25</v>
      </c>
      <c r="G4149">
        <v>66136</v>
      </c>
      <c r="H4149" s="1">
        <v>45112</v>
      </c>
      <c r="I4149">
        <v>1</v>
      </c>
      <c r="J4149">
        <v>5</v>
      </c>
      <c r="K4149">
        <v>6614</v>
      </c>
      <c r="L4149">
        <v>3307</v>
      </c>
      <c r="M4149">
        <v>69443</v>
      </c>
      <c r="N4149">
        <v>0</v>
      </c>
      <c r="O4149">
        <v>72750</v>
      </c>
    </row>
    <row r="4150" spans="1:15" x14ac:dyDescent="0.35">
      <c r="A4150">
        <v>4149</v>
      </c>
      <c r="B4150" s="2" t="s">
        <v>31</v>
      </c>
      <c r="C4150" s="2" t="s">
        <v>11</v>
      </c>
      <c r="D4150">
        <v>29</v>
      </c>
      <c r="E4150" s="2" t="s">
        <v>28</v>
      </c>
      <c r="F4150" s="2" t="s">
        <v>19</v>
      </c>
      <c r="G4150">
        <v>72586</v>
      </c>
      <c r="H4150" s="1">
        <v>44570</v>
      </c>
      <c r="I4150">
        <v>6</v>
      </c>
      <c r="J4150">
        <v>4</v>
      </c>
      <c r="K4150">
        <v>7259</v>
      </c>
      <c r="L4150">
        <v>3629</v>
      </c>
      <c r="M4150">
        <v>76216</v>
      </c>
      <c r="N4150">
        <v>3629</v>
      </c>
      <c r="O4150">
        <v>83474</v>
      </c>
    </row>
    <row r="4151" spans="1:15" x14ac:dyDescent="0.35">
      <c r="A4151">
        <v>4150</v>
      </c>
      <c r="B4151" s="2" t="s">
        <v>27</v>
      </c>
      <c r="C4151" s="2" t="s">
        <v>11</v>
      </c>
      <c r="D4151">
        <v>28</v>
      </c>
      <c r="E4151" s="2" t="s">
        <v>29</v>
      </c>
      <c r="F4151" s="2" t="s">
        <v>21</v>
      </c>
      <c r="G4151">
        <v>65430</v>
      </c>
      <c r="H4151" s="1">
        <v>44833</v>
      </c>
      <c r="I4151">
        <v>6</v>
      </c>
      <c r="J4151">
        <v>2</v>
      </c>
      <c r="K4151">
        <v>6543</v>
      </c>
      <c r="L4151">
        <v>3272</v>
      </c>
      <c r="M4151">
        <v>68701</v>
      </c>
      <c r="N4151">
        <v>3272</v>
      </c>
      <c r="O4151">
        <v>75245</v>
      </c>
    </row>
    <row r="4152" spans="1:15" x14ac:dyDescent="0.35">
      <c r="A4152">
        <v>4151</v>
      </c>
      <c r="B4152" s="2" t="s">
        <v>23</v>
      </c>
      <c r="C4152" s="2" t="s">
        <v>15</v>
      </c>
      <c r="D4152">
        <v>54</v>
      </c>
      <c r="E4152" s="2" t="s">
        <v>29</v>
      </c>
      <c r="F4152" s="2" t="s">
        <v>21</v>
      </c>
      <c r="G4152">
        <v>63157</v>
      </c>
      <c r="H4152" s="1">
        <v>44607</v>
      </c>
      <c r="I4152">
        <v>19</v>
      </c>
      <c r="J4152">
        <v>1</v>
      </c>
      <c r="K4152">
        <v>6316</v>
      </c>
      <c r="L4152">
        <v>3158</v>
      </c>
      <c r="M4152">
        <v>66315</v>
      </c>
      <c r="N4152">
        <v>3158</v>
      </c>
      <c r="O4152">
        <v>72631</v>
      </c>
    </row>
    <row r="4153" spans="1:15" x14ac:dyDescent="0.35">
      <c r="A4153">
        <v>4152</v>
      </c>
      <c r="B4153" s="2" t="s">
        <v>22</v>
      </c>
      <c r="C4153" s="2" t="s">
        <v>15</v>
      </c>
      <c r="D4153">
        <v>31</v>
      </c>
      <c r="E4153" s="2" t="s">
        <v>29</v>
      </c>
      <c r="F4153" s="2" t="s">
        <v>13</v>
      </c>
      <c r="G4153">
        <v>46120</v>
      </c>
      <c r="H4153" s="1">
        <v>44808</v>
      </c>
      <c r="I4153">
        <v>13</v>
      </c>
      <c r="J4153">
        <v>4</v>
      </c>
      <c r="K4153">
        <v>4612</v>
      </c>
      <c r="L4153">
        <v>2306</v>
      </c>
      <c r="M4153">
        <v>48426</v>
      </c>
      <c r="N4153">
        <v>2306</v>
      </c>
      <c r="O4153">
        <v>53038</v>
      </c>
    </row>
    <row r="4154" spans="1:15" x14ac:dyDescent="0.35">
      <c r="A4154">
        <v>4153</v>
      </c>
      <c r="B4154" s="2" t="s">
        <v>27</v>
      </c>
      <c r="C4154" s="2" t="s">
        <v>11</v>
      </c>
      <c r="D4154">
        <v>41</v>
      </c>
      <c r="E4154" s="2" t="s">
        <v>29</v>
      </c>
      <c r="F4154" s="2" t="s">
        <v>19</v>
      </c>
      <c r="G4154">
        <v>46872</v>
      </c>
      <c r="H4154" s="1">
        <v>44604</v>
      </c>
      <c r="I4154">
        <v>3</v>
      </c>
      <c r="J4154">
        <v>4</v>
      </c>
      <c r="K4154">
        <v>4687</v>
      </c>
      <c r="L4154">
        <v>2344</v>
      </c>
      <c r="M4154">
        <v>49215</v>
      </c>
      <c r="N4154">
        <v>0</v>
      </c>
      <c r="O4154">
        <v>51559</v>
      </c>
    </row>
    <row r="4155" spans="1:15" x14ac:dyDescent="0.35">
      <c r="A4155">
        <v>4154</v>
      </c>
      <c r="B4155" s="2" t="s">
        <v>31</v>
      </c>
      <c r="C4155" s="2" t="s">
        <v>15</v>
      </c>
      <c r="D4155">
        <v>56</v>
      </c>
      <c r="E4155" s="2" t="s">
        <v>24</v>
      </c>
      <c r="F4155" s="2" t="s">
        <v>25</v>
      </c>
      <c r="G4155">
        <v>53280</v>
      </c>
      <c r="H4155" s="1">
        <v>44942</v>
      </c>
      <c r="I4155">
        <v>6</v>
      </c>
      <c r="J4155">
        <v>5</v>
      </c>
      <c r="K4155">
        <v>5328</v>
      </c>
      <c r="L4155">
        <v>2664</v>
      </c>
      <c r="M4155">
        <v>55944</v>
      </c>
      <c r="N4155">
        <v>2664</v>
      </c>
      <c r="O4155">
        <v>61272</v>
      </c>
    </row>
    <row r="4156" spans="1:15" x14ac:dyDescent="0.35">
      <c r="A4156">
        <v>4155</v>
      </c>
      <c r="B4156" s="2" t="s">
        <v>18</v>
      </c>
      <c r="C4156" s="2" t="s">
        <v>15</v>
      </c>
      <c r="D4156">
        <v>29</v>
      </c>
      <c r="E4156" s="2" t="s">
        <v>28</v>
      </c>
      <c r="F4156" s="2" t="s">
        <v>13</v>
      </c>
      <c r="G4156">
        <v>46033</v>
      </c>
      <c r="H4156" s="1">
        <v>45524</v>
      </c>
      <c r="I4156">
        <v>14</v>
      </c>
      <c r="J4156">
        <v>5</v>
      </c>
      <c r="K4156">
        <v>4603</v>
      </c>
      <c r="L4156">
        <v>2302</v>
      </c>
      <c r="M4156">
        <v>48334</v>
      </c>
      <c r="N4156">
        <v>2302</v>
      </c>
      <c r="O4156">
        <v>52938</v>
      </c>
    </row>
    <row r="4157" spans="1:15" x14ac:dyDescent="0.35">
      <c r="A4157">
        <v>4156</v>
      </c>
      <c r="B4157" s="2" t="s">
        <v>27</v>
      </c>
      <c r="C4157" s="2" t="s">
        <v>11</v>
      </c>
      <c r="D4157">
        <v>46</v>
      </c>
      <c r="E4157" s="2" t="s">
        <v>16</v>
      </c>
      <c r="F4157" s="2" t="s">
        <v>19</v>
      </c>
      <c r="G4157">
        <v>77166</v>
      </c>
      <c r="H4157" s="1">
        <v>45195</v>
      </c>
      <c r="I4157">
        <v>3</v>
      </c>
      <c r="J4157">
        <v>2</v>
      </c>
      <c r="K4157">
        <v>7717</v>
      </c>
      <c r="L4157">
        <v>3858</v>
      </c>
      <c r="M4157">
        <v>81025</v>
      </c>
      <c r="N4157">
        <v>0</v>
      </c>
      <c r="O4157">
        <v>84883</v>
      </c>
    </row>
    <row r="4158" spans="1:15" x14ac:dyDescent="0.35">
      <c r="A4158">
        <v>4157</v>
      </c>
      <c r="B4158" s="2" t="s">
        <v>14</v>
      </c>
      <c r="C4158" s="2" t="s">
        <v>15</v>
      </c>
      <c r="D4158">
        <v>47</v>
      </c>
      <c r="E4158" s="2" t="s">
        <v>29</v>
      </c>
      <c r="F4158" s="2" t="s">
        <v>25</v>
      </c>
      <c r="G4158">
        <v>28037</v>
      </c>
      <c r="H4158" s="1">
        <v>45341</v>
      </c>
      <c r="I4158">
        <v>20</v>
      </c>
      <c r="J4158">
        <v>2</v>
      </c>
      <c r="K4158">
        <v>2804</v>
      </c>
      <c r="L4158">
        <v>1402</v>
      </c>
      <c r="M4158">
        <v>29439</v>
      </c>
      <c r="N4158">
        <v>1402</v>
      </c>
      <c r="O4158">
        <v>32243</v>
      </c>
    </row>
    <row r="4159" spans="1:15" x14ac:dyDescent="0.35">
      <c r="A4159">
        <v>4158</v>
      </c>
      <c r="B4159" s="2" t="s">
        <v>14</v>
      </c>
      <c r="C4159" s="2" t="s">
        <v>11</v>
      </c>
      <c r="D4159">
        <v>43</v>
      </c>
      <c r="E4159" s="2" t="s">
        <v>29</v>
      </c>
      <c r="F4159" s="2" t="s">
        <v>19</v>
      </c>
      <c r="G4159">
        <v>27387</v>
      </c>
      <c r="H4159" s="1">
        <v>45313</v>
      </c>
      <c r="I4159">
        <v>4</v>
      </c>
      <c r="J4159">
        <v>1</v>
      </c>
      <c r="K4159">
        <v>2739</v>
      </c>
      <c r="L4159">
        <v>1369</v>
      </c>
      <c r="M4159">
        <v>28757</v>
      </c>
      <c r="N4159">
        <v>0</v>
      </c>
      <c r="O4159">
        <v>30126</v>
      </c>
    </row>
    <row r="4160" spans="1:15" x14ac:dyDescent="0.35">
      <c r="A4160">
        <v>4159</v>
      </c>
      <c r="B4160" s="2" t="s">
        <v>20</v>
      </c>
      <c r="C4160" s="2" t="s">
        <v>11</v>
      </c>
      <c r="D4160">
        <v>22</v>
      </c>
      <c r="E4160" s="2" t="s">
        <v>16</v>
      </c>
      <c r="F4160" s="2" t="s">
        <v>21</v>
      </c>
      <c r="G4160">
        <v>95532</v>
      </c>
      <c r="H4160" s="1">
        <v>44628</v>
      </c>
      <c r="I4160">
        <v>4</v>
      </c>
      <c r="J4160">
        <v>5</v>
      </c>
      <c r="K4160">
        <v>9553</v>
      </c>
      <c r="L4160">
        <v>4777</v>
      </c>
      <c r="M4160">
        <v>100308</v>
      </c>
      <c r="N4160">
        <v>0</v>
      </c>
      <c r="O4160">
        <v>105085</v>
      </c>
    </row>
    <row r="4161" spans="1:15" x14ac:dyDescent="0.35">
      <c r="A4161">
        <v>4160</v>
      </c>
      <c r="B4161" s="2" t="s">
        <v>30</v>
      </c>
      <c r="C4161" s="2" t="s">
        <v>11</v>
      </c>
      <c r="D4161">
        <v>49</v>
      </c>
      <c r="E4161" s="2" t="s">
        <v>29</v>
      </c>
      <c r="F4161" s="2" t="s">
        <v>21</v>
      </c>
      <c r="G4161">
        <v>41918</v>
      </c>
      <c r="H4161" s="1">
        <v>44901</v>
      </c>
      <c r="I4161">
        <v>2</v>
      </c>
      <c r="J4161">
        <v>1</v>
      </c>
      <c r="K4161">
        <v>4192</v>
      </c>
      <c r="L4161">
        <v>2096</v>
      </c>
      <c r="M4161">
        <v>44014</v>
      </c>
      <c r="N4161">
        <v>0</v>
      </c>
      <c r="O4161">
        <v>46110</v>
      </c>
    </row>
    <row r="4162" spans="1:15" x14ac:dyDescent="0.35">
      <c r="A4162">
        <v>4161</v>
      </c>
      <c r="B4162" s="2" t="s">
        <v>10</v>
      </c>
      <c r="C4162" s="2" t="s">
        <v>11</v>
      </c>
      <c r="D4162">
        <v>52</v>
      </c>
      <c r="E4162" s="2" t="s">
        <v>24</v>
      </c>
      <c r="F4162" s="2" t="s">
        <v>21</v>
      </c>
      <c r="G4162">
        <v>38131</v>
      </c>
      <c r="H4162" s="1">
        <v>45255</v>
      </c>
      <c r="I4162">
        <v>3</v>
      </c>
      <c r="J4162">
        <v>1</v>
      </c>
      <c r="K4162">
        <v>3813</v>
      </c>
      <c r="L4162">
        <v>1907</v>
      </c>
      <c r="M4162">
        <v>40037</v>
      </c>
      <c r="N4162">
        <v>0</v>
      </c>
      <c r="O4162">
        <v>41944</v>
      </c>
    </row>
    <row r="4163" spans="1:15" x14ac:dyDescent="0.35">
      <c r="A4163">
        <v>4162</v>
      </c>
      <c r="B4163" s="2" t="s">
        <v>22</v>
      </c>
      <c r="C4163" s="2" t="s">
        <v>15</v>
      </c>
      <c r="D4163">
        <v>29</v>
      </c>
      <c r="E4163" s="2" t="s">
        <v>28</v>
      </c>
      <c r="F4163" s="2" t="s">
        <v>19</v>
      </c>
      <c r="G4163">
        <v>37077</v>
      </c>
      <c r="H4163" s="1">
        <v>45046</v>
      </c>
      <c r="I4163">
        <v>12</v>
      </c>
      <c r="J4163">
        <v>1</v>
      </c>
      <c r="K4163">
        <v>3708</v>
      </c>
      <c r="L4163">
        <v>1854</v>
      </c>
      <c r="M4163">
        <v>38931</v>
      </c>
      <c r="N4163">
        <v>1854</v>
      </c>
      <c r="O4163">
        <v>42639</v>
      </c>
    </row>
    <row r="4164" spans="1:15" x14ac:dyDescent="0.35">
      <c r="A4164">
        <v>4163</v>
      </c>
      <c r="B4164" s="2" t="s">
        <v>23</v>
      </c>
      <c r="C4164" s="2" t="s">
        <v>11</v>
      </c>
      <c r="D4164">
        <v>23</v>
      </c>
      <c r="E4164" s="2" t="s">
        <v>16</v>
      </c>
      <c r="F4164" s="2" t="s">
        <v>13</v>
      </c>
      <c r="G4164">
        <v>87528</v>
      </c>
      <c r="H4164" s="1">
        <v>44909</v>
      </c>
      <c r="I4164">
        <v>14</v>
      </c>
      <c r="J4164">
        <v>4</v>
      </c>
      <c r="K4164">
        <v>8753</v>
      </c>
      <c r="L4164">
        <v>4376</v>
      </c>
      <c r="M4164">
        <v>91905</v>
      </c>
      <c r="N4164">
        <v>4376</v>
      </c>
      <c r="O4164">
        <v>100657</v>
      </c>
    </row>
    <row r="4165" spans="1:15" x14ac:dyDescent="0.35">
      <c r="A4165">
        <v>4164</v>
      </c>
      <c r="B4165" s="2" t="s">
        <v>31</v>
      </c>
      <c r="C4165" s="2" t="s">
        <v>11</v>
      </c>
      <c r="D4165">
        <v>59</v>
      </c>
      <c r="E4165" s="2" t="s">
        <v>16</v>
      </c>
      <c r="F4165" s="2" t="s">
        <v>25</v>
      </c>
      <c r="G4165">
        <v>62128</v>
      </c>
      <c r="H4165" s="1">
        <v>45160</v>
      </c>
      <c r="I4165">
        <v>1</v>
      </c>
      <c r="J4165">
        <v>1</v>
      </c>
      <c r="K4165">
        <v>6213</v>
      </c>
      <c r="L4165">
        <v>3106</v>
      </c>
      <c r="M4165">
        <v>65235</v>
      </c>
      <c r="N4165">
        <v>0</v>
      </c>
      <c r="O4165">
        <v>68341</v>
      </c>
    </row>
    <row r="4166" spans="1:15" x14ac:dyDescent="0.35">
      <c r="A4166">
        <v>4165</v>
      </c>
      <c r="B4166" s="2" t="s">
        <v>14</v>
      </c>
      <c r="C4166" s="2" t="s">
        <v>11</v>
      </c>
      <c r="D4166">
        <v>51</v>
      </c>
      <c r="E4166" s="2" t="s">
        <v>16</v>
      </c>
      <c r="F4166" s="2" t="s">
        <v>17</v>
      </c>
      <c r="G4166">
        <v>40357</v>
      </c>
      <c r="H4166" s="1">
        <v>45414</v>
      </c>
      <c r="I4166">
        <v>12</v>
      </c>
      <c r="J4166">
        <v>1</v>
      </c>
      <c r="K4166">
        <v>4036</v>
      </c>
      <c r="L4166">
        <v>2018</v>
      </c>
      <c r="M4166">
        <v>42375</v>
      </c>
      <c r="N4166">
        <v>2018</v>
      </c>
      <c r="O4166">
        <v>46411</v>
      </c>
    </row>
    <row r="4167" spans="1:15" x14ac:dyDescent="0.35">
      <c r="A4167">
        <v>4166</v>
      </c>
      <c r="B4167" s="2" t="s">
        <v>10</v>
      </c>
      <c r="C4167" s="2" t="s">
        <v>15</v>
      </c>
      <c r="D4167">
        <v>53</v>
      </c>
      <c r="E4167" s="2" t="s">
        <v>16</v>
      </c>
      <c r="F4167" s="2" t="s">
        <v>13</v>
      </c>
      <c r="G4167">
        <v>33529</v>
      </c>
      <c r="H4167" s="1">
        <v>44880</v>
      </c>
      <c r="I4167">
        <v>10</v>
      </c>
      <c r="J4167">
        <v>4</v>
      </c>
      <c r="K4167">
        <v>3353</v>
      </c>
      <c r="L4167">
        <v>1676</v>
      </c>
      <c r="M4167">
        <v>35206</v>
      </c>
      <c r="N4167">
        <v>1676</v>
      </c>
      <c r="O4167">
        <v>38558</v>
      </c>
    </row>
    <row r="4168" spans="1:15" x14ac:dyDescent="0.35">
      <c r="A4168">
        <v>4167</v>
      </c>
      <c r="B4168" s="2" t="s">
        <v>22</v>
      </c>
      <c r="C4168" s="2" t="s">
        <v>15</v>
      </c>
      <c r="D4168">
        <v>33</v>
      </c>
      <c r="E4168" s="2" t="s">
        <v>28</v>
      </c>
      <c r="F4168" s="2" t="s">
        <v>13</v>
      </c>
      <c r="G4168">
        <v>41055</v>
      </c>
      <c r="H4168" s="1">
        <v>45007</v>
      </c>
      <c r="I4168">
        <v>14</v>
      </c>
      <c r="J4168">
        <v>4</v>
      </c>
      <c r="K4168">
        <v>4106</v>
      </c>
      <c r="L4168">
        <v>2053</v>
      </c>
      <c r="M4168">
        <v>43108</v>
      </c>
      <c r="N4168">
        <v>2053</v>
      </c>
      <c r="O4168">
        <v>47214</v>
      </c>
    </row>
    <row r="4169" spans="1:15" x14ac:dyDescent="0.35">
      <c r="A4169">
        <v>4168</v>
      </c>
      <c r="B4169" s="2" t="s">
        <v>10</v>
      </c>
      <c r="C4169" s="2" t="s">
        <v>11</v>
      </c>
      <c r="D4169">
        <v>33</v>
      </c>
      <c r="E4169" s="2" t="s">
        <v>29</v>
      </c>
      <c r="F4169" s="2" t="s">
        <v>17</v>
      </c>
      <c r="G4169">
        <v>53177</v>
      </c>
      <c r="H4169" s="1">
        <v>44827</v>
      </c>
      <c r="I4169">
        <v>12</v>
      </c>
      <c r="J4169">
        <v>5</v>
      </c>
      <c r="K4169">
        <v>5318</v>
      </c>
      <c r="L4169">
        <v>2659</v>
      </c>
      <c r="M4169">
        <v>55836</v>
      </c>
      <c r="N4169">
        <v>2659</v>
      </c>
      <c r="O4169">
        <v>61154</v>
      </c>
    </row>
    <row r="4170" spans="1:15" x14ac:dyDescent="0.35">
      <c r="A4170">
        <v>4169</v>
      </c>
      <c r="B4170" s="2" t="s">
        <v>30</v>
      </c>
      <c r="C4170" s="2" t="s">
        <v>11</v>
      </c>
      <c r="D4170">
        <v>48</v>
      </c>
      <c r="E4170" s="2" t="s">
        <v>16</v>
      </c>
      <c r="F4170" s="2" t="s">
        <v>19</v>
      </c>
      <c r="G4170">
        <v>68606</v>
      </c>
      <c r="H4170" s="1">
        <v>44717</v>
      </c>
      <c r="I4170">
        <v>5</v>
      </c>
      <c r="J4170">
        <v>5</v>
      </c>
      <c r="K4170">
        <v>6861</v>
      </c>
      <c r="L4170">
        <v>3430</v>
      </c>
      <c r="M4170">
        <v>72037</v>
      </c>
      <c r="N4170">
        <v>0</v>
      </c>
      <c r="O4170">
        <v>75467</v>
      </c>
    </row>
    <row r="4171" spans="1:15" x14ac:dyDescent="0.35">
      <c r="A4171">
        <v>4170</v>
      </c>
      <c r="B4171" s="2" t="s">
        <v>27</v>
      </c>
      <c r="C4171" s="2" t="s">
        <v>11</v>
      </c>
      <c r="D4171">
        <v>51</v>
      </c>
      <c r="E4171" s="2" t="s">
        <v>24</v>
      </c>
      <c r="F4171" s="2" t="s">
        <v>19</v>
      </c>
      <c r="G4171">
        <v>34315</v>
      </c>
      <c r="H4171" s="1">
        <v>44655</v>
      </c>
      <c r="I4171">
        <v>5</v>
      </c>
      <c r="J4171">
        <v>1</v>
      </c>
      <c r="K4171">
        <v>3432</v>
      </c>
      <c r="L4171">
        <v>1716</v>
      </c>
      <c r="M4171">
        <v>36031</v>
      </c>
      <c r="N4171">
        <v>0</v>
      </c>
      <c r="O4171">
        <v>37747</v>
      </c>
    </row>
    <row r="4172" spans="1:15" x14ac:dyDescent="0.35">
      <c r="A4172">
        <v>4171</v>
      </c>
      <c r="B4172" s="2" t="s">
        <v>26</v>
      </c>
      <c r="C4172" s="2" t="s">
        <v>11</v>
      </c>
      <c r="D4172">
        <v>45</v>
      </c>
      <c r="E4172" s="2" t="s">
        <v>16</v>
      </c>
      <c r="F4172" s="2" t="s">
        <v>19</v>
      </c>
      <c r="G4172">
        <v>61652</v>
      </c>
      <c r="H4172" s="1">
        <v>45234</v>
      </c>
      <c r="I4172">
        <v>5</v>
      </c>
      <c r="J4172">
        <v>5</v>
      </c>
      <c r="K4172">
        <v>6165</v>
      </c>
      <c r="L4172">
        <v>3083</v>
      </c>
      <c r="M4172">
        <v>64734</v>
      </c>
      <c r="N4172">
        <v>0</v>
      </c>
      <c r="O4172">
        <v>67817</v>
      </c>
    </row>
    <row r="4173" spans="1:15" x14ac:dyDescent="0.35">
      <c r="A4173">
        <v>4172</v>
      </c>
      <c r="B4173" s="2" t="s">
        <v>27</v>
      </c>
      <c r="C4173" s="2" t="s">
        <v>15</v>
      </c>
      <c r="D4173">
        <v>42</v>
      </c>
      <c r="E4173" s="2" t="s">
        <v>28</v>
      </c>
      <c r="F4173" s="2" t="s">
        <v>13</v>
      </c>
      <c r="G4173">
        <v>39244</v>
      </c>
      <c r="H4173" s="1">
        <v>44990</v>
      </c>
      <c r="I4173">
        <v>13</v>
      </c>
      <c r="J4173">
        <v>4</v>
      </c>
      <c r="K4173">
        <v>3924</v>
      </c>
      <c r="L4173">
        <v>1962</v>
      </c>
      <c r="M4173">
        <v>41206</v>
      </c>
      <c r="N4173">
        <v>1962</v>
      </c>
      <c r="O4173">
        <v>45130</v>
      </c>
    </row>
    <row r="4174" spans="1:15" x14ac:dyDescent="0.35">
      <c r="A4174">
        <v>4173</v>
      </c>
      <c r="B4174" s="2" t="s">
        <v>20</v>
      </c>
      <c r="C4174" s="2" t="s">
        <v>15</v>
      </c>
      <c r="D4174">
        <v>34</v>
      </c>
      <c r="E4174" s="2" t="s">
        <v>28</v>
      </c>
      <c r="F4174" s="2" t="s">
        <v>17</v>
      </c>
      <c r="G4174">
        <v>65810</v>
      </c>
      <c r="H4174" s="1">
        <v>44921</v>
      </c>
      <c r="I4174">
        <v>13</v>
      </c>
      <c r="J4174">
        <v>5</v>
      </c>
      <c r="K4174">
        <v>6581</v>
      </c>
      <c r="L4174">
        <v>3290</v>
      </c>
      <c r="M4174">
        <v>69101</v>
      </c>
      <c r="N4174">
        <v>3290</v>
      </c>
      <c r="O4174">
        <v>75681</v>
      </c>
    </row>
    <row r="4175" spans="1:15" x14ac:dyDescent="0.35">
      <c r="A4175">
        <v>4174</v>
      </c>
      <c r="B4175" s="2" t="s">
        <v>27</v>
      </c>
      <c r="C4175" s="2" t="s">
        <v>15</v>
      </c>
      <c r="D4175">
        <v>33</v>
      </c>
      <c r="E4175" s="2" t="s">
        <v>24</v>
      </c>
      <c r="F4175" s="2" t="s">
        <v>25</v>
      </c>
      <c r="G4175">
        <v>43231</v>
      </c>
      <c r="H4175" s="1">
        <v>45063</v>
      </c>
      <c r="I4175">
        <v>16</v>
      </c>
      <c r="J4175">
        <v>5</v>
      </c>
      <c r="K4175">
        <v>4323</v>
      </c>
      <c r="L4175">
        <v>2162</v>
      </c>
      <c r="M4175">
        <v>45392</v>
      </c>
      <c r="N4175">
        <v>2162</v>
      </c>
      <c r="O4175">
        <v>49716</v>
      </c>
    </row>
    <row r="4176" spans="1:15" x14ac:dyDescent="0.35">
      <c r="A4176">
        <v>4175</v>
      </c>
      <c r="B4176" s="2" t="s">
        <v>31</v>
      </c>
      <c r="C4176" s="2" t="s">
        <v>15</v>
      </c>
      <c r="D4176">
        <v>24</v>
      </c>
      <c r="E4176" s="2" t="s">
        <v>24</v>
      </c>
      <c r="F4176" s="2" t="s">
        <v>19</v>
      </c>
      <c r="G4176">
        <v>88819</v>
      </c>
      <c r="H4176" s="1">
        <v>44588</v>
      </c>
      <c r="I4176">
        <v>3</v>
      </c>
      <c r="J4176">
        <v>3</v>
      </c>
      <c r="K4176">
        <v>8882</v>
      </c>
      <c r="L4176">
        <v>4441</v>
      </c>
      <c r="M4176">
        <v>93260</v>
      </c>
      <c r="N4176">
        <v>0</v>
      </c>
      <c r="O4176">
        <v>97701</v>
      </c>
    </row>
    <row r="4177" spans="1:15" x14ac:dyDescent="0.35">
      <c r="A4177">
        <v>4176</v>
      </c>
      <c r="B4177" s="2" t="s">
        <v>18</v>
      </c>
      <c r="C4177" s="2" t="s">
        <v>11</v>
      </c>
      <c r="D4177">
        <v>51</v>
      </c>
      <c r="E4177" s="2" t="s">
        <v>28</v>
      </c>
      <c r="F4177" s="2" t="s">
        <v>19</v>
      </c>
      <c r="G4177">
        <v>83315</v>
      </c>
      <c r="H4177" s="1">
        <v>45151</v>
      </c>
      <c r="I4177">
        <v>7</v>
      </c>
      <c r="J4177">
        <v>2</v>
      </c>
      <c r="K4177">
        <v>8332</v>
      </c>
      <c r="L4177">
        <v>4166</v>
      </c>
      <c r="M4177">
        <v>87481</v>
      </c>
      <c r="N4177">
        <v>4166</v>
      </c>
      <c r="O4177">
        <v>95813</v>
      </c>
    </row>
    <row r="4178" spans="1:15" x14ac:dyDescent="0.35">
      <c r="A4178">
        <v>4177</v>
      </c>
      <c r="B4178" s="2" t="s">
        <v>22</v>
      </c>
      <c r="C4178" s="2" t="s">
        <v>11</v>
      </c>
      <c r="D4178">
        <v>41</v>
      </c>
      <c r="E4178" s="2" t="s">
        <v>16</v>
      </c>
      <c r="F4178" s="2" t="s">
        <v>13</v>
      </c>
      <c r="G4178">
        <v>58336</v>
      </c>
      <c r="H4178" s="1">
        <v>44909</v>
      </c>
      <c r="I4178">
        <v>6</v>
      </c>
      <c r="J4178">
        <v>5</v>
      </c>
      <c r="K4178">
        <v>5834</v>
      </c>
      <c r="L4178">
        <v>2917</v>
      </c>
      <c r="M4178">
        <v>61253</v>
      </c>
      <c r="N4178">
        <v>2917</v>
      </c>
      <c r="O4178">
        <v>67087</v>
      </c>
    </row>
    <row r="4179" spans="1:15" x14ac:dyDescent="0.35">
      <c r="A4179">
        <v>4178</v>
      </c>
      <c r="B4179" s="2" t="s">
        <v>14</v>
      </c>
      <c r="C4179" s="2" t="s">
        <v>11</v>
      </c>
      <c r="D4179">
        <v>56</v>
      </c>
      <c r="E4179" s="2" t="s">
        <v>16</v>
      </c>
      <c r="F4179" s="2" t="s">
        <v>17</v>
      </c>
      <c r="G4179">
        <v>80495</v>
      </c>
      <c r="H4179" s="1">
        <v>44896</v>
      </c>
      <c r="I4179">
        <v>19</v>
      </c>
      <c r="J4179">
        <v>2</v>
      </c>
      <c r="K4179">
        <v>8050</v>
      </c>
      <c r="L4179">
        <v>4025</v>
      </c>
      <c r="M4179">
        <v>84520</v>
      </c>
      <c r="N4179">
        <v>4025</v>
      </c>
      <c r="O4179">
        <v>92570</v>
      </c>
    </row>
    <row r="4180" spans="1:15" x14ac:dyDescent="0.35">
      <c r="A4180">
        <v>4179</v>
      </c>
      <c r="B4180" s="2" t="s">
        <v>14</v>
      </c>
      <c r="C4180" s="2" t="s">
        <v>15</v>
      </c>
      <c r="D4180">
        <v>44</v>
      </c>
      <c r="E4180" s="2" t="s">
        <v>16</v>
      </c>
      <c r="F4180" s="2" t="s">
        <v>21</v>
      </c>
      <c r="G4180">
        <v>34847</v>
      </c>
      <c r="H4180" s="1">
        <v>45227</v>
      </c>
      <c r="I4180">
        <v>20</v>
      </c>
      <c r="J4180">
        <v>4</v>
      </c>
      <c r="K4180">
        <v>3485</v>
      </c>
      <c r="L4180">
        <v>1742</v>
      </c>
      <c r="M4180">
        <v>36590</v>
      </c>
      <c r="N4180">
        <v>1742</v>
      </c>
      <c r="O4180">
        <v>40074</v>
      </c>
    </row>
    <row r="4181" spans="1:15" x14ac:dyDescent="0.35">
      <c r="A4181">
        <v>4180</v>
      </c>
      <c r="B4181" s="2" t="s">
        <v>26</v>
      </c>
      <c r="C4181" s="2" t="s">
        <v>11</v>
      </c>
      <c r="D4181">
        <v>31</v>
      </c>
      <c r="E4181" s="2" t="s">
        <v>16</v>
      </c>
      <c r="F4181" s="2" t="s">
        <v>25</v>
      </c>
      <c r="G4181">
        <v>47100</v>
      </c>
      <c r="H4181" s="1">
        <v>44675</v>
      </c>
      <c r="I4181">
        <v>2</v>
      </c>
      <c r="J4181">
        <v>3</v>
      </c>
      <c r="K4181">
        <v>4710</v>
      </c>
      <c r="L4181">
        <v>2355</v>
      </c>
      <c r="M4181">
        <v>49455</v>
      </c>
      <c r="N4181">
        <v>0</v>
      </c>
      <c r="O4181">
        <v>51810</v>
      </c>
    </row>
    <row r="4182" spans="1:15" x14ac:dyDescent="0.35">
      <c r="A4182">
        <v>4181</v>
      </c>
      <c r="B4182" s="2" t="s">
        <v>20</v>
      </c>
      <c r="C4182" s="2" t="s">
        <v>15</v>
      </c>
      <c r="D4182">
        <v>60</v>
      </c>
      <c r="E4182" s="2" t="s">
        <v>24</v>
      </c>
      <c r="F4182" s="2" t="s">
        <v>21</v>
      </c>
      <c r="G4182">
        <v>26388</v>
      </c>
      <c r="H4182" s="1">
        <v>44639</v>
      </c>
      <c r="I4182">
        <v>7</v>
      </c>
      <c r="J4182">
        <v>4</v>
      </c>
      <c r="K4182">
        <v>2639</v>
      </c>
      <c r="L4182">
        <v>1319</v>
      </c>
      <c r="M4182">
        <v>27708</v>
      </c>
      <c r="N4182">
        <v>1319</v>
      </c>
      <c r="O4182">
        <v>30346</v>
      </c>
    </row>
    <row r="4183" spans="1:15" x14ac:dyDescent="0.35">
      <c r="A4183">
        <v>4182</v>
      </c>
      <c r="B4183" s="2" t="s">
        <v>22</v>
      </c>
      <c r="C4183" s="2" t="s">
        <v>15</v>
      </c>
      <c r="D4183">
        <v>25</v>
      </c>
      <c r="E4183" s="2" t="s">
        <v>24</v>
      </c>
      <c r="F4183" s="2" t="s">
        <v>19</v>
      </c>
      <c r="G4183">
        <v>82260</v>
      </c>
      <c r="H4183" s="1">
        <v>45005</v>
      </c>
      <c r="I4183">
        <v>18</v>
      </c>
      <c r="J4183">
        <v>1</v>
      </c>
      <c r="K4183">
        <v>8226</v>
      </c>
      <c r="L4183">
        <v>4113</v>
      </c>
      <c r="M4183">
        <v>86373</v>
      </c>
      <c r="N4183">
        <v>4113</v>
      </c>
      <c r="O4183">
        <v>94599</v>
      </c>
    </row>
    <row r="4184" spans="1:15" x14ac:dyDescent="0.35">
      <c r="A4184">
        <v>4183</v>
      </c>
      <c r="B4184" s="2" t="s">
        <v>14</v>
      </c>
      <c r="C4184" s="2" t="s">
        <v>15</v>
      </c>
      <c r="D4184">
        <v>41</v>
      </c>
      <c r="E4184" s="2" t="s">
        <v>24</v>
      </c>
      <c r="F4184" s="2" t="s">
        <v>21</v>
      </c>
      <c r="G4184">
        <v>98450</v>
      </c>
      <c r="H4184" s="1">
        <v>45553</v>
      </c>
      <c r="I4184">
        <v>17</v>
      </c>
      <c r="J4184">
        <v>4</v>
      </c>
      <c r="K4184">
        <v>9845</v>
      </c>
      <c r="L4184">
        <v>4922</v>
      </c>
      <c r="M4184">
        <v>103373</v>
      </c>
      <c r="N4184">
        <v>4922</v>
      </c>
      <c r="O4184">
        <v>113217</v>
      </c>
    </row>
    <row r="4185" spans="1:15" x14ac:dyDescent="0.35">
      <c r="A4185">
        <v>4184</v>
      </c>
      <c r="B4185" s="2" t="s">
        <v>20</v>
      </c>
      <c r="C4185" s="2" t="s">
        <v>15</v>
      </c>
      <c r="D4185">
        <v>45</v>
      </c>
      <c r="E4185" s="2" t="s">
        <v>29</v>
      </c>
      <c r="F4185" s="2" t="s">
        <v>21</v>
      </c>
      <c r="G4185">
        <v>34682</v>
      </c>
      <c r="H4185" s="1">
        <v>45089</v>
      </c>
      <c r="I4185">
        <v>1</v>
      </c>
      <c r="J4185">
        <v>1</v>
      </c>
      <c r="K4185">
        <v>3468</v>
      </c>
      <c r="L4185">
        <v>1734</v>
      </c>
      <c r="M4185">
        <v>36416</v>
      </c>
      <c r="N4185">
        <v>0</v>
      </c>
      <c r="O4185">
        <v>38150</v>
      </c>
    </row>
    <row r="4186" spans="1:15" x14ac:dyDescent="0.35">
      <c r="A4186">
        <v>4185</v>
      </c>
      <c r="B4186" s="2" t="s">
        <v>20</v>
      </c>
      <c r="C4186" s="2" t="s">
        <v>15</v>
      </c>
      <c r="D4186">
        <v>57</v>
      </c>
      <c r="E4186" s="2" t="s">
        <v>16</v>
      </c>
      <c r="F4186" s="2" t="s">
        <v>13</v>
      </c>
      <c r="G4186">
        <v>22273</v>
      </c>
      <c r="H4186" s="1">
        <v>44874</v>
      </c>
      <c r="I4186">
        <v>2</v>
      </c>
      <c r="J4186">
        <v>2</v>
      </c>
      <c r="K4186">
        <v>2227</v>
      </c>
      <c r="L4186">
        <v>1114</v>
      </c>
      <c r="M4186">
        <v>23386</v>
      </c>
      <c r="N4186">
        <v>0</v>
      </c>
      <c r="O4186">
        <v>24500</v>
      </c>
    </row>
    <row r="4187" spans="1:15" x14ac:dyDescent="0.35">
      <c r="A4187">
        <v>4186</v>
      </c>
      <c r="B4187" s="2" t="s">
        <v>14</v>
      </c>
      <c r="C4187" s="2" t="s">
        <v>15</v>
      </c>
      <c r="D4187">
        <v>51</v>
      </c>
      <c r="E4187" s="2" t="s">
        <v>29</v>
      </c>
      <c r="F4187" s="2" t="s">
        <v>21</v>
      </c>
      <c r="G4187">
        <v>61875</v>
      </c>
      <c r="H4187" s="1">
        <v>44598</v>
      </c>
      <c r="I4187">
        <v>13</v>
      </c>
      <c r="J4187">
        <v>5</v>
      </c>
      <c r="K4187">
        <v>6188</v>
      </c>
      <c r="L4187">
        <v>3094</v>
      </c>
      <c r="M4187">
        <v>64969</v>
      </c>
      <c r="N4187">
        <v>3094</v>
      </c>
      <c r="O4187">
        <v>71157</v>
      </c>
    </row>
    <row r="4188" spans="1:15" x14ac:dyDescent="0.35">
      <c r="A4188">
        <v>4187</v>
      </c>
      <c r="B4188" s="2" t="s">
        <v>10</v>
      </c>
      <c r="C4188" s="2" t="s">
        <v>15</v>
      </c>
      <c r="D4188">
        <v>57</v>
      </c>
      <c r="E4188" s="2" t="s">
        <v>29</v>
      </c>
      <c r="F4188" s="2" t="s">
        <v>19</v>
      </c>
      <c r="G4188">
        <v>34980</v>
      </c>
      <c r="H4188" s="1">
        <v>45174</v>
      </c>
      <c r="I4188">
        <v>11</v>
      </c>
      <c r="J4188">
        <v>5</v>
      </c>
      <c r="K4188">
        <v>3498</v>
      </c>
      <c r="L4188">
        <v>1749</v>
      </c>
      <c r="M4188">
        <v>36729</v>
      </c>
      <c r="N4188">
        <v>1749</v>
      </c>
      <c r="O4188">
        <v>40227</v>
      </c>
    </row>
    <row r="4189" spans="1:15" x14ac:dyDescent="0.35">
      <c r="A4189">
        <v>4188</v>
      </c>
      <c r="B4189" s="2" t="s">
        <v>30</v>
      </c>
      <c r="C4189" s="2" t="s">
        <v>15</v>
      </c>
      <c r="D4189">
        <v>56</v>
      </c>
      <c r="E4189" s="2" t="s">
        <v>16</v>
      </c>
      <c r="F4189" s="2" t="s">
        <v>25</v>
      </c>
      <c r="G4189">
        <v>67591</v>
      </c>
      <c r="H4189" s="1">
        <v>44982</v>
      </c>
      <c r="I4189">
        <v>3</v>
      </c>
      <c r="J4189">
        <v>4</v>
      </c>
      <c r="K4189">
        <v>6759</v>
      </c>
      <c r="L4189">
        <v>3380</v>
      </c>
      <c r="M4189">
        <v>70970</v>
      </c>
      <c r="N4189">
        <v>0</v>
      </c>
      <c r="O4189">
        <v>74350</v>
      </c>
    </row>
    <row r="4190" spans="1:15" x14ac:dyDescent="0.35">
      <c r="A4190">
        <v>4189</v>
      </c>
      <c r="B4190" s="2" t="s">
        <v>27</v>
      </c>
      <c r="C4190" s="2" t="s">
        <v>11</v>
      </c>
      <c r="D4190">
        <v>57</v>
      </c>
      <c r="E4190" s="2" t="s">
        <v>28</v>
      </c>
      <c r="F4190" s="2" t="s">
        <v>17</v>
      </c>
      <c r="G4190">
        <v>52927</v>
      </c>
      <c r="H4190" s="1">
        <v>44595</v>
      </c>
      <c r="I4190">
        <v>1</v>
      </c>
      <c r="J4190">
        <v>3</v>
      </c>
      <c r="K4190">
        <v>5293</v>
      </c>
      <c r="L4190">
        <v>2646</v>
      </c>
      <c r="M4190">
        <v>55574</v>
      </c>
      <c r="N4190">
        <v>0</v>
      </c>
      <c r="O4190">
        <v>58220</v>
      </c>
    </row>
    <row r="4191" spans="1:15" x14ac:dyDescent="0.35">
      <c r="A4191">
        <v>4190</v>
      </c>
      <c r="B4191" s="2" t="s">
        <v>23</v>
      </c>
      <c r="C4191" s="2" t="s">
        <v>15</v>
      </c>
      <c r="D4191">
        <v>57</v>
      </c>
      <c r="E4191" s="2" t="s">
        <v>16</v>
      </c>
      <c r="F4191" s="2" t="s">
        <v>21</v>
      </c>
      <c r="G4191">
        <v>36158</v>
      </c>
      <c r="H4191" s="1">
        <v>45245</v>
      </c>
      <c r="I4191">
        <v>4</v>
      </c>
      <c r="J4191">
        <v>5</v>
      </c>
      <c r="K4191">
        <v>3616</v>
      </c>
      <c r="L4191">
        <v>1808</v>
      </c>
      <c r="M4191">
        <v>37966</v>
      </c>
      <c r="N4191">
        <v>0</v>
      </c>
      <c r="O4191">
        <v>39774</v>
      </c>
    </row>
    <row r="4192" spans="1:15" x14ac:dyDescent="0.35">
      <c r="A4192">
        <v>4191</v>
      </c>
      <c r="B4192" s="2" t="s">
        <v>23</v>
      </c>
      <c r="C4192" s="2" t="s">
        <v>15</v>
      </c>
      <c r="D4192">
        <v>35</v>
      </c>
      <c r="E4192" s="2" t="s">
        <v>16</v>
      </c>
      <c r="F4192" s="2" t="s">
        <v>21</v>
      </c>
      <c r="G4192">
        <v>64009</v>
      </c>
      <c r="H4192" s="1">
        <v>44770</v>
      </c>
      <c r="I4192">
        <v>5</v>
      </c>
      <c r="J4192">
        <v>3</v>
      </c>
      <c r="K4192">
        <v>6401</v>
      </c>
      <c r="L4192">
        <v>3200</v>
      </c>
      <c r="M4192">
        <v>67210</v>
      </c>
      <c r="N4192">
        <v>0</v>
      </c>
      <c r="O4192">
        <v>70410</v>
      </c>
    </row>
    <row r="4193" spans="1:15" x14ac:dyDescent="0.35">
      <c r="A4193">
        <v>4192</v>
      </c>
      <c r="B4193" s="2" t="s">
        <v>20</v>
      </c>
      <c r="C4193" s="2" t="s">
        <v>15</v>
      </c>
      <c r="D4193">
        <v>44</v>
      </c>
      <c r="E4193" s="2" t="s">
        <v>29</v>
      </c>
      <c r="F4193" s="2" t="s">
        <v>13</v>
      </c>
      <c r="G4193">
        <v>90058</v>
      </c>
      <c r="H4193" s="1">
        <v>44656</v>
      </c>
      <c r="I4193">
        <v>1</v>
      </c>
      <c r="J4193">
        <v>5</v>
      </c>
      <c r="K4193">
        <v>9006</v>
      </c>
      <c r="L4193">
        <v>4503</v>
      </c>
      <c r="M4193">
        <v>94561</v>
      </c>
      <c r="N4193">
        <v>0</v>
      </c>
      <c r="O4193">
        <v>99064</v>
      </c>
    </row>
    <row r="4194" spans="1:15" x14ac:dyDescent="0.35">
      <c r="A4194">
        <v>4193</v>
      </c>
      <c r="B4194" s="2" t="s">
        <v>23</v>
      </c>
      <c r="C4194" s="2" t="s">
        <v>15</v>
      </c>
      <c r="D4194">
        <v>35</v>
      </c>
      <c r="E4194" s="2" t="s">
        <v>29</v>
      </c>
      <c r="F4194" s="2" t="s">
        <v>21</v>
      </c>
      <c r="G4194">
        <v>62546</v>
      </c>
      <c r="H4194" s="1">
        <v>44598</v>
      </c>
      <c r="I4194">
        <v>9</v>
      </c>
      <c r="J4194">
        <v>2</v>
      </c>
      <c r="K4194">
        <v>6255</v>
      </c>
      <c r="L4194">
        <v>3127</v>
      </c>
      <c r="M4194">
        <v>65674</v>
      </c>
      <c r="N4194">
        <v>3127</v>
      </c>
      <c r="O4194">
        <v>71928</v>
      </c>
    </row>
    <row r="4195" spans="1:15" x14ac:dyDescent="0.35">
      <c r="A4195">
        <v>4194</v>
      </c>
      <c r="B4195" s="2" t="s">
        <v>22</v>
      </c>
      <c r="C4195" s="2" t="s">
        <v>15</v>
      </c>
      <c r="D4195">
        <v>40</v>
      </c>
      <c r="E4195" s="2" t="s">
        <v>24</v>
      </c>
      <c r="F4195" s="2" t="s">
        <v>13</v>
      </c>
      <c r="G4195">
        <v>28547</v>
      </c>
      <c r="H4195" s="1">
        <v>44961</v>
      </c>
      <c r="I4195">
        <v>12</v>
      </c>
      <c r="J4195">
        <v>5</v>
      </c>
      <c r="K4195">
        <v>2855</v>
      </c>
      <c r="L4195">
        <v>1427</v>
      </c>
      <c r="M4195">
        <v>29975</v>
      </c>
      <c r="N4195">
        <v>1427</v>
      </c>
      <c r="O4195">
        <v>32829</v>
      </c>
    </row>
    <row r="4196" spans="1:15" x14ac:dyDescent="0.35">
      <c r="A4196">
        <v>4195</v>
      </c>
      <c r="B4196" s="2" t="s">
        <v>30</v>
      </c>
      <c r="C4196" s="2" t="s">
        <v>11</v>
      </c>
      <c r="D4196">
        <v>43</v>
      </c>
      <c r="E4196" s="2" t="s">
        <v>28</v>
      </c>
      <c r="F4196" s="2" t="s">
        <v>13</v>
      </c>
      <c r="G4196">
        <v>27711</v>
      </c>
      <c r="H4196" s="1">
        <v>44585</v>
      </c>
      <c r="I4196">
        <v>5</v>
      </c>
      <c r="J4196">
        <v>3</v>
      </c>
      <c r="K4196">
        <v>2771</v>
      </c>
      <c r="L4196">
        <v>1386</v>
      </c>
      <c r="M4196">
        <v>29096</v>
      </c>
      <c r="N4196">
        <v>0</v>
      </c>
      <c r="O4196">
        <v>30482</v>
      </c>
    </row>
    <row r="4197" spans="1:15" x14ac:dyDescent="0.35">
      <c r="A4197">
        <v>4196</v>
      </c>
      <c r="B4197" s="2" t="s">
        <v>22</v>
      </c>
      <c r="C4197" s="2" t="s">
        <v>15</v>
      </c>
      <c r="D4197">
        <v>41</v>
      </c>
      <c r="E4197" s="2" t="s">
        <v>29</v>
      </c>
      <c r="F4197" s="2" t="s">
        <v>17</v>
      </c>
      <c r="G4197">
        <v>79287</v>
      </c>
      <c r="H4197" s="1">
        <v>45064</v>
      </c>
      <c r="I4197">
        <v>17</v>
      </c>
      <c r="J4197">
        <v>3</v>
      </c>
      <c r="K4197">
        <v>7929</v>
      </c>
      <c r="L4197">
        <v>3964</v>
      </c>
      <c r="M4197">
        <v>83252</v>
      </c>
      <c r="N4197">
        <v>3964</v>
      </c>
      <c r="O4197">
        <v>91180</v>
      </c>
    </row>
    <row r="4198" spans="1:15" x14ac:dyDescent="0.35">
      <c r="A4198">
        <v>4197</v>
      </c>
      <c r="B4198" s="2" t="s">
        <v>30</v>
      </c>
      <c r="C4198" s="2" t="s">
        <v>15</v>
      </c>
      <c r="D4198">
        <v>38</v>
      </c>
      <c r="E4198" s="2" t="s">
        <v>28</v>
      </c>
      <c r="F4198" s="2" t="s">
        <v>13</v>
      </c>
      <c r="G4198">
        <v>26104</v>
      </c>
      <c r="H4198" s="1">
        <v>44777</v>
      </c>
      <c r="I4198">
        <v>3</v>
      </c>
      <c r="J4198">
        <v>1</v>
      </c>
      <c r="K4198">
        <v>2610</v>
      </c>
      <c r="L4198">
        <v>1305</v>
      </c>
      <c r="M4198">
        <v>27409</v>
      </c>
      <c r="N4198">
        <v>0</v>
      </c>
      <c r="O4198">
        <v>28714</v>
      </c>
    </row>
    <row r="4199" spans="1:15" x14ac:dyDescent="0.35">
      <c r="A4199">
        <v>4198</v>
      </c>
      <c r="B4199" s="2" t="s">
        <v>26</v>
      </c>
      <c r="C4199" s="2" t="s">
        <v>15</v>
      </c>
      <c r="D4199">
        <v>34</v>
      </c>
      <c r="E4199" s="2" t="s">
        <v>24</v>
      </c>
      <c r="F4199" s="2" t="s">
        <v>17</v>
      </c>
      <c r="G4199">
        <v>98882</v>
      </c>
      <c r="H4199" s="1">
        <v>45357</v>
      </c>
      <c r="I4199">
        <v>2</v>
      </c>
      <c r="J4199">
        <v>3</v>
      </c>
      <c r="K4199">
        <v>9888</v>
      </c>
      <c r="L4199">
        <v>4944</v>
      </c>
      <c r="M4199">
        <v>103826</v>
      </c>
      <c r="N4199">
        <v>0</v>
      </c>
      <c r="O4199">
        <v>108770</v>
      </c>
    </row>
    <row r="4200" spans="1:15" x14ac:dyDescent="0.35">
      <c r="A4200">
        <v>4199</v>
      </c>
      <c r="B4200" s="2" t="s">
        <v>14</v>
      </c>
      <c r="C4200" s="2" t="s">
        <v>11</v>
      </c>
      <c r="D4200">
        <v>58</v>
      </c>
      <c r="E4200" s="2" t="s">
        <v>28</v>
      </c>
      <c r="F4200" s="2" t="s">
        <v>17</v>
      </c>
      <c r="G4200">
        <v>28717</v>
      </c>
      <c r="H4200" s="1">
        <v>45049</v>
      </c>
      <c r="I4200">
        <v>15</v>
      </c>
      <c r="J4200">
        <v>2</v>
      </c>
      <c r="K4200">
        <v>2872</v>
      </c>
      <c r="L4200">
        <v>1436</v>
      </c>
      <c r="M4200">
        <v>30153</v>
      </c>
      <c r="N4200">
        <v>1436</v>
      </c>
      <c r="O4200">
        <v>33025</v>
      </c>
    </row>
    <row r="4201" spans="1:15" x14ac:dyDescent="0.35">
      <c r="A4201">
        <v>4200</v>
      </c>
      <c r="B4201" s="2" t="s">
        <v>20</v>
      </c>
      <c r="C4201" s="2" t="s">
        <v>11</v>
      </c>
      <c r="D4201">
        <v>53</v>
      </c>
      <c r="E4201" s="2" t="s">
        <v>29</v>
      </c>
      <c r="F4201" s="2" t="s">
        <v>13</v>
      </c>
      <c r="G4201">
        <v>99261</v>
      </c>
      <c r="H4201" s="1">
        <v>45115</v>
      </c>
      <c r="I4201">
        <v>2</v>
      </c>
      <c r="J4201">
        <v>5</v>
      </c>
      <c r="K4201">
        <v>9926</v>
      </c>
      <c r="L4201">
        <v>4963</v>
      </c>
      <c r="M4201">
        <v>104224</v>
      </c>
      <c r="N4201">
        <v>0</v>
      </c>
      <c r="O4201">
        <v>109187</v>
      </c>
    </row>
    <row r="4202" spans="1:15" x14ac:dyDescent="0.35">
      <c r="A4202">
        <v>4201</v>
      </c>
      <c r="B4202" s="2" t="s">
        <v>23</v>
      </c>
      <c r="C4202" s="2" t="s">
        <v>11</v>
      </c>
      <c r="D4202">
        <v>58</v>
      </c>
      <c r="E4202" s="2" t="s">
        <v>29</v>
      </c>
      <c r="F4202" s="2" t="s">
        <v>13</v>
      </c>
      <c r="G4202">
        <v>46341</v>
      </c>
      <c r="H4202" s="1">
        <v>45259</v>
      </c>
      <c r="I4202">
        <v>18</v>
      </c>
      <c r="J4202">
        <v>1</v>
      </c>
      <c r="K4202">
        <v>4634</v>
      </c>
      <c r="L4202">
        <v>2317</v>
      </c>
      <c r="M4202">
        <v>48658</v>
      </c>
      <c r="N4202">
        <v>2317</v>
      </c>
      <c r="O4202">
        <v>53292</v>
      </c>
    </row>
    <row r="4203" spans="1:15" x14ac:dyDescent="0.35">
      <c r="A4203">
        <v>4202</v>
      </c>
      <c r="B4203" s="2" t="s">
        <v>23</v>
      </c>
      <c r="C4203" s="2" t="s">
        <v>15</v>
      </c>
      <c r="D4203">
        <v>39</v>
      </c>
      <c r="E4203" s="2" t="s">
        <v>29</v>
      </c>
      <c r="F4203" s="2" t="s">
        <v>19</v>
      </c>
      <c r="G4203">
        <v>79900</v>
      </c>
      <c r="H4203" s="1">
        <v>45250</v>
      </c>
      <c r="I4203">
        <v>10</v>
      </c>
      <c r="J4203">
        <v>2</v>
      </c>
      <c r="K4203">
        <v>7990</v>
      </c>
      <c r="L4203">
        <v>3995</v>
      </c>
      <c r="M4203">
        <v>83895</v>
      </c>
      <c r="N4203">
        <v>3995</v>
      </c>
      <c r="O4203">
        <v>91885</v>
      </c>
    </row>
    <row r="4204" spans="1:15" x14ac:dyDescent="0.35">
      <c r="A4204">
        <v>4203</v>
      </c>
      <c r="B4204" s="2" t="s">
        <v>30</v>
      </c>
      <c r="C4204" s="2" t="s">
        <v>11</v>
      </c>
      <c r="D4204">
        <v>50</v>
      </c>
      <c r="E4204" s="2" t="s">
        <v>28</v>
      </c>
      <c r="F4204" s="2" t="s">
        <v>25</v>
      </c>
      <c r="G4204">
        <v>93612</v>
      </c>
      <c r="H4204" s="1">
        <v>45400</v>
      </c>
      <c r="I4204">
        <v>12</v>
      </c>
      <c r="J4204">
        <v>5</v>
      </c>
      <c r="K4204">
        <v>9361</v>
      </c>
      <c r="L4204">
        <v>4681</v>
      </c>
      <c r="M4204">
        <v>98292</v>
      </c>
      <c r="N4204">
        <v>4681</v>
      </c>
      <c r="O4204">
        <v>107654</v>
      </c>
    </row>
    <row r="4205" spans="1:15" x14ac:dyDescent="0.35">
      <c r="A4205">
        <v>4204</v>
      </c>
      <c r="B4205" s="2" t="s">
        <v>26</v>
      </c>
      <c r="C4205" s="2" t="s">
        <v>15</v>
      </c>
      <c r="D4205">
        <v>56</v>
      </c>
      <c r="E4205" s="2" t="s">
        <v>24</v>
      </c>
      <c r="F4205" s="2" t="s">
        <v>25</v>
      </c>
      <c r="G4205">
        <v>33083</v>
      </c>
      <c r="H4205" s="1">
        <v>44740</v>
      </c>
      <c r="I4205">
        <v>2</v>
      </c>
      <c r="J4205">
        <v>3</v>
      </c>
      <c r="K4205">
        <v>3308</v>
      </c>
      <c r="L4205">
        <v>1654</v>
      </c>
      <c r="M4205">
        <v>34737</v>
      </c>
      <c r="N4205">
        <v>0</v>
      </c>
      <c r="O4205">
        <v>36391</v>
      </c>
    </row>
    <row r="4206" spans="1:15" x14ac:dyDescent="0.35">
      <c r="A4206">
        <v>4205</v>
      </c>
      <c r="B4206" s="2" t="s">
        <v>26</v>
      </c>
      <c r="C4206" s="2" t="s">
        <v>11</v>
      </c>
      <c r="D4206">
        <v>23</v>
      </c>
      <c r="E4206" s="2" t="s">
        <v>29</v>
      </c>
      <c r="F4206" s="2" t="s">
        <v>17</v>
      </c>
      <c r="G4206">
        <v>49723</v>
      </c>
      <c r="H4206" s="1">
        <v>45116</v>
      </c>
      <c r="I4206">
        <v>16</v>
      </c>
      <c r="J4206">
        <v>1</v>
      </c>
      <c r="K4206">
        <v>4972</v>
      </c>
      <c r="L4206">
        <v>2486</v>
      </c>
      <c r="M4206">
        <v>52209</v>
      </c>
      <c r="N4206">
        <v>2486</v>
      </c>
      <c r="O4206">
        <v>57181</v>
      </c>
    </row>
    <row r="4207" spans="1:15" x14ac:dyDescent="0.35">
      <c r="A4207">
        <v>4206</v>
      </c>
      <c r="B4207" s="2" t="s">
        <v>22</v>
      </c>
      <c r="C4207" s="2" t="s">
        <v>11</v>
      </c>
      <c r="D4207">
        <v>47</v>
      </c>
      <c r="E4207" s="2" t="s">
        <v>24</v>
      </c>
      <c r="F4207" s="2" t="s">
        <v>25</v>
      </c>
      <c r="G4207">
        <v>23390</v>
      </c>
      <c r="H4207" s="1">
        <v>45501</v>
      </c>
      <c r="I4207">
        <v>17</v>
      </c>
      <c r="J4207">
        <v>4</v>
      </c>
      <c r="K4207">
        <v>2339</v>
      </c>
      <c r="L4207">
        <v>1170</v>
      </c>
      <c r="M4207">
        <v>24559</v>
      </c>
      <c r="N4207">
        <v>1170</v>
      </c>
      <c r="O4207">
        <v>26899</v>
      </c>
    </row>
    <row r="4208" spans="1:15" x14ac:dyDescent="0.35">
      <c r="A4208">
        <v>4207</v>
      </c>
      <c r="B4208" s="2" t="s">
        <v>26</v>
      </c>
      <c r="C4208" s="2" t="s">
        <v>11</v>
      </c>
      <c r="D4208">
        <v>54</v>
      </c>
      <c r="E4208" s="2" t="s">
        <v>29</v>
      </c>
      <c r="F4208" s="2" t="s">
        <v>25</v>
      </c>
      <c r="G4208">
        <v>86899</v>
      </c>
      <c r="H4208" s="1">
        <v>44681</v>
      </c>
      <c r="I4208">
        <v>4</v>
      </c>
      <c r="J4208">
        <v>5</v>
      </c>
      <c r="K4208">
        <v>8690</v>
      </c>
      <c r="L4208">
        <v>4345</v>
      </c>
      <c r="M4208">
        <v>91244</v>
      </c>
      <c r="N4208">
        <v>0</v>
      </c>
      <c r="O4208">
        <v>95589</v>
      </c>
    </row>
    <row r="4209" spans="1:15" x14ac:dyDescent="0.35">
      <c r="A4209">
        <v>4208</v>
      </c>
      <c r="B4209" s="2" t="s">
        <v>23</v>
      </c>
      <c r="C4209" s="2" t="s">
        <v>11</v>
      </c>
      <c r="D4209">
        <v>27</v>
      </c>
      <c r="E4209" s="2" t="s">
        <v>24</v>
      </c>
      <c r="F4209" s="2" t="s">
        <v>19</v>
      </c>
      <c r="G4209">
        <v>54881</v>
      </c>
      <c r="H4209" s="1">
        <v>45244</v>
      </c>
      <c r="I4209">
        <v>7</v>
      </c>
      <c r="J4209">
        <v>4</v>
      </c>
      <c r="K4209">
        <v>5488</v>
      </c>
      <c r="L4209">
        <v>2744</v>
      </c>
      <c r="M4209">
        <v>57625</v>
      </c>
      <c r="N4209">
        <v>2744</v>
      </c>
      <c r="O4209">
        <v>63113</v>
      </c>
    </row>
    <row r="4210" spans="1:15" x14ac:dyDescent="0.35">
      <c r="A4210">
        <v>4209</v>
      </c>
      <c r="B4210" s="2" t="s">
        <v>23</v>
      </c>
      <c r="C4210" s="2" t="s">
        <v>11</v>
      </c>
      <c r="D4210">
        <v>27</v>
      </c>
      <c r="E4210" s="2" t="s">
        <v>16</v>
      </c>
      <c r="F4210" s="2" t="s">
        <v>13</v>
      </c>
      <c r="G4210">
        <v>70627</v>
      </c>
      <c r="H4210" s="1">
        <v>45465</v>
      </c>
      <c r="I4210">
        <v>7</v>
      </c>
      <c r="J4210">
        <v>1</v>
      </c>
      <c r="K4210">
        <v>7063</v>
      </c>
      <c r="L4210">
        <v>3531</v>
      </c>
      <c r="M4210">
        <v>74159</v>
      </c>
      <c r="N4210">
        <v>3531</v>
      </c>
      <c r="O4210">
        <v>81221</v>
      </c>
    </row>
    <row r="4211" spans="1:15" x14ac:dyDescent="0.35">
      <c r="A4211">
        <v>4210</v>
      </c>
      <c r="B4211" s="2" t="s">
        <v>20</v>
      </c>
      <c r="C4211" s="2" t="s">
        <v>11</v>
      </c>
      <c r="D4211">
        <v>21</v>
      </c>
      <c r="E4211" s="2" t="s">
        <v>28</v>
      </c>
      <c r="F4211" s="2" t="s">
        <v>17</v>
      </c>
      <c r="G4211">
        <v>94854</v>
      </c>
      <c r="H4211" s="1">
        <v>45373</v>
      </c>
      <c r="I4211">
        <v>13</v>
      </c>
      <c r="J4211">
        <v>1</v>
      </c>
      <c r="K4211">
        <v>9485</v>
      </c>
      <c r="L4211">
        <v>4743</v>
      </c>
      <c r="M4211">
        <v>99596</v>
      </c>
      <c r="N4211">
        <v>4743</v>
      </c>
      <c r="O4211">
        <v>109082</v>
      </c>
    </row>
    <row r="4212" spans="1:15" x14ac:dyDescent="0.35">
      <c r="A4212">
        <v>4211</v>
      </c>
      <c r="B4212" s="2" t="s">
        <v>20</v>
      </c>
      <c r="C4212" s="2" t="s">
        <v>15</v>
      </c>
      <c r="D4212">
        <v>53</v>
      </c>
      <c r="E4212" s="2" t="s">
        <v>12</v>
      </c>
      <c r="F4212" s="2" t="s">
        <v>21</v>
      </c>
      <c r="G4212">
        <v>78386</v>
      </c>
      <c r="H4212" s="1">
        <v>44756</v>
      </c>
      <c r="I4212">
        <v>5</v>
      </c>
      <c r="J4212">
        <v>1</v>
      </c>
      <c r="K4212">
        <v>7839</v>
      </c>
      <c r="L4212">
        <v>3919</v>
      </c>
      <c r="M4212">
        <v>82306</v>
      </c>
      <c r="N4212">
        <v>0</v>
      </c>
      <c r="O4212">
        <v>86225</v>
      </c>
    </row>
    <row r="4213" spans="1:15" x14ac:dyDescent="0.35">
      <c r="A4213">
        <v>4212</v>
      </c>
      <c r="B4213" s="2" t="s">
        <v>22</v>
      </c>
      <c r="C4213" s="2" t="s">
        <v>15</v>
      </c>
      <c r="D4213">
        <v>34</v>
      </c>
      <c r="E4213" s="2" t="s">
        <v>29</v>
      </c>
      <c r="F4213" s="2" t="s">
        <v>17</v>
      </c>
      <c r="G4213">
        <v>36025</v>
      </c>
      <c r="H4213" s="1">
        <v>45145</v>
      </c>
      <c r="I4213">
        <v>14</v>
      </c>
      <c r="J4213">
        <v>2</v>
      </c>
      <c r="K4213">
        <v>3602</v>
      </c>
      <c r="L4213">
        <v>1801</v>
      </c>
      <c r="M4213">
        <v>37826</v>
      </c>
      <c r="N4213">
        <v>1801</v>
      </c>
      <c r="O4213">
        <v>41428</v>
      </c>
    </row>
    <row r="4214" spans="1:15" x14ac:dyDescent="0.35">
      <c r="A4214">
        <v>4213</v>
      </c>
      <c r="B4214" s="2" t="s">
        <v>22</v>
      </c>
      <c r="C4214" s="2" t="s">
        <v>11</v>
      </c>
      <c r="D4214">
        <v>29</v>
      </c>
      <c r="E4214" s="2" t="s">
        <v>28</v>
      </c>
      <c r="F4214" s="2" t="s">
        <v>21</v>
      </c>
      <c r="G4214">
        <v>93507</v>
      </c>
      <c r="H4214" s="1">
        <v>45521</v>
      </c>
      <c r="I4214">
        <v>17</v>
      </c>
      <c r="J4214">
        <v>5</v>
      </c>
      <c r="K4214">
        <v>9351</v>
      </c>
      <c r="L4214">
        <v>4675</v>
      </c>
      <c r="M4214">
        <v>98183</v>
      </c>
      <c r="N4214">
        <v>4675</v>
      </c>
      <c r="O4214">
        <v>107533</v>
      </c>
    </row>
    <row r="4215" spans="1:15" x14ac:dyDescent="0.35">
      <c r="A4215">
        <v>4214</v>
      </c>
      <c r="B4215" s="2" t="s">
        <v>14</v>
      </c>
      <c r="C4215" s="2" t="s">
        <v>11</v>
      </c>
      <c r="D4215">
        <v>59</v>
      </c>
      <c r="E4215" s="2" t="s">
        <v>16</v>
      </c>
      <c r="F4215" s="2" t="s">
        <v>13</v>
      </c>
      <c r="G4215">
        <v>97100</v>
      </c>
      <c r="H4215" s="1">
        <v>45004</v>
      </c>
      <c r="I4215">
        <v>18</v>
      </c>
      <c r="J4215">
        <v>3</v>
      </c>
      <c r="K4215">
        <v>9710</v>
      </c>
      <c r="L4215">
        <v>4855</v>
      </c>
      <c r="M4215">
        <v>101955</v>
      </c>
      <c r="N4215">
        <v>4855</v>
      </c>
      <c r="O4215">
        <v>111665</v>
      </c>
    </row>
    <row r="4216" spans="1:15" x14ac:dyDescent="0.35">
      <c r="A4216">
        <v>4215</v>
      </c>
      <c r="B4216" s="2" t="s">
        <v>14</v>
      </c>
      <c r="C4216" s="2" t="s">
        <v>15</v>
      </c>
      <c r="D4216">
        <v>57</v>
      </c>
      <c r="E4216" s="2" t="s">
        <v>28</v>
      </c>
      <c r="F4216" s="2" t="s">
        <v>21</v>
      </c>
      <c r="G4216">
        <v>39638</v>
      </c>
      <c r="H4216" s="1">
        <v>45268</v>
      </c>
      <c r="I4216">
        <v>12</v>
      </c>
      <c r="J4216">
        <v>4</v>
      </c>
      <c r="K4216">
        <v>3964</v>
      </c>
      <c r="L4216">
        <v>1982</v>
      </c>
      <c r="M4216">
        <v>41620</v>
      </c>
      <c r="N4216">
        <v>1982</v>
      </c>
      <c r="O4216">
        <v>45584</v>
      </c>
    </row>
    <row r="4217" spans="1:15" x14ac:dyDescent="0.35">
      <c r="A4217">
        <v>4216</v>
      </c>
      <c r="B4217" s="2" t="s">
        <v>23</v>
      </c>
      <c r="C4217" s="2" t="s">
        <v>11</v>
      </c>
      <c r="D4217">
        <v>48</v>
      </c>
      <c r="E4217" s="2" t="s">
        <v>28</v>
      </c>
      <c r="F4217" s="2" t="s">
        <v>17</v>
      </c>
      <c r="G4217">
        <v>47583</v>
      </c>
      <c r="H4217" s="1">
        <v>45070</v>
      </c>
      <c r="I4217">
        <v>9</v>
      </c>
      <c r="J4217">
        <v>2</v>
      </c>
      <c r="K4217">
        <v>4758</v>
      </c>
      <c r="L4217">
        <v>2379</v>
      </c>
      <c r="M4217">
        <v>49962</v>
      </c>
      <c r="N4217">
        <v>2379</v>
      </c>
      <c r="O4217">
        <v>54720</v>
      </c>
    </row>
    <row r="4218" spans="1:15" x14ac:dyDescent="0.35">
      <c r="A4218">
        <v>4217</v>
      </c>
      <c r="B4218" s="2" t="s">
        <v>20</v>
      </c>
      <c r="C4218" s="2" t="s">
        <v>15</v>
      </c>
      <c r="D4218">
        <v>52</v>
      </c>
      <c r="E4218" s="2" t="s">
        <v>12</v>
      </c>
      <c r="F4218" s="2" t="s">
        <v>17</v>
      </c>
      <c r="G4218">
        <v>78614</v>
      </c>
      <c r="H4218" s="1">
        <v>44687</v>
      </c>
      <c r="I4218">
        <v>17</v>
      </c>
      <c r="J4218">
        <v>3</v>
      </c>
      <c r="K4218">
        <v>7861</v>
      </c>
      <c r="L4218">
        <v>3931</v>
      </c>
      <c r="M4218">
        <v>82544</v>
      </c>
      <c r="N4218">
        <v>3931</v>
      </c>
      <c r="O4218">
        <v>90406</v>
      </c>
    </row>
    <row r="4219" spans="1:15" x14ac:dyDescent="0.35">
      <c r="A4219">
        <v>4218</v>
      </c>
      <c r="B4219" s="2" t="s">
        <v>10</v>
      </c>
      <c r="C4219" s="2" t="s">
        <v>15</v>
      </c>
      <c r="D4219">
        <v>44</v>
      </c>
      <c r="E4219" s="2" t="s">
        <v>16</v>
      </c>
      <c r="F4219" s="2" t="s">
        <v>25</v>
      </c>
      <c r="G4219">
        <v>78460</v>
      </c>
      <c r="H4219" s="1">
        <v>45324</v>
      </c>
      <c r="I4219">
        <v>6</v>
      </c>
      <c r="J4219">
        <v>3</v>
      </c>
      <c r="K4219">
        <v>7846</v>
      </c>
      <c r="L4219">
        <v>3923</v>
      </c>
      <c r="M4219">
        <v>82383</v>
      </c>
      <c r="N4219">
        <v>3923</v>
      </c>
      <c r="O4219">
        <v>90229</v>
      </c>
    </row>
    <row r="4220" spans="1:15" x14ac:dyDescent="0.35">
      <c r="A4220">
        <v>4219</v>
      </c>
      <c r="B4220" s="2" t="s">
        <v>14</v>
      </c>
      <c r="C4220" s="2" t="s">
        <v>11</v>
      </c>
      <c r="D4220">
        <v>42</v>
      </c>
      <c r="E4220" s="2" t="s">
        <v>12</v>
      </c>
      <c r="F4220" s="2" t="s">
        <v>13</v>
      </c>
      <c r="G4220">
        <v>55474</v>
      </c>
      <c r="H4220" s="1">
        <v>44887</v>
      </c>
      <c r="I4220">
        <v>19</v>
      </c>
      <c r="J4220">
        <v>2</v>
      </c>
      <c r="K4220">
        <v>5547</v>
      </c>
      <c r="L4220">
        <v>2774</v>
      </c>
      <c r="M4220">
        <v>58247</v>
      </c>
      <c r="N4220">
        <v>2774</v>
      </c>
      <c r="O4220">
        <v>63795</v>
      </c>
    </row>
    <row r="4221" spans="1:15" x14ac:dyDescent="0.35">
      <c r="A4221">
        <v>4220</v>
      </c>
      <c r="B4221" s="2" t="s">
        <v>26</v>
      </c>
      <c r="C4221" s="2" t="s">
        <v>11</v>
      </c>
      <c r="D4221">
        <v>42</v>
      </c>
      <c r="E4221" s="2" t="s">
        <v>12</v>
      </c>
      <c r="F4221" s="2" t="s">
        <v>25</v>
      </c>
      <c r="G4221">
        <v>80683</v>
      </c>
      <c r="H4221" s="1">
        <v>45398</v>
      </c>
      <c r="I4221">
        <v>7</v>
      </c>
      <c r="J4221">
        <v>3</v>
      </c>
      <c r="K4221">
        <v>8068</v>
      </c>
      <c r="L4221">
        <v>4034</v>
      </c>
      <c r="M4221">
        <v>84717</v>
      </c>
      <c r="N4221">
        <v>4034</v>
      </c>
      <c r="O4221">
        <v>92785</v>
      </c>
    </row>
    <row r="4222" spans="1:15" x14ac:dyDescent="0.35">
      <c r="A4222">
        <v>4221</v>
      </c>
      <c r="B4222" s="2" t="s">
        <v>27</v>
      </c>
      <c r="C4222" s="2" t="s">
        <v>15</v>
      </c>
      <c r="D4222">
        <v>27</v>
      </c>
      <c r="E4222" s="2" t="s">
        <v>12</v>
      </c>
      <c r="F4222" s="2" t="s">
        <v>25</v>
      </c>
      <c r="G4222">
        <v>84293</v>
      </c>
      <c r="H4222" s="1">
        <v>45042</v>
      </c>
      <c r="I4222">
        <v>8</v>
      </c>
      <c r="J4222">
        <v>4</v>
      </c>
      <c r="K4222">
        <v>8429</v>
      </c>
      <c r="L4222">
        <v>4215</v>
      </c>
      <c r="M4222">
        <v>88507</v>
      </c>
      <c r="N4222">
        <v>4215</v>
      </c>
      <c r="O4222">
        <v>96937</v>
      </c>
    </row>
    <row r="4223" spans="1:15" x14ac:dyDescent="0.35">
      <c r="A4223">
        <v>4222</v>
      </c>
      <c r="B4223" s="2" t="s">
        <v>31</v>
      </c>
      <c r="C4223" s="2" t="s">
        <v>11</v>
      </c>
      <c r="D4223">
        <v>36</v>
      </c>
      <c r="E4223" s="2" t="s">
        <v>29</v>
      </c>
      <c r="F4223" s="2" t="s">
        <v>17</v>
      </c>
      <c r="G4223">
        <v>79431</v>
      </c>
      <c r="H4223" s="1">
        <v>44834</v>
      </c>
      <c r="I4223">
        <v>11</v>
      </c>
      <c r="J4223">
        <v>1</v>
      </c>
      <c r="K4223">
        <v>7943</v>
      </c>
      <c r="L4223">
        <v>3972</v>
      </c>
      <c r="M4223">
        <v>83402</v>
      </c>
      <c r="N4223">
        <v>3972</v>
      </c>
      <c r="O4223">
        <v>91346</v>
      </c>
    </row>
    <row r="4224" spans="1:15" x14ac:dyDescent="0.35">
      <c r="A4224">
        <v>4223</v>
      </c>
      <c r="B4224" s="2" t="s">
        <v>31</v>
      </c>
      <c r="C4224" s="2" t="s">
        <v>15</v>
      </c>
      <c r="D4224">
        <v>56</v>
      </c>
      <c r="E4224" s="2" t="s">
        <v>29</v>
      </c>
      <c r="F4224" s="2" t="s">
        <v>25</v>
      </c>
      <c r="G4224">
        <v>44578</v>
      </c>
      <c r="H4224" s="1">
        <v>44619</v>
      </c>
      <c r="I4224">
        <v>3</v>
      </c>
      <c r="J4224">
        <v>4</v>
      </c>
      <c r="K4224">
        <v>4458</v>
      </c>
      <c r="L4224">
        <v>2229</v>
      </c>
      <c r="M4224">
        <v>46807</v>
      </c>
      <c r="N4224">
        <v>0</v>
      </c>
      <c r="O4224">
        <v>49036</v>
      </c>
    </row>
    <row r="4225" spans="1:15" x14ac:dyDescent="0.35">
      <c r="A4225">
        <v>4224</v>
      </c>
      <c r="B4225" s="2" t="s">
        <v>31</v>
      </c>
      <c r="C4225" s="2" t="s">
        <v>15</v>
      </c>
      <c r="D4225">
        <v>58</v>
      </c>
      <c r="E4225" s="2" t="s">
        <v>16</v>
      </c>
      <c r="F4225" s="2" t="s">
        <v>19</v>
      </c>
      <c r="G4225">
        <v>83929</v>
      </c>
      <c r="H4225" s="1">
        <v>44754</v>
      </c>
      <c r="I4225">
        <v>13</v>
      </c>
      <c r="J4225">
        <v>3</v>
      </c>
      <c r="K4225">
        <v>8393</v>
      </c>
      <c r="L4225">
        <v>4196</v>
      </c>
      <c r="M4225">
        <v>88126</v>
      </c>
      <c r="N4225">
        <v>4196</v>
      </c>
      <c r="O4225">
        <v>96518</v>
      </c>
    </row>
    <row r="4226" spans="1:15" x14ac:dyDescent="0.35">
      <c r="A4226">
        <v>4225</v>
      </c>
      <c r="B4226" s="2" t="s">
        <v>31</v>
      </c>
      <c r="C4226" s="2" t="s">
        <v>15</v>
      </c>
      <c r="D4226">
        <v>42</v>
      </c>
      <c r="E4226" s="2" t="s">
        <v>12</v>
      </c>
      <c r="F4226" s="2" t="s">
        <v>25</v>
      </c>
      <c r="G4226">
        <v>40748</v>
      </c>
      <c r="H4226" s="1">
        <v>45256</v>
      </c>
      <c r="I4226">
        <v>2</v>
      </c>
      <c r="J4226">
        <v>1</v>
      </c>
      <c r="K4226">
        <v>4075</v>
      </c>
      <c r="L4226">
        <v>2037</v>
      </c>
      <c r="M4226">
        <v>42786</v>
      </c>
      <c r="N4226">
        <v>0</v>
      </c>
      <c r="O4226">
        <v>44823</v>
      </c>
    </row>
    <row r="4227" spans="1:15" x14ac:dyDescent="0.35">
      <c r="A4227">
        <v>4226</v>
      </c>
      <c r="B4227" s="2" t="s">
        <v>23</v>
      </c>
      <c r="C4227" s="2" t="s">
        <v>11</v>
      </c>
      <c r="D4227">
        <v>32</v>
      </c>
      <c r="E4227" s="2" t="s">
        <v>12</v>
      </c>
      <c r="F4227" s="2" t="s">
        <v>19</v>
      </c>
      <c r="G4227">
        <v>40906</v>
      </c>
      <c r="H4227" s="1">
        <v>44599</v>
      </c>
      <c r="I4227">
        <v>2</v>
      </c>
      <c r="J4227">
        <v>1</v>
      </c>
      <c r="K4227">
        <v>4091</v>
      </c>
      <c r="L4227">
        <v>2045</v>
      </c>
      <c r="M4227">
        <v>42952</v>
      </c>
      <c r="N4227">
        <v>0</v>
      </c>
      <c r="O4227">
        <v>44997</v>
      </c>
    </row>
    <row r="4228" spans="1:15" x14ac:dyDescent="0.35">
      <c r="A4228">
        <v>4227</v>
      </c>
      <c r="B4228" s="2" t="s">
        <v>27</v>
      </c>
      <c r="C4228" s="2" t="s">
        <v>11</v>
      </c>
      <c r="D4228">
        <v>41</v>
      </c>
      <c r="E4228" s="2" t="s">
        <v>29</v>
      </c>
      <c r="F4228" s="2" t="s">
        <v>19</v>
      </c>
      <c r="G4228">
        <v>37009</v>
      </c>
      <c r="H4228" s="1">
        <v>45342</v>
      </c>
      <c r="I4228">
        <v>12</v>
      </c>
      <c r="J4228">
        <v>2</v>
      </c>
      <c r="K4228">
        <v>3701</v>
      </c>
      <c r="L4228">
        <v>1850</v>
      </c>
      <c r="M4228">
        <v>38860</v>
      </c>
      <c r="N4228">
        <v>1850</v>
      </c>
      <c r="O4228">
        <v>42560</v>
      </c>
    </row>
    <row r="4229" spans="1:15" x14ac:dyDescent="0.35">
      <c r="A4229">
        <v>4228</v>
      </c>
      <c r="B4229" s="2" t="s">
        <v>20</v>
      </c>
      <c r="C4229" s="2" t="s">
        <v>11</v>
      </c>
      <c r="D4229">
        <v>57</v>
      </c>
      <c r="E4229" s="2" t="s">
        <v>29</v>
      </c>
      <c r="F4229" s="2" t="s">
        <v>17</v>
      </c>
      <c r="G4229">
        <v>89893</v>
      </c>
      <c r="H4229" s="1">
        <v>44794</v>
      </c>
      <c r="I4229">
        <v>11</v>
      </c>
      <c r="J4229">
        <v>3</v>
      </c>
      <c r="K4229">
        <v>8989</v>
      </c>
      <c r="L4229">
        <v>4495</v>
      </c>
      <c r="M4229">
        <v>94387</v>
      </c>
      <c r="N4229">
        <v>4495</v>
      </c>
      <c r="O4229">
        <v>103377</v>
      </c>
    </row>
    <row r="4230" spans="1:15" x14ac:dyDescent="0.35">
      <c r="A4230">
        <v>4229</v>
      </c>
      <c r="B4230" s="2" t="s">
        <v>23</v>
      </c>
      <c r="C4230" s="2" t="s">
        <v>11</v>
      </c>
      <c r="D4230">
        <v>31</v>
      </c>
      <c r="E4230" s="2" t="s">
        <v>24</v>
      </c>
      <c r="F4230" s="2" t="s">
        <v>17</v>
      </c>
      <c r="G4230">
        <v>77060</v>
      </c>
      <c r="H4230" s="1">
        <v>45277</v>
      </c>
      <c r="I4230">
        <v>11</v>
      </c>
      <c r="J4230">
        <v>1</v>
      </c>
      <c r="K4230">
        <v>7706</v>
      </c>
      <c r="L4230">
        <v>3853</v>
      </c>
      <c r="M4230">
        <v>80913</v>
      </c>
      <c r="N4230">
        <v>3853</v>
      </c>
      <c r="O4230">
        <v>88619</v>
      </c>
    </row>
    <row r="4231" spans="1:15" x14ac:dyDescent="0.35">
      <c r="A4231">
        <v>4230</v>
      </c>
      <c r="B4231" s="2" t="s">
        <v>14</v>
      </c>
      <c r="C4231" s="2" t="s">
        <v>15</v>
      </c>
      <c r="D4231">
        <v>26</v>
      </c>
      <c r="E4231" s="2" t="s">
        <v>24</v>
      </c>
      <c r="F4231" s="2" t="s">
        <v>25</v>
      </c>
      <c r="G4231">
        <v>51343</v>
      </c>
      <c r="H4231" s="1">
        <v>45530</v>
      </c>
      <c r="I4231">
        <v>4</v>
      </c>
      <c r="J4231">
        <v>3</v>
      </c>
      <c r="K4231">
        <v>5134</v>
      </c>
      <c r="L4231">
        <v>2567</v>
      </c>
      <c r="M4231">
        <v>53910</v>
      </c>
      <c r="N4231">
        <v>0</v>
      </c>
      <c r="O4231">
        <v>56477</v>
      </c>
    </row>
    <row r="4232" spans="1:15" x14ac:dyDescent="0.35">
      <c r="A4232">
        <v>4231</v>
      </c>
      <c r="B4232" s="2" t="s">
        <v>26</v>
      </c>
      <c r="C4232" s="2" t="s">
        <v>11</v>
      </c>
      <c r="D4232">
        <v>43</v>
      </c>
      <c r="E4232" s="2" t="s">
        <v>28</v>
      </c>
      <c r="F4232" s="2" t="s">
        <v>19</v>
      </c>
      <c r="G4232">
        <v>78595</v>
      </c>
      <c r="H4232" s="1">
        <v>44816</v>
      </c>
      <c r="I4232">
        <v>12</v>
      </c>
      <c r="J4232">
        <v>1</v>
      </c>
      <c r="K4232">
        <v>7860</v>
      </c>
      <c r="L4232">
        <v>3930</v>
      </c>
      <c r="M4232">
        <v>82525</v>
      </c>
      <c r="N4232">
        <v>3930</v>
      </c>
      <c r="O4232">
        <v>90385</v>
      </c>
    </row>
    <row r="4233" spans="1:15" x14ac:dyDescent="0.35">
      <c r="A4233">
        <v>4232</v>
      </c>
      <c r="B4233" s="2" t="s">
        <v>31</v>
      </c>
      <c r="C4233" s="2" t="s">
        <v>11</v>
      </c>
      <c r="D4233">
        <v>28</v>
      </c>
      <c r="E4233" s="2" t="s">
        <v>16</v>
      </c>
      <c r="F4233" s="2" t="s">
        <v>13</v>
      </c>
      <c r="G4233">
        <v>34587</v>
      </c>
      <c r="H4233" s="1">
        <v>44870</v>
      </c>
      <c r="I4233">
        <v>18</v>
      </c>
      <c r="J4233">
        <v>1</v>
      </c>
      <c r="K4233">
        <v>3459</v>
      </c>
      <c r="L4233">
        <v>1729</v>
      </c>
      <c r="M4233">
        <v>36317</v>
      </c>
      <c r="N4233">
        <v>1729</v>
      </c>
      <c r="O4233">
        <v>39775</v>
      </c>
    </row>
    <row r="4234" spans="1:15" x14ac:dyDescent="0.35">
      <c r="A4234">
        <v>4233</v>
      </c>
      <c r="B4234" s="2" t="s">
        <v>26</v>
      </c>
      <c r="C4234" s="2" t="s">
        <v>11</v>
      </c>
      <c r="D4234">
        <v>53</v>
      </c>
      <c r="E4234" s="2" t="s">
        <v>16</v>
      </c>
      <c r="F4234" s="2" t="s">
        <v>25</v>
      </c>
      <c r="G4234">
        <v>68196</v>
      </c>
      <c r="H4234" s="1">
        <v>44594</v>
      </c>
      <c r="I4234">
        <v>3</v>
      </c>
      <c r="J4234">
        <v>5</v>
      </c>
      <c r="K4234">
        <v>6820</v>
      </c>
      <c r="L4234">
        <v>3410</v>
      </c>
      <c r="M4234">
        <v>71606</v>
      </c>
      <c r="N4234">
        <v>0</v>
      </c>
      <c r="O4234">
        <v>75016</v>
      </c>
    </row>
    <row r="4235" spans="1:15" x14ac:dyDescent="0.35">
      <c r="A4235">
        <v>4234</v>
      </c>
      <c r="B4235" s="2" t="s">
        <v>10</v>
      </c>
      <c r="C4235" s="2" t="s">
        <v>15</v>
      </c>
      <c r="D4235">
        <v>39</v>
      </c>
      <c r="E4235" s="2" t="s">
        <v>24</v>
      </c>
      <c r="F4235" s="2" t="s">
        <v>13</v>
      </c>
      <c r="G4235">
        <v>96624</v>
      </c>
      <c r="H4235" s="1">
        <v>44588</v>
      </c>
      <c r="I4235">
        <v>18</v>
      </c>
      <c r="J4235">
        <v>5</v>
      </c>
      <c r="K4235">
        <v>9662</v>
      </c>
      <c r="L4235">
        <v>4831</v>
      </c>
      <c r="M4235">
        <v>101455</v>
      </c>
      <c r="N4235">
        <v>4831</v>
      </c>
      <c r="O4235">
        <v>111117</v>
      </c>
    </row>
    <row r="4236" spans="1:15" x14ac:dyDescent="0.35">
      <c r="A4236">
        <v>4235</v>
      </c>
      <c r="B4236" s="2" t="s">
        <v>23</v>
      </c>
      <c r="C4236" s="2" t="s">
        <v>11</v>
      </c>
      <c r="D4236">
        <v>33</v>
      </c>
      <c r="E4236" s="2" t="s">
        <v>16</v>
      </c>
      <c r="F4236" s="2" t="s">
        <v>25</v>
      </c>
      <c r="G4236">
        <v>77413</v>
      </c>
      <c r="H4236" s="1">
        <v>45011</v>
      </c>
      <c r="I4236">
        <v>14</v>
      </c>
      <c r="J4236">
        <v>5</v>
      </c>
      <c r="K4236">
        <v>7741</v>
      </c>
      <c r="L4236">
        <v>3871</v>
      </c>
      <c r="M4236">
        <v>81283</v>
      </c>
      <c r="N4236">
        <v>3871</v>
      </c>
      <c r="O4236">
        <v>89025</v>
      </c>
    </row>
    <row r="4237" spans="1:15" x14ac:dyDescent="0.35">
      <c r="A4237">
        <v>4236</v>
      </c>
      <c r="B4237" s="2" t="s">
        <v>31</v>
      </c>
      <c r="C4237" s="2" t="s">
        <v>15</v>
      </c>
      <c r="D4237">
        <v>31</v>
      </c>
      <c r="E4237" s="2" t="s">
        <v>24</v>
      </c>
      <c r="F4237" s="2" t="s">
        <v>19</v>
      </c>
      <c r="G4237">
        <v>31781</v>
      </c>
      <c r="H4237" s="1">
        <v>45400</v>
      </c>
      <c r="I4237">
        <v>4</v>
      </c>
      <c r="J4237">
        <v>3</v>
      </c>
      <c r="K4237">
        <v>3178</v>
      </c>
      <c r="L4237">
        <v>1589</v>
      </c>
      <c r="M4237">
        <v>33370</v>
      </c>
      <c r="N4237">
        <v>0</v>
      </c>
      <c r="O4237">
        <v>34959</v>
      </c>
    </row>
    <row r="4238" spans="1:15" x14ac:dyDescent="0.35">
      <c r="A4238">
        <v>4237</v>
      </c>
      <c r="B4238" s="2" t="s">
        <v>14</v>
      </c>
      <c r="C4238" s="2" t="s">
        <v>15</v>
      </c>
      <c r="D4238">
        <v>37</v>
      </c>
      <c r="E4238" s="2" t="s">
        <v>24</v>
      </c>
      <c r="F4238" s="2" t="s">
        <v>21</v>
      </c>
      <c r="G4238">
        <v>48841</v>
      </c>
      <c r="H4238" s="1">
        <v>44581</v>
      </c>
      <c r="I4238">
        <v>16</v>
      </c>
      <c r="J4238">
        <v>5</v>
      </c>
      <c r="K4238">
        <v>4884</v>
      </c>
      <c r="L4238">
        <v>2442</v>
      </c>
      <c r="M4238">
        <v>51283</v>
      </c>
      <c r="N4238">
        <v>2442</v>
      </c>
      <c r="O4238">
        <v>56167</v>
      </c>
    </row>
    <row r="4239" spans="1:15" x14ac:dyDescent="0.35">
      <c r="A4239">
        <v>4238</v>
      </c>
      <c r="B4239" s="2" t="s">
        <v>10</v>
      </c>
      <c r="C4239" s="2" t="s">
        <v>15</v>
      </c>
      <c r="D4239">
        <v>36</v>
      </c>
      <c r="E4239" s="2" t="s">
        <v>29</v>
      </c>
      <c r="F4239" s="2" t="s">
        <v>19</v>
      </c>
      <c r="G4239">
        <v>39990</v>
      </c>
      <c r="H4239" s="1">
        <v>45157</v>
      </c>
      <c r="I4239">
        <v>17</v>
      </c>
      <c r="J4239">
        <v>5</v>
      </c>
      <c r="K4239">
        <v>3999</v>
      </c>
      <c r="L4239">
        <v>2000</v>
      </c>
      <c r="M4239">
        <v>41989</v>
      </c>
      <c r="N4239">
        <v>2000</v>
      </c>
      <c r="O4239">
        <v>45989</v>
      </c>
    </row>
    <row r="4240" spans="1:15" x14ac:dyDescent="0.35">
      <c r="A4240">
        <v>4239</v>
      </c>
      <c r="B4240" s="2" t="s">
        <v>10</v>
      </c>
      <c r="C4240" s="2" t="s">
        <v>11</v>
      </c>
      <c r="D4240">
        <v>55</v>
      </c>
      <c r="E4240" s="2" t="s">
        <v>12</v>
      </c>
      <c r="F4240" s="2" t="s">
        <v>19</v>
      </c>
      <c r="G4240">
        <v>33048</v>
      </c>
      <c r="H4240" s="1">
        <v>45419</v>
      </c>
      <c r="I4240">
        <v>15</v>
      </c>
      <c r="J4240">
        <v>4</v>
      </c>
      <c r="K4240">
        <v>3305</v>
      </c>
      <c r="L4240">
        <v>1652</v>
      </c>
      <c r="M4240">
        <v>34701</v>
      </c>
      <c r="N4240">
        <v>1652</v>
      </c>
      <c r="O4240">
        <v>38005</v>
      </c>
    </row>
    <row r="4241" spans="1:15" x14ac:dyDescent="0.35">
      <c r="A4241">
        <v>4240</v>
      </c>
      <c r="B4241" s="2" t="s">
        <v>31</v>
      </c>
      <c r="C4241" s="2" t="s">
        <v>11</v>
      </c>
      <c r="D4241">
        <v>32</v>
      </c>
      <c r="E4241" s="2" t="s">
        <v>12</v>
      </c>
      <c r="F4241" s="2" t="s">
        <v>17</v>
      </c>
      <c r="G4241">
        <v>26572</v>
      </c>
      <c r="H4241" s="1">
        <v>45298</v>
      </c>
      <c r="I4241">
        <v>6</v>
      </c>
      <c r="J4241">
        <v>2</v>
      </c>
      <c r="K4241">
        <v>2657</v>
      </c>
      <c r="L4241">
        <v>1329</v>
      </c>
      <c r="M4241">
        <v>27900</v>
      </c>
      <c r="N4241">
        <v>1329</v>
      </c>
      <c r="O4241">
        <v>30558</v>
      </c>
    </row>
    <row r="4242" spans="1:15" x14ac:dyDescent="0.35">
      <c r="A4242">
        <v>4241</v>
      </c>
      <c r="B4242" s="2" t="s">
        <v>23</v>
      </c>
      <c r="C4242" s="2" t="s">
        <v>15</v>
      </c>
      <c r="D4242">
        <v>39</v>
      </c>
      <c r="E4242" s="2" t="s">
        <v>28</v>
      </c>
      <c r="F4242" s="2" t="s">
        <v>25</v>
      </c>
      <c r="G4242">
        <v>93597</v>
      </c>
      <c r="H4242" s="1">
        <v>44745</v>
      </c>
      <c r="I4242">
        <v>12</v>
      </c>
      <c r="J4242">
        <v>5</v>
      </c>
      <c r="K4242">
        <v>9360</v>
      </c>
      <c r="L4242">
        <v>4680</v>
      </c>
      <c r="M4242">
        <v>98277</v>
      </c>
      <c r="N4242">
        <v>4680</v>
      </c>
      <c r="O4242">
        <v>107637</v>
      </c>
    </row>
    <row r="4243" spans="1:15" x14ac:dyDescent="0.35">
      <c r="A4243">
        <v>4242</v>
      </c>
      <c r="B4243" s="2" t="s">
        <v>30</v>
      </c>
      <c r="C4243" s="2" t="s">
        <v>11</v>
      </c>
      <c r="D4243">
        <v>34</v>
      </c>
      <c r="E4243" s="2" t="s">
        <v>29</v>
      </c>
      <c r="F4243" s="2" t="s">
        <v>19</v>
      </c>
      <c r="G4243">
        <v>60899</v>
      </c>
      <c r="H4243" s="1">
        <v>44624</v>
      </c>
      <c r="I4243">
        <v>17</v>
      </c>
      <c r="J4243">
        <v>2</v>
      </c>
      <c r="K4243">
        <v>6090</v>
      </c>
      <c r="L4243">
        <v>3045</v>
      </c>
      <c r="M4243">
        <v>63944</v>
      </c>
      <c r="N4243">
        <v>3045</v>
      </c>
      <c r="O4243">
        <v>70034</v>
      </c>
    </row>
    <row r="4244" spans="1:15" x14ac:dyDescent="0.35">
      <c r="A4244">
        <v>4243</v>
      </c>
      <c r="B4244" s="2" t="s">
        <v>22</v>
      </c>
      <c r="C4244" s="2" t="s">
        <v>15</v>
      </c>
      <c r="D4244">
        <v>56</v>
      </c>
      <c r="E4244" s="2" t="s">
        <v>28</v>
      </c>
      <c r="F4244" s="2" t="s">
        <v>13</v>
      </c>
      <c r="G4244">
        <v>50975</v>
      </c>
      <c r="H4244" s="1">
        <v>45095</v>
      </c>
      <c r="I4244">
        <v>9</v>
      </c>
      <c r="J4244">
        <v>5</v>
      </c>
      <c r="K4244">
        <v>5098</v>
      </c>
      <c r="L4244">
        <v>2549</v>
      </c>
      <c r="M4244">
        <v>53524</v>
      </c>
      <c r="N4244">
        <v>2549</v>
      </c>
      <c r="O4244">
        <v>58622</v>
      </c>
    </row>
    <row r="4245" spans="1:15" x14ac:dyDescent="0.35">
      <c r="A4245">
        <v>4244</v>
      </c>
      <c r="B4245" s="2" t="s">
        <v>26</v>
      </c>
      <c r="C4245" s="2" t="s">
        <v>11</v>
      </c>
      <c r="D4245">
        <v>51</v>
      </c>
      <c r="E4245" s="2" t="s">
        <v>12</v>
      </c>
      <c r="F4245" s="2" t="s">
        <v>19</v>
      </c>
      <c r="G4245">
        <v>78142</v>
      </c>
      <c r="H4245" s="1">
        <v>44968</v>
      </c>
      <c r="I4245">
        <v>20</v>
      </c>
      <c r="J4245">
        <v>3</v>
      </c>
      <c r="K4245">
        <v>7814</v>
      </c>
      <c r="L4245">
        <v>3907</v>
      </c>
      <c r="M4245">
        <v>82049</v>
      </c>
      <c r="N4245">
        <v>3907</v>
      </c>
      <c r="O4245">
        <v>89863</v>
      </c>
    </row>
    <row r="4246" spans="1:15" x14ac:dyDescent="0.35">
      <c r="A4246">
        <v>4245</v>
      </c>
      <c r="B4246" s="2" t="s">
        <v>20</v>
      </c>
      <c r="C4246" s="2" t="s">
        <v>11</v>
      </c>
      <c r="D4246">
        <v>32</v>
      </c>
      <c r="E4246" s="2" t="s">
        <v>28</v>
      </c>
      <c r="F4246" s="2" t="s">
        <v>17</v>
      </c>
      <c r="G4246">
        <v>38631</v>
      </c>
      <c r="H4246" s="1">
        <v>44852</v>
      </c>
      <c r="I4246">
        <v>8</v>
      </c>
      <c r="J4246">
        <v>1</v>
      </c>
      <c r="K4246">
        <v>3863</v>
      </c>
      <c r="L4246">
        <v>1932</v>
      </c>
      <c r="M4246">
        <v>40562</v>
      </c>
      <c r="N4246">
        <v>1932</v>
      </c>
      <c r="O4246">
        <v>44426</v>
      </c>
    </row>
    <row r="4247" spans="1:15" x14ac:dyDescent="0.35">
      <c r="A4247">
        <v>4246</v>
      </c>
      <c r="B4247" s="2" t="s">
        <v>23</v>
      </c>
      <c r="C4247" s="2" t="s">
        <v>15</v>
      </c>
      <c r="D4247">
        <v>28</v>
      </c>
      <c r="E4247" s="2" t="s">
        <v>29</v>
      </c>
      <c r="F4247" s="2" t="s">
        <v>25</v>
      </c>
      <c r="G4247">
        <v>31492</v>
      </c>
      <c r="H4247" s="1">
        <v>44989</v>
      </c>
      <c r="I4247">
        <v>15</v>
      </c>
      <c r="J4247">
        <v>1</v>
      </c>
      <c r="K4247">
        <v>3149</v>
      </c>
      <c r="L4247">
        <v>1575</v>
      </c>
      <c r="M4247">
        <v>33066</v>
      </c>
      <c r="N4247">
        <v>1575</v>
      </c>
      <c r="O4247">
        <v>36216</v>
      </c>
    </row>
    <row r="4248" spans="1:15" x14ac:dyDescent="0.35">
      <c r="A4248">
        <v>4247</v>
      </c>
      <c r="B4248" s="2" t="s">
        <v>18</v>
      </c>
      <c r="C4248" s="2" t="s">
        <v>15</v>
      </c>
      <c r="D4248">
        <v>57</v>
      </c>
      <c r="E4248" s="2" t="s">
        <v>24</v>
      </c>
      <c r="F4248" s="2" t="s">
        <v>25</v>
      </c>
      <c r="G4248">
        <v>48152</v>
      </c>
      <c r="H4248" s="1">
        <v>45385</v>
      </c>
      <c r="I4248">
        <v>6</v>
      </c>
      <c r="J4248">
        <v>2</v>
      </c>
      <c r="K4248">
        <v>4815</v>
      </c>
      <c r="L4248">
        <v>2408</v>
      </c>
      <c r="M4248">
        <v>50559</v>
      </c>
      <c r="N4248">
        <v>2408</v>
      </c>
      <c r="O4248">
        <v>55375</v>
      </c>
    </row>
    <row r="4249" spans="1:15" x14ac:dyDescent="0.35">
      <c r="A4249">
        <v>4248</v>
      </c>
      <c r="B4249" s="2" t="s">
        <v>10</v>
      </c>
      <c r="C4249" s="2" t="s">
        <v>11</v>
      </c>
      <c r="D4249">
        <v>58</v>
      </c>
      <c r="E4249" s="2" t="s">
        <v>12</v>
      </c>
      <c r="F4249" s="2" t="s">
        <v>21</v>
      </c>
      <c r="G4249">
        <v>60793</v>
      </c>
      <c r="H4249" s="1">
        <v>44594</v>
      </c>
      <c r="I4249">
        <v>14</v>
      </c>
      <c r="J4249">
        <v>4</v>
      </c>
      <c r="K4249">
        <v>6079</v>
      </c>
      <c r="L4249">
        <v>3040</v>
      </c>
      <c r="M4249">
        <v>63832</v>
      </c>
      <c r="N4249">
        <v>3040</v>
      </c>
      <c r="O4249">
        <v>69912</v>
      </c>
    </row>
    <row r="4250" spans="1:15" x14ac:dyDescent="0.35">
      <c r="A4250">
        <v>4249</v>
      </c>
      <c r="B4250" s="2" t="s">
        <v>23</v>
      </c>
      <c r="C4250" s="2" t="s">
        <v>15</v>
      </c>
      <c r="D4250">
        <v>55</v>
      </c>
      <c r="E4250" s="2" t="s">
        <v>16</v>
      </c>
      <c r="F4250" s="2" t="s">
        <v>25</v>
      </c>
      <c r="G4250">
        <v>68814</v>
      </c>
      <c r="H4250" s="1">
        <v>44941</v>
      </c>
      <c r="I4250">
        <v>9</v>
      </c>
      <c r="J4250">
        <v>1</v>
      </c>
      <c r="K4250">
        <v>6881</v>
      </c>
      <c r="L4250">
        <v>3441</v>
      </c>
      <c r="M4250">
        <v>72254</v>
      </c>
      <c r="N4250">
        <v>3441</v>
      </c>
      <c r="O4250">
        <v>79136</v>
      </c>
    </row>
    <row r="4251" spans="1:15" x14ac:dyDescent="0.35">
      <c r="A4251">
        <v>4250</v>
      </c>
      <c r="B4251" s="2" t="s">
        <v>14</v>
      </c>
      <c r="C4251" s="2" t="s">
        <v>15</v>
      </c>
      <c r="D4251">
        <v>57</v>
      </c>
      <c r="E4251" s="2" t="s">
        <v>16</v>
      </c>
      <c r="F4251" s="2" t="s">
        <v>19</v>
      </c>
      <c r="G4251">
        <v>29736</v>
      </c>
      <c r="H4251" s="1">
        <v>45463</v>
      </c>
      <c r="I4251">
        <v>11</v>
      </c>
      <c r="J4251">
        <v>3</v>
      </c>
      <c r="K4251">
        <v>2974</v>
      </c>
      <c r="L4251">
        <v>1487</v>
      </c>
      <c r="M4251">
        <v>31223</v>
      </c>
      <c r="N4251">
        <v>1487</v>
      </c>
      <c r="O4251">
        <v>34197</v>
      </c>
    </row>
    <row r="4252" spans="1:15" x14ac:dyDescent="0.35">
      <c r="A4252">
        <v>4251</v>
      </c>
      <c r="B4252" s="2" t="s">
        <v>23</v>
      </c>
      <c r="C4252" s="2" t="s">
        <v>11</v>
      </c>
      <c r="D4252">
        <v>57</v>
      </c>
      <c r="E4252" s="2" t="s">
        <v>28</v>
      </c>
      <c r="F4252" s="2" t="s">
        <v>25</v>
      </c>
      <c r="G4252">
        <v>23307</v>
      </c>
      <c r="H4252" s="1">
        <v>44726</v>
      </c>
      <c r="I4252">
        <v>14</v>
      </c>
      <c r="J4252">
        <v>5</v>
      </c>
      <c r="K4252">
        <v>2331</v>
      </c>
      <c r="L4252">
        <v>1165</v>
      </c>
      <c r="M4252">
        <v>24473</v>
      </c>
      <c r="N4252">
        <v>1165</v>
      </c>
      <c r="O4252">
        <v>26803</v>
      </c>
    </row>
    <row r="4253" spans="1:15" x14ac:dyDescent="0.35">
      <c r="A4253">
        <v>4252</v>
      </c>
      <c r="B4253" s="2" t="s">
        <v>20</v>
      </c>
      <c r="C4253" s="2" t="s">
        <v>15</v>
      </c>
      <c r="D4253">
        <v>37</v>
      </c>
      <c r="E4253" s="2" t="s">
        <v>28</v>
      </c>
      <c r="F4253" s="2" t="s">
        <v>17</v>
      </c>
      <c r="G4253">
        <v>81419</v>
      </c>
      <c r="H4253" s="1">
        <v>45507</v>
      </c>
      <c r="I4253">
        <v>8</v>
      </c>
      <c r="J4253">
        <v>2</v>
      </c>
      <c r="K4253">
        <v>8142</v>
      </c>
      <c r="L4253">
        <v>4071</v>
      </c>
      <c r="M4253">
        <v>85490</v>
      </c>
      <c r="N4253">
        <v>4071</v>
      </c>
      <c r="O4253">
        <v>93632</v>
      </c>
    </row>
    <row r="4254" spans="1:15" x14ac:dyDescent="0.35">
      <c r="A4254">
        <v>4253</v>
      </c>
      <c r="B4254" s="2" t="s">
        <v>22</v>
      </c>
      <c r="C4254" s="2" t="s">
        <v>15</v>
      </c>
      <c r="D4254">
        <v>58</v>
      </c>
      <c r="E4254" s="2" t="s">
        <v>24</v>
      </c>
      <c r="F4254" s="2" t="s">
        <v>13</v>
      </c>
      <c r="G4254">
        <v>98112</v>
      </c>
      <c r="H4254" s="1">
        <v>45467</v>
      </c>
      <c r="I4254">
        <v>9</v>
      </c>
      <c r="J4254">
        <v>5</v>
      </c>
      <c r="K4254">
        <v>9811</v>
      </c>
      <c r="L4254">
        <v>4906</v>
      </c>
      <c r="M4254">
        <v>103017</v>
      </c>
      <c r="N4254">
        <v>4906</v>
      </c>
      <c r="O4254">
        <v>112829</v>
      </c>
    </row>
    <row r="4255" spans="1:15" x14ac:dyDescent="0.35">
      <c r="A4255">
        <v>4254</v>
      </c>
      <c r="B4255" s="2" t="s">
        <v>26</v>
      </c>
      <c r="C4255" s="2" t="s">
        <v>15</v>
      </c>
      <c r="D4255">
        <v>33</v>
      </c>
      <c r="E4255" s="2" t="s">
        <v>28</v>
      </c>
      <c r="F4255" s="2" t="s">
        <v>13</v>
      </c>
      <c r="G4255">
        <v>62230</v>
      </c>
      <c r="H4255" s="1">
        <v>45091</v>
      </c>
      <c r="I4255">
        <v>7</v>
      </c>
      <c r="J4255">
        <v>2</v>
      </c>
      <c r="K4255">
        <v>6223</v>
      </c>
      <c r="L4255">
        <v>3112</v>
      </c>
      <c r="M4255">
        <v>65341</v>
      </c>
      <c r="N4255">
        <v>3112</v>
      </c>
      <c r="O4255">
        <v>71565</v>
      </c>
    </row>
    <row r="4256" spans="1:15" x14ac:dyDescent="0.35">
      <c r="A4256">
        <v>4255</v>
      </c>
      <c r="B4256" s="2" t="s">
        <v>22</v>
      </c>
      <c r="C4256" s="2" t="s">
        <v>15</v>
      </c>
      <c r="D4256">
        <v>36</v>
      </c>
      <c r="E4256" s="2" t="s">
        <v>16</v>
      </c>
      <c r="F4256" s="2" t="s">
        <v>21</v>
      </c>
      <c r="G4256">
        <v>54083</v>
      </c>
      <c r="H4256" s="1">
        <v>45464</v>
      </c>
      <c r="I4256">
        <v>2</v>
      </c>
      <c r="J4256">
        <v>1</v>
      </c>
      <c r="K4256">
        <v>5408</v>
      </c>
      <c r="L4256">
        <v>2704</v>
      </c>
      <c r="M4256">
        <v>56787</v>
      </c>
      <c r="N4256">
        <v>0</v>
      </c>
      <c r="O4256">
        <v>59491</v>
      </c>
    </row>
    <row r="4257" spans="1:15" x14ac:dyDescent="0.35">
      <c r="A4257">
        <v>4256</v>
      </c>
      <c r="B4257" s="2" t="s">
        <v>14</v>
      </c>
      <c r="C4257" s="2" t="s">
        <v>11</v>
      </c>
      <c r="D4257">
        <v>46</v>
      </c>
      <c r="E4257" s="2" t="s">
        <v>28</v>
      </c>
      <c r="F4257" s="2" t="s">
        <v>21</v>
      </c>
      <c r="G4257">
        <v>65404</v>
      </c>
      <c r="H4257" s="1">
        <v>45493</v>
      </c>
      <c r="I4257">
        <v>11</v>
      </c>
      <c r="J4257">
        <v>3</v>
      </c>
      <c r="K4257">
        <v>6540</v>
      </c>
      <c r="L4257">
        <v>3270</v>
      </c>
      <c r="M4257">
        <v>68674</v>
      </c>
      <c r="N4257">
        <v>3270</v>
      </c>
      <c r="O4257">
        <v>75214</v>
      </c>
    </row>
    <row r="4258" spans="1:15" x14ac:dyDescent="0.35">
      <c r="A4258">
        <v>4257</v>
      </c>
      <c r="B4258" s="2" t="s">
        <v>30</v>
      </c>
      <c r="C4258" s="2" t="s">
        <v>11</v>
      </c>
      <c r="D4258">
        <v>50</v>
      </c>
      <c r="E4258" s="2" t="s">
        <v>24</v>
      </c>
      <c r="F4258" s="2" t="s">
        <v>17</v>
      </c>
      <c r="G4258">
        <v>69400</v>
      </c>
      <c r="H4258" s="1">
        <v>45028</v>
      </c>
      <c r="I4258">
        <v>20</v>
      </c>
      <c r="J4258">
        <v>3</v>
      </c>
      <c r="K4258">
        <v>6940</v>
      </c>
      <c r="L4258">
        <v>3470</v>
      </c>
      <c r="M4258">
        <v>72870</v>
      </c>
      <c r="N4258">
        <v>3470</v>
      </c>
      <c r="O4258">
        <v>79810</v>
      </c>
    </row>
    <row r="4259" spans="1:15" x14ac:dyDescent="0.35">
      <c r="A4259">
        <v>4258</v>
      </c>
      <c r="B4259" s="2" t="s">
        <v>10</v>
      </c>
      <c r="C4259" s="2" t="s">
        <v>15</v>
      </c>
      <c r="D4259">
        <v>33</v>
      </c>
      <c r="E4259" s="2" t="s">
        <v>28</v>
      </c>
      <c r="F4259" s="2" t="s">
        <v>17</v>
      </c>
      <c r="G4259">
        <v>70038</v>
      </c>
      <c r="H4259" s="1">
        <v>44633</v>
      </c>
      <c r="I4259">
        <v>16</v>
      </c>
      <c r="J4259">
        <v>1</v>
      </c>
      <c r="K4259">
        <v>7004</v>
      </c>
      <c r="L4259">
        <v>3502</v>
      </c>
      <c r="M4259">
        <v>73540</v>
      </c>
      <c r="N4259">
        <v>3502</v>
      </c>
      <c r="O4259">
        <v>80544</v>
      </c>
    </row>
    <row r="4260" spans="1:15" x14ac:dyDescent="0.35">
      <c r="A4260">
        <v>4259</v>
      </c>
      <c r="B4260" s="2" t="s">
        <v>14</v>
      </c>
      <c r="C4260" s="2" t="s">
        <v>15</v>
      </c>
      <c r="D4260">
        <v>24</v>
      </c>
      <c r="E4260" s="2" t="s">
        <v>12</v>
      </c>
      <c r="F4260" s="2" t="s">
        <v>13</v>
      </c>
      <c r="G4260">
        <v>69115</v>
      </c>
      <c r="H4260" s="1">
        <v>45505</v>
      </c>
      <c r="I4260">
        <v>20</v>
      </c>
      <c r="J4260">
        <v>1</v>
      </c>
      <c r="K4260">
        <v>6912</v>
      </c>
      <c r="L4260">
        <v>3456</v>
      </c>
      <c r="M4260">
        <v>72571</v>
      </c>
      <c r="N4260">
        <v>3456</v>
      </c>
      <c r="O4260">
        <v>79483</v>
      </c>
    </row>
    <row r="4261" spans="1:15" x14ac:dyDescent="0.35">
      <c r="A4261">
        <v>4260</v>
      </c>
      <c r="B4261" s="2" t="s">
        <v>26</v>
      </c>
      <c r="C4261" s="2" t="s">
        <v>15</v>
      </c>
      <c r="D4261">
        <v>36</v>
      </c>
      <c r="E4261" s="2" t="s">
        <v>29</v>
      </c>
      <c r="F4261" s="2" t="s">
        <v>19</v>
      </c>
      <c r="G4261">
        <v>75400</v>
      </c>
      <c r="H4261" s="1">
        <v>44642</v>
      </c>
      <c r="I4261">
        <v>7</v>
      </c>
      <c r="J4261">
        <v>4</v>
      </c>
      <c r="K4261">
        <v>7540</v>
      </c>
      <c r="L4261">
        <v>3770</v>
      </c>
      <c r="M4261">
        <v>79170</v>
      </c>
      <c r="N4261">
        <v>3770</v>
      </c>
      <c r="O4261">
        <v>86710</v>
      </c>
    </row>
    <row r="4262" spans="1:15" x14ac:dyDescent="0.35">
      <c r="A4262">
        <v>4261</v>
      </c>
      <c r="B4262" s="2" t="s">
        <v>10</v>
      </c>
      <c r="C4262" s="2" t="s">
        <v>15</v>
      </c>
      <c r="D4262">
        <v>56</v>
      </c>
      <c r="E4262" s="2" t="s">
        <v>28</v>
      </c>
      <c r="F4262" s="2" t="s">
        <v>25</v>
      </c>
      <c r="G4262">
        <v>22716</v>
      </c>
      <c r="H4262" s="1">
        <v>44664</v>
      </c>
      <c r="I4262">
        <v>19</v>
      </c>
      <c r="J4262">
        <v>1</v>
      </c>
      <c r="K4262">
        <v>2272</v>
      </c>
      <c r="L4262">
        <v>1136</v>
      </c>
      <c r="M4262">
        <v>23852</v>
      </c>
      <c r="N4262">
        <v>1136</v>
      </c>
      <c r="O4262">
        <v>26124</v>
      </c>
    </row>
    <row r="4263" spans="1:15" x14ac:dyDescent="0.35">
      <c r="A4263">
        <v>4262</v>
      </c>
      <c r="B4263" s="2" t="s">
        <v>27</v>
      </c>
      <c r="C4263" s="2" t="s">
        <v>15</v>
      </c>
      <c r="D4263">
        <v>49</v>
      </c>
      <c r="E4263" s="2" t="s">
        <v>16</v>
      </c>
      <c r="F4263" s="2" t="s">
        <v>13</v>
      </c>
      <c r="G4263">
        <v>30122</v>
      </c>
      <c r="H4263" s="1">
        <v>45079</v>
      </c>
      <c r="I4263">
        <v>9</v>
      </c>
      <c r="J4263">
        <v>5</v>
      </c>
      <c r="K4263">
        <v>3012</v>
      </c>
      <c r="L4263">
        <v>1506</v>
      </c>
      <c r="M4263">
        <v>31628</v>
      </c>
      <c r="N4263">
        <v>1506</v>
      </c>
      <c r="O4263">
        <v>34640</v>
      </c>
    </row>
    <row r="4264" spans="1:15" x14ac:dyDescent="0.35">
      <c r="A4264">
        <v>4263</v>
      </c>
      <c r="B4264" s="2" t="s">
        <v>27</v>
      </c>
      <c r="C4264" s="2" t="s">
        <v>11</v>
      </c>
      <c r="D4264">
        <v>33</v>
      </c>
      <c r="E4264" s="2" t="s">
        <v>24</v>
      </c>
      <c r="F4264" s="2" t="s">
        <v>13</v>
      </c>
      <c r="G4264">
        <v>69454</v>
      </c>
      <c r="H4264" s="1">
        <v>44801</v>
      </c>
      <c r="I4264">
        <v>2</v>
      </c>
      <c r="J4264">
        <v>4</v>
      </c>
      <c r="K4264">
        <v>6945</v>
      </c>
      <c r="L4264">
        <v>3473</v>
      </c>
      <c r="M4264">
        <v>72926</v>
      </c>
      <c r="N4264">
        <v>0</v>
      </c>
      <c r="O4264">
        <v>76399</v>
      </c>
    </row>
    <row r="4265" spans="1:15" x14ac:dyDescent="0.35">
      <c r="A4265">
        <v>4264</v>
      </c>
      <c r="B4265" s="2" t="s">
        <v>30</v>
      </c>
      <c r="C4265" s="2" t="s">
        <v>11</v>
      </c>
      <c r="D4265">
        <v>49</v>
      </c>
      <c r="E4265" s="2" t="s">
        <v>24</v>
      </c>
      <c r="F4265" s="2" t="s">
        <v>25</v>
      </c>
      <c r="G4265">
        <v>50839</v>
      </c>
      <c r="H4265" s="1">
        <v>44745</v>
      </c>
      <c r="I4265">
        <v>10</v>
      </c>
      <c r="J4265">
        <v>5</v>
      </c>
      <c r="K4265">
        <v>5084</v>
      </c>
      <c r="L4265">
        <v>2542</v>
      </c>
      <c r="M4265">
        <v>53381</v>
      </c>
      <c r="N4265">
        <v>2542</v>
      </c>
      <c r="O4265">
        <v>58465</v>
      </c>
    </row>
    <row r="4266" spans="1:15" x14ac:dyDescent="0.35">
      <c r="A4266">
        <v>4265</v>
      </c>
      <c r="B4266" s="2" t="s">
        <v>18</v>
      </c>
      <c r="C4266" s="2" t="s">
        <v>11</v>
      </c>
      <c r="D4266">
        <v>23</v>
      </c>
      <c r="E4266" s="2" t="s">
        <v>12</v>
      </c>
      <c r="F4266" s="2" t="s">
        <v>25</v>
      </c>
      <c r="G4266">
        <v>41876</v>
      </c>
      <c r="H4266" s="1">
        <v>45047</v>
      </c>
      <c r="I4266">
        <v>7</v>
      </c>
      <c r="J4266">
        <v>2</v>
      </c>
      <c r="K4266">
        <v>4188</v>
      </c>
      <c r="L4266">
        <v>2094</v>
      </c>
      <c r="M4266">
        <v>43970</v>
      </c>
      <c r="N4266">
        <v>2094</v>
      </c>
      <c r="O4266">
        <v>48158</v>
      </c>
    </row>
    <row r="4267" spans="1:15" x14ac:dyDescent="0.35">
      <c r="A4267">
        <v>4266</v>
      </c>
      <c r="B4267" s="2" t="s">
        <v>26</v>
      </c>
      <c r="C4267" s="2" t="s">
        <v>15</v>
      </c>
      <c r="D4267">
        <v>43</v>
      </c>
      <c r="E4267" s="2" t="s">
        <v>16</v>
      </c>
      <c r="F4267" s="2" t="s">
        <v>19</v>
      </c>
      <c r="G4267">
        <v>74454</v>
      </c>
      <c r="H4267" s="1">
        <v>44709</v>
      </c>
      <c r="I4267">
        <v>14</v>
      </c>
      <c r="J4267">
        <v>4</v>
      </c>
      <c r="K4267">
        <v>7445</v>
      </c>
      <c r="L4267">
        <v>3723</v>
      </c>
      <c r="M4267">
        <v>78176</v>
      </c>
      <c r="N4267">
        <v>3723</v>
      </c>
      <c r="O4267">
        <v>85622</v>
      </c>
    </row>
    <row r="4268" spans="1:15" x14ac:dyDescent="0.35">
      <c r="A4268">
        <v>4267</v>
      </c>
      <c r="B4268" s="2" t="s">
        <v>22</v>
      </c>
      <c r="C4268" s="2" t="s">
        <v>15</v>
      </c>
      <c r="D4268">
        <v>42</v>
      </c>
      <c r="E4268" s="2" t="s">
        <v>29</v>
      </c>
      <c r="F4268" s="2" t="s">
        <v>19</v>
      </c>
      <c r="G4268">
        <v>93448</v>
      </c>
      <c r="H4268" s="1">
        <v>44737</v>
      </c>
      <c r="I4268">
        <v>16</v>
      </c>
      <c r="J4268">
        <v>5</v>
      </c>
      <c r="K4268">
        <v>9345</v>
      </c>
      <c r="L4268">
        <v>4672</v>
      </c>
      <c r="M4268">
        <v>98121</v>
      </c>
      <c r="N4268">
        <v>4672</v>
      </c>
      <c r="O4268">
        <v>107465</v>
      </c>
    </row>
    <row r="4269" spans="1:15" x14ac:dyDescent="0.35">
      <c r="A4269">
        <v>4268</v>
      </c>
      <c r="B4269" s="2" t="s">
        <v>10</v>
      </c>
      <c r="C4269" s="2" t="s">
        <v>11</v>
      </c>
      <c r="D4269">
        <v>34</v>
      </c>
      <c r="E4269" s="2" t="s">
        <v>29</v>
      </c>
      <c r="F4269" s="2" t="s">
        <v>21</v>
      </c>
      <c r="G4269">
        <v>20639</v>
      </c>
      <c r="H4269" s="1">
        <v>44608</v>
      </c>
      <c r="I4269">
        <v>11</v>
      </c>
      <c r="J4269">
        <v>3</v>
      </c>
      <c r="K4269">
        <v>2064</v>
      </c>
      <c r="L4269">
        <v>1032</v>
      </c>
      <c r="M4269">
        <v>21671</v>
      </c>
      <c r="N4269">
        <v>1032</v>
      </c>
      <c r="O4269">
        <v>23735</v>
      </c>
    </row>
    <row r="4270" spans="1:15" x14ac:dyDescent="0.35">
      <c r="A4270">
        <v>4269</v>
      </c>
      <c r="B4270" s="2" t="s">
        <v>22</v>
      </c>
      <c r="C4270" s="2" t="s">
        <v>11</v>
      </c>
      <c r="D4270">
        <v>30</v>
      </c>
      <c r="E4270" s="2" t="s">
        <v>16</v>
      </c>
      <c r="F4270" s="2" t="s">
        <v>17</v>
      </c>
      <c r="G4270">
        <v>28586</v>
      </c>
      <c r="H4270" s="1">
        <v>45240</v>
      </c>
      <c r="I4270">
        <v>19</v>
      </c>
      <c r="J4270">
        <v>3</v>
      </c>
      <c r="K4270">
        <v>2859</v>
      </c>
      <c r="L4270">
        <v>1429</v>
      </c>
      <c r="M4270">
        <v>30016</v>
      </c>
      <c r="N4270">
        <v>1429</v>
      </c>
      <c r="O4270">
        <v>32874</v>
      </c>
    </row>
    <row r="4271" spans="1:15" x14ac:dyDescent="0.35">
      <c r="A4271">
        <v>4270</v>
      </c>
      <c r="B4271" s="2" t="s">
        <v>10</v>
      </c>
      <c r="C4271" s="2" t="s">
        <v>15</v>
      </c>
      <c r="D4271">
        <v>56</v>
      </c>
      <c r="E4271" s="2" t="s">
        <v>29</v>
      </c>
      <c r="F4271" s="2" t="s">
        <v>19</v>
      </c>
      <c r="G4271">
        <v>98322</v>
      </c>
      <c r="H4271" s="1">
        <v>45203</v>
      </c>
      <c r="I4271">
        <v>8</v>
      </c>
      <c r="J4271">
        <v>4</v>
      </c>
      <c r="K4271">
        <v>9832</v>
      </c>
      <c r="L4271">
        <v>4916</v>
      </c>
      <c r="M4271">
        <v>103238</v>
      </c>
      <c r="N4271">
        <v>4916</v>
      </c>
      <c r="O4271">
        <v>113070</v>
      </c>
    </row>
    <row r="4272" spans="1:15" x14ac:dyDescent="0.35">
      <c r="A4272">
        <v>4271</v>
      </c>
      <c r="B4272" s="2" t="s">
        <v>14</v>
      </c>
      <c r="C4272" s="2" t="s">
        <v>11</v>
      </c>
      <c r="D4272">
        <v>30</v>
      </c>
      <c r="E4272" s="2" t="s">
        <v>28</v>
      </c>
      <c r="F4272" s="2" t="s">
        <v>17</v>
      </c>
      <c r="G4272">
        <v>39018</v>
      </c>
      <c r="H4272" s="1">
        <v>45364</v>
      </c>
      <c r="I4272">
        <v>9</v>
      </c>
      <c r="J4272">
        <v>1</v>
      </c>
      <c r="K4272">
        <v>3902</v>
      </c>
      <c r="L4272">
        <v>1951</v>
      </c>
      <c r="M4272">
        <v>40969</v>
      </c>
      <c r="N4272">
        <v>1951</v>
      </c>
      <c r="O4272">
        <v>44871</v>
      </c>
    </row>
    <row r="4273" spans="1:15" x14ac:dyDescent="0.35">
      <c r="A4273">
        <v>4272</v>
      </c>
      <c r="B4273" s="2" t="s">
        <v>22</v>
      </c>
      <c r="C4273" s="2" t="s">
        <v>15</v>
      </c>
      <c r="D4273">
        <v>23</v>
      </c>
      <c r="E4273" s="2" t="s">
        <v>28</v>
      </c>
      <c r="F4273" s="2" t="s">
        <v>13</v>
      </c>
      <c r="G4273">
        <v>86053</v>
      </c>
      <c r="H4273" s="1">
        <v>44999</v>
      </c>
      <c r="I4273">
        <v>16</v>
      </c>
      <c r="J4273">
        <v>3</v>
      </c>
      <c r="K4273">
        <v>8605</v>
      </c>
      <c r="L4273">
        <v>4303</v>
      </c>
      <c r="M4273">
        <v>90355</v>
      </c>
      <c r="N4273">
        <v>4303</v>
      </c>
      <c r="O4273">
        <v>98961</v>
      </c>
    </row>
    <row r="4274" spans="1:15" x14ac:dyDescent="0.35">
      <c r="A4274">
        <v>4273</v>
      </c>
      <c r="B4274" s="2" t="s">
        <v>10</v>
      </c>
      <c r="C4274" s="2" t="s">
        <v>15</v>
      </c>
      <c r="D4274">
        <v>25</v>
      </c>
      <c r="E4274" s="2" t="s">
        <v>12</v>
      </c>
      <c r="F4274" s="2" t="s">
        <v>21</v>
      </c>
      <c r="G4274">
        <v>95686</v>
      </c>
      <c r="H4274" s="1">
        <v>44635</v>
      </c>
      <c r="I4274">
        <v>14</v>
      </c>
      <c r="J4274">
        <v>1</v>
      </c>
      <c r="K4274">
        <v>9569</v>
      </c>
      <c r="L4274">
        <v>4784</v>
      </c>
      <c r="M4274">
        <v>100471</v>
      </c>
      <c r="N4274">
        <v>4784</v>
      </c>
      <c r="O4274">
        <v>110039</v>
      </c>
    </row>
    <row r="4275" spans="1:15" x14ac:dyDescent="0.35">
      <c r="A4275">
        <v>4274</v>
      </c>
      <c r="B4275" s="2" t="s">
        <v>23</v>
      </c>
      <c r="C4275" s="2" t="s">
        <v>15</v>
      </c>
      <c r="D4275">
        <v>59</v>
      </c>
      <c r="E4275" s="2" t="s">
        <v>16</v>
      </c>
      <c r="F4275" s="2" t="s">
        <v>25</v>
      </c>
      <c r="G4275">
        <v>23760</v>
      </c>
      <c r="H4275" s="1">
        <v>44888</v>
      </c>
      <c r="I4275">
        <v>12</v>
      </c>
      <c r="J4275">
        <v>4</v>
      </c>
      <c r="K4275">
        <v>2376</v>
      </c>
      <c r="L4275">
        <v>1188</v>
      </c>
      <c r="M4275">
        <v>24948</v>
      </c>
      <c r="N4275">
        <v>1188</v>
      </c>
      <c r="O4275">
        <v>27324</v>
      </c>
    </row>
    <row r="4276" spans="1:15" x14ac:dyDescent="0.35">
      <c r="A4276">
        <v>4275</v>
      </c>
      <c r="B4276" s="2" t="s">
        <v>27</v>
      </c>
      <c r="C4276" s="2" t="s">
        <v>11</v>
      </c>
      <c r="D4276">
        <v>52</v>
      </c>
      <c r="E4276" s="2" t="s">
        <v>12</v>
      </c>
      <c r="F4276" s="2" t="s">
        <v>13</v>
      </c>
      <c r="G4276">
        <v>51456</v>
      </c>
      <c r="H4276" s="1">
        <v>45145</v>
      </c>
      <c r="I4276">
        <v>2</v>
      </c>
      <c r="J4276">
        <v>2</v>
      </c>
      <c r="K4276">
        <v>5146</v>
      </c>
      <c r="L4276">
        <v>2573</v>
      </c>
      <c r="M4276">
        <v>54029</v>
      </c>
      <c r="N4276">
        <v>0</v>
      </c>
      <c r="O4276">
        <v>56602</v>
      </c>
    </row>
    <row r="4277" spans="1:15" x14ac:dyDescent="0.35">
      <c r="A4277">
        <v>4276</v>
      </c>
      <c r="B4277" s="2" t="s">
        <v>31</v>
      </c>
      <c r="C4277" s="2" t="s">
        <v>15</v>
      </c>
      <c r="D4277">
        <v>27</v>
      </c>
      <c r="E4277" s="2" t="s">
        <v>28</v>
      </c>
      <c r="F4277" s="2" t="s">
        <v>13</v>
      </c>
      <c r="G4277">
        <v>92818</v>
      </c>
      <c r="H4277" s="1">
        <v>45268</v>
      </c>
      <c r="I4277">
        <v>6</v>
      </c>
      <c r="J4277">
        <v>4</v>
      </c>
      <c r="K4277">
        <v>9282</v>
      </c>
      <c r="L4277">
        <v>4641</v>
      </c>
      <c r="M4277">
        <v>97459</v>
      </c>
      <c r="N4277">
        <v>4641</v>
      </c>
      <c r="O4277">
        <v>106741</v>
      </c>
    </row>
    <row r="4278" spans="1:15" x14ac:dyDescent="0.35">
      <c r="A4278">
        <v>4277</v>
      </c>
      <c r="B4278" s="2" t="s">
        <v>18</v>
      </c>
      <c r="C4278" s="2" t="s">
        <v>11</v>
      </c>
      <c r="D4278">
        <v>32</v>
      </c>
      <c r="E4278" s="2" t="s">
        <v>12</v>
      </c>
      <c r="F4278" s="2" t="s">
        <v>21</v>
      </c>
      <c r="G4278">
        <v>33312</v>
      </c>
      <c r="H4278" s="1">
        <v>44666</v>
      </c>
      <c r="I4278">
        <v>9</v>
      </c>
      <c r="J4278">
        <v>5</v>
      </c>
      <c r="K4278">
        <v>3331</v>
      </c>
      <c r="L4278">
        <v>1666</v>
      </c>
      <c r="M4278">
        <v>34977</v>
      </c>
      <c r="N4278">
        <v>1666</v>
      </c>
      <c r="O4278">
        <v>38309</v>
      </c>
    </row>
    <row r="4279" spans="1:15" x14ac:dyDescent="0.35">
      <c r="A4279">
        <v>4278</v>
      </c>
      <c r="B4279" s="2" t="s">
        <v>30</v>
      </c>
      <c r="C4279" s="2" t="s">
        <v>15</v>
      </c>
      <c r="D4279">
        <v>45</v>
      </c>
      <c r="E4279" s="2" t="s">
        <v>28</v>
      </c>
      <c r="F4279" s="2" t="s">
        <v>19</v>
      </c>
      <c r="G4279">
        <v>37626</v>
      </c>
      <c r="H4279" s="1">
        <v>45394</v>
      </c>
      <c r="I4279">
        <v>8</v>
      </c>
      <c r="J4279">
        <v>5</v>
      </c>
      <c r="K4279">
        <v>3763</v>
      </c>
      <c r="L4279">
        <v>1881</v>
      </c>
      <c r="M4279">
        <v>39508</v>
      </c>
      <c r="N4279">
        <v>1881</v>
      </c>
      <c r="O4279">
        <v>43270</v>
      </c>
    </row>
    <row r="4280" spans="1:15" x14ac:dyDescent="0.35">
      <c r="A4280">
        <v>4279</v>
      </c>
      <c r="B4280" s="2" t="s">
        <v>23</v>
      </c>
      <c r="C4280" s="2" t="s">
        <v>15</v>
      </c>
      <c r="D4280">
        <v>47</v>
      </c>
      <c r="E4280" s="2" t="s">
        <v>24</v>
      </c>
      <c r="F4280" s="2" t="s">
        <v>19</v>
      </c>
      <c r="G4280">
        <v>86185</v>
      </c>
      <c r="H4280" s="1">
        <v>45068</v>
      </c>
      <c r="I4280">
        <v>3</v>
      </c>
      <c r="J4280">
        <v>4</v>
      </c>
      <c r="K4280">
        <v>8618</v>
      </c>
      <c r="L4280">
        <v>4309</v>
      </c>
      <c r="M4280">
        <v>90494</v>
      </c>
      <c r="N4280">
        <v>0</v>
      </c>
      <c r="O4280">
        <v>94803</v>
      </c>
    </row>
    <row r="4281" spans="1:15" x14ac:dyDescent="0.35">
      <c r="A4281">
        <v>4280</v>
      </c>
      <c r="B4281" s="2" t="s">
        <v>30</v>
      </c>
      <c r="C4281" s="2" t="s">
        <v>15</v>
      </c>
      <c r="D4281">
        <v>52</v>
      </c>
      <c r="E4281" s="2" t="s">
        <v>28</v>
      </c>
      <c r="F4281" s="2" t="s">
        <v>13</v>
      </c>
      <c r="G4281">
        <v>41582</v>
      </c>
      <c r="H4281" s="1">
        <v>44901</v>
      </c>
      <c r="I4281">
        <v>13</v>
      </c>
      <c r="J4281">
        <v>4</v>
      </c>
      <c r="K4281">
        <v>4158</v>
      </c>
      <c r="L4281">
        <v>2079</v>
      </c>
      <c r="M4281">
        <v>43661</v>
      </c>
      <c r="N4281">
        <v>2079</v>
      </c>
      <c r="O4281">
        <v>47819</v>
      </c>
    </row>
    <row r="4282" spans="1:15" x14ac:dyDescent="0.35">
      <c r="A4282">
        <v>4281</v>
      </c>
      <c r="B4282" s="2" t="s">
        <v>20</v>
      </c>
      <c r="C4282" s="2" t="s">
        <v>11</v>
      </c>
      <c r="D4282">
        <v>42</v>
      </c>
      <c r="E4282" s="2" t="s">
        <v>24</v>
      </c>
      <c r="F4282" s="2" t="s">
        <v>19</v>
      </c>
      <c r="G4282">
        <v>22722</v>
      </c>
      <c r="H4282" s="1">
        <v>45044</v>
      </c>
      <c r="I4282">
        <v>1</v>
      </c>
      <c r="J4282">
        <v>3</v>
      </c>
      <c r="K4282">
        <v>2272</v>
      </c>
      <c r="L4282">
        <v>1136</v>
      </c>
      <c r="M4282">
        <v>23858</v>
      </c>
      <c r="N4282">
        <v>0</v>
      </c>
      <c r="O4282">
        <v>24994</v>
      </c>
    </row>
    <row r="4283" spans="1:15" x14ac:dyDescent="0.35">
      <c r="A4283">
        <v>4282</v>
      </c>
      <c r="B4283" s="2" t="s">
        <v>30</v>
      </c>
      <c r="C4283" s="2" t="s">
        <v>15</v>
      </c>
      <c r="D4283">
        <v>41</v>
      </c>
      <c r="E4283" s="2" t="s">
        <v>12</v>
      </c>
      <c r="F4283" s="2" t="s">
        <v>21</v>
      </c>
      <c r="G4283">
        <v>85551</v>
      </c>
      <c r="H4283" s="1">
        <v>44768</v>
      </c>
      <c r="I4283">
        <v>3</v>
      </c>
      <c r="J4283">
        <v>3</v>
      </c>
      <c r="K4283">
        <v>8555</v>
      </c>
      <c r="L4283">
        <v>4278</v>
      </c>
      <c r="M4283">
        <v>89828</v>
      </c>
      <c r="N4283">
        <v>0</v>
      </c>
      <c r="O4283">
        <v>94106</v>
      </c>
    </row>
    <row r="4284" spans="1:15" x14ac:dyDescent="0.35">
      <c r="A4284">
        <v>4283</v>
      </c>
      <c r="B4284" s="2" t="s">
        <v>30</v>
      </c>
      <c r="C4284" s="2" t="s">
        <v>15</v>
      </c>
      <c r="D4284">
        <v>55</v>
      </c>
      <c r="E4284" s="2" t="s">
        <v>16</v>
      </c>
      <c r="F4284" s="2" t="s">
        <v>25</v>
      </c>
      <c r="G4284">
        <v>98731</v>
      </c>
      <c r="H4284" s="1">
        <v>45169</v>
      </c>
      <c r="I4284">
        <v>11</v>
      </c>
      <c r="J4284">
        <v>2</v>
      </c>
      <c r="K4284">
        <v>9873</v>
      </c>
      <c r="L4284">
        <v>4937</v>
      </c>
      <c r="M4284">
        <v>103667</v>
      </c>
      <c r="N4284">
        <v>4937</v>
      </c>
      <c r="O4284">
        <v>113541</v>
      </c>
    </row>
    <row r="4285" spans="1:15" x14ac:dyDescent="0.35">
      <c r="A4285">
        <v>4284</v>
      </c>
      <c r="B4285" s="2" t="s">
        <v>22</v>
      </c>
      <c r="C4285" s="2" t="s">
        <v>15</v>
      </c>
      <c r="D4285">
        <v>29</v>
      </c>
      <c r="E4285" s="2" t="s">
        <v>16</v>
      </c>
      <c r="F4285" s="2" t="s">
        <v>19</v>
      </c>
      <c r="G4285">
        <v>72044</v>
      </c>
      <c r="H4285" s="1">
        <v>44918</v>
      </c>
      <c r="I4285">
        <v>10</v>
      </c>
      <c r="J4285">
        <v>1</v>
      </c>
      <c r="K4285">
        <v>7204</v>
      </c>
      <c r="L4285">
        <v>3602</v>
      </c>
      <c r="M4285">
        <v>75646</v>
      </c>
      <c r="N4285">
        <v>3602</v>
      </c>
      <c r="O4285">
        <v>82850</v>
      </c>
    </row>
    <row r="4286" spans="1:15" x14ac:dyDescent="0.35">
      <c r="A4286">
        <v>4285</v>
      </c>
      <c r="B4286" s="2" t="s">
        <v>18</v>
      </c>
      <c r="C4286" s="2" t="s">
        <v>11</v>
      </c>
      <c r="D4286">
        <v>28</v>
      </c>
      <c r="E4286" s="2" t="s">
        <v>29</v>
      </c>
      <c r="F4286" s="2" t="s">
        <v>21</v>
      </c>
      <c r="G4286">
        <v>43791</v>
      </c>
      <c r="H4286" s="1">
        <v>45440</v>
      </c>
      <c r="I4286">
        <v>14</v>
      </c>
      <c r="J4286">
        <v>5</v>
      </c>
      <c r="K4286">
        <v>4379</v>
      </c>
      <c r="L4286">
        <v>2190</v>
      </c>
      <c r="M4286">
        <v>45980</v>
      </c>
      <c r="N4286">
        <v>2190</v>
      </c>
      <c r="O4286">
        <v>50360</v>
      </c>
    </row>
    <row r="4287" spans="1:15" x14ac:dyDescent="0.35">
      <c r="A4287">
        <v>4286</v>
      </c>
      <c r="B4287" s="2" t="s">
        <v>31</v>
      </c>
      <c r="C4287" s="2" t="s">
        <v>11</v>
      </c>
      <c r="D4287">
        <v>57</v>
      </c>
      <c r="E4287" s="2" t="s">
        <v>16</v>
      </c>
      <c r="F4287" s="2" t="s">
        <v>25</v>
      </c>
      <c r="G4287">
        <v>59696</v>
      </c>
      <c r="H4287" s="1">
        <v>44749</v>
      </c>
      <c r="I4287">
        <v>5</v>
      </c>
      <c r="J4287">
        <v>4</v>
      </c>
      <c r="K4287">
        <v>5970</v>
      </c>
      <c r="L4287">
        <v>2985</v>
      </c>
      <c r="M4287">
        <v>62681</v>
      </c>
      <c r="N4287">
        <v>0</v>
      </c>
      <c r="O4287">
        <v>65666</v>
      </c>
    </row>
    <row r="4288" spans="1:15" x14ac:dyDescent="0.35">
      <c r="A4288">
        <v>4287</v>
      </c>
      <c r="B4288" s="2" t="s">
        <v>31</v>
      </c>
      <c r="C4288" s="2" t="s">
        <v>11</v>
      </c>
      <c r="D4288">
        <v>28</v>
      </c>
      <c r="E4288" s="2" t="s">
        <v>12</v>
      </c>
      <c r="F4288" s="2" t="s">
        <v>19</v>
      </c>
      <c r="G4288">
        <v>89322</v>
      </c>
      <c r="H4288" s="1">
        <v>44588</v>
      </c>
      <c r="I4288">
        <v>12</v>
      </c>
      <c r="J4288">
        <v>3</v>
      </c>
      <c r="K4288">
        <v>8932</v>
      </c>
      <c r="L4288">
        <v>4466</v>
      </c>
      <c r="M4288">
        <v>93788</v>
      </c>
      <c r="N4288">
        <v>4466</v>
      </c>
      <c r="O4288">
        <v>102720</v>
      </c>
    </row>
    <row r="4289" spans="1:15" x14ac:dyDescent="0.35">
      <c r="A4289">
        <v>4288</v>
      </c>
      <c r="B4289" s="2" t="s">
        <v>23</v>
      </c>
      <c r="C4289" s="2" t="s">
        <v>11</v>
      </c>
      <c r="D4289">
        <v>47</v>
      </c>
      <c r="E4289" s="2" t="s">
        <v>12</v>
      </c>
      <c r="F4289" s="2" t="s">
        <v>19</v>
      </c>
      <c r="G4289">
        <v>87746</v>
      </c>
      <c r="H4289" s="1">
        <v>44918</v>
      </c>
      <c r="I4289">
        <v>17</v>
      </c>
      <c r="J4289">
        <v>5</v>
      </c>
      <c r="K4289">
        <v>8775</v>
      </c>
      <c r="L4289">
        <v>4387</v>
      </c>
      <c r="M4289">
        <v>92134</v>
      </c>
      <c r="N4289">
        <v>4387</v>
      </c>
      <c r="O4289">
        <v>100908</v>
      </c>
    </row>
    <row r="4290" spans="1:15" x14ac:dyDescent="0.35">
      <c r="A4290">
        <v>4289</v>
      </c>
      <c r="B4290" s="2" t="s">
        <v>26</v>
      </c>
      <c r="C4290" s="2" t="s">
        <v>11</v>
      </c>
      <c r="D4290">
        <v>59</v>
      </c>
      <c r="E4290" s="2" t="s">
        <v>16</v>
      </c>
      <c r="F4290" s="2" t="s">
        <v>21</v>
      </c>
      <c r="G4290">
        <v>96223</v>
      </c>
      <c r="H4290" s="1">
        <v>45157</v>
      </c>
      <c r="I4290">
        <v>7</v>
      </c>
      <c r="J4290">
        <v>5</v>
      </c>
      <c r="K4290">
        <v>9622</v>
      </c>
      <c r="L4290">
        <v>4811</v>
      </c>
      <c r="M4290">
        <v>101034</v>
      </c>
      <c r="N4290">
        <v>4811</v>
      </c>
      <c r="O4290">
        <v>110656</v>
      </c>
    </row>
    <row r="4291" spans="1:15" x14ac:dyDescent="0.35">
      <c r="A4291">
        <v>4290</v>
      </c>
      <c r="B4291" s="2" t="s">
        <v>30</v>
      </c>
      <c r="C4291" s="2" t="s">
        <v>11</v>
      </c>
      <c r="D4291">
        <v>50</v>
      </c>
      <c r="E4291" s="2" t="s">
        <v>12</v>
      </c>
      <c r="F4291" s="2" t="s">
        <v>25</v>
      </c>
      <c r="G4291">
        <v>24497</v>
      </c>
      <c r="H4291" s="1">
        <v>44582</v>
      </c>
      <c r="I4291">
        <v>10</v>
      </c>
      <c r="J4291">
        <v>5</v>
      </c>
      <c r="K4291">
        <v>2450</v>
      </c>
      <c r="L4291">
        <v>1225</v>
      </c>
      <c r="M4291">
        <v>25722</v>
      </c>
      <c r="N4291">
        <v>1225</v>
      </c>
      <c r="O4291">
        <v>28172</v>
      </c>
    </row>
    <row r="4292" spans="1:15" x14ac:dyDescent="0.35">
      <c r="A4292">
        <v>4291</v>
      </c>
      <c r="B4292" s="2" t="s">
        <v>30</v>
      </c>
      <c r="C4292" s="2" t="s">
        <v>15</v>
      </c>
      <c r="D4292">
        <v>52</v>
      </c>
      <c r="E4292" s="2" t="s">
        <v>16</v>
      </c>
      <c r="F4292" s="2" t="s">
        <v>17</v>
      </c>
      <c r="G4292">
        <v>42477</v>
      </c>
      <c r="H4292" s="1">
        <v>44694</v>
      </c>
      <c r="I4292">
        <v>12</v>
      </c>
      <c r="J4292">
        <v>4</v>
      </c>
      <c r="K4292">
        <v>4248</v>
      </c>
      <c r="L4292">
        <v>2124</v>
      </c>
      <c r="M4292">
        <v>44601</v>
      </c>
      <c r="N4292">
        <v>2124</v>
      </c>
      <c r="O4292">
        <v>48849</v>
      </c>
    </row>
    <row r="4293" spans="1:15" x14ac:dyDescent="0.35">
      <c r="A4293">
        <v>4292</v>
      </c>
      <c r="B4293" s="2" t="s">
        <v>31</v>
      </c>
      <c r="C4293" s="2" t="s">
        <v>15</v>
      </c>
      <c r="D4293">
        <v>35</v>
      </c>
      <c r="E4293" s="2" t="s">
        <v>28</v>
      </c>
      <c r="F4293" s="2" t="s">
        <v>25</v>
      </c>
      <c r="G4293">
        <v>94699</v>
      </c>
      <c r="H4293" s="1">
        <v>44754</v>
      </c>
      <c r="I4293">
        <v>5</v>
      </c>
      <c r="J4293">
        <v>3</v>
      </c>
      <c r="K4293">
        <v>9470</v>
      </c>
      <c r="L4293">
        <v>4735</v>
      </c>
      <c r="M4293">
        <v>99434</v>
      </c>
      <c r="N4293">
        <v>0</v>
      </c>
      <c r="O4293">
        <v>104169</v>
      </c>
    </row>
    <row r="4294" spans="1:15" x14ac:dyDescent="0.35">
      <c r="A4294">
        <v>4293</v>
      </c>
      <c r="B4294" s="2" t="s">
        <v>26</v>
      </c>
      <c r="C4294" s="2" t="s">
        <v>15</v>
      </c>
      <c r="D4294">
        <v>37</v>
      </c>
      <c r="E4294" s="2" t="s">
        <v>24</v>
      </c>
      <c r="F4294" s="2" t="s">
        <v>21</v>
      </c>
      <c r="G4294">
        <v>94570</v>
      </c>
      <c r="H4294" s="1">
        <v>45463</v>
      </c>
      <c r="I4294">
        <v>5</v>
      </c>
      <c r="J4294">
        <v>4</v>
      </c>
      <c r="K4294">
        <v>9457</v>
      </c>
      <c r="L4294">
        <v>4728</v>
      </c>
      <c r="M4294">
        <v>99299</v>
      </c>
      <c r="N4294">
        <v>0</v>
      </c>
      <c r="O4294">
        <v>104027</v>
      </c>
    </row>
    <row r="4295" spans="1:15" x14ac:dyDescent="0.35">
      <c r="A4295">
        <v>4294</v>
      </c>
      <c r="B4295" s="2" t="s">
        <v>23</v>
      </c>
      <c r="C4295" s="2" t="s">
        <v>15</v>
      </c>
      <c r="D4295">
        <v>37</v>
      </c>
      <c r="E4295" s="2" t="s">
        <v>12</v>
      </c>
      <c r="F4295" s="2" t="s">
        <v>17</v>
      </c>
      <c r="G4295">
        <v>73969</v>
      </c>
      <c r="H4295" s="1">
        <v>44977</v>
      </c>
      <c r="I4295">
        <v>11</v>
      </c>
      <c r="J4295">
        <v>4</v>
      </c>
      <c r="K4295">
        <v>7397</v>
      </c>
      <c r="L4295">
        <v>3698</v>
      </c>
      <c r="M4295">
        <v>77668</v>
      </c>
      <c r="N4295">
        <v>3698</v>
      </c>
      <c r="O4295">
        <v>85064</v>
      </c>
    </row>
    <row r="4296" spans="1:15" x14ac:dyDescent="0.35">
      <c r="A4296">
        <v>4295</v>
      </c>
      <c r="B4296" s="2" t="s">
        <v>14</v>
      </c>
      <c r="C4296" s="2" t="s">
        <v>15</v>
      </c>
      <c r="D4296">
        <v>22</v>
      </c>
      <c r="E4296" s="2" t="s">
        <v>29</v>
      </c>
      <c r="F4296" s="2" t="s">
        <v>19</v>
      </c>
      <c r="G4296">
        <v>21162</v>
      </c>
      <c r="H4296" s="1">
        <v>44954</v>
      </c>
      <c r="I4296">
        <v>4</v>
      </c>
      <c r="J4296">
        <v>5</v>
      </c>
      <c r="K4296">
        <v>2116</v>
      </c>
      <c r="L4296">
        <v>1058</v>
      </c>
      <c r="M4296">
        <v>22220</v>
      </c>
      <c r="N4296">
        <v>0</v>
      </c>
      <c r="O4296">
        <v>23278</v>
      </c>
    </row>
    <row r="4297" spans="1:15" x14ac:dyDescent="0.35">
      <c r="A4297">
        <v>4296</v>
      </c>
      <c r="B4297" s="2" t="s">
        <v>20</v>
      </c>
      <c r="C4297" s="2" t="s">
        <v>15</v>
      </c>
      <c r="D4297">
        <v>45</v>
      </c>
      <c r="E4297" s="2" t="s">
        <v>24</v>
      </c>
      <c r="F4297" s="2" t="s">
        <v>13</v>
      </c>
      <c r="G4297">
        <v>88870</v>
      </c>
      <c r="H4297" s="1">
        <v>45183</v>
      </c>
      <c r="I4297">
        <v>8</v>
      </c>
      <c r="J4297">
        <v>5</v>
      </c>
      <c r="K4297">
        <v>8887</v>
      </c>
      <c r="L4297">
        <v>4444</v>
      </c>
      <c r="M4297">
        <v>93313</v>
      </c>
      <c r="N4297">
        <v>4444</v>
      </c>
      <c r="O4297">
        <v>102201</v>
      </c>
    </row>
    <row r="4298" spans="1:15" x14ac:dyDescent="0.35">
      <c r="A4298">
        <v>4297</v>
      </c>
      <c r="B4298" s="2" t="s">
        <v>23</v>
      </c>
      <c r="C4298" s="2" t="s">
        <v>15</v>
      </c>
      <c r="D4298">
        <v>41</v>
      </c>
      <c r="E4298" s="2" t="s">
        <v>12</v>
      </c>
      <c r="F4298" s="2" t="s">
        <v>13</v>
      </c>
      <c r="G4298">
        <v>68357</v>
      </c>
      <c r="H4298" s="1">
        <v>44666</v>
      </c>
      <c r="I4298">
        <v>16</v>
      </c>
      <c r="J4298">
        <v>4</v>
      </c>
      <c r="K4298">
        <v>6836</v>
      </c>
      <c r="L4298">
        <v>3418</v>
      </c>
      <c r="M4298">
        <v>71775</v>
      </c>
      <c r="N4298">
        <v>3418</v>
      </c>
      <c r="O4298">
        <v>78611</v>
      </c>
    </row>
    <row r="4299" spans="1:15" x14ac:dyDescent="0.35">
      <c r="A4299">
        <v>4298</v>
      </c>
      <c r="B4299" s="2" t="s">
        <v>22</v>
      </c>
      <c r="C4299" s="2" t="s">
        <v>15</v>
      </c>
      <c r="D4299">
        <v>35</v>
      </c>
      <c r="E4299" s="2" t="s">
        <v>12</v>
      </c>
      <c r="F4299" s="2" t="s">
        <v>19</v>
      </c>
      <c r="G4299">
        <v>72816</v>
      </c>
      <c r="H4299" s="1">
        <v>44976</v>
      </c>
      <c r="I4299">
        <v>8</v>
      </c>
      <c r="J4299">
        <v>2</v>
      </c>
      <c r="K4299">
        <v>7282</v>
      </c>
      <c r="L4299">
        <v>3641</v>
      </c>
      <c r="M4299">
        <v>76457</v>
      </c>
      <c r="N4299">
        <v>3641</v>
      </c>
      <c r="O4299">
        <v>83739</v>
      </c>
    </row>
    <row r="4300" spans="1:15" x14ac:dyDescent="0.35">
      <c r="A4300">
        <v>4299</v>
      </c>
      <c r="B4300" s="2" t="s">
        <v>22</v>
      </c>
      <c r="C4300" s="2" t="s">
        <v>15</v>
      </c>
      <c r="D4300">
        <v>37</v>
      </c>
      <c r="E4300" s="2" t="s">
        <v>16</v>
      </c>
      <c r="F4300" s="2" t="s">
        <v>17</v>
      </c>
      <c r="G4300">
        <v>63607</v>
      </c>
      <c r="H4300" s="1">
        <v>45359</v>
      </c>
      <c r="I4300">
        <v>4</v>
      </c>
      <c r="J4300">
        <v>4</v>
      </c>
      <c r="K4300">
        <v>6361</v>
      </c>
      <c r="L4300">
        <v>3180</v>
      </c>
      <c r="M4300">
        <v>66788</v>
      </c>
      <c r="N4300">
        <v>0</v>
      </c>
      <c r="O4300">
        <v>69968</v>
      </c>
    </row>
    <row r="4301" spans="1:15" x14ac:dyDescent="0.35">
      <c r="A4301">
        <v>4300</v>
      </c>
      <c r="B4301" s="2" t="s">
        <v>27</v>
      </c>
      <c r="C4301" s="2" t="s">
        <v>15</v>
      </c>
      <c r="D4301">
        <v>32</v>
      </c>
      <c r="E4301" s="2" t="s">
        <v>16</v>
      </c>
      <c r="F4301" s="2" t="s">
        <v>13</v>
      </c>
      <c r="G4301">
        <v>82429</v>
      </c>
      <c r="H4301" s="1">
        <v>44601</v>
      </c>
      <c r="I4301">
        <v>17</v>
      </c>
      <c r="J4301">
        <v>5</v>
      </c>
      <c r="K4301">
        <v>8243</v>
      </c>
      <c r="L4301">
        <v>4121</v>
      </c>
      <c r="M4301">
        <v>86551</v>
      </c>
      <c r="N4301">
        <v>4121</v>
      </c>
      <c r="O4301">
        <v>94793</v>
      </c>
    </row>
    <row r="4302" spans="1:15" x14ac:dyDescent="0.35">
      <c r="A4302">
        <v>4301</v>
      </c>
      <c r="B4302" s="2" t="s">
        <v>23</v>
      </c>
      <c r="C4302" s="2" t="s">
        <v>15</v>
      </c>
      <c r="D4302">
        <v>43</v>
      </c>
      <c r="E4302" s="2" t="s">
        <v>28</v>
      </c>
      <c r="F4302" s="2" t="s">
        <v>21</v>
      </c>
      <c r="G4302">
        <v>25976</v>
      </c>
      <c r="H4302" s="1">
        <v>45406</v>
      </c>
      <c r="I4302">
        <v>16</v>
      </c>
      <c r="J4302">
        <v>4</v>
      </c>
      <c r="K4302">
        <v>2598</v>
      </c>
      <c r="L4302">
        <v>1299</v>
      </c>
      <c r="M4302">
        <v>27275</v>
      </c>
      <c r="N4302">
        <v>1299</v>
      </c>
      <c r="O4302">
        <v>29873</v>
      </c>
    </row>
    <row r="4303" spans="1:15" x14ac:dyDescent="0.35">
      <c r="A4303">
        <v>4302</v>
      </c>
      <c r="B4303" s="2" t="s">
        <v>31</v>
      </c>
      <c r="C4303" s="2" t="s">
        <v>15</v>
      </c>
      <c r="D4303">
        <v>25</v>
      </c>
      <c r="E4303" s="2" t="s">
        <v>12</v>
      </c>
      <c r="F4303" s="2" t="s">
        <v>13</v>
      </c>
      <c r="G4303">
        <v>94556</v>
      </c>
      <c r="H4303" s="1">
        <v>45183</v>
      </c>
      <c r="I4303">
        <v>20</v>
      </c>
      <c r="J4303">
        <v>3</v>
      </c>
      <c r="K4303">
        <v>9456</v>
      </c>
      <c r="L4303">
        <v>4728</v>
      </c>
      <c r="M4303">
        <v>99284</v>
      </c>
      <c r="N4303">
        <v>4728</v>
      </c>
      <c r="O4303">
        <v>108740</v>
      </c>
    </row>
    <row r="4304" spans="1:15" x14ac:dyDescent="0.35">
      <c r="A4304">
        <v>4303</v>
      </c>
      <c r="B4304" s="2" t="s">
        <v>10</v>
      </c>
      <c r="C4304" s="2" t="s">
        <v>11</v>
      </c>
      <c r="D4304">
        <v>39</v>
      </c>
      <c r="E4304" s="2" t="s">
        <v>29</v>
      </c>
      <c r="F4304" s="2" t="s">
        <v>19</v>
      </c>
      <c r="G4304">
        <v>96403</v>
      </c>
      <c r="H4304" s="1">
        <v>44626</v>
      </c>
      <c r="I4304">
        <v>2</v>
      </c>
      <c r="J4304">
        <v>2</v>
      </c>
      <c r="K4304">
        <v>9640</v>
      </c>
      <c r="L4304">
        <v>4820</v>
      </c>
      <c r="M4304">
        <v>101223</v>
      </c>
      <c r="N4304">
        <v>0</v>
      </c>
      <c r="O4304">
        <v>106043</v>
      </c>
    </row>
    <row r="4305" spans="1:15" x14ac:dyDescent="0.35">
      <c r="A4305">
        <v>4304</v>
      </c>
      <c r="B4305" s="2" t="s">
        <v>14</v>
      </c>
      <c r="C4305" s="2" t="s">
        <v>11</v>
      </c>
      <c r="D4305">
        <v>35</v>
      </c>
      <c r="E4305" s="2" t="s">
        <v>12</v>
      </c>
      <c r="F4305" s="2" t="s">
        <v>13</v>
      </c>
      <c r="G4305">
        <v>46759</v>
      </c>
      <c r="H4305" s="1">
        <v>44960</v>
      </c>
      <c r="I4305">
        <v>8</v>
      </c>
      <c r="J4305">
        <v>5</v>
      </c>
      <c r="K4305">
        <v>4676</v>
      </c>
      <c r="L4305">
        <v>2338</v>
      </c>
      <c r="M4305">
        <v>49097</v>
      </c>
      <c r="N4305">
        <v>2338</v>
      </c>
      <c r="O4305">
        <v>53773</v>
      </c>
    </row>
    <row r="4306" spans="1:15" x14ac:dyDescent="0.35">
      <c r="A4306">
        <v>4305</v>
      </c>
      <c r="B4306" s="2" t="s">
        <v>14</v>
      </c>
      <c r="C4306" s="2" t="s">
        <v>11</v>
      </c>
      <c r="D4306">
        <v>25</v>
      </c>
      <c r="E4306" s="2" t="s">
        <v>29</v>
      </c>
      <c r="F4306" s="2" t="s">
        <v>13</v>
      </c>
      <c r="G4306">
        <v>89449</v>
      </c>
      <c r="H4306" s="1">
        <v>45361</v>
      </c>
      <c r="I4306">
        <v>18</v>
      </c>
      <c r="J4306">
        <v>3</v>
      </c>
      <c r="K4306">
        <v>8945</v>
      </c>
      <c r="L4306">
        <v>4472</v>
      </c>
      <c r="M4306">
        <v>93922</v>
      </c>
      <c r="N4306">
        <v>4472</v>
      </c>
      <c r="O4306">
        <v>102866</v>
      </c>
    </row>
    <row r="4307" spans="1:15" x14ac:dyDescent="0.35">
      <c r="A4307">
        <v>4306</v>
      </c>
      <c r="B4307" s="2" t="s">
        <v>10</v>
      </c>
      <c r="C4307" s="2" t="s">
        <v>15</v>
      </c>
      <c r="D4307">
        <v>38</v>
      </c>
      <c r="E4307" s="2" t="s">
        <v>28</v>
      </c>
      <c r="F4307" s="2" t="s">
        <v>21</v>
      </c>
      <c r="G4307">
        <v>56168</v>
      </c>
      <c r="H4307" s="1">
        <v>45462</v>
      </c>
      <c r="I4307">
        <v>10</v>
      </c>
      <c r="J4307">
        <v>3</v>
      </c>
      <c r="K4307">
        <v>5617</v>
      </c>
      <c r="L4307">
        <v>2808</v>
      </c>
      <c r="M4307">
        <v>58977</v>
      </c>
      <c r="N4307">
        <v>2808</v>
      </c>
      <c r="O4307">
        <v>64593</v>
      </c>
    </row>
    <row r="4308" spans="1:15" x14ac:dyDescent="0.35">
      <c r="A4308">
        <v>4307</v>
      </c>
      <c r="B4308" s="2" t="s">
        <v>27</v>
      </c>
      <c r="C4308" s="2" t="s">
        <v>11</v>
      </c>
      <c r="D4308">
        <v>39</v>
      </c>
      <c r="E4308" s="2" t="s">
        <v>12</v>
      </c>
      <c r="F4308" s="2" t="s">
        <v>19</v>
      </c>
      <c r="G4308">
        <v>32877</v>
      </c>
      <c r="H4308" s="1">
        <v>45468</v>
      </c>
      <c r="I4308">
        <v>17</v>
      </c>
      <c r="J4308">
        <v>1</v>
      </c>
      <c r="K4308">
        <v>3288</v>
      </c>
      <c r="L4308">
        <v>1644</v>
      </c>
      <c r="M4308">
        <v>34521</v>
      </c>
      <c r="N4308">
        <v>1644</v>
      </c>
      <c r="O4308">
        <v>37809</v>
      </c>
    </row>
    <row r="4309" spans="1:15" x14ac:dyDescent="0.35">
      <c r="A4309">
        <v>4308</v>
      </c>
      <c r="B4309" s="2" t="s">
        <v>14</v>
      </c>
      <c r="C4309" s="2" t="s">
        <v>15</v>
      </c>
      <c r="D4309">
        <v>34</v>
      </c>
      <c r="E4309" s="2" t="s">
        <v>29</v>
      </c>
      <c r="F4309" s="2" t="s">
        <v>21</v>
      </c>
      <c r="G4309">
        <v>37413</v>
      </c>
      <c r="H4309" s="1">
        <v>44990</v>
      </c>
      <c r="I4309">
        <v>1</v>
      </c>
      <c r="J4309">
        <v>5</v>
      </c>
      <c r="K4309">
        <v>3741</v>
      </c>
      <c r="L4309">
        <v>1871</v>
      </c>
      <c r="M4309">
        <v>39283</v>
      </c>
      <c r="N4309">
        <v>0</v>
      </c>
      <c r="O4309">
        <v>41154</v>
      </c>
    </row>
    <row r="4310" spans="1:15" x14ac:dyDescent="0.35">
      <c r="A4310">
        <v>4309</v>
      </c>
      <c r="B4310" s="2" t="s">
        <v>14</v>
      </c>
      <c r="C4310" s="2" t="s">
        <v>15</v>
      </c>
      <c r="D4310">
        <v>30</v>
      </c>
      <c r="E4310" s="2" t="s">
        <v>16</v>
      </c>
      <c r="F4310" s="2" t="s">
        <v>17</v>
      </c>
      <c r="G4310">
        <v>52547</v>
      </c>
      <c r="H4310" s="1">
        <v>44834</v>
      </c>
      <c r="I4310">
        <v>15</v>
      </c>
      <c r="J4310">
        <v>5</v>
      </c>
      <c r="K4310">
        <v>5255</v>
      </c>
      <c r="L4310">
        <v>2627</v>
      </c>
      <c r="M4310">
        <v>55175</v>
      </c>
      <c r="N4310">
        <v>2627</v>
      </c>
      <c r="O4310">
        <v>60429</v>
      </c>
    </row>
    <row r="4311" spans="1:15" x14ac:dyDescent="0.35">
      <c r="A4311">
        <v>4310</v>
      </c>
      <c r="B4311" s="2" t="s">
        <v>23</v>
      </c>
      <c r="C4311" s="2" t="s">
        <v>15</v>
      </c>
      <c r="D4311">
        <v>30</v>
      </c>
      <c r="E4311" s="2" t="s">
        <v>16</v>
      </c>
      <c r="F4311" s="2" t="s">
        <v>25</v>
      </c>
      <c r="G4311">
        <v>46341</v>
      </c>
      <c r="H4311" s="1">
        <v>45182</v>
      </c>
      <c r="I4311">
        <v>17</v>
      </c>
      <c r="J4311">
        <v>3</v>
      </c>
      <c r="K4311">
        <v>4634</v>
      </c>
      <c r="L4311">
        <v>2317</v>
      </c>
      <c r="M4311">
        <v>48658</v>
      </c>
      <c r="N4311">
        <v>2317</v>
      </c>
      <c r="O4311">
        <v>53292</v>
      </c>
    </row>
    <row r="4312" spans="1:15" x14ac:dyDescent="0.35">
      <c r="A4312">
        <v>4311</v>
      </c>
      <c r="B4312" s="2" t="s">
        <v>26</v>
      </c>
      <c r="C4312" s="2" t="s">
        <v>11</v>
      </c>
      <c r="D4312">
        <v>48</v>
      </c>
      <c r="E4312" s="2" t="s">
        <v>24</v>
      </c>
      <c r="F4312" s="2" t="s">
        <v>25</v>
      </c>
      <c r="G4312">
        <v>65153</v>
      </c>
      <c r="H4312" s="1">
        <v>45442</v>
      </c>
      <c r="I4312">
        <v>14</v>
      </c>
      <c r="J4312">
        <v>3</v>
      </c>
      <c r="K4312">
        <v>6515</v>
      </c>
      <c r="L4312">
        <v>3258</v>
      </c>
      <c r="M4312">
        <v>68410</v>
      </c>
      <c r="N4312">
        <v>3258</v>
      </c>
      <c r="O4312">
        <v>74926</v>
      </c>
    </row>
    <row r="4313" spans="1:15" x14ac:dyDescent="0.35">
      <c r="A4313">
        <v>4312</v>
      </c>
      <c r="B4313" s="2" t="s">
        <v>27</v>
      </c>
      <c r="C4313" s="2" t="s">
        <v>15</v>
      </c>
      <c r="D4313">
        <v>46</v>
      </c>
      <c r="E4313" s="2" t="s">
        <v>16</v>
      </c>
      <c r="F4313" s="2" t="s">
        <v>21</v>
      </c>
      <c r="G4313">
        <v>67035</v>
      </c>
      <c r="H4313" s="1">
        <v>45044</v>
      </c>
      <c r="I4313">
        <v>19</v>
      </c>
      <c r="J4313">
        <v>2</v>
      </c>
      <c r="K4313">
        <v>6704</v>
      </c>
      <c r="L4313">
        <v>3352</v>
      </c>
      <c r="M4313">
        <v>70387</v>
      </c>
      <c r="N4313">
        <v>3352</v>
      </c>
      <c r="O4313">
        <v>77091</v>
      </c>
    </row>
    <row r="4314" spans="1:15" x14ac:dyDescent="0.35">
      <c r="A4314">
        <v>4313</v>
      </c>
      <c r="B4314" s="2" t="s">
        <v>14</v>
      </c>
      <c r="C4314" s="2" t="s">
        <v>15</v>
      </c>
      <c r="D4314">
        <v>40</v>
      </c>
      <c r="E4314" s="2" t="s">
        <v>12</v>
      </c>
      <c r="F4314" s="2" t="s">
        <v>19</v>
      </c>
      <c r="G4314">
        <v>36189</v>
      </c>
      <c r="H4314" s="1">
        <v>44578</v>
      </c>
      <c r="I4314">
        <v>19</v>
      </c>
      <c r="J4314">
        <v>2</v>
      </c>
      <c r="K4314">
        <v>3619</v>
      </c>
      <c r="L4314">
        <v>1809</v>
      </c>
      <c r="M4314">
        <v>37999</v>
      </c>
      <c r="N4314">
        <v>1809</v>
      </c>
      <c r="O4314">
        <v>41617</v>
      </c>
    </row>
    <row r="4315" spans="1:15" x14ac:dyDescent="0.35">
      <c r="A4315">
        <v>4314</v>
      </c>
      <c r="B4315" s="2" t="s">
        <v>10</v>
      </c>
      <c r="C4315" s="2" t="s">
        <v>15</v>
      </c>
      <c r="D4315">
        <v>41</v>
      </c>
      <c r="E4315" s="2" t="s">
        <v>12</v>
      </c>
      <c r="F4315" s="2" t="s">
        <v>19</v>
      </c>
      <c r="G4315">
        <v>80764</v>
      </c>
      <c r="H4315" s="1">
        <v>45390</v>
      </c>
      <c r="I4315">
        <v>4</v>
      </c>
      <c r="J4315">
        <v>4</v>
      </c>
      <c r="K4315">
        <v>8076</v>
      </c>
      <c r="L4315">
        <v>4038</v>
      </c>
      <c r="M4315">
        <v>84802</v>
      </c>
      <c r="N4315">
        <v>0</v>
      </c>
      <c r="O4315">
        <v>88840</v>
      </c>
    </row>
    <row r="4316" spans="1:15" x14ac:dyDescent="0.35">
      <c r="A4316">
        <v>4315</v>
      </c>
      <c r="B4316" s="2" t="s">
        <v>30</v>
      </c>
      <c r="C4316" s="2" t="s">
        <v>11</v>
      </c>
      <c r="D4316">
        <v>53</v>
      </c>
      <c r="E4316" s="2" t="s">
        <v>24</v>
      </c>
      <c r="F4316" s="2" t="s">
        <v>21</v>
      </c>
      <c r="G4316">
        <v>48044</v>
      </c>
      <c r="H4316" s="1">
        <v>45062</v>
      </c>
      <c r="I4316">
        <v>7</v>
      </c>
      <c r="J4316">
        <v>1</v>
      </c>
      <c r="K4316">
        <v>4804</v>
      </c>
      <c r="L4316">
        <v>2402</v>
      </c>
      <c r="M4316">
        <v>50446</v>
      </c>
      <c r="N4316">
        <v>2402</v>
      </c>
      <c r="O4316">
        <v>55250</v>
      </c>
    </row>
    <row r="4317" spans="1:15" x14ac:dyDescent="0.35">
      <c r="A4317">
        <v>4316</v>
      </c>
      <c r="B4317" s="2" t="s">
        <v>14</v>
      </c>
      <c r="C4317" s="2" t="s">
        <v>15</v>
      </c>
      <c r="D4317">
        <v>51</v>
      </c>
      <c r="E4317" s="2" t="s">
        <v>16</v>
      </c>
      <c r="F4317" s="2" t="s">
        <v>25</v>
      </c>
      <c r="G4317">
        <v>32742</v>
      </c>
      <c r="H4317" s="1">
        <v>44649</v>
      </c>
      <c r="I4317">
        <v>14</v>
      </c>
      <c r="J4317">
        <v>4</v>
      </c>
      <c r="K4317">
        <v>3274</v>
      </c>
      <c r="L4317">
        <v>1637</v>
      </c>
      <c r="M4317">
        <v>34379</v>
      </c>
      <c r="N4317">
        <v>1637</v>
      </c>
      <c r="O4317">
        <v>37653</v>
      </c>
    </row>
    <row r="4318" spans="1:15" x14ac:dyDescent="0.35">
      <c r="A4318">
        <v>4317</v>
      </c>
      <c r="B4318" s="2" t="s">
        <v>22</v>
      </c>
      <c r="C4318" s="2" t="s">
        <v>15</v>
      </c>
      <c r="D4318">
        <v>50</v>
      </c>
      <c r="E4318" s="2" t="s">
        <v>29</v>
      </c>
      <c r="F4318" s="2" t="s">
        <v>21</v>
      </c>
      <c r="G4318">
        <v>84522</v>
      </c>
      <c r="H4318" s="1">
        <v>45198</v>
      </c>
      <c r="I4318">
        <v>17</v>
      </c>
      <c r="J4318">
        <v>4</v>
      </c>
      <c r="K4318">
        <v>8452</v>
      </c>
      <c r="L4318">
        <v>4226</v>
      </c>
      <c r="M4318">
        <v>88748</v>
      </c>
      <c r="N4318">
        <v>4226</v>
      </c>
      <c r="O4318">
        <v>97200</v>
      </c>
    </row>
    <row r="4319" spans="1:15" x14ac:dyDescent="0.35">
      <c r="A4319">
        <v>4318</v>
      </c>
      <c r="B4319" s="2" t="s">
        <v>26</v>
      </c>
      <c r="C4319" s="2" t="s">
        <v>15</v>
      </c>
      <c r="D4319">
        <v>24</v>
      </c>
      <c r="E4319" s="2" t="s">
        <v>29</v>
      </c>
      <c r="F4319" s="2" t="s">
        <v>25</v>
      </c>
      <c r="G4319">
        <v>65942</v>
      </c>
      <c r="H4319" s="1">
        <v>45473</v>
      </c>
      <c r="I4319">
        <v>19</v>
      </c>
      <c r="J4319">
        <v>4</v>
      </c>
      <c r="K4319">
        <v>6594</v>
      </c>
      <c r="L4319">
        <v>3297</v>
      </c>
      <c r="M4319">
        <v>69239</v>
      </c>
      <c r="N4319">
        <v>3297</v>
      </c>
      <c r="O4319">
        <v>75833</v>
      </c>
    </row>
    <row r="4320" spans="1:15" x14ac:dyDescent="0.35">
      <c r="A4320">
        <v>4319</v>
      </c>
      <c r="B4320" s="2" t="s">
        <v>31</v>
      </c>
      <c r="C4320" s="2" t="s">
        <v>11</v>
      </c>
      <c r="D4320">
        <v>57</v>
      </c>
      <c r="E4320" s="2" t="s">
        <v>29</v>
      </c>
      <c r="F4320" s="2" t="s">
        <v>21</v>
      </c>
      <c r="G4320">
        <v>97575</v>
      </c>
      <c r="H4320" s="1">
        <v>45466</v>
      </c>
      <c r="I4320">
        <v>15</v>
      </c>
      <c r="J4320">
        <v>5</v>
      </c>
      <c r="K4320">
        <v>9758</v>
      </c>
      <c r="L4320">
        <v>4879</v>
      </c>
      <c r="M4320">
        <v>102454</v>
      </c>
      <c r="N4320">
        <v>4879</v>
      </c>
      <c r="O4320">
        <v>112212</v>
      </c>
    </row>
    <row r="4321" spans="1:15" x14ac:dyDescent="0.35">
      <c r="A4321">
        <v>4320</v>
      </c>
      <c r="B4321" s="2" t="s">
        <v>22</v>
      </c>
      <c r="C4321" s="2" t="s">
        <v>11</v>
      </c>
      <c r="D4321">
        <v>43</v>
      </c>
      <c r="E4321" s="2" t="s">
        <v>16</v>
      </c>
      <c r="F4321" s="2" t="s">
        <v>19</v>
      </c>
      <c r="G4321">
        <v>55342</v>
      </c>
      <c r="H4321" s="1">
        <v>45424</v>
      </c>
      <c r="I4321">
        <v>6</v>
      </c>
      <c r="J4321">
        <v>3</v>
      </c>
      <c r="K4321">
        <v>5534</v>
      </c>
      <c r="L4321">
        <v>2767</v>
      </c>
      <c r="M4321">
        <v>58109</v>
      </c>
      <c r="N4321">
        <v>2767</v>
      </c>
      <c r="O4321">
        <v>63643</v>
      </c>
    </row>
    <row r="4322" spans="1:15" x14ac:dyDescent="0.35">
      <c r="A4322">
        <v>4321</v>
      </c>
      <c r="B4322" s="2" t="s">
        <v>22</v>
      </c>
      <c r="C4322" s="2" t="s">
        <v>11</v>
      </c>
      <c r="D4322">
        <v>22</v>
      </c>
      <c r="E4322" s="2" t="s">
        <v>16</v>
      </c>
      <c r="F4322" s="2" t="s">
        <v>25</v>
      </c>
      <c r="G4322">
        <v>42235</v>
      </c>
      <c r="H4322" s="1">
        <v>45274</v>
      </c>
      <c r="I4322">
        <v>7</v>
      </c>
      <c r="J4322">
        <v>3</v>
      </c>
      <c r="K4322">
        <v>4224</v>
      </c>
      <c r="L4322">
        <v>2112</v>
      </c>
      <c r="M4322">
        <v>44347</v>
      </c>
      <c r="N4322">
        <v>2112</v>
      </c>
      <c r="O4322">
        <v>48571</v>
      </c>
    </row>
    <row r="4323" spans="1:15" x14ac:dyDescent="0.35">
      <c r="A4323">
        <v>4322</v>
      </c>
      <c r="B4323" s="2" t="s">
        <v>23</v>
      </c>
      <c r="C4323" s="2" t="s">
        <v>15</v>
      </c>
      <c r="D4323">
        <v>30</v>
      </c>
      <c r="E4323" s="2" t="s">
        <v>29</v>
      </c>
      <c r="F4323" s="2" t="s">
        <v>17</v>
      </c>
      <c r="G4323">
        <v>73608</v>
      </c>
      <c r="H4323" s="1">
        <v>44932</v>
      </c>
      <c r="I4323">
        <v>17</v>
      </c>
      <c r="J4323">
        <v>3</v>
      </c>
      <c r="K4323">
        <v>7361</v>
      </c>
      <c r="L4323">
        <v>3680</v>
      </c>
      <c r="M4323">
        <v>77289</v>
      </c>
      <c r="N4323">
        <v>3680</v>
      </c>
      <c r="O4323">
        <v>84649</v>
      </c>
    </row>
    <row r="4324" spans="1:15" x14ac:dyDescent="0.35">
      <c r="A4324">
        <v>4323</v>
      </c>
      <c r="B4324" s="2" t="s">
        <v>18</v>
      </c>
      <c r="C4324" s="2" t="s">
        <v>15</v>
      </c>
      <c r="D4324">
        <v>22</v>
      </c>
      <c r="E4324" s="2" t="s">
        <v>28</v>
      </c>
      <c r="F4324" s="2" t="s">
        <v>13</v>
      </c>
      <c r="G4324">
        <v>46935</v>
      </c>
      <c r="H4324" s="1">
        <v>44739</v>
      </c>
      <c r="I4324">
        <v>13</v>
      </c>
      <c r="J4324">
        <v>4</v>
      </c>
      <c r="K4324">
        <v>4694</v>
      </c>
      <c r="L4324">
        <v>2347</v>
      </c>
      <c r="M4324">
        <v>49282</v>
      </c>
      <c r="N4324">
        <v>2347</v>
      </c>
      <c r="O4324">
        <v>53976</v>
      </c>
    </row>
    <row r="4325" spans="1:15" x14ac:dyDescent="0.35">
      <c r="A4325">
        <v>4324</v>
      </c>
      <c r="B4325" s="2" t="s">
        <v>23</v>
      </c>
      <c r="C4325" s="2" t="s">
        <v>11</v>
      </c>
      <c r="D4325">
        <v>27</v>
      </c>
      <c r="E4325" s="2" t="s">
        <v>12</v>
      </c>
      <c r="F4325" s="2" t="s">
        <v>25</v>
      </c>
      <c r="G4325">
        <v>32795</v>
      </c>
      <c r="H4325" s="1">
        <v>45025</v>
      </c>
      <c r="I4325">
        <v>6</v>
      </c>
      <c r="J4325">
        <v>3</v>
      </c>
      <c r="K4325">
        <v>3280</v>
      </c>
      <c r="L4325">
        <v>1640</v>
      </c>
      <c r="M4325">
        <v>34435</v>
      </c>
      <c r="N4325">
        <v>1640</v>
      </c>
      <c r="O4325">
        <v>37715</v>
      </c>
    </row>
    <row r="4326" spans="1:15" x14ac:dyDescent="0.35">
      <c r="A4326">
        <v>4325</v>
      </c>
      <c r="B4326" s="2" t="s">
        <v>20</v>
      </c>
      <c r="C4326" s="2" t="s">
        <v>15</v>
      </c>
      <c r="D4326">
        <v>39</v>
      </c>
      <c r="E4326" s="2" t="s">
        <v>29</v>
      </c>
      <c r="F4326" s="2" t="s">
        <v>21</v>
      </c>
      <c r="G4326">
        <v>55187</v>
      </c>
      <c r="H4326" s="1">
        <v>44802</v>
      </c>
      <c r="I4326">
        <v>19</v>
      </c>
      <c r="J4326">
        <v>2</v>
      </c>
      <c r="K4326">
        <v>5519</v>
      </c>
      <c r="L4326">
        <v>2759</v>
      </c>
      <c r="M4326">
        <v>57947</v>
      </c>
      <c r="N4326">
        <v>2759</v>
      </c>
      <c r="O4326">
        <v>63465</v>
      </c>
    </row>
    <row r="4327" spans="1:15" x14ac:dyDescent="0.35">
      <c r="A4327">
        <v>4326</v>
      </c>
      <c r="B4327" s="2" t="s">
        <v>23</v>
      </c>
      <c r="C4327" s="2" t="s">
        <v>15</v>
      </c>
      <c r="D4327">
        <v>45</v>
      </c>
      <c r="E4327" s="2" t="s">
        <v>16</v>
      </c>
      <c r="F4327" s="2" t="s">
        <v>25</v>
      </c>
      <c r="G4327">
        <v>54517</v>
      </c>
      <c r="H4327" s="1">
        <v>44934</v>
      </c>
      <c r="I4327">
        <v>19</v>
      </c>
      <c r="J4327">
        <v>1</v>
      </c>
      <c r="K4327">
        <v>5452</v>
      </c>
      <c r="L4327">
        <v>2726</v>
      </c>
      <c r="M4327">
        <v>57243</v>
      </c>
      <c r="N4327">
        <v>2726</v>
      </c>
      <c r="O4327">
        <v>62695</v>
      </c>
    </row>
    <row r="4328" spans="1:15" x14ac:dyDescent="0.35">
      <c r="A4328">
        <v>4327</v>
      </c>
      <c r="B4328" s="2" t="s">
        <v>26</v>
      </c>
      <c r="C4328" s="2" t="s">
        <v>11</v>
      </c>
      <c r="D4328">
        <v>36</v>
      </c>
      <c r="E4328" s="2" t="s">
        <v>24</v>
      </c>
      <c r="F4328" s="2" t="s">
        <v>19</v>
      </c>
      <c r="G4328">
        <v>84621</v>
      </c>
      <c r="H4328" s="1">
        <v>45121</v>
      </c>
      <c r="I4328">
        <v>10</v>
      </c>
      <c r="J4328">
        <v>5</v>
      </c>
      <c r="K4328">
        <v>8462</v>
      </c>
      <c r="L4328">
        <v>4231</v>
      </c>
      <c r="M4328">
        <v>88852</v>
      </c>
      <c r="N4328">
        <v>4231</v>
      </c>
      <c r="O4328">
        <v>97314</v>
      </c>
    </row>
    <row r="4329" spans="1:15" x14ac:dyDescent="0.35">
      <c r="A4329">
        <v>4328</v>
      </c>
      <c r="B4329" s="2" t="s">
        <v>22</v>
      </c>
      <c r="C4329" s="2" t="s">
        <v>15</v>
      </c>
      <c r="D4329">
        <v>43</v>
      </c>
      <c r="E4329" s="2" t="s">
        <v>28</v>
      </c>
      <c r="F4329" s="2" t="s">
        <v>13</v>
      </c>
      <c r="G4329">
        <v>84529</v>
      </c>
      <c r="H4329" s="1">
        <v>45472</v>
      </c>
      <c r="I4329">
        <v>4</v>
      </c>
      <c r="J4329">
        <v>5</v>
      </c>
      <c r="K4329">
        <v>8453</v>
      </c>
      <c r="L4329">
        <v>4226</v>
      </c>
      <c r="M4329">
        <v>88756</v>
      </c>
      <c r="N4329">
        <v>0</v>
      </c>
      <c r="O4329">
        <v>92982</v>
      </c>
    </row>
    <row r="4330" spans="1:15" x14ac:dyDescent="0.35">
      <c r="A4330">
        <v>4329</v>
      </c>
      <c r="B4330" s="2" t="s">
        <v>18</v>
      </c>
      <c r="C4330" s="2" t="s">
        <v>11</v>
      </c>
      <c r="D4330">
        <v>33</v>
      </c>
      <c r="E4330" s="2" t="s">
        <v>29</v>
      </c>
      <c r="F4330" s="2" t="s">
        <v>21</v>
      </c>
      <c r="G4330">
        <v>57147</v>
      </c>
      <c r="H4330" s="1">
        <v>45174</v>
      </c>
      <c r="I4330">
        <v>7</v>
      </c>
      <c r="J4330">
        <v>4</v>
      </c>
      <c r="K4330">
        <v>5715</v>
      </c>
      <c r="L4330">
        <v>2857</v>
      </c>
      <c r="M4330">
        <v>60005</v>
      </c>
      <c r="N4330">
        <v>2857</v>
      </c>
      <c r="O4330">
        <v>65719</v>
      </c>
    </row>
    <row r="4331" spans="1:15" x14ac:dyDescent="0.35">
      <c r="A4331">
        <v>4330</v>
      </c>
      <c r="B4331" s="2" t="s">
        <v>18</v>
      </c>
      <c r="C4331" s="2" t="s">
        <v>15</v>
      </c>
      <c r="D4331">
        <v>22</v>
      </c>
      <c r="E4331" s="2" t="s">
        <v>24</v>
      </c>
      <c r="F4331" s="2" t="s">
        <v>19</v>
      </c>
      <c r="G4331">
        <v>76992</v>
      </c>
      <c r="H4331" s="1">
        <v>44708</v>
      </c>
      <c r="I4331">
        <v>9</v>
      </c>
      <c r="J4331">
        <v>2</v>
      </c>
      <c r="K4331">
        <v>7699</v>
      </c>
      <c r="L4331">
        <v>3850</v>
      </c>
      <c r="M4331">
        <v>80841</v>
      </c>
      <c r="N4331">
        <v>3850</v>
      </c>
      <c r="O4331">
        <v>88541</v>
      </c>
    </row>
    <row r="4332" spans="1:15" x14ac:dyDescent="0.35">
      <c r="A4332">
        <v>4331</v>
      </c>
      <c r="B4332" s="2" t="s">
        <v>14</v>
      </c>
      <c r="C4332" s="2" t="s">
        <v>15</v>
      </c>
      <c r="D4332">
        <v>34</v>
      </c>
      <c r="E4332" s="2" t="s">
        <v>24</v>
      </c>
      <c r="F4332" s="2" t="s">
        <v>19</v>
      </c>
      <c r="G4332">
        <v>21486</v>
      </c>
      <c r="H4332" s="1">
        <v>44745</v>
      </c>
      <c r="I4332">
        <v>15</v>
      </c>
      <c r="J4332">
        <v>2</v>
      </c>
      <c r="K4332">
        <v>2149</v>
      </c>
      <c r="L4332">
        <v>1074</v>
      </c>
      <c r="M4332">
        <v>22561</v>
      </c>
      <c r="N4332">
        <v>1074</v>
      </c>
      <c r="O4332">
        <v>24709</v>
      </c>
    </row>
    <row r="4333" spans="1:15" x14ac:dyDescent="0.35">
      <c r="A4333">
        <v>4332</v>
      </c>
      <c r="B4333" s="2" t="s">
        <v>14</v>
      </c>
      <c r="C4333" s="2" t="s">
        <v>15</v>
      </c>
      <c r="D4333">
        <v>52</v>
      </c>
      <c r="E4333" s="2" t="s">
        <v>12</v>
      </c>
      <c r="F4333" s="2" t="s">
        <v>21</v>
      </c>
      <c r="G4333">
        <v>99129</v>
      </c>
      <c r="H4333" s="1">
        <v>45276</v>
      </c>
      <c r="I4333">
        <v>19</v>
      </c>
      <c r="J4333">
        <v>1</v>
      </c>
      <c r="K4333">
        <v>9913</v>
      </c>
      <c r="L4333">
        <v>4956</v>
      </c>
      <c r="M4333">
        <v>104086</v>
      </c>
      <c r="N4333">
        <v>4956</v>
      </c>
      <c r="O4333">
        <v>113998</v>
      </c>
    </row>
    <row r="4334" spans="1:15" x14ac:dyDescent="0.35">
      <c r="A4334">
        <v>4333</v>
      </c>
      <c r="B4334" s="2" t="s">
        <v>18</v>
      </c>
      <c r="C4334" s="2" t="s">
        <v>11</v>
      </c>
      <c r="D4334">
        <v>40</v>
      </c>
      <c r="E4334" s="2" t="s">
        <v>24</v>
      </c>
      <c r="F4334" s="2" t="s">
        <v>17</v>
      </c>
      <c r="G4334">
        <v>80011</v>
      </c>
      <c r="H4334" s="1">
        <v>45518</v>
      </c>
      <c r="I4334">
        <v>14</v>
      </c>
      <c r="J4334">
        <v>2</v>
      </c>
      <c r="K4334">
        <v>8001</v>
      </c>
      <c r="L4334">
        <v>4001</v>
      </c>
      <c r="M4334">
        <v>84011</v>
      </c>
      <c r="N4334">
        <v>4001</v>
      </c>
      <c r="O4334">
        <v>92013</v>
      </c>
    </row>
    <row r="4335" spans="1:15" x14ac:dyDescent="0.35">
      <c r="A4335">
        <v>4334</v>
      </c>
      <c r="B4335" s="2" t="s">
        <v>30</v>
      </c>
      <c r="C4335" s="2" t="s">
        <v>11</v>
      </c>
      <c r="D4335">
        <v>27</v>
      </c>
      <c r="E4335" s="2" t="s">
        <v>12</v>
      </c>
      <c r="F4335" s="2" t="s">
        <v>21</v>
      </c>
      <c r="G4335">
        <v>90984</v>
      </c>
      <c r="H4335" s="1">
        <v>44758</v>
      </c>
      <c r="I4335">
        <v>9</v>
      </c>
      <c r="J4335">
        <v>4</v>
      </c>
      <c r="K4335">
        <v>9098</v>
      </c>
      <c r="L4335">
        <v>4549</v>
      </c>
      <c r="M4335">
        <v>95533</v>
      </c>
      <c r="N4335">
        <v>4549</v>
      </c>
      <c r="O4335">
        <v>104631</v>
      </c>
    </row>
    <row r="4336" spans="1:15" x14ac:dyDescent="0.35">
      <c r="A4336">
        <v>4335</v>
      </c>
      <c r="B4336" s="2" t="s">
        <v>22</v>
      </c>
      <c r="C4336" s="2" t="s">
        <v>15</v>
      </c>
      <c r="D4336">
        <v>50</v>
      </c>
      <c r="E4336" s="2" t="s">
        <v>29</v>
      </c>
      <c r="F4336" s="2" t="s">
        <v>19</v>
      </c>
      <c r="G4336">
        <v>64355</v>
      </c>
      <c r="H4336" s="1">
        <v>45358</v>
      </c>
      <c r="I4336">
        <v>10</v>
      </c>
      <c r="J4336">
        <v>2</v>
      </c>
      <c r="K4336">
        <v>6436</v>
      </c>
      <c r="L4336">
        <v>3218</v>
      </c>
      <c r="M4336">
        <v>67573</v>
      </c>
      <c r="N4336">
        <v>3218</v>
      </c>
      <c r="O4336">
        <v>74009</v>
      </c>
    </row>
    <row r="4337" spans="1:15" x14ac:dyDescent="0.35">
      <c r="A4337">
        <v>4336</v>
      </c>
      <c r="B4337" s="2" t="s">
        <v>30</v>
      </c>
      <c r="C4337" s="2" t="s">
        <v>15</v>
      </c>
      <c r="D4337">
        <v>55</v>
      </c>
      <c r="E4337" s="2" t="s">
        <v>24</v>
      </c>
      <c r="F4337" s="2" t="s">
        <v>25</v>
      </c>
      <c r="G4337">
        <v>30207</v>
      </c>
      <c r="H4337" s="1">
        <v>45026</v>
      </c>
      <c r="I4337">
        <v>12</v>
      </c>
      <c r="J4337">
        <v>2</v>
      </c>
      <c r="K4337">
        <v>3021</v>
      </c>
      <c r="L4337">
        <v>1510</v>
      </c>
      <c r="M4337">
        <v>31718</v>
      </c>
      <c r="N4337">
        <v>1510</v>
      </c>
      <c r="O4337">
        <v>34738</v>
      </c>
    </row>
    <row r="4338" spans="1:15" x14ac:dyDescent="0.35">
      <c r="A4338">
        <v>4337</v>
      </c>
      <c r="B4338" s="2" t="s">
        <v>30</v>
      </c>
      <c r="C4338" s="2" t="s">
        <v>11</v>
      </c>
      <c r="D4338">
        <v>52</v>
      </c>
      <c r="E4338" s="2" t="s">
        <v>24</v>
      </c>
      <c r="F4338" s="2" t="s">
        <v>19</v>
      </c>
      <c r="G4338">
        <v>87311</v>
      </c>
      <c r="H4338" s="1">
        <v>45153</v>
      </c>
      <c r="I4338">
        <v>17</v>
      </c>
      <c r="J4338">
        <v>4</v>
      </c>
      <c r="K4338">
        <v>8731</v>
      </c>
      <c r="L4338">
        <v>4366</v>
      </c>
      <c r="M4338">
        <v>91676</v>
      </c>
      <c r="N4338">
        <v>4366</v>
      </c>
      <c r="O4338">
        <v>100408</v>
      </c>
    </row>
    <row r="4339" spans="1:15" x14ac:dyDescent="0.35">
      <c r="A4339">
        <v>4338</v>
      </c>
      <c r="B4339" s="2" t="s">
        <v>26</v>
      </c>
      <c r="C4339" s="2" t="s">
        <v>15</v>
      </c>
      <c r="D4339">
        <v>42</v>
      </c>
      <c r="E4339" s="2" t="s">
        <v>12</v>
      </c>
      <c r="F4339" s="2" t="s">
        <v>25</v>
      </c>
      <c r="G4339">
        <v>74248</v>
      </c>
      <c r="H4339" s="1">
        <v>44624</v>
      </c>
      <c r="I4339">
        <v>13</v>
      </c>
      <c r="J4339">
        <v>3</v>
      </c>
      <c r="K4339">
        <v>7425</v>
      </c>
      <c r="L4339">
        <v>3712</v>
      </c>
      <c r="M4339">
        <v>77961</v>
      </c>
      <c r="N4339">
        <v>3712</v>
      </c>
      <c r="O4339">
        <v>85385</v>
      </c>
    </row>
    <row r="4340" spans="1:15" x14ac:dyDescent="0.35">
      <c r="A4340">
        <v>4339</v>
      </c>
      <c r="B4340" s="2" t="s">
        <v>27</v>
      </c>
      <c r="C4340" s="2" t="s">
        <v>15</v>
      </c>
      <c r="D4340">
        <v>25</v>
      </c>
      <c r="E4340" s="2" t="s">
        <v>29</v>
      </c>
      <c r="F4340" s="2" t="s">
        <v>13</v>
      </c>
      <c r="G4340">
        <v>51263</v>
      </c>
      <c r="H4340" s="1">
        <v>45099</v>
      </c>
      <c r="I4340">
        <v>11</v>
      </c>
      <c r="J4340">
        <v>4</v>
      </c>
      <c r="K4340">
        <v>5126</v>
      </c>
      <c r="L4340">
        <v>2563</v>
      </c>
      <c r="M4340">
        <v>53826</v>
      </c>
      <c r="N4340">
        <v>2563</v>
      </c>
      <c r="O4340">
        <v>58952</v>
      </c>
    </row>
    <row r="4341" spans="1:15" x14ac:dyDescent="0.35">
      <c r="A4341">
        <v>4340</v>
      </c>
      <c r="B4341" s="2" t="s">
        <v>31</v>
      </c>
      <c r="C4341" s="2" t="s">
        <v>15</v>
      </c>
      <c r="D4341">
        <v>44</v>
      </c>
      <c r="E4341" s="2" t="s">
        <v>16</v>
      </c>
      <c r="F4341" s="2" t="s">
        <v>21</v>
      </c>
      <c r="G4341">
        <v>94094</v>
      </c>
      <c r="H4341" s="1">
        <v>44990</v>
      </c>
      <c r="I4341">
        <v>11</v>
      </c>
      <c r="J4341">
        <v>1</v>
      </c>
      <c r="K4341">
        <v>9409</v>
      </c>
      <c r="L4341">
        <v>4705</v>
      </c>
      <c r="M4341">
        <v>98798</v>
      </c>
      <c r="N4341">
        <v>4705</v>
      </c>
      <c r="O4341">
        <v>108208</v>
      </c>
    </row>
    <row r="4342" spans="1:15" x14ac:dyDescent="0.35">
      <c r="A4342">
        <v>4341</v>
      </c>
      <c r="B4342" s="2" t="s">
        <v>27</v>
      </c>
      <c r="C4342" s="2" t="s">
        <v>11</v>
      </c>
      <c r="D4342">
        <v>54</v>
      </c>
      <c r="E4342" s="2" t="s">
        <v>12</v>
      </c>
      <c r="F4342" s="2" t="s">
        <v>25</v>
      </c>
      <c r="G4342">
        <v>71991</v>
      </c>
      <c r="H4342" s="1">
        <v>45527</v>
      </c>
      <c r="I4342">
        <v>4</v>
      </c>
      <c r="J4342">
        <v>5</v>
      </c>
      <c r="K4342">
        <v>7199</v>
      </c>
      <c r="L4342">
        <v>3600</v>
      </c>
      <c r="M4342">
        <v>75590</v>
      </c>
      <c r="N4342">
        <v>0</v>
      </c>
      <c r="O4342">
        <v>79190</v>
      </c>
    </row>
    <row r="4343" spans="1:15" x14ac:dyDescent="0.35">
      <c r="A4343">
        <v>4342</v>
      </c>
      <c r="B4343" s="2" t="s">
        <v>14</v>
      </c>
      <c r="C4343" s="2" t="s">
        <v>11</v>
      </c>
      <c r="D4343">
        <v>22</v>
      </c>
      <c r="E4343" s="2" t="s">
        <v>12</v>
      </c>
      <c r="F4343" s="2" t="s">
        <v>19</v>
      </c>
      <c r="G4343">
        <v>51124</v>
      </c>
      <c r="H4343" s="1">
        <v>45393</v>
      </c>
      <c r="I4343">
        <v>15</v>
      </c>
      <c r="J4343">
        <v>2</v>
      </c>
      <c r="K4343">
        <v>5112</v>
      </c>
      <c r="L4343">
        <v>2556</v>
      </c>
      <c r="M4343">
        <v>53680</v>
      </c>
      <c r="N4343">
        <v>2556</v>
      </c>
      <c r="O4343">
        <v>58792</v>
      </c>
    </row>
    <row r="4344" spans="1:15" x14ac:dyDescent="0.35">
      <c r="A4344">
        <v>4343</v>
      </c>
      <c r="B4344" s="2" t="s">
        <v>18</v>
      </c>
      <c r="C4344" s="2" t="s">
        <v>15</v>
      </c>
      <c r="D4344">
        <v>45</v>
      </c>
      <c r="E4344" s="2" t="s">
        <v>24</v>
      </c>
      <c r="F4344" s="2" t="s">
        <v>13</v>
      </c>
      <c r="G4344">
        <v>32317</v>
      </c>
      <c r="H4344" s="1">
        <v>44826</v>
      </c>
      <c r="I4344">
        <v>20</v>
      </c>
      <c r="J4344">
        <v>3</v>
      </c>
      <c r="K4344">
        <v>3232</v>
      </c>
      <c r="L4344">
        <v>1616</v>
      </c>
      <c r="M4344">
        <v>33933</v>
      </c>
      <c r="N4344">
        <v>1616</v>
      </c>
      <c r="O4344">
        <v>37165</v>
      </c>
    </row>
    <row r="4345" spans="1:15" x14ac:dyDescent="0.35">
      <c r="A4345">
        <v>4344</v>
      </c>
      <c r="B4345" s="2" t="s">
        <v>26</v>
      </c>
      <c r="C4345" s="2" t="s">
        <v>15</v>
      </c>
      <c r="D4345">
        <v>41</v>
      </c>
      <c r="E4345" s="2" t="s">
        <v>24</v>
      </c>
      <c r="F4345" s="2" t="s">
        <v>25</v>
      </c>
      <c r="G4345">
        <v>77800</v>
      </c>
      <c r="H4345" s="1">
        <v>45277</v>
      </c>
      <c r="I4345">
        <v>14</v>
      </c>
      <c r="J4345">
        <v>4</v>
      </c>
      <c r="K4345">
        <v>7780</v>
      </c>
      <c r="L4345">
        <v>3890</v>
      </c>
      <c r="M4345">
        <v>81690</v>
      </c>
      <c r="N4345">
        <v>3890</v>
      </c>
      <c r="O4345">
        <v>89470</v>
      </c>
    </row>
    <row r="4346" spans="1:15" x14ac:dyDescent="0.35">
      <c r="A4346">
        <v>4345</v>
      </c>
      <c r="B4346" s="2" t="s">
        <v>22</v>
      </c>
      <c r="C4346" s="2" t="s">
        <v>11</v>
      </c>
      <c r="D4346">
        <v>35</v>
      </c>
      <c r="E4346" s="2" t="s">
        <v>16</v>
      </c>
      <c r="F4346" s="2" t="s">
        <v>21</v>
      </c>
      <c r="G4346">
        <v>80328</v>
      </c>
      <c r="H4346" s="1">
        <v>44612</v>
      </c>
      <c r="I4346">
        <v>18</v>
      </c>
      <c r="J4346">
        <v>2</v>
      </c>
      <c r="K4346">
        <v>8033</v>
      </c>
      <c r="L4346">
        <v>4016</v>
      </c>
      <c r="M4346">
        <v>84345</v>
      </c>
      <c r="N4346">
        <v>4016</v>
      </c>
      <c r="O4346">
        <v>92377</v>
      </c>
    </row>
    <row r="4347" spans="1:15" x14ac:dyDescent="0.35">
      <c r="A4347">
        <v>4346</v>
      </c>
      <c r="B4347" s="2" t="s">
        <v>31</v>
      </c>
      <c r="C4347" s="2" t="s">
        <v>11</v>
      </c>
      <c r="D4347">
        <v>60</v>
      </c>
      <c r="E4347" s="2" t="s">
        <v>29</v>
      </c>
      <c r="F4347" s="2" t="s">
        <v>21</v>
      </c>
      <c r="G4347">
        <v>52060</v>
      </c>
      <c r="H4347" s="1">
        <v>44956</v>
      </c>
      <c r="I4347">
        <v>15</v>
      </c>
      <c r="J4347">
        <v>4</v>
      </c>
      <c r="K4347">
        <v>5206</v>
      </c>
      <c r="L4347">
        <v>2603</v>
      </c>
      <c r="M4347">
        <v>54663</v>
      </c>
      <c r="N4347">
        <v>2603</v>
      </c>
      <c r="O4347">
        <v>59869</v>
      </c>
    </row>
    <row r="4348" spans="1:15" x14ac:dyDescent="0.35">
      <c r="A4348">
        <v>4347</v>
      </c>
      <c r="B4348" s="2" t="s">
        <v>27</v>
      </c>
      <c r="C4348" s="2" t="s">
        <v>11</v>
      </c>
      <c r="D4348">
        <v>60</v>
      </c>
      <c r="E4348" s="2" t="s">
        <v>16</v>
      </c>
      <c r="F4348" s="2" t="s">
        <v>13</v>
      </c>
      <c r="G4348">
        <v>28361</v>
      </c>
      <c r="H4348" s="1">
        <v>44738</v>
      </c>
      <c r="I4348">
        <v>7</v>
      </c>
      <c r="J4348">
        <v>1</v>
      </c>
      <c r="K4348">
        <v>2836</v>
      </c>
      <c r="L4348">
        <v>1418</v>
      </c>
      <c r="M4348">
        <v>29779</v>
      </c>
      <c r="N4348">
        <v>1418</v>
      </c>
      <c r="O4348">
        <v>32615</v>
      </c>
    </row>
    <row r="4349" spans="1:15" x14ac:dyDescent="0.35">
      <c r="A4349">
        <v>4348</v>
      </c>
      <c r="B4349" s="2" t="s">
        <v>20</v>
      </c>
      <c r="C4349" s="2" t="s">
        <v>11</v>
      </c>
      <c r="D4349">
        <v>57</v>
      </c>
      <c r="E4349" s="2" t="s">
        <v>16</v>
      </c>
      <c r="F4349" s="2" t="s">
        <v>21</v>
      </c>
      <c r="G4349">
        <v>75778</v>
      </c>
      <c r="H4349" s="1">
        <v>44667</v>
      </c>
      <c r="I4349">
        <v>9</v>
      </c>
      <c r="J4349">
        <v>5</v>
      </c>
      <c r="K4349">
        <v>7578</v>
      </c>
      <c r="L4349">
        <v>3789</v>
      </c>
      <c r="M4349">
        <v>79567</v>
      </c>
      <c r="N4349">
        <v>3789</v>
      </c>
      <c r="O4349">
        <v>87145</v>
      </c>
    </row>
    <row r="4350" spans="1:15" x14ac:dyDescent="0.35">
      <c r="A4350">
        <v>4349</v>
      </c>
      <c r="B4350" s="2" t="s">
        <v>20</v>
      </c>
      <c r="C4350" s="2" t="s">
        <v>11</v>
      </c>
      <c r="D4350">
        <v>39</v>
      </c>
      <c r="E4350" s="2" t="s">
        <v>12</v>
      </c>
      <c r="F4350" s="2" t="s">
        <v>19</v>
      </c>
      <c r="G4350">
        <v>90927</v>
      </c>
      <c r="H4350" s="1">
        <v>45385</v>
      </c>
      <c r="I4350">
        <v>6</v>
      </c>
      <c r="J4350">
        <v>3</v>
      </c>
      <c r="K4350">
        <v>9093</v>
      </c>
      <c r="L4350">
        <v>4546</v>
      </c>
      <c r="M4350">
        <v>95474</v>
      </c>
      <c r="N4350">
        <v>4546</v>
      </c>
      <c r="O4350">
        <v>104566</v>
      </c>
    </row>
    <row r="4351" spans="1:15" x14ac:dyDescent="0.35">
      <c r="A4351">
        <v>4350</v>
      </c>
      <c r="B4351" s="2" t="s">
        <v>23</v>
      </c>
      <c r="C4351" s="2" t="s">
        <v>11</v>
      </c>
      <c r="D4351">
        <v>47</v>
      </c>
      <c r="E4351" s="2" t="s">
        <v>16</v>
      </c>
      <c r="F4351" s="2" t="s">
        <v>21</v>
      </c>
      <c r="G4351">
        <v>90312</v>
      </c>
      <c r="H4351" s="1">
        <v>44952</v>
      </c>
      <c r="I4351">
        <v>1</v>
      </c>
      <c r="J4351">
        <v>1</v>
      </c>
      <c r="K4351">
        <v>9031</v>
      </c>
      <c r="L4351">
        <v>4516</v>
      </c>
      <c r="M4351">
        <v>94827</v>
      </c>
      <c r="N4351">
        <v>0</v>
      </c>
      <c r="O4351">
        <v>99343</v>
      </c>
    </row>
    <row r="4352" spans="1:15" x14ac:dyDescent="0.35">
      <c r="A4352">
        <v>4351</v>
      </c>
      <c r="B4352" s="2" t="s">
        <v>26</v>
      </c>
      <c r="C4352" s="2" t="s">
        <v>11</v>
      </c>
      <c r="D4352">
        <v>58</v>
      </c>
      <c r="E4352" s="2" t="s">
        <v>29</v>
      </c>
      <c r="F4352" s="2" t="s">
        <v>13</v>
      </c>
      <c r="G4352">
        <v>46839</v>
      </c>
      <c r="H4352" s="1">
        <v>45265</v>
      </c>
      <c r="I4352">
        <v>3</v>
      </c>
      <c r="J4352">
        <v>3</v>
      </c>
      <c r="K4352">
        <v>4684</v>
      </c>
      <c r="L4352">
        <v>2342</v>
      </c>
      <c r="M4352">
        <v>49181</v>
      </c>
      <c r="N4352">
        <v>0</v>
      </c>
      <c r="O4352">
        <v>51523</v>
      </c>
    </row>
    <row r="4353" spans="1:15" x14ac:dyDescent="0.35">
      <c r="A4353">
        <v>4352</v>
      </c>
      <c r="B4353" s="2" t="s">
        <v>31</v>
      </c>
      <c r="C4353" s="2" t="s">
        <v>15</v>
      </c>
      <c r="D4353">
        <v>43</v>
      </c>
      <c r="E4353" s="2" t="s">
        <v>24</v>
      </c>
      <c r="F4353" s="2" t="s">
        <v>25</v>
      </c>
      <c r="G4353">
        <v>28910</v>
      </c>
      <c r="H4353" s="1">
        <v>45490</v>
      </c>
      <c r="I4353">
        <v>19</v>
      </c>
      <c r="J4353">
        <v>5</v>
      </c>
      <c r="K4353">
        <v>2891</v>
      </c>
      <c r="L4353">
        <v>1446</v>
      </c>
      <c r="M4353">
        <v>30355</v>
      </c>
      <c r="N4353">
        <v>1446</v>
      </c>
      <c r="O4353">
        <v>33247</v>
      </c>
    </row>
    <row r="4354" spans="1:15" x14ac:dyDescent="0.35">
      <c r="A4354">
        <v>4353</v>
      </c>
      <c r="B4354" s="2" t="s">
        <v>14</v>
      </c>
      <c r="C4354" s="2" t="s">
        <v>11</v>
      </c>
      <c r="D4354">
        <v>53</v>
      </c>
      <c r="E4354" s="2" t="s">
        <v>24</v>
      </c>
      <c r="F4354" s="2" t="s">
        <v>21</v>
      </c>
      <c r="G4354">
        <v>73891</v>
      </c>
      <c r="H4354" s="1">
        <v>44618</v>
      </c>
      <c r="I4354">
        <v>18</v>
      </c>
      <c r="J4354">
        <v>2</v>
      </c>
      <c r="K4354">
        <v>7389</v>
      </c>
      <c r="L4354">
        <v>3695</v>
      </c>
      <c r="M4354">
        <v>77585</v>
      </c>
      <c r="N4354">
        <v>3695</v>
      </c>
      <c r="O4354">
        <v>84975</v>
      </c>
    </row>
    <row r="4355" spans="1:15" x14ac:dyDescent="0.35">
      <c r="A4355">
        <v>4354</v>
      </c>
      <c r="B4355" s="2" t="s">
        <v>26</v>
      </c>
      <c r="C4355" s="2" t="s">
        <v>15</v>
      </c>
      <c r="D4355">
        <v>32</v>
      </c>
      <c r="E4355" s="2" t="s">
        <v>16</v>
      </c>
      <c r="F4355" s="2" t="s">
        <v>17</v>
      </c>
      <c r="G4355">
        <v>34588</v>
      </c>
      <c r="H4355" s="1">
        <v>45276</v>
      </c>
      <c r="I4355">
        <v>15</v>
      </c>
      <c r="J4355">
        <v>1</v>
      </c>
      <c r="K4355">
        <v>3459</v>
      </c>
      <c r="L4355">
        <v>1729</v>
      </c>
      <c r="M4355">
        <v>36318</v>
      </c>
      <c r="N4355">
        <v>1729</v>
      </c>
      <c r="O4355">
        <v>39776</v>
      </c>
    </row>
    <row r="4356" spans="1:15" x14ac:dyDescent="0.35">
      <c r="A4356">
        <v>4355</v>
      </c>
      <c r="B4356" s="2" t="s">
        <v>18</v>
      </c>
      <c r="C4356" s="2" t="s">
        <v>15</v>
      </c>
      <c r="D4356">
        <v>59</v>
      </c>
      <c r="E4356" s="2" t="s">
        <v>12</v>
      </c>
      <c r="F4356" s="2" t="s">
        <v>19</v>
      </c>
      <c r="G4356">
        <v>73232</v>
      </c>
      <c r="H4356" s="1">
        <v>45208</v>
      </c>
      <c r="I4356">
        <v>2</v>
      </c>
      <c r="J4356">
        <v>4</v>
      </c>
      <c r="K4356">
        <v>7323</v>
      </c>
      <c r="L4356">
        <v>3662</v>
      </c>
      <c r="M4356">
        <v>76893</v>
      </c>
      <c r="N4356">
        <v>0</v>
      </c>
      <c r="O4356">
        <v>80555</v>
      </c>
    </row>
    <row r="4357" spans="1:15" x14ac:dyDescent="0.35">
      <c r="A4357">
        <v>4356</v>
      </c>
      <c r="B4357" s="2" t="s">
        <v>27</v>
      </c>
      <c r="C4357" s="2" t="s">
        <v>11</v>
      </c>
      <c r="D4357">
        <v>32</v>
      </c>
      <c r="E4357" s="2" t="s">
        <v>29</v>
      </c>
      <c r="F4357" s="2" t="s">
        <v>21</v>
      </c>
      <c r="G4357">
        <v>21916</v>
      </c>
      <c r="H4357" s="1">
        <v>45067</v>
      </c>
      <c r="I4357">
        <v>3</v>
      </c>
      <c r="J4357">
        <v>3</v>
      </c>
      <c r="K4357">
        <v>2192</v>
      </c>
      <c r="L4357">
        <v>1096</v>
      </c>
      <c r="M4357">
        <v>23012</v>
      </c>
      <c r="N4357">
        <v>0</v>
      </c>
      <c r="O4357">
        <v>24108</v>
      </c>
    </row>
    <row r="4358" spans="1:15" x14ac:dyDescent="0.35">
      <c r="A4358">
        <v>4357</v>
      </c>
      <c r="B4358" s="2" t="s">
        <v>27</v>
      </c>
      <c r="C4358" s="2" t="s">
        <v>15</v>
      </c>
      <c r="D4358">
        <v>21</v>
      </c>
      <c r="E4358" s="2" t="s">
        <v>28</v>
      </c>
      <c r="F4358" s="2" t="s">
        <v>13</v>
      </c>
      <c r="G4358">
        <v>32735</v>
      </c>
      <c r="H4358" s="1">
        <v>45457</v>
      </c>
      <c r="I4358">
        <v>2</v>
      </c>
      <c r="J4358">
        <v>3</v>
      </c>
      <c r="K4358">
        <v>3274</v>
      </c>
      <c r="L4358">
        <v>1637</v>
      </c>
      <c r="M4358">
        <v>34372</v>
      </c>
      <c r="N4358">
        <v>0</v>
      </c>
      <c r="O4358">
        <v>36009</v>
      </c>
    </row>
    <row r="4359" spans="1:15" x14ac:dyDescent="0.35">
      <c r="A4359">
        <v>4358</v>
      </c>
      <c r="B4359" s="2" t="s">
        <v>10</v>
      </c>
      <c r="C4359" s="2" t="s">
        <v>15</v>
      </c>
      <c r="D4359">
        <v>60</v>
      </c>
      <c r="E4359" s="2" t="s">
        <v>16</v>
      </c>
      <c r="F4359" s="2" t="s">
        <v>17</v>
      </c>
      <c r="G4359">
        <v>97816</v>
      </c>
      <c r="H4359" s="1">
        <v>44880</v>
      </c>
      <c r="I4359">
        <v>4</v>
      </c>
      <c r="J4359">
        <v>2</v>
      </c>
      <c r="K4359">
        <v>9782</v>
      </c>
      <c r="L4359">
        <v>4891</v>
      </c>
      <c r="M4359">
        <v>102707</v>
      </c>
      <c r="N4359">
        <v>0</v>
      </c>
      <c r="O4359">
        <v>107598</v>
      </c>
    </row>
    <row r="4360" spans="1:15" x14ac:dyDescent="0.35">
      <c r="A4360">
        <v>4359</v>
      </c>
      <c r="B4360" s="2" t="s">
        <v>20</v>
      </c>
      <c r="C4360" s="2" t="s">
        <v>11</v>
      </c>
      <c r="D4360">
        <v>34</v>
      </c>
      <c r="E4360" s="2" t="s">
        <v>29</v>
      </c>
      <c r="F4360" s="2" t="s">
        <v>21</v>
      </c>
      <c r="G4360">
        <v>31994</v>
      </c>
      <c r="H4360" s="1">
        <v>45026</v>
      </c>
      <c r="I4360">
        <v>14</v>
      </c>
      <c r="J4360">
        <v>1</v>
      </c>
      <c r="K4360">
        <v>3199</v>
      </c>
      <c r="L4360">
        <v>1600</v>
      </c>
      <c r="M4360">
        <v>33593</v>
      </c>
      <c r="N4360">
        <v>1600</v>
      </c>
      <c r="O4360">
        <v>36793</v>
      </c>
    </row>
    <row r="4361" spans="1:15" x14ac:dyDescent="0.35">
      <c r="A4361">
        <v>4360</v>
      </c>
      <c r="B4361" s="2" t="s">
        <v>22</v>
      </c>
      <c r="C4361" s="2" t="s">
        <v>11</v>
      </c>
      <c r="D4361">
        <v>50</v>
      </c>
      <c r="E4361" s="2" t="s">
        <v>12</v>
      </c>
      <c r="F4361" s="2" t="s">
        <v>25</v>
      </c>
      <c r="G4361">
        <v>61926</v>
      </c>
      <c r="H4361" s="1">
        <v>45451</v>
      </c>
      <c r="I4361">
        <v>16</v>
      </c>
      <c r="J4361">
        <v>1</v>
      </c>
      <c r="K4361">
        <v>6193</v>
      </c>
      <c r="L4361">
        <v>3096</v>
      </c>
      <c r="M4361">
        <v>65023</v>
      </c>
      <c r="N4361">
        <v>3096</v>
      </c>
      <c r="O4361">
        <v>71215</v>
      </c>
    </row>
    <row r="4362" spans="1:15" x14ac:dyDescent="0.35">
      <c r="A4362">
        <v>4361</v>
      </c>
      <c r="B4362" s="2" t="s">
        <v>27</v>
      </c>
      <c r="C4362" s="2" t="s">
        <v>11</v>
      </c>
      <c r="D4362">
        <v>60</v>
      </c>
      <c r="E4362" s="2" t="s">
        <v>12</v>
      </c>
      <c r="F4362" s="2" t="s">
        <v>13</v>
      </c>
      <c r="G4362">
        <v>85437</v>
      </c>
      <c r="H4362" s="1">
        <v>45217</v>
      </c>
      <c r="I4362">
        <v>3</v>
      </c>
      <c r="J4362">
        <v>4</v>
      </c>
      <c r="K4362">
        <v>8544</v>
      </c>
      <c r="L4362">
        <v>4272</v>
      </c>
      <c r="M4362">
        <v>89709</v>
      </c>
      <c r="N4362">
        <v>0</v>
      </c>
      <c r="O4362">
        <v>93981</v>
      </c>
    </row>
    <row r="4363" spans="1:15" x14ac:dyDescent="0.35">
      <c r="A4363">
        <v>4362</v>
      </c>
      <c r="B4363" s="2" t="s">
        <v>26</v>
      </c>
      <c r="C4363" s="2" t="s">
        <v>15</v>
      </c>
      <c r="D4363">
        <v>56</v>
      </c>
      <c r="E4363" s="2" t="s">
        <v>12</v>
      </c>
      <c r="F4363" s="2" t="s">
        <v>13</v>
      </c>
      <c r="G4363">
        <v>81250</v>
      </c>
      <c r="H4363" s="1">
        <v>44616</v>
      </c>
      <c r="I4363">
        <v>10</v>
      </c>
      <c r="J4363">
        <v>3</v>
      </c>
      <c r="K4363">
        <v>8125</v>
      </c>
      <c r="L4363">
        <v>4062</v>
      </c>
      <c r="M4363">
        <v>85313</v>
      </c>
      <c r="N4363">
        <v>4062</v>
      </c>
      <c r="O4363">
        <v>93437</v>
      </c>
    </row>
    <row r="4364" spans="1:15" x14ac:dyDescent="0.35">
      <c r="A4364">
        <v>4363</v>
      </c>
      <c r="B4364" s="2" t="s">
        <v>27</v>
      </c>
      <c r="C4364" s="2" t="s">
        <v>11</v>
      </c>
      <c r="D4364">
        <v>27</v>
      </c>
      <c r="E4364" s="2" t="s">
        <v>29</v>
      </c>
      <c r="F4364" s="2" t="s">
        <v>13</v>
      </c>
      <c r="G4364">
        <v>20385</v>
      </c>
      <c r="H4364" s="1">
        <v>45325</v>
      </c>
      <c r="I4364">
        <v>18</v>
      </c>
      <c r="J4364">
        <v>1</v>
      </c>
      <c r="K4364">
        <v>2038</v>
      </c>
      <c r="L4364">
        <v>1019</v>
      </c>
      <c r="M4364">
        <v>21404</v>
      </c>
      <c r="N4364">
        <v>1019</v>
      </c>
      <c r="O4364">
        <v>23442</v>
      </c>
    </row>
    <row r="4365" spans="1:15" x14ac:dyDescent="0.35">
      <c r="A4365">
        <v>4364</v>
      </c>
      <c r="B4365" s="2" t="s">
        <v>31</v>
      </c>
      <c r="C4365" s="2" t="s">
        <v>11</v>
      </c>
      <c r="D4365">
        <v>27</v>
      </c>
      <c r="E4365" s="2" t="s">
        <v>28</v>
      </c>
      <c r="F4365" s="2" t="s">
        <v>21</v>
      </c>
      <c r="G4365">
        <v>91128</v>
      </c>
      <c r="H4365" s="1">
        <v>45322</v>
      </c>
      <c r="I4365">
        <v>19</v>
      </c>
      <c r="J4365">
        <v>2</v>
      </c>
      <c r="K4365">
        <v>9113</v>
      </c>
      <c r="L4365">
        <v>4556</v>
      </c>
      <c r="M4365">
        <v>95685</v>
      </c>
      <c r="N4365">
        <v>4556</v>
      </c>
      <c r="O4365">
        <v>104797</v>
      </c>
    </row>
    <row r="4366" spans="1:15" x14ac:dyDescent="0.35">
      <c r="A4366">
        <v>4365</v>
      </c>
      <c r="B4366" s="2" t="s">
        <v>27</v>
      </c>
      <c r="C4366" s="2" t="s">
        <v>15</v>
      </c>
      <c r="D4366">
        <v>27</v>
      </c>
      <c r="E4366" s="2" t="s">
        <v>16</v>
      </c>
      <c r="F4366" s="2" t="s">
        <v>17</v>
      </c>
      <c r="G4366">
        <v>99488</v>
      </c>
      <c r="H4366" s="1">
        <v>44564</v>
      </c>
      <c r="I4366">
        <v>18</v>
      </c>
      <c r="J4366">
        <v>2</v>
      </c>
      <c r="K4366">
        <v>9949</v>
      </c>
      <c r="L4366">
        <v>4974</v>
      </c>
      <c r="M4366">
        <v>104463</v>
      </c>
      <c r="N4366">
        <v>4974</v>
      </c>
      <c r="O4366">
        <v>114411</v>
      </c>
    </row>
    <row r="4367" spans="1:15" x14ac:dyDescent="0.35">
      <c r="A4367">
        <v>4366</v>
      </c>
      <c r="B4367" s="2" t="s">
        <v>20</v>
      </c>
      <c r="C4367" s="2" t="s">
        <v>15</v>
      </c>
      <c r="D4367">
        <v>46</v>
      </c>
      <c r="E4367" s="2" t="s">
        <v>16</v>
      </c>
      <c r="F4367" s="2" t="s">
        <v>17</v>
      </c>
      <c r="G4367">
        <v>42325</v>
      </c>
      <c r="H4367" s="1">
        <v>45276</v>
      </c>
      <c r="I4367">
        <v>6</v>
      </c>
      <c r="J4367">
        <v>5</v>
      </c>
      <c r="K4367">
        <v>4232</v>
      </c>
      <c r="L4367">
        <v>2116</v>
      </c>
      <c r="M4367">
        <v>44441</v>
      </c>
      <c r="N4367">
        <v>2116</v>
      </c>
      <c r="O4367">
        <v>48673</v>
      </c>
    </row>
    <row r="4368" spans="1:15" x14ac:dyDescent="0.35">
      <c r="A4368">
        <v>4367</v>
      </c>
      <c r="B4368" s="2" t="s">
        <v>26</v>
      </c>
      <c r="C4368" s="2" t="s">
        <v>11</v>
      </c>
      <c r="D4368">
        <v>25</v>
      </c>
      <c r="E4368" s="2" t="s">
        <v>29</v>
      </c>
      <c r="F4368" s="2" t="s">
        <v>19</v>
      </c>
      <c r="G4368">
        <v>73325</v>
      </c>
      <c r="H4368" s="1">
        <v>45431</v>
      </c>
      <c r="I4368">
        <v>8</v>
      </c>
      <c r="J4368">
        <v>2</v>
      </c>
      <c r="K4368">
        <v>7332</v>
      </c>
      <c r="L4368">
        <v>3666</v>
      </c>
      <c r="M4368">
        <v>76991</v>
      </c>
      <c r="N4368">
        <v>3666</v>
      </c>
      <c r="O4368">
        <v>84323</v>
      </c>
    </row>
    <row r="4369" spans="1:15" x14ac:dyDescent="0.35">
      <c r="A4369">
        <v>4368</v>
      </c>
      <c r="B4369" s="2" t="s">
        <v>20</v>
      </c>
      <c r="C4369" s="2" t="s">
        <v>15</v>
      </c>
      <c r="D4369">
        <v>24</v>
      </c>
      <c r="E4369" s="2" t="s">
        <v>12</v>
      </c>
      <c r="F4369" s="2" t="s">
        <v>13</v>
      </c>
      <c r="G4369">
        <v>44767</v>
      </c>
      <c r="H4369" s="1">
        <v>44562</v>
      </c>
      <c r="I4369">
        <v>7</v>
      </c>
      <c r="J4369">
        <v>1</v>
      </c>
      <c r="K4369">
        <v>4477</v>
      </c>
      <c r="L4369">
        <v>2238</v>
      </c>
      <c r="M4369">
        <v>47006</v>
      </c>
      <c r="N4369">
        <v>2238</v>
      </c>
      <c r="O4369">
        <v>51482</v>
      </c>
    </row>
    <row r="4370" spans="1:15" x14ac:dyDescent="0.35">
      <c r="A4370">
        <v>4369</v>
      </c>
      <c r="B4370" s="2" t="s">
        <v>27</v>
      </c>
      <c r="C4370" s="2" t="s">
        <v>15</v>
      </c>
      <c r="D4370">
        <v>54</v>
      </c>
      <c r="E4370" s="2" t="s">
        <v>12</v>
      </c>
      <c r="F4370" s="2" t="s">
        <v>17</v>
      </c>
      <c r="G4370">
        <v>88746</v>
      </c>
      <c r="H4370" s="1">
        <v>44931</v>
      </c>
      <c r="I4370">
        <v>1</v>
      </c>
      <c r="J4370">
        <v>2</v>
      </c>
      <c r="K4370">
        <v>8875</v>
      </c>
      <c r="L4370">
        <v>4437</v>
      </c>
      <c r="M4370">
        <v>93184</v>
      </c>
      <c r="N4370">
        <v>0</v>
      </c>
      <c r="O4370">
        <v>97621</v>
      </c>
    </row>
    <row r="4371" spans="1:15" x14ac:dyDescent="0.35">
      <c r="A4371">
        <v>4370</v>
      </c>
      <c r="B4371" s="2" t="s">
        <v>22</v>
      </c>
      <c r="C4371" s="2" t="s">
        <v>11</v>
      </c>
      <c r="D4371">
        <v>53</v>
      </c>
      <c r="E4371" s="2" t="s">
        <v>29</v>
      </c>
      <c r="F4371" s="2" t="s">
        <v>13</v>
      </c>
      <c r="G4371">
        <v>67015</v>
      </c>
      <c r="H4371" s="1">
        <v>44866</v>
      </c>
      <c r="I4371">
        <v>10</v>
      </c>
      <c r="J4371">
        <v>4</v>
      </c>
      <c r="K4371">
        <v>6702</v>
      </c>
      <c r="L4371">
        <v>3351</v>
      </c>
      <c r="M4371">
        <v>70366</v>
      </c>
      <c r="N4371">
        <v>3351</v>
      </c>
      <c r="O4371">
        <v>77068</v>
      </c>
    </row>
    <row r="4372" spans="1:15" x14ac:dyDescent="0.35">
      <c r="A4372">
        <v>4371</v>
      </c>
      <c r="B4372" s="2" t="s">
        <v>26</v>
      </c>
      <c r="C4372" s="2" t="s">
        <v>11</v>
      </c>
      <c r="D4372">
        <v>53</v>
      </c>
      <c r="E4372" s="2" t="s">
        <v>16</v>
      </c>
      <c r="F4372" s="2" t="s">
        <v>17</v>
      </c>
      <c r="G4372">
        <v>47206</v>
      </c>
      <c r="H4372" s="1">
        <v>44944</v>
      </c>
      <c r="I4372">
        <v>2</v>
      </c>
      <c r="J4372">
        <v>3</v>
      </c>
      <c r="K4372">
        <v>4721</v>
      </c>
      <c r="L4372">
        <v>2360</v>
      </c>
      <c r="M4372">
        <v>49567</v>
      </c>
      <c r="N4372">
        <v>0</v>
      </c>
      <c r="O4372">
        <v>51927</v>
      </c>
    </row>
    <row r="4373" spans="1:15" x14ac:dyDescent="0.35">
      <c r="A4373">
        <v>4372</v>
      </c>
      <c r="B4373" s="2" t="s">
        <v>30</v>
      </c>
      <c r="C4373" s="2" t="s">
        <v>11</v>
      </c>
      <c r="D4373">
        <v>50</v>
      </c>
      <c r="E4373" s="2" t="s">
        <v>16</v>
      </c>
      <c r="F4373" s="2" t="s">
        <v>19</v>
      </c>
      <c r="G4373">
        <v>67970</v>
      </c>
      <c r="H4373" s="1">
        <v>44869</v>
      </c>
      <c r="I4373">
        <v>15</v>
      </c>
      <c r="J4373">
        <v>4</v>
      </c>
      <c r="K4373">
        <v>6797</v>
      </c>
      <c r="L4373">
        <v>3398</v>
      </c>
      <c r="M4373">
        <v>71369</v>
      </c>
      <c r="N4373">
        <v>3398</v>
      </c>
      <c r="O4373">
        <v>78165</v>
      </c>
    </row>
    <row r="4374" spans="1:15" x14ac:dyDescent="0.35">
      <c r="A4374">
        <v>4373</v>
      </c>
      <c r="B4374" s="2" t="s">
        <v>14</v>
      </c>
      <c r="C4374" s="2" t="s">
        <v>15</v>
      </c>
      <c r="D4374">
        <v>51</v>
      </c>
      <c r="E4374" s="2" t="s">
        <v>28</v>
      </c>
      <c r="F4374" s="2" t="s">
        <v>19</v>
      </c>
      <c r="G4374">
        <v>79569</v>
      </c>
      <c r="H4374" s="1">
        <v>45558</v>
      </c>
      <c r="I4374">
        <v>9</v>
      </c>
      <c r="J4374">
        <v>2</v>
      </c>
      <c r="K4374">
        <v>7957</v>
      </c>
      <c r="L4374">
        <v>3978</v>
      </c>
      <c r="M4374">
        <v>83548</v>
      </c>
      <c r="N4374">
        <v>3978</v>
      </c>
      <c r="O4374">
        <v>91504</v>
      </c>
    </row>
    <row r="4375" spans="1:15" x14ac:dyDescent="0.35">
      <c r="A4375">
        <v>4374</v>
      </c>
      <c r="B4375" s="2" t="s">
        <v>22</v>
      </c>
      <c r="C4375" s="2" t="s">
        <v>15</v>
      </c>
      <c r="D4375">
        <v>25</v>
      </c>
      <c r="E4375" s="2" t="s">
        <v>24</v>
      </c>
      <c r="F4375" s="2" t="s">
        <v>25</v>
      </c>
      <c r="G4375">
        <v>54399</v>
      </c>
      <c r="H4375" s="1">
        <v>44941</v>
      </c>
      <c r="I4375">
        <v>7</v>
      </c>
      <c r="J4375">
        <v>4</v>
      </c>
      <c r="K4375">
        <v>5440</v>
      </c>
      <c r="L4375">
        <v>2720</v>
      </c>
      <c r="M4375">
        <v>57119</v>
      </c>
      <c r="N4375">
        <v>2720</v>
      </c>
      <c r="O4375">
        <v>62559</v>
      </c>
    </row>
    <row r="4376" spans="1:15" x14ac:dyDescent="0.35">
      <c r="A4376">
        <v>4375</v>
      </c>
      <c r="B4376" s="2" t="s">
        <v>26</v>
      </c>
      <c r="C4376" s="2" t="s">
        <v>11</v>
      </c>
      <c r="D4376">
        <v>23</v>
      </c>
      <c r="E4376" s="2" t="s">
        <v>16</v>
      </c>
      <c r="F4376" s="2" t="s">
        <v>13</v>
      </c>
      <c r="G4376">
        <v>31873</v>
      </c>
      <c r="H4376" s="1">
        <v>45153</v>
      </c>
      <c r="I4376">
        <v>7</v>
      </c>
      <c r="J4376">
        <v>5</v>
      </c>
      <c r="K4376">
        <v>3187</v>
      </c>
      <c r="L4376">
        <v>1594</v>
      </c>
      <c r="M4376">
        <v>33466</v>
      </c>
      <c r="N4376">
        <v>1594</v>
      </c>
      <c r="O4376">
        <v>36654</v>
      </c>
    </row>
    <row r="4377" spans="1:15" x14ac:dyDescent="0.35">
      <c r="A4377">
        <v>4376</v>
      </c>
      <c r="B4377" s="2" t="s">
        <v>18</v>
      </c>
      <c r="C4377" s="2" t="s">
        <v>15</v>
      </c>
      <c r="D4377">
        <v>29</v>
      </c>
      <c r="E4377" s="2" t="s">
        <v>28</v>
      </c>
      <c r="F4377" s="2" t="s">
        <v>19</v>
      </c>
      <c r="G4377">
        <v>36794</v>
      </c>
      <c r="H4377" s="1">
        <v>44730</v>
      </c>
      <c r="I4377">
        <v>14</v>
      </c>
      <c r="J4377">
        <v>1</v>
      </c>
      <c r="K4377">
        <v>3679</v>
      </c>
      <c r="L4377">
        <v>1840</v>
      </c>
      <c r="M4377">
        <v>38633</v>
      </c>
      <c r="N4377">
        <v>1840</v>
      </c>
      <c r="O4377">
        <v>42313</v>
      </c>
    </row>
    <row r="4378" spans="1:15" x14ac:dyDescent="0.35">
      <c r="A4378">
        <v>4377</v>
      </c>
      <c r="B4378" s="2" t="s">
        <v>30</v>
      </c>
      <c r="C4378" s="2" t="s">
        <v>11</v>
      </c>
      <c r="D4378">
        <v>34</v>
      </c>
      <c r="E4378" s="2" t="s">
        <v>29</v>
      </c>
      <c r="F4378" s="2" t="s">
        <v>25</v>
      </c>
      <c r="G4378">
        <v>28719</v>
      </c>
      <c r="H4378" s="1">
        <v>44774</v>
      </c>
      <c r="I4378">
        <v>9</v>
      </c>
      <c r="J4378">
        <v>1</v>
      </c>
      <c r="K4378">
        <v>2872</v>
      </c>
      <c r="L4378">
        <v>1436</v>
      </c>
      <c r="M4378">
        <v>30155</v>
      </c>
      <c r="N4378">
        <v>1436</v>
      </c>
      <c r="O4378">
        <v>33027</v>
      </c>
    </row>
    <row r="4379" spans="1:15" x14ac:dyDescent="0.35">
      <c r="A4379">
        <v>4378</v>
      </c>
      <c r="B4379" s="2" t="s">
        <v>10</v>
      </c>
      <c r="C4379" s="2" t="s">
        <v>11</v>
      </c>
      <c r="D4379">
        <v>39</v>
      </c>
      <c r="E4379" s="2" t="s">
        <v>29</v>
      </c>
      <c r="F4379" s="2" t="s">
        <v>21</v>
      </c>
      <c r="G4379">
        <v>59036</v>
      </c>
      <c r="H4379" s="1">
        <v>45436</v>
      </c>
      <c r="I4379">
        <v>4</v>
      </c>
      <c r="J4379">
        <v>3</v>
      </c>
      <c r="K4379">
        <v>5904</v>
      </c>
      <c r="L4379">
        <v>2952</v>
      </c>
      <c r="M4379">
        <v>61988</v>
      </c>
      <c r="N4379">
        <v>0</v>
      </c>
      <c r="O4379">
        <v>64940</v>
      </c>
    </row>
    <row r="4380" spans="1:15" x14ac:dyDescent="0.35">
      <c r="A4380">
        <v>4379</v>
      </c>
      <c r="B4380" s="2" t="s">
        <v>22</v>
      </c>
      <c r="C4380" s="2" t="s">
        <v>11</v>
      </c>
      <c r="D4380">
        <v>35</v>
      </c>
      <c r="E4380" s="2" t="s">
        <v>12</v>
      </c>
      <c r="F4380" s="2" t="s">
        <v>21</v>
      </c>
      <c r="G4380">
        <v>89135</v>
      </c>
      <c r="H4380" s="1">
        <v>45209</v>
      </c>
      <c r="I4380">
        <v>17</v>
      </c>
      <c r="J4380">
        <v>2</v>
      </c>
      <c r="K4380">
        <v>8914</v>
      </c>
      <c r="L4380">
        <v>4457</v>
      </c>
      <c r="M4380">
        <v>93592</v>
      </c>
      <c r="N4380">
        <v>4457</v>
      </c>
      <c r="O4380">
        <v>102506</v>
      </c>
    </row>
    <row r="4381" spans="1:15" x14ac:dyDescent="0.35">
      <c r="A4381">
        <v>4380</v>
      </c>
      <c r="B4381" s="2" t="s">
        <v>31</v>
      </c>
      <c r="C4381" s="2" t="s">
        <v>11</v>
      </c>
      <c r="D4381">
        <v>30</v>
      </c>
      <c r="E4381" s="2" t="s">
        <v>29</v>
      </c>
      <c r="F4381" s="2" t="s">
        <v>17</v>
      </c>
      <c r="G4381">
        <v>22390</v>
      </c>
      <c r="H4381" s="1">
        <v>44840</v>
      </c>
      <c r="I4381">
        <v>10</v>
      </c>
      <c r="J4381">
        <v>3</v>
      </c>
      <c r="K4381">
        <v>2239</v>
      </c>
      <c r="L4381">
        <v>1120</v>
      </c>
      <c r="M4381">
        <v>23509</v>
      </c>
      <c r="N4381">
        <v>1120</v>
      </c>
      <c r="O4381">
        <v>25749</v>
      </c>
    </row>
    <row r="4382" spans="1:15" x14ac:dyDescent="0.35">
      <c r="A4382">
        <v>4381</v>
      </c>
      <c r="B4382" s="2" t="s">
        <v>14</v>
      </c>
      <c r="C4382" s="2" t="s">
        <v>11</v>
      </c>
      <c r="D4382">
        <v>54</v>
      </c>
      <c r="E4382" s="2" t="s">
        <v>29</v>
      </c>
      <c r="F4382" s="2" t="s">
        <v>13</v>
      </c>
      <c r="G4382">
        <v>81126</v>
      </c>
      <c r="H4382" s="1">
        <v>45000</v>
      </c>
      <c r="I4382">
        <v>14</v>
      </c>
      <c r="J4382">
        <v>2</v>
      </c>
      <c r="K4382">
        <v>8113</v>
      </c>
      <c r="L4382">
        <v>4056</v>
      </c>
      <c r="M4382">
        <v>85183</v>
      </c>
      <c r="N4382">
        <v>4056</v>
      </c>
      <c r="O4382">
        <v>93295</v>
      </c>
    </row>
    <row r="4383" spans="1:15" x14ac:dyDescent="0.35">
      <c r="A4383">
        <v>4382</v>
      </c>
      <c r="B4383" s="2" t="s">
        <v>20</v>
      </c>
      <c r="C4383" s="2" t="s">
        <v>15</v>
      </c>
      <c r="D4383">
        <v>47</v>
      </c>
      <c r="E4383" s="2" t="s">
        <v>12</v>
      </c>
      <c r="F4383" s="2" t="s">
        <v>17</v>
      </c>
      <c r="G4383">
        <v>90034</v>
      </c>
      <c r="H4383" s="1">
        <v>44827</v>
      </c>
      <c r="I4383">
        <v>20</v>
      </c>
      <c r="J4383">
        <v>3</v>
      </c>
      <c r="K4383">
        <v>9003</v>
      </c>
      <c r="L4383">
        <v>4502</v>
      </c>
      <c r="M4383">
        <v>94535</v>
      </c>
      <c r="N4383">
        <v>4502</v>
      </c>
      <c r="O4383">
        <v>103539</v>
      </c>
    </row>
    <row r="4384" spans="1:15" x14ac:dyDescent="0.35">
      <c r="A4384">
        <v>4383</v>
      </c>
      <c r="B4384" s="2" t="s">
        <v>18</v>
      </c>
      <c r="C4384" s="2" t="s">
        <v>11</v>
      </c>
      <c r="D4384">
        <v>55</v>
      </c>
      <c r="E4384" s="2" t="s">
        <v>24</v>
      </c>
      <c r="F4384" s="2" t="s">
        <v>21</v>
      </c>
      <c r="G4384">
        <v>44500</v>
      </c>
      <c r="H4384" s="1">
        <v>45390</v>
      </c>
      <c r="I4384">
        <v>12</v>
      </c>
      <c r="J4384">
        <v>1</v>
      </c>
      <c r="K4384">
        <v>4450</v>
      </c>
      <c r="L4384">
        <v>2225</v>
      </c>
      <c r="M4384">
        <v>46725</v>
      </c>
      <c r="N4384">
        <v>2225</v>
      </c>
      <c r="O4384">
        <v>51175</v>
      </c>
    </row>
    <row r="4385" spans="1:15" x14ac:dyDescent="0.35">
      <c r="A4385">
        <v>4384</v>
      </c>
      <c r="B4385" s="2" t="s">
        <v>27</v>
      </c>
      <c r="C4385" s="2" t="s">
        <v>11</v>
      </c>
      <c r="D4385">
        <v>41</v>
      </c>
      <c r="E4385" s="2" t="s">
        <v>16</v>
      </c>
      <c r="F4385" s="2" t="s">
        <v>21</v>
      </c>
      <c r="G4385">
        <v>72044</v>
      </c>
      <c r="H4385" s="1">
        <v>45200</v>
      </c>
      <c r="I4385">
        <v>20</v>
      </c>
      <c r="J4385">
        <v>1</v>
      </c>
      <c r="K4385">
        <v>7204</v>
      </c>
      <c r="L4385">
        <v>3602</v>
      </c>
      <c r="M4385">
        <v>75646</v>
      </c>
      <c r="N4385">
        <v>3602</v>
      </c>
      <c r="O4385">
        <v>82850</v>
      </c>
    </row>
    <row r="4386" spans="1:15" x14ac:dyDescent="0.35">
      <c r="A4386">
        <v>4385</v>
      </c>
      <c r="B4386" s="2" t="s">
        <v>10</v>
      </c>
      <c r="C4386" s="2" t="s">
        <v>11</v>
      </c>
      <c r="D4386">
        <v>57</v>
      </c>
      <c r="E4386" s="2" t="s">
        <v>28</v>
      </c>
      <c r="F4386" s="2" t="s">
        <v>13</v>
      </c>
      <c r="G4386">
        <v>59938</v>
      </c>
      <c r="H4386" s="1">
        <v>45431</v>
      </c>
      <c r="I4386">
        <v>12</v>
      </c>
      <c r="J4386">
        <v>5</v>
      </c>
      <c r="K4386">
        <v>5994</v>
      </c>
      <c r="L4386">
        <v>2997</v>
      </c>
      <c r="M4386">
        <v>62935</v>
      </c>
      <c r="N4386">
        <v>2997</v>
      </c>
      <c r="O4386">
        <v>68929</v>
      </c>
    </row>
    <row r="4387" spans="1:15" x14ac:dyDescent="0.35">
      <c r="A4387">
        <v>4386</v>
      </c>
      <c r="B4387" s="2" t="s">
        <v>10</v>
      </c>
      <c r="C4387" s="2" t="s">
        <v>15</v>
      </c>
      <c r="D4387">
        <v>31</v>
      </c>
      <c r="E4387" s="2" t="s">
        <v>16</v>
      </c>
      <c r="F4387" s="2" t="s">
        <v>21</v>
      </c>
      <c r="G4387">
        <v>37687</v>
      </c>
      <c r="H4387" s="1">
        <v>45311</v>
      </c>
      <c r="I4387">
        <v>5</v>
      </c>
      <c r="J4387">
        <v>1</v>
      </c>
      <c r="K4387">
        <v>3769</v>
      </c>
      <c r="L4387">
        <v>1884</v>
      </c>
      <c r="M4387">
        <v>39572</v>
      </c>
      <c r="N4387">
        <v>0</v>
      </c>
      <c r="O4387">
        <v>41456</v>
      </c>
    </row>
    <row r="4388" spans="1:15" x14ac:dyDescent="0.35">
      <c r="A4388">
        <v>4387</v>
      </c>
      <c r="B4388" s="2" t="s">
        <v>23</v>
      </c>
      <c r="C4388" s="2" t="s">
        <v>11</v>
      </c>
      <c r="D4388">
        <v>50</v>
      </c>
      <c r="E4388" s="2" t="s">
        <v>16</v>
      </c>
      <c r="F4388" s="2" t="s">
        <v>21</v>
      </c>
      <c r="G4388">
        <v>80158</v>
      </c>
      <c r="H4388" s="1">
        <v>45311</v>
      </c>
      <c r="I4388">
        <v>11</v>
      </c>
      <c r="J4388">
        <v>5</v>
      </c>
      <c r="K4388">
        <v>8016</v>
      </c>
      <c r="L4388">
        <v>4008</v>
      </c>
      <c r="M4388">
        <v>84166</v>
      </c>
      <c r="N4388">
        <v>4008</v>
      </c>
      <c r="O4388">
        <v>92182</v>
      </c>
    </row>
    <row r="4389" spans="1:15" x14ac:dyDescent="0.35">
      <c r="A4389">
        <v>4388</v>
      </c>
      <c r="B4389" s="2" t="s">
        <v>23</v>
      </c>
      <c r="C4389" s="2" t="s">
        <v>15</v>
      </c>
      <c r="D4389">
        <v>56</v>
      </c>
      <c r="E4389" s="2" t="s">
        <v>28</v>
      </c>
      <c r="F4389" s="2" t="s">
        <v>21</v>
      </c>
      <c r="G4389">
        <v>21276</v>
      </c>
      <c r="H4389" s="1">
        <v>45417</v>
      </c>
      <c r="I4389">
        <v>10</v>
      </c>
      <c r="J4389">
        <v>2</v>
      </c>
      <c r="K4389">
        <v>2128</v>
      </c>
      <c r="L4389">
        <v>1064</v>
      </c>
      <c r="M4389">
        <v>22340</v>
      </c>
      <c r="N4389">
        <v>1064</v>
      </c>
      <c r="O4389">
        <v>24468</v>
      </c>
    </row>
    <row r="4390" spans="1:15" x14ac:dyDescent="0.35">
      <c r="A4390">
        <v>4389</v>
      </c>
      <c r="B4390" s="2" t="s">
        <v>30</v>
      </c>
      <c r="C4390" s="2" t="s">
        <v>15</v>
      </c>
      <c r="D4390">
        <v>32</v>
      </c>
      <c r="E4390" s="2" t="s">
        <v>29</v>
      </c>
      <c r="F4390" s="2" t="s">
        <v>21</v>
      </c>
      <c r="G4390">
        <v>91887</v>
      </c>
      <c r="H4390" s="1">
        <v>44899</v>
      </c>
      <c r="I4390">
        <v>6</v>
      </c>
      <c r="J4390">
        <v>3</v>
      </c>
      <c r="K4390">
        <v>9189</v>
      </c>
      <c r="L4390">
        <v>4594</v>
      </c>
      <c r="M4390">
        <v>96482</v>
      </c>
      <c r="N4390">
        <v>4594</v>
      </c>
      <c r="O4390">
        <v>105670</v>
      </c>
    </row>
    <row r="4391" spans="1:15" x14ac:dyDescent="0.35">
      <c r="A4391">
        <v>4390</v>
      </c>
      <c r="B4391" s="2" t="s">
        <v>26</v>
      </c>
      <c r="C4391" s="2" t="s">
        <v>15</v>
      </c>
      <c r="D4391">
        <v>31</v>
      </c>
      <c r="E4391" s="2" t="s">
        <v>28</v>
      </c>
      <c r="F4391" s="2" t="s">
        <v>21</v>
      </c>
      <c r="G4391">
        <v>60570</v>
      </c>
      <c r="H4391" s="1">
        <v>45352</v>
      </c>
      <c r="I4391">
        <v>18</v>
      </c>
      <c r="J4391">
        <v>1</v>
      </c>
      <c r="K4391">
        <v>6057</v>
      </c>
      <c r="L4391">
        <v>3028</v>
      </c>
      <c r="M4391">
        <v>63599</v>
      </c>
      <c r="N4391">
        <v>3028</v>
      </c>
      <c r="O4391">
        <v>69655</v>
      </c>
    </row>
    <row r="4392" spans="1:15" x14ac:dyDescent="0.35">
      <c r="A4392">
        <v>4391</v>
      </c>
      <c r="B4392" s="2" t="s">
        <v>23</v>
      </c>
      <c r="C4392" s="2" t="s">
        <v>15</v>
      </c>
      <c r="D4392">
        <v>49</v>
      </c>
      <c r="E4392" s="2" t="s">
        <v>12</v>
      </c>
      <c r="F4392" s="2" t="s">
        <v>25</v>
      </c>
      <c r="G4392">
        <v>36608</v>
      </c>
      <c r="H4392" s="1">
        <v>44906</v>
      </c>
      <c r="I4392">
        <v>7</v>
      </c>
      <c r="J4392">
        <v>1</v>
      </c>
      <c r="K4392">
        <v>3661</v>
      </c>
      <c r="L4392">
        <v>1830</v>
      </c>
      <c r="M4392">
        <v>38439</v>
      </c>
      <c r="N4392">
        <v>1830</v>
      </c>
      <c r="O4392">
        <v>42099</v>
      </c>
    </row>
    <row r="4393" spans="1:15" x14ac:dyDescent="0.35">
      <c r="A4393">
        <v>4392</v>
      </c>
      <c r="B4393" s="2" t="s">
        <v>18</v>
      </c>
      <c r="C4393" s="2" t="s">
        <v>11</v>
      </c>
      <c r="D4393">
        <v>47</v>
      </c>
      <c r="E4393" s="2" t="s">
        <v>24</v>
      </c>
      <c r="F4393" s="2" t="s">
        <v>13</v>
      </c>
      <c r="G4393">
        <v>49942</v>
      </c>
      <c r="H4393" s="1">
        <v>44737</v>
      </c>
      <c r="I4393">
        <v>17</v>
      </c>
      <c r="J4393">
        <v>3</v>
      </c>
      <c r="K4393">
        <v>4994</v>
      </c>
      <c r="L4393">
        <v>2497</v>
      </c>
      <c r="M4393">
        <v>52439</v>
      </c>
      <c r="N4393">
        <v>2497</v>
      </c>
      <c r="O4393">
        <v>57433</v>
      </c>
    </row>
    <row r="4394" spans="1:15" x14ac:dyDescent="0.35">
      <c r="A4394">
        <v>4393</v>
      </c>
      <c r="B4394" s="2" t="s">
        <v>14</v>
      </c>
      <c r="C4394" s="2" t="s">
        <v>11</v>
      </c>
      <c r="D4394">
        <v>34</v>
      </c>
      <c r="E4394" s="2" t="s">
        <v>24</v>
      </c>
      <c r="F4394" s="2" t="s">
        <v>17</v>
      </c>
      <c r="G4394">
        <v>70367</v>
      </c>
      <c r="H4394" s="1">
        <v>44925</v>
      </c>
      <c r="I4394">
        <v>1</v>
      </c>
      <c r="J4394">
        <v>2</v>
      </c>
      <c r="K4394">
        <v>7037</v>
      </c>
      <c r="L4394">
        <v>3518</v>
      </c>
      <c r="M4394">
        <v>73886</v>
      </c>
      <c r="N4394">
        <v>0</v>
      </c>
      <c r="O4394">
        <v>77404</v>
      </c>
    </row>
    <row r="4395" spans="1:15" x14ac:dyDescent="0.35">
      <c r="A4395">
        <v>4394</v>
      </c>
      <c r="B4395" s="2" t="s">
        <v>27</v>
      </c>
      <c r="C4395" s="2" t="s">
        <v>11</v>
      </c>
      <c r="D4395">
        <v>60</v>
      </c>
      <c r="E4395" s="2" t="s">
        <v>16</v>
      </c>
      <c r="F4395" s="2" t="s">
        <v>13</v>
      </c>
      <c r="G4395">
        <v>88602</v>
      </c>
      <c r="H4395" s="1">
        <v>44790</v>
      </c>
      <c r="I4395">
        <v>15</v>
      </c>
      <c r="J4395">
        <v>1</v>
      </c>
      <c r="K4395">
        <v>8860</v>
      </c>
      <c r="L4395">
        <v>4430</v>
      </c>
      <c r="M4395">
        <v>93032</v>
      </c>
      <c r="N4395">
        <v>4430</v>
      </c>
      <c r="O4395">
        <v>101892</v>
      </c>
    </row>
    <row r="4396" spans="1:15" x14ac:dyDescent="0.35">
      <c r="A4396">
        <v>4395</v>
      </c>
      <c r="B4396" s="2" t="s">
        <v>14</v>
      </c>
      <c r="C4396" s="2" t="s">
        <v>15</v>
      </c>
      <c r="D4396">
        <v>42</v>
      </c>
      <c r="E4396" s="2" t="s">
        <v>24</v>
      </c>
      <c r="F4396" s="2" t="s">
        <v>25</v>
      </c>
      <c r="G4396">
        <v>74151</v>
      </c>
      <c r="H4396" s="1">
        <v>44777</v>
      </c>
      <c r="I4396">
        <v>14</v>
      </c>
      <c r="J4396">
        <v>4</v>
      </c>
      <c r="K4396">
        <v>7415</v>
      </c>
      <c r="L4396">
        <v>3708</v>
      </c>
      <c r="M4396">
        <v>77858</v>
      </c>
      <c r="N4396">
        <v>3708</v>
      </c>
      <c r="O4396">
        <v>85274</v>
      </c>
    </row>
    <row r="4397" spans="1:15" x14ac:dyDescent="0.35">
      <c r="A4397">
        <v>4396</v>
      </c>
      <c r="B4397" s="2" t="s">
        <v>30</v>
      </c>
      <c r="C4397" s="2" t="s">
        <v>15</v>
      </c>
      <c r="D4397">
        <v>48</v>
      </c>
      <c r="E4397" s="2" t="s">
        <v>24</v>
      </c>
      <c r="F4397" s="2" t="s">
        <v>21</v>
      </c>
      <c r="G4397">
        <v>69725</v>
      </c>
      <c r="H4397" s="1">
        <v>45206</v>
      </c>
      <c r="I4397">
        <v>10</v>
      </c>
      <c r="J4397">
        <v>2</v>
      </c>
      <c r="K4397">
        <v>6972</v>
      </c>
      <c r="L4397">
        <v>3486</v>
      </c>
      <c r="M4397">
        <v>73211</v>
      </c>
      <c r="N4397">
        <v>3486</v>
      </c>
      <c r="O4397">
        <v>80183</v>
      </c>
    </row>
    <row r="4398" spans="1:15" x14ac:dyDescent="0.35">
      <c r="A4398">
        <v>4397</v>
      </c>
      <c r="B4398" s="2" t="s">
        <v>18</v>
      </c>
      <c r="C4398" s="2" t="s">
        <v>11</v>
      </c>
      <c r="D4398">
        <v>23</v>
      </c>
      <c r="E4398" s="2" t="s">
        <v>24</v>
      </c>
      <c r="F4398" s="2" t="s">
        <v>13</v>
      </c>
      <c r="G4398">
        <v>20762</v>
      </c>
      <c r="H4398" s="1">
        <v>45430</v>
      </c>
      <c r="I4398">
        <v>14</v>
      </c>
      <c r="J4398">
        <v>1</v>
      </c>
      <c r="K4398">
        <v>2076</v>
      </c>
      <c r="L4398">
        <v>1038</v>
      </c>
      <c r="M4398">
        <v>21800</v>
      </c>
      <c r="N4398">
        <v>1038</v>
      </c>
      <c r="O4398">
        <v>23876</v>
      </c>
    </row>
    <row r="4399" spans="1:15" x14ac:dyDescent="0.35">
      <c r="A4399">
        <v>4398</v>
      </c>
      <c r="B4399" s="2" t="s">
        <v>23</v>
      </c>
      <c r="C4399" s="2" t="s">
        <v>15</v>
      </c>
      <c r="D4399">
        <v>37</v>
      </c>
      <c r="E4399" s="2" t="s">
        <v>24</v>
      </c>
      <c r="F4399" s="2" t="s">
        <v>13</v>
      </c>
      <c r="G4399">
        <v>26687</v>
      </c>
      <c r="H4399" s="1">
        <v>44697</v>
      </c>
      <c r="I4399">
        <v>6</v>
      </c>
      <c r="J4399">
        <v>1</v>
      </c>
      <c r="K4399">
        <v>2669</v>
      </c>
      <c r="L4399">
        <v>1334</v>
      </c>
      <c r="M4399">
        <v>28022</v>
      </c>
      <c r="N4399">
        <v>1334</v>
      </c>
      <c r="O4399">
        <v>30690</v>
      </c>
    </row>
    <row r="4400" spans="1:15" x14ac:dyDescent="0.35">
      <c r="A4400">
        <v>4399</v>
      </c>
      <c r="B4400" s="2" t="s">
        <v>20</v>
      </c>
      <c r="C4400" s="2" t="s">
        <v>15</v>
      </c>
      <c r="D4400">
        <v>58</v>
      </c>
      <c r="E4400" s="2" t="s">
        <v>12</v>
      </c>
      <c r="F4400" s="2" t="s">
        <v>13</v>
      </c>
      <c r="G4400">
        <v>22623</v>
      </c>
      <c r="H4400" s="1">
        <v>44691</v>
      </c>
      <c r="I4400">
        <v>16</v>
      </c>
      <c r="J4400">
        <v>5</v>
      </c>
      <c r="K4400">
        <v>2262</v>
      </c>
      <c r="L4400">
        <v>1131</v>
      </c>
      <c r="M4400">
        <v>23754</v>
      </c>
      <c r="N4400">
        <v>1131</v>
      </c>
      <c r="O4400">
        <v>26016</v>
      </c>
    </row>
    <row r="4401" spans="1:15" x14ac:dyDescent="0.35">
      <c r="A4401">
        <v>4400</v>
      </c>
      <c r="B4401" s="2" t="s">
        <v>26</v>
      </c>
      <c r="C4401" s="2" t="s">
        <v>15</v>
      </c>
      <c r="D4401">
        <v>59</v>
      </c>
      <c r="E4401" s="2" t="s">
        <v>12</v>
      </c>
      <c r="F4401" s="2" t="s">
        <v>21</v>
      </c>
      <c r="G4401">
        <v>62826</v>
      </c>
      <c r="H4401" s="1">
        <v>45021</v>
      </c>
      <c r="I4401">
        <v>8</v>
      </c>
      <c r="J4401">
        <v>2</v>
      </c>
      <c r="K4401">
        <v>6283</v>
      </c>
      <c r="L4401">
        <v>3141</v>
      </c>
      <c r="M4401">
        <v>65968</v>
      </c>
      <c r="N4401">
        <v>3141</v>
      </c>
      <c r="O4401">
        <v>72250</v>
      </c>
    </row>
    <row r="4402" spans="1:15" x14ac:dyDescent="0.35">
      <c r="A4402">
        <v>4401</v>
      </c>
      <c r="B4402" s="2" t="s">
        <v>23</v>
      </c>
      <c r="C4402" s="2" t="s">
        <v>11</v>
      </c>
      <c r="D4402">
        <v>29</v>
      </c>
      <c r="E4402" s="2" t="s">
        <v>28</v>
      </c>
      <c r="F4402" s="2" t="s">
        <v>17</v>
      </c>
      <c r="G4402">
        <v>41819</v>
      </c>
      <c r="H4402" s="1">
        <v>44690</v>
      </c>
      <c r="I4402">
        <v>10</v>
      </c>
      <c r="J4402">
        <v>5</v>
      </c>
      <c r="K4402">
        <v>4182</v>
      </c>
      <c r="L4402">
        <v>2091</v>
      </c>
      <c r="M4402">
        <v>43910</v>
      </c>
      <c r="N4402">
        <v>2091</v>
      </c>
      <c r="O4402">
        <v>48092</v>
      </c>
    </row>
    <row r="4403" spans="1:15" x14ac:dyDescent="0.35">
      <c r="A4403">
        <v>4402</v>
      </c>
      <c r="B4403" s="2" t="s">
        <v>14</v>
      </c>
      <c r="C4403" s="2" t="s">
        <v>15</v>
      </c>
      <c r="D4403">
        <v>47</v>
      </c>
      <c r="E4403" s="2" t="s">
        <v>24</v>
      </c>
      <c r="F4403" s="2" t="s">
        <v>25</v>
      </c>
      <c r="G4403">
        <v>82908</v>
      </c>
      <c r="H4403" s="1">
        <v>45258</v>
      </c>
      <c r="I4403">
        <v>15</v>
      </c>
      <c r="J4403">
        <v>5</v>
      </c>
      <c r="K4403">
        <v>8291</v>
      </c>
      <c r="L4403">
        <v>4145</v>
      </c>
      <c r="M4403">
        <v>87054</v>
      </c>
      <c r="N4403">
        <v>4145</v>
      </c>
      <c r="O4403">
        <v>95344</v>
      </c>
    </row>
    <row r="4404" spans="1:15" x14ac:dyDescent="0.35">
      <c r="A4404">
        <v>4403</v>
      </c>
      <c r="B4404" s="2" t="s">
        <v>14</v>
      </c>
      <c r="C4404" s="2" t="s">
        <v>15</v>
      </c>
      <c r="D4404">
        <v>37</v>
      </c>
      <c r="E4404" s="2" t="s">
        <v>12</v>
      </c>
      <c r="F4404" s="2" t="s">
        <v>21</v>
      </c>
      <c r="G4404">
        <v>24759</v>
      </c>
      <c r="H4404" s="1">
        <v>45157</v>
      </c>
      <c r="I4404">
        <v>6</v>
      </c>
      <c r="J4404">
        <v>4</v>
      </c>
      <c r="K4404">
        <v>2476</v>
      </c>
      <c r="L4404">
        <v>1238</v>
      </c>
      <c r="M4404">
        <v>25997</v>
      </c>
      <c r="N4404">
        <v>1238</v>
      </c>
      <c r="O4404">
        <v>28473</v>
      </c>
    </row>
    <row r="4405" spans="1:15" x14ac:dyDescent="0.35">
      <c r="A4405">
        <v>4404</v>
      </c>
      <c r="B4405" s="2" t="s">
        <v>31</v>
      </c>
      <c r="C4405" s="2" t="s">
        <v>11</v>
      </c>
      <c r="D4405">
        <v>43</v>
      </c>
      <c r="E4405" s="2" t="s">
        <v>28</v>
      </c>
      <c r="F4405" s="2" t="s">
        <v>21</v>
      </c>
      <c r="G4405">
        <v>87245</v>
      </c>
      <c r="H4405" s="1">
        <v>45427</v>
      </c>
      <c r="I4405">
        <v>13</v>
      </c>
      <c r="J4405">
        <v>2</v>
      </c>
      <c r="K4405">
        <v>8724</v>
      </c>
      <c r="L4405">
        <v>4362</v>
      </c>
      <c r="M4405">
        <v>91607</v>
      </c>
      <c r="N4405">
        <v>4362</v>
      </c>
      <c r="O4405">
        <v>100331</v>
      </c>
    </row>
    <row r="4406" spans="1:15" x14ac:dyDescent="0.35">
      <c r="A4406">
        <v>4405</v>
      </c>
      <c r="B4406" s="2" t="s">
        <v>10</v>
      </c>
      <c r="C4406" s="2" t="s">
        <v>15</v>
      </c>
      <c r="D4406">
        <v>53</v>
      </c>
      <c r="E4406" s="2" t="s">
        <v>12</v>
      </c>
      <c r="F4406" s="2" t="s">
        <v>25</v>
      </c>
      <c r="G4406">
        <v>34419</v>
      </c>
      <c r="H4406" s="1">
        <v>44945</v>
      </c>
      <c r="I4406">
        <v>19</v>
      </c>
      <c r="J4406">
        <v>2</v>
      </c>
      <c r="K4406">
        <v>3442</v>
      </c>
      <c r="L4406">
        <v>1721</v>
      </c>
      <c r="M4406">
        <v>36140</v>
      </c>
      <c r="N4406">
        <v>1721</v>
      </c>
      <c r="O4406">
        <v>39582</v>
      </c>
    </row>
    <row r="4407" spans="1:15" x14ac:dyDescent="0.35">
      <c r="A4407">
        <v>4406</v>
      </c>
      <c r="B4407" s="2" t="s">
        <v>31</v>
      </c>
      <c r="C4407" s="2" t="s">
        <v>15</v>
      </c>
      <c r="D4407">
        <v>25</v>
      </c>
      <c r="E4407" s="2" t="s">
        <v>16</v>
      </c>
      <c r="F4407" s="2" t="s">
        <v>25</v>
      </c>
      <c r="G4407">
        <v>45782</v>
      </c>
      <c r="H4407" s="1">
        <v>45025</v>
      </c>
      <c r="I4407">
        <v>14</v>
      </c>
      <c r="J4407">
        <v>5</v>
      </c>
      <c r="K4407">
        <v>4578</v>
      </c>
      <c r="L4407">
        <v>2289</v>
      </c>
      <c r="M4407">
        <v>48071</v>
      </c>
      <c r="N4407">
        <v>2289</v>
      </c>
      <c r="O4407">
        <v>52649</v>
      </c>
    </row>
    <row r="4408" spans="1:15" x14ac:dyDescent="0.35">
      <c r="A4408">
        <v>4407</v>
      </c>
      <c r="B4408" s="2" t="s">
        <v>14</v>
      </c>
      <c r="C4408" s="2" t="s">
        <v>15</v>
      </c>
      <c r="D4408">
        <v>49</v>
      </c>
      <c r="E4408" s="2" t="s">
        <v>16</v>
      </c>
      <c r="F4408" s="2" t="s">
        <v>21</v>
      </c>
      <c r="G4408">
        <v>55331</v>
      </c>
      <c r="H4408" s="1">
        <v>45069</v>
      </c>
      <c r="I4408">
        <v>13</v>
      </c>
      <c r="J4408">
        <v>1</v>
      </c>
      <c r="K4408">
        <v>5533</v>
      </c>
      <c r="L4408">
        <v>2767</v>
      </c>
      <c r="M4408">
        <v>58097</v>
      </c>
      <c r="N4408">
        <v>2767</v>
      </c>
      <c r="O4408">
        <v>63631</v>
      </c>
    </row>
    <row r="4409" spans="1:15" x14ac:dyDescent="0.35">
      <c r="A4409">
        <v>4408</v>
      </c>
      <c r="B4409" s="2" t="s">
        <v>22</v>
      </c>
      <c r="C4409" s="2" t="s">
        <v>15</v>
      </c>
      <c r="D4409">
        <v>41</v>
      </c>
      <c r="E4409" s="2" t="s">
        <v>28</v>
      </c>
      <c r="F4409" s="2" t="s">
        <v>25</v>
      </c>
      <c r="G4409">
        <v>35947</v>
      </c>
      <c r="H4409" s="1">
        <v>44600</v>
      </c>
      <c r="I4409">
        <v>7</v>
      </c>
      <c r="J4409">
        <v>4</v>
      </c>
      <c r="K4409">
        <v>3595</v>
      </c>
      <c r="L4409">
        <v>1797</v>
      </c>
      <c r="M4409">
        <v>37745</v>
      </c>
      <c r="N4409">
        <v>1797</v>
      </c>
      <c r="O4409">
        <v>41339</v>
      </c>
    </row>
    <row r="4410" spans="1:15" x14ac:dyDescent="0.35">
      <c r="A4410">
        <v>4409</v>
      </c>
      <c r="B4410" s="2" t="s">
        <v>10</v>
      </c>
      <c r="C4410" s="2" t="s">
        <v>11</v>
      </c>
      <c r="D4410">
        <v>38</v>
      </c>
      <c r="E4410" s="2" t="s">
        <v>24</v>
      </c>
      <c r="F4410" s="2" t="s">
        <v>19</v>
      </c>
      <c r="G4410">
        <v>59748</v>
      </c>
      <c r="H4410" s="1">
        <v>44952</v>
      </c>
      <c r="I4410">
        <v>6</v>
      </c>
      <c r="J4410">
        <v>1</v>
      </c>
      <c r="K4410">
        <v>5975</v>
      </c>
      <c r="L4410">
        <v>2987</v>
      </c>
      <c r="M4410">
        <v>62736</v>
      </c>
      <c r="N4410">
        <v>2987</v>
      </c>
      <c r="O4410">
        <v>68710</v>
      </c>
    </row>
    <row r="4411" spans="1:15" x14ac:dyDescent="0.35">
      <c r="A4411">
        <v>4410</v>
      </c>
      <c r="B4411" s="2" t="s">
        <v>20</v>
      </c>
      <c r="C4411" s="2" t="s">
        <v>15</v>
      </c>
      <c r="D4411">
        <v>55</v>
      </c>
      <c r="E4411" s="2" t="s">
        <v>28</v>
      </c>
      <c r="F4411" s="2" t="s">
        <v>21</v>
      </c>
      <c r="G4411">
        <v>54779</v>
      </c>
      <c r="H4411" s="1">
        <v>45525</v>
      </c>
      <c r="I4411">
        <v>3</v>
      </c>
      <c r="J4411">
        <v>5</v>
      </c>
      <c r="K4411">
        <v>5478</v>
      </c>
      <c r="L4411">
        <v>2739</v>
      </c>
      <c r="M4411">
        <v>57518</v>
      </c>
      <c r="N4411">
        <v>0</v>
      </c>
      <c r="O4411">
        <v>60257</v>
      </c>
    </row>
    <row r="4412" spans="1:15" x14ac:dyDescent="0.35">
      <c r="A4412">
        <v>4411</v>
      </c>
      <c r="B4412" s="2" t="s">
        <v>26</v>
      </c>
      <c r="C4412" s="2" t="s">
        <v>11</v>
      </c>
      <c r="D4412">
        <v>47</v>
      </c>
      <c r="E4412" s="2" t="s">
        <v>28</v>
      </c>
      <c r="F4412" s="2" t="s">
        <v>25</v>
      </c>
      <c r="G4412">
        <v>25011</v>
      </c>
      <c r="H4412" s="1">
        <v>44986</v>
      </c>
      <c r="I4412">
        <v>5</v>
      </c>
      <c r="J4412">
        <v>5</v>
      </c>
      <c r="K4412">
        <v>2501</v>
      </c>
      <c r="L4412">
        <v>1251</v>
      </c>
      <c r="M4412">
        <v>26261</v>
      </c>
      <c r="N4412">
        <v>0</v>
      </c>
      <c r="O4412">
        <v>27512</v>
      </c>
    </row>
    <row r="4413" spans="1:15" x14ac:dyDescent="0.35">
      <c r="A4413">
        <v>4412</v>
      </c>
      <c r="B4413" s="2" t="s">
        <v>18</v>
      </c>
      <c r="C4413" s="2" t="s">
        <v>15</v>
      </c>
      <c r="D4413">
        <v>22</v>
      </c>
      <c r="E4413" s="2" t="s">
        <v>12</v>
      </c>
      <c r="F4413" s="2" t="s">
        <v>17</v>
      </c>
      <c r="G4413">
        <v>45393</v>
      </c>
      <c r="H4413" s="1">
        <v>45399</v>
      </c>
      <c r="I4413">
        <v>5</v>
      </c>
      <c r="J4413">
        <v>4</v>
      </c>
      <c r="K4413">
        <v>4539</v>
      </c>
      <c r="L4413">
        <v>2270</v>
      </c>
      <c r="M4413">
        <v>47662</v>
      </c>
      <c r="N4413">
        <v>0</v>
      </c>
      <c r="O4413">
        <v>49932</v>
      </c>
    </row>
    <row r="4414" spans="1:15" x14ac:dyDescent="0.35">
      <c r="A4414">
        <v>4413</v>
      </c>
      <c r="B4414" s="2" t="s">
        <v>23</v>
      </c>
      <c r="C4414" s="2" t="s">
        <v>11</v>
      </c>
      <c r="D4414">
        <v>24</v>
      </c>
      <c r="E4414" s="2" t="s">
        <v>16</v>
      </c>
      <c r="F4414" s="2" t="s">
        <v>21</v>
      </c>
      <c r="G4414">
        <v>57542</v>
      </c>
      <c r="H4414" s="1">
        <v>45024</v>
      </c>
      <c r="I4414">
        <v>16</v>
      </c>
      <c r="J4414">
        <v>3</v>
      </c>
      <c r="K4414">
        <v>5754</v>
      </c>
      <c r="L4414">
        <v>2877</v>
      </c>
      <c r="M4414">
        <v>60419</v>
      </c>
      <c r="N4414">
        <v>2877</v>
      </c>
      <c r="O4414">
        <v>66173</v>
      </c>
    </row>
    <row r="4415" spans="1:15" x14ac:dyDescent="0.35">
      <c r="A4415">
        <v>4414</v>
      </c>
      <c r="B4415" s="2" t="s">
        <v>14</v>
      </c>
      <c r="C4415" s="2" t="s">
        <v>15</v>
      </c>
      <c r="D4415">
        <v>42</v>
      </c>
      <c r="E4415" s="2" t="s">
        <v>24</v>
      </c>
      <c r="F4415" s="2" t="s">
        <v>25</v>
      </c>
      <c r="G4415">
        <v>40228</v>
      </c>
      <c r="H4415" s="1">
        <v>44871</v>
      </c>
      <c r="I4415">
        <v>15</v>
      </c>
      <c r="J4415">
        <v>3</v>
      </c>
      <c r="K4415">
        <v>4023</v>
      </c>
      <c r="L4415">
        <v>2011</v>
      </c>
      <c r="M4415">
        <v>42240</v>
      </c>
      <c r="N4415">
        <v>2011</v>
      </c>
      <c r="O4415">
        <v>46262</v>
      </c>
    </row>
    <row r="4416" spans="1:15" x14ac:dyDescent="0.35">
      <c r="A4416">
        <v>4415</v>
      </c>
      <c r="B4416" s="2" t="s">
        <v>23</v>
      </c>
      <c r="C4416" s="2" t="s">
        <v>11</v>
      </c>
      <c r="D4416">
        <v>42</v>
      </c>
      <c r="E4416" s="2" t="s">
        <v>12</v>
      </c>
      <c r="F4416" s="2" t="s">
        <v>25</v>
      </c>
      <c r="G4416">
        <v>72581</v>
      </c>
      <c r="H4416" s="1">
        <v>45537</v>
      </c>
      <c r="I4416">
        <v>14</v>
      </c>
      <c r="J4416">
        <v>5</v>
      </c>
      <c r="K4416">
        <v>7258</v>
      </c>
      <c r="L4416">
        <v>3629</v>
      </c>
      <c r="M4416">
        <v>76210</v>
      </c>
      <c r="N4416">
        <v>3629</v>
      </c>
      <c r="O4416">
        <v>83468</v>
      </c>
    </row>
    <row r="4417" spans="1:15" x14ac:dyDescent="0.35">
      <c r="A4417">
        <v>4416</v>
      </c>
      <c r="B4417" s="2" t="s">
        <v>26</v>
      </c>
      <c r="C4417" s="2" t="s">
        <v>11</v>
      </c>
      <c r="D4417">
        <v>25</v>
      </c>
      <c r="E4417" s="2" t="s">
        <v>16</v>
      </c>
      <c r="F4417" s="2" t="s">
        <v>25</v>
      </c>
      <c r="G4417">
        <v>71332</v>
      </c>
      <c r="H4417" s="1">
        <v>45366</v>
      </c>
      <c r="I4417">
        <v>5</v>
      </c>
      <c r="J4417">
        <v>5</v>
      </c>
      <c r="K4417">
        <v>7133</v>
      </c>
      <c r="L4417">
        <v>3567</v>
      </c>
      <c r="M4417">
        <v>74898</v>
      </c>
      <c r="N4417">
        <v>0</v>
      </c>
      <c r="O4417">
        <v>78465</v>
      </c>
    </row>
    <row r="4418" spans="1:15" x14ac:dyDescent="0.35">
      <c r="A4418">
        <v>4417</v>
      </c>
      <c r="B4418" s="2" t="s">
        <v>10</v>
      </c>
      <c r="C4418" s="2" t="s">
        <v>15</v>
      </c>
      <c r="D4418">
        <v>54</v>
      </c>
      <c r="E4418" s="2" t="s">
        <v>16</v>
      </c>
      <c r="F4418" s="2" t="s">
        <v>17</v>
      </c>
      <c r="G4418">
        <v>82735</v>
      </c>
      <c r="H4418" s="1">
        <v>45336</v>
      </c>
      <c r="I4418">
        <v>8</v>
      </c>
      <c r="J4418">
        <v>4</v>
      </c>
      <c r="K4418">
        <v>8274</v>
      </c>
      <c r="L4418">
        <v>4137</v>
      </c>
      <c r="M4418">
        <v>86872</v>
      </c>
      <c r="N4418">
        <v>4137</v>
      </c>
      <c r="O4418">
        <v>95146</v>
      </c>
    </row>
    <row r="4419" spans="1:15" x14ac:dyDescent="0.35">
      <c r="A4419">
        <v>4418</v>
      </c>
      <c r="B4419" s="2" t="s">
        <v>22</v>
      </c>
      <c r="C4419" s="2" t="s">
        <v>11</v>
      </c>
      <c r="D4419">
        <v>57</v>
      </c>
      <c r="E4419" s="2" t="s">
        <v>16</v>
      </c>
      <c r="F4419" s="2" t="s">
        <v>13</v>
      </c>
      <c r="G4419">
        <v>39433</v>
      </c>
      <c r="H4419" s="1">
        <v>45409</v>
      </c>
      <c r="I4419">
        <v>11</v>
      </c>
      <c r="J4419">
        <v>5</v>
      </c>
      <c r="K4419">
        <v>3943</v>
      </c>
      <c r="L4419">
        <v>1972</v>
      </c>
      <c r="M4419">
        <v>41404</v>
      </c>
      <c r="N4419">
        <v>1972</v>
      </c>
      <c r="O4419">
        <v>45348</v>
      </c>
    </row>
    <row r="4420" spans="1:15" x14ac:dyDescent="0.35">
      <c r="A4420">
        <v>4419</v>
      </c>
      <c r="B4420" s="2" t="s">
        <v>22</v>
      </c>
      <c r="C4420" s="2" t="s">
        <v>11</v>
      </c>
      <c r="D4420">
        <v>36</v>
      </c>
      <c r="E4420" s="2" t="s">
        <v>29</v>
      </c>
      <c r="F4420" s="2" t="s">
        <v>21</v>
      </c>
      <c r="G4420">
        <v>76124</v>
      </c>
      <c r="H4420" s="1">
        <v>45332</v>
      </c>
      <c r="I4420">
        <v>11</v>
      </c>
      <c r="J4420">
        <v>3</v>
      </c>
      <c r="K4420">
        <v>7612</v>
      </c>
      <c r="L4420">
        <v>3806</v>
      </c>
      <c r="M4420">
        <v>79930</v>
      </c>
      <c r="N4420">
        <v>3806</v>
      </c>
      <c r="O4420">
        <v>87542</v>
      </c>
    </row>
    <row r="4421" spans="1:15" x14ac:dyDescent="0.35">
      <c r="A4421">
        <v>4420</v>
      </c>
      <c r="B4421" s="2" t="s">
        <v>22</v>
      </c>
      <c r="C4421" s="2" t="s">
        <v>11</v>
      </c>
      <c r="D4421">
        <v>59</v>
      </c>
      <c r="E4421" s="2" t="s">
        <v>16</v>
      </c>
      <c r="F4421" s="2" t="s">
        <v>21</v>
      </c>
      <c r="G4421">
        <v>73048</v>
      </c>
      <c r="H4421" s="1">
        <v>45217</v>
      </c>
      <c r="I4421">
        <v>8</v>
      </c>
      <c r="J4421">
        <v>3</v>
      </c>
      <c r="K4421">
        <v>7305</v>
      </c>
      <c r="L4421">
        <v>3652</v>
      </c>
      <c r="M4421">
        <v>76701</v>
      </c>
      <c r="N4421">
        <v>3652</v>
      </c>
      <c r="O4421">
        <v>84005</v>
      </c>
    </row>
    <row r="4422" spans="1:15" x14ac:dyDescent="0.35">
      <c r="A4422">
        <v>4421</v>
      </c>
      <c r="B4422" s="2" t="s">
        <v>14</v>
      </c>
      <c r="C4422" s="2" t="s">
        <v>15</v>
      </c>
      <c r="D4422">
        <v>40</v>
      </c>
      <c r="E4422" s="2" t="s">
        <v>16</v>
      </c>
      <c r="F4422" s="2" t="s">
        <v>13</v>
      </c>
      <c r="G4422">
        <v>22926</v>
      </c>
      <c r="H4422" s="1">
        <v>45446</v>
      </c>
      <c r="I4422">
        <v>7</v>
      </c>
      <c r="J4422">
        <v>4</v>
      </c>
      <c r="K4422">
        <v>2293</v>
      </c>
      <c r="L4422">
        <v>1146</v>
      </c>
      <c r="M4422">
        <v>24073</v>
      </c>
      <c r="N4422">
        <v>1146</v>
      </c>
      <c r="O4422">
        <v>26365</v>
      </c>
    </row>
    <row r="4423" spans="1:15" x14ac:dyDescent="0.35">
      <c r="A4423">
        <v>4422</v>
      </c>
      <c r="B4423" s="2" t="s">
        <v>30</v>
      </c>
      <c r="C4423" s="2" t="s">
        <v>11</v>
      </c>
      <c r="D4423">
        <v>46</v>
      </c>
      <c r="E4423" s="2" t="s">
        <v>24</v>
      </c>
      <c r="F4423" s="2" t="s">
        <v>13</v>
      </c>
      <c r="G4423">
        <v>20898</v>
      </c>
      <c r="H4423" s="1">
        <v>45215</v>
      </c>
      <c r="I4423">
        <v>18</v>
      </c>
      <c r="J4423">
        <v>2</v>
      </c>
      <c r="K4423">
        <v>2090</v>
      </c>
      <c r="L4423">
        <v>1045</v>
      </c>
      <c r="M4423">
        <v>21943</v>
      </c>
      <c r="N4423">
        <v>1045</v>
      </c>
      <c r="O4423">
        <v>24033</v>
      </c>
    </row>
    <row r="4424" spans="1:15" x14ac:dyDescent="0.35">
      <c r="A4424">
        <v>4423</v>
      </c>
      <c r="B4424" s="2" t="s">
        <v>14</v>
      </c>
      <c r="C4424" s="2" t="s">
        <v>11</v>
      </c>
      <c r="D4424">
        <v>44</v>
      </c>
      <c r="E4424" s="2" t="s">
        <v>28</v>
      </c>
      <c r="F4424" s="2" t="s">
        <v>19</v>
      </c>
      <c r="G4424">
        <v>74401</v>
      </c>
      <c r="H4424" s="1">
        <v>45293</v>
      </c>
      <c r="I4424">
        <v>3</v>
      </c>
      <c r="J4424">
        <v>3</v>
      </c>
      <c r="K4424">
        <v>7440</v>
      </c>
      <c r="L4424">
        <v>3720</v>
      </c>
      <c r="M4424">
        <v>78121</v>
      </c>
      <c r="N4424">
        <v>0</v>
      </c>
      <c r="O4424">
        <v>81841</v>
      </c>
    </row>
    <row r="4425" spans="1:15" x14ac:dyDescent="0.35">
      <c r="A4425">
        <v>4424</v>
      </c>
      <c r="B4425" s="2" t="s">
        <v>14</v>
      </c>
      <c r="C4425" s="2" t="s">
        <v>15</v>
      </c>
      <c r="D4425">
        <v>39</v>
      </c>
      <c r="E4425" s="2" t="s">
        <v>16</v>
      </c>
      <c r="F4425" s="2" t="s">
        <v>25</v>
      </c>
      <c r="G4425">
        <v>60443</v>
      </c>
      <c r="H4425" s="1">
        <v>45080</v>
      </c>
      <c r="I4425">
        <v>13</v>
      </c>
      <c r="J4425">
        <v>5</v>
      </c>
      <c r="K4425">
        <v>6044</v>
      </c>
      <c r="L4425">
        <v>3022</v>
      </c>
      <c r="M4425">
        <v>63465</v>
      </c>
      <c r="N4425">
        <v>3022</v>
      </c>
      <c r="O4425">
        <v>69509</v>
      </c>
    </row>
    <row r="4426" spans="1:15" x14ac:dyDescent="0.35">
      <c r="A4426">
        <v>4425</v>
      </c>
      <c r="B4426" s="2" t="s">
        <v>31</v>
      </c>
      <c r="C4426" s="2" t="s">
        <v>11</v>
      </c>
      <c r="D4426">
        <v>55</v>
      </c>
      <c r="E4426" s="2" t="s">
        <v>24</v>
      </c>
      <c r="F4426" s="2" t="s">
        <v>13</v>
      </c>
      <c r="G4426">
        <v>60462</v>
      </c>
      <c r="H4426" s="1">
        <v>45454</v>
      </c>
      <c r="I4426">
        <v>13</v>
      </c>
      <c r="J4426">
        <v>5</v>
      </c>
      <c r="K4426">
        <v>6046</v>
      </c>
      <c r="L4426">
        <v>3023</v>
      </c>
      <c r="M4426">
        <v>63485</v>
      </c>
      <c r="N4426">
        <v>3023</v>
      </c>
      <c r="O4426">
        <v>69531</v>
      </c>
    </row>
    <row r="4427" spans="1:15" x14ac:dyDescent="0.35">
      <c r="A4427">
        <v>4426</v>
      </c>
      <c r="B4427" s="2" t="s">
        <v>27</v>
      </c>
      <c r="C4427" s="2" t="s">
        <v>15</v>
      </c>
      <c r="D4427">
        <v>53</v>
      </c>
      <c r="E4427" s="2" t="s">
        <v>12</v>
      </c>
      <c r="F4427" s="2" t="s">
        <v>17</v>
      </c>
      <c r="G4427">
        <v>75942</v>
      </c>
      <c r="H4427" s="1">
        <v>44694</v>
      </c>
      <c r="I4427">
        <v>17</v>
      </c>
      <c r="J4427">
        <v>1</v>
      </c>
      <c r="K4427">
        <v>7594</v>
      </c>
      <c r="L4427">
        <v>3797</v>
      </c>
      <c r="M4427">
        <v>79739</v>
      </c>
      <c r="N4427">
        <v>3797</v>
      </c>
      <c r="O4427">
        <v>87333</v>
      </c>
    </row>
    <row r="4428" spans="1:15" x14ac:dyDescent="0.35">
      <c r="A4428">
        <v>4427</v>
      </c>
      <c r="B4428" s="2" t="s">
        <v>20</v>
      </c>
      <c r="C4428" s="2" t="s">
        <v>11</v>
      </c>
      <c r="D4428">
        <v>27</v>
      </c>
      <c r="E4428" s="2" t="s">
        <v>28</v>
      </c>
      <c r="F4428" s="2" t="s">
        <v>19</v>
      </c>
      <c r="G4428">
        <v>31665</v>
      </c>
      <c r="H4428" s="1">
        <v>45354</v>
      </c>
      <c r="I4428">
        <v>14</v>
      </c>
      <c r="J4428">
        <v>2</v>
      </c>
      <c r="K4428">
        <v>3166</v>
      </c>
      <c r="L4428">
        <v>1583</v>
      </c>
      <c r="M4428">
        <v>33248</v>
      </c>
      <c r="N4428">
        <v>1583</v>
      </c>
      <c r="O4428">
        <v>36414</v>
      </c>
    </row>
    <row r="4429" spans="1:15" x14ac:dyDescent="0.35">
      <c r="A4429">
        <v>4428</v>
      </c>
      <c r="B4429" s="2" t="s">
        <v>31</v>
      </c>
      <c r="C4429" s="2" t="s">
        <v>11</v>
      </c>
      <c r="D4429">
        <v>52</v>
      </c>
      <c r="E4429" s="2" t="s">
        <v>28</v>
      </c>
      <c r="F4429" s="2" t="s">
        <v>19</v>
      </c>
      <c r="G4429">
        <v>21535</v>
      </c>
      <c r="H4429" s="1">
        <v>44879</v>
      </c>
      <c r="I4429">
        <v>8</v>
      </c>
      <c r="J4429">
        <v>2</v>
      </c>
      <c r="K4429">
        <v>2154</v>
      </c>
      <c r="L4429">
        <v>1077</v>
      </c>
      <c r="M4429">
        <v>22612</v>
      </c>
      <c r="N4429">
        <v>1077</v>
      </c>
      <c r="O4429">
        <v>24766</v>
      </c>
    </row>
    <row r="4430" spans="1:15" x14ac:dyDescent="0.35">
      <c r="A4430">
        <v>4429</v>
      </c>
      <c r="B4430" s="2" t="s">
        <v>18</v>
      </c>
      <c r="C4430" s="2" t="s">
        <v>15</v>
      </c>
      <c r="D4430">
        <v>23</v>
      </c>
      <c r="E4430" s="2" t="s">
        <v>12</v>
      </c>
      <c r="F4430" s="2" t="s">
        <v>19</v>
      </c>
      <c r="G4430">
        <v>63861</v>
      </c>
      <c r="H4430" s="1">
        <v>44693</v>
      </c>
      <c r="I4430">
        <v>14</v>
      </c>
      <c r="J4430">
        <v>1</v>
      </c>
      <c r="K4430">
        <v>6386</v>
      </c>
      <c r="L4430">
        <v>3193</v>
      </c>
      <c r="M4430">
        <v>67054</v>
      </c>
      <c r="N4430">
        <v>3193</v>
      </c>
      <c r="O4430">
        <v>73440</v>
      </c>
    </row>
    <row r="4431" spans="1:15" x14ac:dyDescent="0.35">
      <c r="A4431">
        <v>4430</v>
      </c>
      <c r="B4431" s="2" t="s">
        <v>20</v>
      </c>
      <c r="C4431" s="2" t="s">
        <v>15</v>
      </c>
      <c r="D4431">
        <v>41</v>
      </c>
      <c r="E4431" s="2" t="s">
        <v>28</v>
      </c>
      <c r="F4431" s="2" t="s">
        <v>19</v>
      </c>
      <c r="G4431">
        <v>52677</v>
      </c>
      <c r="H4431" s="1">
        <v>44797</v>
      </c>
      <c r="I4431">
        <v>14</v>
      </c>
      <c r="J4431">
        <v>4</v>
      </c>
      <c r="K4431">
        <v>5268</v>
      </c>
      <c r="L4431">
        <v>2634</v>
      </c>
      <c r="M4431">
        <v>55311</v>
      </c>
      <c r="N4431">
        <v>2634</v>
      </c>
      <c r="O4431">
        <v>60579</v>
      </c>
    </row>
    <row r="4432" spans="1:15" x14ac:dyDescent="0.35">
      <c r="A4432">
        <v>4431</v>
      </c>
      <c r="B4432" s="2" t="s">
        <v>14</v>
      </c>
      <c r="C4432" s="2" t="s">
        <v>15</v>
      </c>
      <c r="D4432">
        <v>21</v>
      </c>
      <c r="E4432" s="2" t="s">
        <v>12</v>
      </c>
      <c r="F4432" s="2" t="s">
        <v>19</v>
      </c>
      <c r="G4432">
        <v>39995</v>
      </c>
      <c r="H4432" s="1">
        <v>45488</v>
      </c>
      <c r="I4432">
        <v>6</v>
      </c>
      <c r="J4432">
        <v>1</v>
      </c>
      <c r="K4432">
        <v>4000</v>
      </c>
      <c r="L4432">
        <v>2000</v>
      </c>
      <c r="M4432">
        <v>41995</v>
      </c>
      <c r="N4432">
        <v>2000</v>
      </c>
      <c r="O4432">
        <v>45995</v>
      </c>
    </row>
    <row r="4433" spans="1:15" x14ac:dyDescent="0.35">
      <c r="A4433">
        <v>4432</v>
      </c>
      <c r="B4433" s="2" t="s">
        <v>27</v>
      </c>
      <c r="C4433" s="2" t="s">
        <v>11</v>
      </c>
      <c r="D4433">
        <v>38</v>
      </c>
      <c r="E4433" s="2" t="s">
        <v>28</v>
      </c>
      <c r="F4433" s="2" t="s">
        <v>21</v>
      </c>
      <c r="G4433">
        <v>87762</v>
      </c>
      <c r="H4433" s="1">
        <v>45469</v>
      </c>
      <c r="I4433">
        <v>13</v>
      </c>
      <c r="J4433">
        <v>3</v>
      </c>
      <c r="K4433">
        <v>8776</v>
      </c>
      <c r="L4433">
        <v>4388</v>
      </c>
      <c r="M4433">
        <v>92150</v>
      </c>
      <c r="N4433">
        <v>4388</v>
      </c>
      <c r="O4433">
        <v>100926</v>
      </c>
    </row>
    <row r="4434" spans="1:15" x14ac:dyDescent="0.35">
      <c r="A4434">
        <v>4433</v>
      </c>
      <c r="B4434" s="2" t="s">
        <v>22</v>
      </c>
      <c r="C4434" s="2" t="s">
        <v>11</v>
      </c>
      <c r="D4434">
        <v>60</v>
      </c>
      <c r="E4434" s="2" t="s">
        <v>12</v>
      </c>
      <c r="F4434" s="2" t="s">
        <v>25</v>
      </c>
      <c r="G4434">
        <v>51439</v>
      </c>
      <c r="H4434" s="1">
        <v>45340</v>
      </c>
      <c r="I4434">
        <v>8</v>
      </c>
      <c r="J4434">
        <v>2</v>
      </c>
      <c r="K4434">
        <v>5144</v>
      </c>
      <c r="L4434">
        <v>2572</v>
      </c>
      <c r="M4434">
        <v>54011</v>
      </c>
      <c r="N4434">
        <v>2572</v>
      </c>
      <c r="O4434">
        <v>59155</v>
      </c>
    </row>
    <row r="4435" spans="1:15" x14ac:dyDescent="0.35">
      <c r="A4435">
        <v>4434</v>
      </c>
      <c r="B4435" s="2" t="s">
        <v>18</v>
      </c>
      <c r="C4435" s="2" t="s">
        <v>11</v>
      </c>
      <c r="D4435">
        <v>42</v>
      </c>
      <c r="E4435" s="2" t="s">
        <v>29</v>
      </c>
      <c r="F4435" s="2" t="s">
        <v>17</v>
      </c>
      <c r="G4435">
        <v>89349</v>
      </c>
      <c r="H4435" s="1">
        <v>44926</v>
      </c>
      <c r="I4435">
        <v>7</v>
      </c>
      <c r="J4435">
        <v>4</v>
      </c>
      <c r="K4435">
        <v>8935</v>
      </c>
      <c r="L4435">
        <v>4467</v>
      </c>
      <c r="M4435">
        <v>93817</v>
      </c>
      <c r="N4435">
        <v>4467</v>
      </c>
      <c r="O4435">
        <v>102751</v>
      </c>
    </row>
    <row r="4436" spans="1:15" x14ac:dyDescent="0.35">
      <c r="A4436">
        <v>4435</v>
      </c>
      <c r="B4436" s="2" t="s">
        <v>10</v>
      </c>
      <c r="C4436" s="2" t="s">
        <v>15</v>
      </c>
      <c r="D4436">
        <v>51</v>
      </c>
      <c r="E4436" s="2" t="s">
        <v>24</v>
      </c>
      <c r="F4436" s="2" t="s">
        <v>19</v>
      </c>
      <c r="G4436">
        <v>70297</v>
      </c>
      <c r="H4436" s="1">
        <v>45178</v>
      </c>
      <c r="I4436">
        <v>9</v>
      </c>
      <c r="J4436">
        <v>4</v>
      </c>
      <c r="K4436">
        <v>7030</v>
      </c>
      <c r="L4436">
        <v>3515</v>
      </c>
      <c r="M4436">
        <v>73812</v>
      </c>
      <c r="N4436">
        <v>3515</v>
      </c>
      <c r="O4436">
        <v>80842</v>
      </c>
    </row>
    <row r="4437" spans="1:15" x14ac:dyDescent="0.35">
      <c r="A4437">
        <v>4436</v>
      </c>
      <c r="B4437" s="2" t="s">
        <v>10</v>
      </c>
      <c r="C4437" s="2" t="s">
        <v>15</v>
      </c>
      <c r="D4437">
        <v>48</v>
      </c>
      <c r="E4437" s="2" t="s">
        <v>12</v>
      </c>
      <c r="F4437" s="2" t="s">
        <v>17</v>
      </c>
      <c r="G4437">
        <v>37502</v>
      </c>
      <c r="H4437" s="1">
        <v>45026</v>
      </c>
      <c r="I4437">
        <v>15</v>
      </c>
      <c r="J4437">
        <v>1</v>
      </c>
      <c r="K4437">
        <v>3750</v>
      </c>
      <c r="L4437">
        <v>1875</v>
      </c>
      <c r="M4437">
        <v>39377</v>
      </c>
      <c r="N4437">
        <v>1875</v>
      </c>
      <c r="O4437">
        <v>43127</v>
      </c>
    </row>
    <row r="4438" spans="1:15" x14ac:dyDescent="0.35">
      <c r="A4438">
        <v>4437</v>
      </c>
      <c r="B4438" s="2" t="s">
        <v>20</v>
      </c>
      <c r="C4438" s="2" t="s">
        <v>11</v>
      </c>
      <c r="D4438">
        <v>28</v>
      </c>
      <c r="E4438" s="2" t="s">
        <v>16</v>
      </c>
      <c r="F4438" s="2" t="s">
        <v>21</v>
      </c>
      <c r="G4438">
        <v>46959</v>
      </c>
      <c r="H4438" s="1">
        <v>45480</v>
      </c>
      <c r="I4438">
        <v>7</v>
      </c>
      <c r="J4438">
        <v>1</v>
      </c>
      <c r="K4438">
        <v>4696</v>
      </c>
      <c r="L4438">
        <v>2348</v>
      </c>
      <c r="M4438">
        <v>49307</v>
      </c>
      <c r="N4438">
        <v>2348</v>
      </c>
      <c r="O4438">
        <v>54003</v>
      </c>
    </row>
    <row r="4439" spans="1:15" x14ac:dyDescent="0.35">
      <c r="A4439">
        <v>4438</v>
      </c>
      <c r="B4439" s="2" t="s">
        <v>23</v>
      </c>
      <c r="C4439" s="2" t="s">
        <v>11</v>
      </c>
      <c r="D4439">
        <v>47</v>
      </c>
      <c r="E4439" s="2" t="s">
        <v>12</v>
      </c>
      <c r="F4439" s="2" t="s">
        <v>13</v>
      </c>
      <c r="G4439">
        <v>26204</v>
      </c>
      <c r="H4439" s="1">
        <v>45346</v>
      </c>
      <c r="I4439">
        <v>2</v>
      </c>
      <c r="J4439">
        <v>2</v>
      </c>
      <c r="K4439">
        <v>2620</v>
      </c>
      <c r="L4439">
        <v>1310</v>
      </c>
      <c r="M4439">
        <v>27514</v>
      </c>
      <c r="N4439">
        <v>0</v>
      </c>
      <c r="O4439">
        <v>28824</v>
      </c>
    </row>
    <row r="4440" spans="1:15" x14ac:dyDescent="0.35">
      <c r="A4440">
        <v>4439</v>
      </c>
      <c r="B4440" s="2" t="s">
        <v>22</v>
      </c>
      <c r="C4440" s="2" t="s">
        <v>11</v>
      </c>
      <c r="D4440">
        <v>32</v>
      </c>
      <c r="E4440" s="2" t="s">
        <v>29</v>
      </c>
      <c r="F4440" s="2" t="s">
        <v>21</v>
      </c>
      <c r="G4440">
        <v>72613</v>
      </c>
      <c r="H4440" s="1">
        <v>45522</v>
      </c>
      <c r="I4440">
        <v>8</v>
      </c>
      <c r="J4440">
        <v>1</v>
      </c>
      <c r="K4440">
        <v>7261</v>
      </c>
      <c r="L4440">
        <v>3631</v>
      </c>
      <c r="M4440">
        <v>76243</v>
      </c>
      <c r="N4440">
        <v>3631</v>
      </c>
      <c r="O4440">
        <v>83505</v>
      </c>
    </row>
    <row r="4441" spans="1:15" x14ac:dyDescent="0.35">
      <c r="A4441">
        <v>4440</v>
      </c>
      <c r="B4441" s="2" t="s">
        <v>23</v>
      </c>
      <c r="C4441" s="2" t="s">
        <v>15</v>
      </c>
      <c r="D4441">
        <v>41</v>
      </c>
      <c r="E4441" s="2" t="s">
        <v>16</v>
      </c>
      <c r="F4441" s="2" t="s">
        <v>21</v>
      </c>
      <c r="G4441">
        <v>80898</v>
      </c>
      <c r="H4441" s="1">
        <v>44584</v>
      </c>
      <c r="I4441">
        <v>11</v>
      </c>
      <c r="J4441">
        <v>5</v>
      </c>
      <c r="K4441">
        <v>8090</v>
      </c>
      <c r="L4441">
        <v>4045</v>
      </c>
      <c r="M4441">
        <v>84943</v>
      </c>
      <c r="N4441">
        <v>4045</v>
      </c>
      <c r="O4441">
        <v>93033</v>
      </c>
    </row>
    <row r="4442" spans="1:15" x14ac:dyDescent="0.35">
      <c r="A4442">
        <v>4441</v>
      </c>
      <c r="B4442" s="2" t="s">
        <v>20</v>
      </c>
      <c r="C4442" s="2" t="s">
        <v>11</v>
      </c>
      <c r="D4442">
        <v>48</v>
      </c>
      <c r="E4442" s="2" t="s">
        <v>12</v>
      </c>
      <c r="F4442" s="2" t="s">
        <v>25</v>
      </c>
      <c r="G4442">
        <v>35008</v>
      </c>
      <c r="H4442" s="1">
        <v>45305</v>
      </c>
      <c r="I4442">
        <v>18</v>
      </c>
      <c r="J4442">
        <v>5</v>
      </c>
      <c r="K4442">
        <v>3501</v>
      </c>
      <c r="L4442">
        <v>1750</v>
      </c>
      <c r="M4442">
        <v>36759</v>
      </c>
      <c r="N4442">
        <v>1750</v>
      </c>
      <c r="O4442">
        <v>40259</v>
      </c>
    </row>
    <row r="4443" spans="1:15" x14ac:dyDescent="0.35">
      <c r="A4443">
        <v>4442</v>
      </c>
      <c r="B4443" s="2" t="s">
        <v>22</v>
      </c>
      <c r="C4443" s="2" t="s">
        <v>11</v>
      </c>
      <c r="D4443">
        <v>36</v>
      </c>
      <c r="E4443" s="2" t="s">
        <v>16</v>
      </c>
      <c r="F4443" s="2" t="s">
        <v>25</v>
      </c>
      <c r="G4443">
        <v>56362</v>
      </c>
      <c r="H4443" s="1">
        <v>44862</v>
      </c>
      <c r="I4443">
        <v>10</v>
      </c>
      <c r="J4443">
        <v>4</v>
      </c>
      <c r="K4443">
        <v>5636</v>
      </c>
      <c r="L4443">
        <v>2818</v>
      </c>
      <c r="M4443">
        <v>59180</v>
      </c>
      <c r="N4443">
        <v>2818</v>
      </c>
      <c r="O4443">
        <v>64816</v>
      </c>
    </row>
    <row r="4444" spans="1:15" x14ac:dyDescent="0.35">
      <c r="A4444">
        <v>4443</v>
      </c>
      <c r="B4444" s="2" t="s">
        <v>22</v>
      </c>
      <c r="C4444" s="2" t="s">
        <v>15</v>
      </c>
      <c r="D4444">
        <v>38</v>
      </c>
      <c r="E4444" s="2" t="s">
        <v>28</v>
      </c>
      <c r="F4444" s="2" t="s">
        <v>19</v>
      </c>
      <c r="G4444">
        <v>36198</v>
      </c>
      <c r="H4444" s="1">
        <v>45534</v>
      </c>
      <c r="I4444">
        <v>19</v>
      </c>
      <c r="J4444">
        <v>5</v>
      </c>
      <c r="K4444">
        <v>3620</v>
      </c>
      <c r="L4444">
        <v>1810</v>
      </c>
      <c r="M4444">
        <v>38008</v>
      </c>
      <c r="N4444">
        <v>1810</v>
      </c>
      <c r="O4444">
        <v>41628</v>
      </c>
    </row>
    <row r="4445" spans="1:15" x14ac:dyDescent="0.35">
      <c r="A4445">
        <v>4444</v>
      </c>
      <c r="B4445" s="2" t="s">
        <v>22</v>
      </c>
      <c r="C4445" s="2" t="s">
        <v>15</v>
      </c>
      <c r="D4445">
        <v>22</v>
      </c>
      <c r="E4445" s="2" t="s">
        <v>24</v>
      </c>
      <c r="F4445" s="2" t="s">
        <v>25</v>
      </c>
      <c r="G4445">
        <v>84085</v>
      </c>
      <c r="H4445" s="1">
        <v>44741</v>
      </c>
      <c r="I4445">
        <v>3</v>
      </c>
      <c r="J4445">
        <v>5</v>
      </c>
      <c r="K4445">
        <v>8408</v>
      </c>
      <c r="L4445">
        <v>4204</v>
      </c>
      <c r="M4445">
        <v>88289</v>
      </c>
      <c r="N4445">
        <v>0</v>
      </c>
      <c r="O4445">
        <v>92493</v>
      </c>
    </row>
    <row r="4446" spans="1:15" x14ac:dyDescent="0.35">
      <c r="A4446">
        <v>4445</v>
      </c>
      <c r="B4446" s="2" t="s">
        <v>23</v>
      </c>
      <c r="C4446" s="2" t="s">
        <v>15</v>
      </c>
      <c r="D4446">
        <v>33</v>
      </c>
      <c r="E4446" s="2" t="s">
        <v>16</v>
      </c>
      <c r="F4446" s="2" t="s">
        <v>21</v>
      </c>
      <c r="G4446">
        <v>61874</v>
      </c>
      <c r="H4446" s="1">
        <v>45330</v>
      </c>
      <c r="I4446">
        <v>3</v>
      </c>
      <c r="J4446">
        <v>3</v>
      </c>
      <c r="K4446">
        <v>6187</v>
      </c>
      <c r="L4446">
        <v>3094</v>
      </c>
      <c r="M4446">
        <v>64967</v>
      </c>
      <c r="N4446">
        <v>0</v>
      </c>
      <c r="O4446">
        <v>68061</v>
      </c>
    </row>
    <row r="4447" spans="1:15" x14ac:dyDescent="0.35">
      <c r="A4447">
        <v>4446</v>
      </c>
      <c r="B4447" s="2" t="s">
        <v>23</v>
      </c>
      <c r="C4447" s="2" t="s">
        <v>11</v>
      </c>
      <c r="D4447">
        <v>37</v>
      </c>
      <c r="E4447" s="2" t="s">
        <v>29</v>
      </c>
      <c r="F4447" s="2" t="s">
        <v>13</v>
      </c>
      <c r="G4447">
        <v>68377</v>
      </c>
      <c r="H4447" s="1">
        <v>44720</v>
      </c>
      <c r="I4447">
        <v>13</v>
      </c>
      <c r="J4447">
        <v>4</v>
      </c>
      <c r="K4447">
        <v>6838</v>
      </c>
      <c r="L4447">
        <v>3419</v>
      </c>
      <c r="M4447">
        <v>71796</v>
      </c>
      <c r="N4447">
        <v>3419</v>
      </c>
      <c r="O4447">
        <v>78634</v>
      </c>
    </row>
    <row r="4448" spans="1:15" x14ac:dyDescent="0.35">
      <c r="A4448">
        <v>4447</v>
      </c>
      <c r="B4448" s="2" t="s">
        <v>27</v>
      </c>
      <c r="C4448" s="2" t="s">
        <v>15</v>
      </c>
      <c r="D4448">
        <v>29</v>
      </c>
      <c r="E4448" s="2" t="s">
        <v>24</v>
      </c>
      <c r="F4448" s="2" t="s">
        <v>17</v>
      </c>
      <c r="G4448">
        <v>98837</v>
      </c>
      <c r="H4448" s="1">
        <v>45005</v>
      </c>
      <c r="I4448">
        <v>1</v>
      </c>
      <c r="J4448">
        <v>1</v>
      </c>
      <c r="K4448">
        <v>9884</v>
      </c>
      <c r="L4448">
        <v>4942</v>
      </c>
      <c r="M4448">
        <v>103779</v>
      </c>
      <c r="N4448">
        <v>0</v>
      </c>
      <c r="O4448">
        <v>108721</v>
      </c>
    </row>
    <row r="4449" spans="1:15" x14ac:dyDescent="0.35">
      <c r="A4449">
        <v>4448</v>
      </c>
      <c r="B4449" s="2" t="s">
        <v>30</v>
      </c>
      <c r="C4449" s="2" t="s">
        <v>11</v>
      </c>
      <c r="D4449">
        <v>37</v>
      </c>
      <c r="E4449" s="2" t="s">
        <v>24</v>
      </c>
      <c r="F4449" s="2" t="s">
        <v>21</v>
      </c>
      <c r="G4449">
        <v>49215</v>
      </c>
      <c r="H4449" s="1">
        <v>44808</v>
      </c>
      <c r="I4449">
        <v>2</v>
      </c>
      <c r="J4449">
        <v>2</v>
      </c>
      <c r="K4449">
        <v>4922</v>
      </c>
      <c r="L4449">
        <v>2461</v>
      </c>
      <c r="M4449">
        <v>51676</v>
      </c>
      <c r="N4449">
        <v>0</v>
      </c>
      <c r="O4449">
        <v>54137</v>
      </c>
    </row>
    <row r="4450" spans="1:15" x14ac:dyDescent="0.35">
      <c r="A4450">
        <v>4449</v>
      </c>
      <c r="B4450" s="2" t="s">
        <v>22</v>
      </c>
      <c r="C4450" s="2" t="s">
        <v>11</v>
      </c>
      <c r="D4450">
        <v>21</v>
      </c>
      <c r="E4450" s="2" t="s">
        <v>16</v>
      </c>
      <c r="F4450" s="2" t="s">
        <v>21</v>
      </c>
      <c r="G4450">
        <v>47075</v>
      </c>
      <c r="H4450" s="1">
        <v>45153</v>
      </c>
      <c r="I4450">
        <v>2</v>
      </c>
      <c r="J4450">
        <v>2</v>
      </c>
      <c r="K4450">
        <v>4708</v>
      </c>
      <c r="L4450">
        <v>2354</v>
      </c>
      <c r="M4450">
        <v>49429</v>
      </c>
      <c r="N4450">
        <v>0</v>
      </c>
      <c r="O4450">
        <v>51783</v>
      </c>
    </row>
    <row r="4451" spans="1:15" x14ac:dyDescent="0.35">
      <c r="A4451">
        <v>4450</v>
      </c>
      <c r="B4451" s="2" t="s">
        <v>26</v>
      </c>
      <c r="C4451" s="2" t="s">
        <v>11</v>
      </c>
      <c r="D4451">
        <v>50</v>
      </c>
      <c r="E4451" s="2" t="s">
        <v>29</v>
      </c>
      <c r="F4451" s="2" t="s">
        <v>13</v>
      </c>
      <c r="G4451">
        <v>26567</v>
      </c>
      <c r="H4451" s="1">
        <v>45307</v>
      </c>
      <c r="I4451">
        <v>11</v>
      </c>
      <c r="J4451">
        <v>2</v>
      </c>
      <c r="K4451">
        <v>2657</v>
      </c>
      <c r="L4451">
        <v>1328</v>
      </c>
      <c r="M4451">
        <v>27896</v>
      </c>
      <c r="N4451">
        <v>1328</v>
      </c>
      <c r="O4451">
        <v>30552</v>
      </c>
    </row>
    <row r="4452" spans="1:15" x14ac:dyDescent="0.35">
      <c r="A4452">
        <v>4451</v>
      </c>
      <c r="B4452" s="2" t="s">
        <v>31</v>
      </c>
      <c r="C4452" s="2" t="s">
        <v>15</v>
      </c>
      <c r="D4452">
        <v>35</v>
      </c>
      <c r="E4452" s="2" t="s">
        <v>12</v>
      </c>
      <c r="F4452" s="2" t="s">
        <v>19</v>
      </c>
      <c r="G4452">
        <v>21173</v>
      </c>
      <c r="H4452" s="1">
        <v>44792</v>
      </c>
      <c r="I4452">
        <v>15</v>
      </c>
      <c r="J4452">
        <v>2</v>
      </c>
      <c r="K4452">
        <v>2117</v>
      </c>
      <c r="L4452">
        <v>1059</v>
      </c>
      <c r="M4452">
        <v>22231</v>
      </c>
      <c r="N4452">
        <v>1059</v>
      </c>
      <c r="O4452">
        <v>24349</v>
      </c>
    </row>
    <row r="4453" spans="1:15" x14ac:dyDescent="0.35">
      <c r="A4453">
        <v>4452</v>
      </c>
      <c r="B4453" s="2" t="s">
        <v>26</v>
      </c>
      <c r="C4453" s="2" t="s">
        <v>11</v>
      </c>
      <c r="D4453">
        <v>42</v>
      </c>
      <c r="E4453" s="2" t="s">
        <v>28</v>
      </c>
      <c r="F4453" s="2" t="s">
        <v>17</v>
      </c>
      <c r="G4453">
        <v>48774</v>
      </c>
      <c r="H4453" s="1">
        <v>45030</v>
      </c>
      <c r="I4453">
        <v>3</v>
      </c>
      <c r="J4453">
        <v>1</v>
      </c>
      <c r="K4453">
        <v>4877</v>
      </c>
      <c r="L4453">
        <v>2439</v>
      </c>
      <c r="M4453">
        <v>51212</v>
      </c>
      <c r="N4453">
        <v>0</v>
      </c>
      <c r="O4453">
        <v>53651</v>
      </c>
    </row>
    <row r="4454" spans="1:15" x14ac:dyDescent="0.35">
      <c r="A4454">
        <v>4453</v>
      </c>
      <c r="B4454" s="2" t="s">
        <v>18</v>
      </c>
      <c r="C4454" s="2" t="s">
        <v>15</v>
      </c>
      <c r="D4454">
        <v>35</v>
      </c>
      <c r="E4454" s="2" t="s">
        <v>16</v>
      </c>
      <c r="F4454" s="2" t="s">
        <v>25</v>
      </c>
      <c r="G4454">
        <v>53159</v>
      </c>
      <c r="H4454" s="1">
        <v>45035</v>
      </c>
      <c r="I4454">
        <v>9</v>
      </c>
      <c r="J4454">
        <v>2</v>
      </c>
      <c r="K4454">
        <v>5316</v>
      </c>
      <c r="L4454">
        <v>2658</v>
      </c>
      <c r="M4454">
        <v>55817</v>
      </c>
      <c r="N4454">
        <v>2658</v>
      </c>
      <c r="O4454">
        <v>61133</v>
      </c>
    </row>
    <row r="4455" spans="1:15" x14ac:dyDescent="0.35">
      <c r="A4455">
        <v>4454</v>
      </c>
      <c r="B4455" s="2" t="s">
        <v>31</v>
      </c>
      <c r="C4455" s="2" t="s">
        <v>11</v>
      </c>
      <c r="D4455">
        <v>25</v>
      </c>
      <c r="E4455" s="2" t="s">
        <v>12</v>
      </c>
      <c r="F4455" s="2" t="s">
        <v>21</v>
      </c>
      <c r="G4455">
        <v>39025</v>
      </c>
      <c r="H4455" s="1">
        <v>44657</v>
      </c>
      <c r="I4455">
        <v>11</v>
      </c>
      <c r="J4455">
        <v>1</v>
      </c>
      <c r="K4455">
        <v>3902</v>
      </c>
      <c r="L4455">
        <v>1951</v>
      </c>
      <c r="M4455">
        <v>40976</v>
      </c>
      <c r="N4455">
        <v>1951</v>
      </c>
      <c r="O4455">
        <v>44878</v>
      </c>
    </row>
    <row r="4456" spans="1:15" x14ac:dyDescent="0.35">
      <c r="A4456">
        <v>4455</v>
      </c>
      <c r="B4456" s="2" t="s">
        <v>22</v>
      </c>
      <c r="C4456" s="2" t="s">
        <v>11</v>
      </c>
      <c r="D4456">
        <v>31</v>
      </c>
      <c r="E4456" s="2" t="s">
        <v>24</v>
      </c>
      <c r="F4456" s="2" t="s">
        <v>19</v>
      </c>
      <c r="G4456">
        <v>47217</v>
      </c>
      <c r="H4456" s="1">
        <v>45041</v>
      </c>
      <c r="I4456">
        <v>15</v>
      </c>
      <c r="J4456">
        <v>3</v>
      </c>
      <c r="K4456">
        <v>4722</v>
      </c>
      <c r="L4456">
        <v>2361</v>
      </c>
      <c r="M4456">
        <v>49578</v>
      </c>
      <c r="N4456">
        <v>2361</v>
      </c>
      <c r="O4456">
        <v>54300</v>
      </c>
    </row>
    <row r="4457" spans="1:15" x14ac:dyDescent="0.35">
      <c r="A4457">
        <v>4456</v>
      </c>
      <c r="B4457" s="2" t="s">
        <v>20</v>
      </c>
      <c r="C4457" s="2" t="s">
        <v>15</v>
      </c>
      <c r="D4457">
        <v>35</v>
      </c>
      <c r="E4457" s="2" t="s">
        <v>16</v>
      </c>
      <c r="F4457" s="2" t="s">
        <v>21</v>
      </c>
      <c r="G4457">
        <v>58932</v>
      </c>
      <c r="H4457" s="1">
        <v>44792</v>
      </c>
      <c r="I4457">
        <v>3</v>
      </c>
      <c r="J4457">
        <v>2</v>
      </c>
      <c r="K4457">
        <v>5893</v>
      </c>
      <c r="L4457">
        <v>2947</v>
      </c>
      <c r="M4457">
        <v>61878</v>
      </c>
      <c r="N4457">
        <v>0</v>
      </c>
      <c r="O4457">
        <v>64825</v>
      </c>
    </row>
    <row r="4458" spans="1:15" x14ac:dyDescent="0.35">
      <c r="A4458">
        <v>4457</v>
      </c>
      <c r="B4458" s="2" t="s">
        <v>26</v>
      </c>
      <c r="C4458" s="2" t="s">
        <v>11</v>
      </c>
      <c r="D4458">
        <v>29</v>
      </c>
      <c r="E4458" s="2" t="s">
        <v>28</v>
      </c>
      <c r="F4458" s="2" t="s">
        <v>19</v>
      </c>
      <c r="G4458">
        <v>93858</v>
      </c>
      <c r="H4458" s="1">
        <v>44814</v>
      </c>
      <c r="I4458">
        <v>1</v>
      </c>
      <c r="J4458">
        <v>3</v>
      </c>
      <c r="K4458">
        <v>9386</v>
      </c>
      <c r="L4458">
        <v>4693</v>
      </c>
      <c r="M4458">
        <v>98551</v>
      </c>
      <c r="N4458">
        <v>0</v>
      </c>
      <c r="O4458">
        <v>103244</v>
      </c>
    </row>
    <row r="4459" spans="1:15" x14ac:dyDescent="0.35">
      <c r="A4459">
        <v>4458</v>
      </c>
      <c r="B4459" s="2" t="s">
        <v>14</v>
      </c>
      <c r="C4459" s="2" t="s">
        <v>11</v>
      </c>
      <c r="D4459">
        <v>25</v>
      </c>
      <c r="E4459" s="2" t="s">
        <v>24</v>
      </c>
      <c r="F4459" s="2" t="s">
        <v>21</v>
      </c>
      <c r="G4459">
        <v>91751</v>
      </c>
      <c r="H4459" s="1">
        <v>45542</v>
      </c>
      <c r="I4459">
        <v>10</v>
      </c>
      <c r="J4459">
        <v>5</v>
      </c>
      <c r="K4459">
        <v>9175</v>
      </c>
      <c r="L4459">
        <v>4588</v>
      </c>
      <c r="M4459">
        <v>96338</v>
      </c>
      <c r="N4459">
        <v>4588</v>
      </c>
      <c r="O4459">
        <v>105514</v>
      </c>
    </row>
    <row r="4460" spans="1:15" x14ac:dyDescent="0.35">
      <c r="A4460">
        <v>4459</v>
      </c>
      <c r="B4460" s="2" t="s">
        <v>22</v>
      </c>
      <c r="C4460" s="2" t="s">
        <v>15</v>
      </c>
      <c r="D4460">
        <v>54</v>
      </c>
      <c r="E4460" s="2" t="s">
        <v>29</v>
      </c>
      <c r="F4460" s="2" t="s">
        <v>19</v>
      </c>
      <c r="G4460">
        <v>96705</v>
      </c>
      <c r="H4460" s="1">
        <v>44713</v>
      </c>
      <c r="I4460">
        <v>3</v>
      </c>
      <c r="J4460">
        <v>3</v>
      </c>
      <c r="K4460">
        <v>9670</v>
      </c>
      <c r="L4460">
        <v>4835</v>
      </c>
      <c r="M4460">
        <v>101540</v>
      </c>
      <c r="N4460">
        <v>0</v>
      </c>
      <c r="O4460">
        <v>106375</v>
      </c>
    </row>
    <row r="4461" spans="1:15" x14ac:dyDescent="0.35">
      <c r="A4461">
        <v>4460</v>
      </c>
      <c r="B4461" s="2" t="s">
        <v>31</v>
      </c>
      <c r="C4461" s="2" t="s">
        <v>15</v>
      </c>
      <c r="D4461">
        <v>43</v>
      </c>
      <c r="E4461" s="2" t="s">
        <v>29</v>
      </c>
      <c r="F4461" s="2" t="s">
        <v>19</v>
      </c>
      <c r="G4461">
        <v>92676</v>
      </c>
      <c r="H4461" s="1">
        <v>44950</v>
      </c>
      <c r="I4461">
        <v>18</v>
      </c>
      <c r="J4461">
        <v>4</v>
      </c>
      <c r="K4461">
        <v>9268</v>
      </c>
      <c r="L4461">
        <v>4634</v>
      </c>
      <c r="M4461">
        <v>97310</v>
      </c>
      <c r="N4461">
        <v>4634</v>
      </c>
      <c r="O4461">
        <v>106578</v>
      </c>
    </row>
    <row r="4462" spans="1:15" x14ac:dyDescent="0.35">
      <c r="A4462">
        <v>4461</v>
      </c>
      <c r="B4462" s="2" t="s">
        <v>14</v>
      </c>
      <c r="C4462" s="2" t="s">
        <v>11</v>
      </c>
      <c r="D4462">
        <v>22</v>
      </c>
      <c r="E4462" s="2" t="s">
        <v>16</v>
      </c>
      <c r="F4462" s="2" t="s">
        <v>13</v>
      </c>
      <c r="G4462">
        <v>94339</v>
      </c>
      <c r="H4462" s="1">
        <v>45414</v>
      </c>
      <c r="I4462">
        <v>16</v>
      </c>
      <c r="J4462">
        <v>3</v>
      </c>
      <c r="K4462">
        <v>9434</v>
      </c>
      <c r="L4462">
        <v>4717</v>
      </c>
      <c r="M4462">
        <v>99056</v>
      </c>
      <c r="N4462">
        <v>4717</v>
      </c>
      <c r="O4462">
        <v>108490</v>
      </c>
    </row>
    <row r="4463" spans="1:15" x14ac:dyDescent="0.35">
      <c r="A4463">
        <v>4462</v>
      </c>
      <c r="B4463" s="2" t="s">
        <v>23</v>
      </c>
      <c r="C4463" s="2" t="s">
        <v>15</v>
      </c>
      <c r="D4463">
        <v>37</v>
      </c>
      <c r="E4463" s="2" t="s">
        <v>24</v>
      </c>
      <c r="F4463" s="2" t="s">
        <v>21</v>
      </c>
      <c r="G4463">
        <v>82927</v>
      </c>
      <c r="H4463" s="1">
        <v>44988</v>
      </c>
      <c r="I4463">
        <v>17</v>
      </c>
      <c r="J4463">
        <v>2</v>
      </c>
      <c r="K4463">
        <v>8293</v>
      </c>
      <c r="L4463">
        <v>4146</v>
      </c>
      <c r="M4463">
        <v>87074</v>
      </c>
      <c r="N4463">
        <v>4146</v>
      </c>
      <c r="O4463">
        <v>95366</v>
      </c>
    </row>
    <row r="4464" spans="1:15" x14ac:dyDescent="0.35">
      <c r="A4464">
        <v>4463</v>
      </c>
      <c r="B4464" s="2" t="s">
        <v>22</v>
      </c>
      <c r="C4464" s="2" t="s">
        <v>15</v>
      </c>
      <c r="D4464">
        <v>58</v>
      </c>
      <c r="E4464" s="2" t="s">
        <v>24</v>
      </c>
      <c r="F4464" s="2" t="s">
        <v>17</v>
      </c>
      <c r="G4464">
        <v>46501</v>
      </c>
      <c r="H4464" s="1">
        <v>44592</v>
      </c>
      <c r="I4464">
        <v>13</v>
      </c>
      <c r="J4464">
        <v>2</v>
      </c>
      <c r="K4464">
        <v>4650</v>
      </c>
      <c r="L4464">
        <v>2325</v>
      </c>
      <c r="M4464">
        <v>48826</v>
      </c>
      <c r="N4464">
        <v>2325</v>
      </c>
      <c r="O4464">
        <v>53476</v>
      </c>
    </row>
    <row r="4465" spans="1:15" x14ac:dyDescent="0.35">
      <c r="A4465">
        <v>4464</v>
      </c>
      <c r="B4465" s="2" t="s">
        <v>23</v>
      </c>
      <c r="C4465" s="2" t="s">
        <v>15</v>
      </c>
      <c r="D4465">
        <v>50</v>
      </c>
      <c r="E4465" s="2" t="s">
        <v>24</v>
      </c>
      <c r="F4465" s="2" t="s">
        <v>13</v>
      </c>
      <c r="G4465">
        <v>79130</v>
      </c>
      <c r="H4465" s="1">
        <v>44647</v>
      </c>
      <c r="I4465">
        <v>17</v>
      </c>
      <c r="J4465">
        <v>4</v>
      </c>
      <c r="K4465">
        <v>7913</v>
      </c>
      <c r="L4465">
        <v>3956</v>
      </c>
      <c r="M4465">
        <v>83087</v>
      </c>
      <c r="N4465">
        <v>3956</v>
      </c>
      <c r="O4465">
        <v>90999</v>
      </c>
    </row>
    <row r="4466" spans="1:15" x14ac:dyDescent="0.35">
      <c r="A4466">
        <v>4465</v>
      </c>
      <c r="B4466" s="2" t="s">
        <v>20</v>
      </c>
      <c r="C4466" s="2" t="s">
        <v>15</v>
      </c>
      <c r="D4466">
        <v>53</v>
      </c>
      <c r="E4466" s="2" t="s">
        <v>16</v>
      </c>
      <c r="F4466" s="2" t="s">
        <v>25</v>
      </c>
      <c r="G4466">
        <v>59254</v>
      </c>
      <c r="H4466" s="1">
        <v>45042</v>
      </c>
      <c r="I4466">
        <v>2</v>
      </c>
      <c r="J4466">
        <v>1</v>
      </c>
      <c r="K4466">
        <v>5925</v>
      </c>
      <c r="L4466">
        <v>2963</v>
      </c>
      <c r="M4466">
        <v>62216</v>
      </c>
      <c r="N4466">
        <v>0</v>
      </c>
      <c r="O4466">
        <v>65179</v>
      </c>
    </row>
    <row r="4467" spans="1:15" x14ac:dyDescent="0.35">
      <c r="A4467">
        <v>4466</v>
      </c>
      <c r="B4467" s="2" t="s">
        <v>22</v>
      </c>
      <c r="C4467" s="2" t="s">
        <v>15</v>
      </c>
      <c r="D4467">
        <v>53</v>
      </c>
      <c r="E4467" s="2" t="s">
        <v>28</v>
      </c>
      <c r="F4467" s="2" t="s">
        <v>13</v>
      </c>
      <c r="G4467">
        <v>93397</v>
      </c>
      <c r="H4467" s="1">
        <v>45076</v>
      </c>
      <c r="I4467">
        <v>16</v>
      </c>
      <c r="J4467">
        <v>3</v>
      </c>
      <c r="K4467">
        <v>9340</v>
      </c>
      <c r="L4467">
        <v>4670</v>
      </c>
      <c r="M4467">
        <v>98067</v>
      </c>
      <c r="N4467">
        <v>4670</v>
      </c>
      <c r="O4467">
        <v>107407</v>
      </c>
    </row>
    <row r="4468" spans="1:15" x14ac:dyDescent="0.35">
      <c r="A4468">
        <v>4467</v>
      </c>
      <c r="B4468" s="2" t="s">
        <v>31</v>
      </c>
      <c r="C4468" s="2" t="s">
        <v>15</v>
      </c>
      <c r="D4468">
        <v>39</v>
      </c>
      <c r="E4468" s="2" t="s">
        <v>12</v>
      </c>
      <c r="F4468" s="2" t="s">
        <v>19</v>
      </c>
      <c r="G4468">
        <v>30061</v>
      </c>
      <c r="H4468" s="1">
        <v>45219</v>
      </c>
      <c r="I4468">
        <v>2</v>
      </c>
      <c r="J4468">
        <v>1</v>
      </c>
      <c r="K4468">
        <v>3006</v>
      </c>
      <c r="L4468">
        <v>1503</v>
      </c>
      <c r="M4468">
        <v>31564</v>
      </c>
      <c r="N4468">
        <v>0</v>
      </c>
      <c r="O4468">
        <v>33067</v>
      </c>
    </row>
    <row r="4469" spans="1:15" x14ac:dyDescent="0.35">
      <c r="A4469">
        <v>4468</v>
      </c>
      <c r="B4469" s="2" t="s">
        <v>18</v>
      </c>
      <c r="C4469" s="2" t="s">
        <v>11</v>
      </c>
      <c r="D4469">
        <v>37</v>
      </c>
      <c r="E4469" s="2" t="s">
        <v>16</v>
      </c>
      <c r="F4469" s="2" t="s">
        <v>13</v>
      </c>
      <c r="G4469">
        <v>95327</v>
      </c>
      <c r="H4469" s="1">
        <v>44957</v>
      </c>
      <c r="I4469">
        <v>6</v>
      </c>
      <c r="J4469">
        <v>2</v>
      </c>
      <c r="K4469">
        <v>9533</v>
      </c>
      <c r="L4469">
        <v>4766</v>
      </c>
      <c r="M4469">
        <v>100094</v>
      </c>
      <c r="N4469">
        <v>4766</v>
      </c>
      <c r="O4469">
        <v>109626</v>
      </c>
    </row>
    <row r="4470" spans="1:15" x14ac:dyDescent="0.35">
      <c r="A4470">
        <v>4469</v>
      </c>
      <c r="B4470" s="2" t="s">
        <v>30</v>
      </c>
      <c r="C4470" s="2" t="s">
        <v>15</v>
      </c>
      <c r="D4470">
        <v>39</v>
      </c>
      <c r="E4470" s="2" t="s">
        <v>29</v>
      </c>
      <c r="F4470" s="2" t="s">
        <v>19</v>
      </c>
      <c r="G4470">
        <v>62733</v>
      </c>
      <c r="H4470" s="1">
        <v>44645</v>
      </c>
      <c r="I4470">
        <v>12</v>
      </c>
      <c r="J4470">
        <v>2</v>
      </c>
      <c r="K4470">
        <v>6273</v>
      </c>
      <c r="L4470">
        <v>3137</v>
      </c>
      <c r="M4470">
        <v>65869</v>
      </c>
      <c r="N4470">
        <v>3137</v>
      </c>
      <c r="O4470">
        <v>72143</v>
      </c>
    </row>
    <row r="4471" spans="1:15" x14ac:dyDescent="0.35">
      <c r="A4471">
        <v>4470</v>
      </c>
      <c r="B4471" s="2" t="s">
        <v>10</v>
      </c>
      <c r="C4471" s="2" t="s">
        <v>11</v>
      </c>
      <c r="D4471">
        <v>51</v>
      </c>
      <c r="E4471" s="2" t="s">
        <v>24</v>
      </c>
      <c r="F4471" s="2" t="s">
        <v>25</v>
      </c>
      <c r="G4471">
        <v>32935</v>
      </c>
      <c r="H4471" s="1">
        <v>45528</v>
      </c>
      <c r="I4471">
        <v>7</v>
      </c>
      <c r="J4471">
        <v>1</v>
      </c>
      <c r="K4471">
        <v>3294</v>
      </c>
      <c r="L4471">
        <v>1647</v>
      </c>
      <c r="M4471">
        <v>34582</v>
      </c>
      <c r="N4471">
        <v>1647</v>
      </c>
      <c r="O4471">
        <v>37876</v>
      </c>
    </row>
    <row r="4472" spans="1:15" x14ac:dyDescent="0.35">
      <c r="A4472">
        <v>4471</v>
      </c>
      <c r="B4472" s="2" t="s">
        <v>23</v>
      </c>
      <c r="C4472" s="2" t="s">
        <v>15</v>
      </c>
      <c r="D4472">
        <v>52</v>
      </c>
      <c r="E4472" s="2" t="s">
        <v>16</v>
      </c>
      <c r="F4472" s="2" t="s">
        <v>25</v>
      </c>
      <c r="G4472">
        <v>97691</v>
      </c>
      <c r="H4472" s="1">
        <v>44978</v>
      </c>
      <c r="I4472">
        <v>17</v>
      </c>
      <c r="J4472">
        <v>5</v>
      </c>
      <c r="K4472">
        <v>9769</v>
      </c>
      <c r="L4472">
        <v>4885</v>
      </c>
      <c r="M4472">
        <v>102575</v>
      </c>
      <c r="N4472">
        <v>4885</v>
      </c>
      <c r="O4472">
        <v>112345</v>
      </c>
    </row>
    <row r="4473" spans="1:15" x14ac:dyDescent="0.35">
      <c r="A4473">
        <v>4472</v>
      </c>
      <c r="B4473" s="2" t="s">
        <v>30</v>
      </c>
      <c r="C4473" s="2" t="s">
        <v>15</v>
      </c>
      <c r="D4473">
        <v>58</v>
      </c>
      <c r="E4473" s="2" t="s">
        <v>16</v>
      </c>
      <c r="F4473" s="2" t="s">
        <v>17</v>
      </c>
      <c r="G4473">
        <v>30712</v>
      </c>
      <c r="H4473" s="1">
        <v>44621</v>
      </c>
      <c r="I4473">
        <v>12</v>
      </c>
      <c r="J4473">
        <v>4</v>
      </c>
      <c r="K4473">
        <v>3071</v>
      </c>
      <c r="L4473">
        <v>1536</v>
      </c>
      <c r="M4473">
        <v>32247</v>
      </c>
      <c r="N4473">
        <v>1536</v>
      </c>
      <c r="O4473">
        <v>35319</v>
      </c>
    </row>
    <row r="4474" spans="1:15" x14ac:dyDescent="0.35">
      <c r="A4474">
        <v>4473</v>
      </c>
      <c r="B4474" s="2" t="s">
        <v>31</v>
      </c>
      <c r="C4474" s="2" t="s">
        <v>11</v>
      </c>
      <c r="D4474">
        <v>48</v>
      </c>
      <c r="E4474" s="2" t="s">
        <v>12</v>
      </c>
      <c r="F4474" s="2" t="s">
        <v>19</v>
      </c>
      <c r="G4474">
        <v>76414</v>
      </c>
      <c r="H4474" s="1">
        <v>45490</v>
      </c>
      <c r="I4474">
        <v>3</v>
      </c>
      <c r="J4474">
        <v>5</v>
      </c>
      <c r="K4474">
        <v>7641</v>
      </c>
      <c r="L4474">
        <v>3821</v>
      </c>
      <c r="M4474">
        <v>80234</v>
      </c>
      <c r="N4474">
        <v>0</v>
      </c>
      <c r="O4474">
        <v>84055</v>
      </c>
    </row>
    <row r="4475" spans="1:15" x14ac:dyDescent="0.35">
      <c r="A4475">
        <v>4474</v>
      </c>
      <c r="B4475" s="2" t="s">
        <v>18</v>
      </c>
      <c r="C4475" s="2" t="s">
        <v>15</v>
      </c>
      <c r="D4475">
        <v>38</v>
      </c>
      <c r="E4475" s="2" t="s">
        <v>28</v>
      </c>
      <c r="F4475" s="2" t="s">
        <v>21</v>
      </c>
      <c r="G4475">
        <v>32776</v>
      </c>
      <c r="H4475" s="1">
        <v>45502</v>
      </c>
      <c r="I4475">
        <v>20</v>
      </c>
      <c r="J4475">
        <v>3</v>
      </c>
      <c r="K4475">
        <v>3278</v>
      </c>
      <c r="L4475">
        <v>1639</v>
      </c>
      <c r="M4475">
        <v>34415</v>
      </c>
      <c r="N4475">
        <v>1639</v>
      </c>
      <c r="O4475">
        <v>37693</v>
      </c>
    </row>
    <row r="4476" spans="1:15" x14ac:dyDescent="0.35">
      <c r="A4476">
        <v>4475</v>
      </c>
      <c r="B4476" s="2" t="s">
        <v>22</v>
      </c>
      <c r="C4476" s="2" t="s">
        <v>11</v>
      </c>
      <c r="D4476">
        <v>44</v>
      </c>
      <c r="E4476" s="2" t="s">
        <v>12</v>
      </c>
      <c r="F4476" s="2" t="s">
        <v>13</v>
      </c>
      <c r="G4476">
        <v>59671</v>
      </c>
      <c r="H4476" s="1">
        <v>44632</v>
      </c>
      <c r="I4476">
        <v>17</v>
      </c>
      <c r="J4476">
        <v>4</v>
      </c>
      <c r="K4476">
        <v>5967</v>
      </c>
      <c r="L4476">
        <v>2984</v>
      </c>
      <c r="M4476">
        <v>62654</v>
      </c>
      <c r="N4476">
        <v>2984</v>
      </c>
      <c r="O4476">
        <v>68622</v>
      </c>
    </row>
    <row r="4477" spans="1:15" x14ac:dyDescent="0.35">
      <c r="A4477">
        <v>4476</v>
      </c>
      <c r="B4477" s="2" t="s">
        <v>31</v>
      </c>
      <c r="C4477" s="2" t="s">
        <v>15</v>
      </c>
      <c r="D4477">
        <v>39</v>
      </c>
      <c r="E4477" s="2" t="s">
        <v>29</v>
      </c>
      <c r="F4477" s="2" t="s">
        <v>13</v>
      </c>
      <c r="G4477">
        <v>63100</v>
      </c>
      <c r="H4477" s="1">
        <v>44693</v>
      </c>
      <c r="I4477">
        <v>5</v>
      </c>
      <c r="J4477">
        <v>4</v>
      </c>
      <c r="K4477">
        <v>6310</v>
      </c>
      <c r="L4477">
        <v>3155</v>
      </c>
      <c r="M4477">
        <v>66255</v>
      </c>
      <c r="N4477">
        <v>0</v>
      </c>
      <c r="O4477">
        <v>69410</v>
      </c>
    </row>
    <row r="4478" spans="1:15" x14ac:dyDescent="0.35">
      <c r="A4478">
        <v>4477</v>
      </c>
      <c r="B4478" s="2" t="s">
        <v>27</v>
      </c>
      <c r="C4478" s="2" t="s">
        <v>15</v>
      </c>
      <c r="D4478">
        <v>46</v>
      </c>
      <c r="E4478" s="2" t="s">
        <v>16</v>
      </c>
      <c r="F4478" s="2" t="s">
        <v>13</v>
      </c>
      <c r="G4478">
        <v>38065</v>
      </c>
      <c r="H4478" s="1">
        <v>44836</v>
      </c>
      <c r="I4478">
        <v>2</v>
      </c>
      <c r="J4478">
        <v>3</v>
      </c>
      <c r="K4478">
        <v>3806</v>
      </c>
      <c r="L4478">
        <v>1903</v>
      </c>
      <c r="M4478">
        <v>39968</v>
      </c>
      <c r="N4478">
        <v>0</v>
      </c>
      <c r="O4478">
        <v>41871</v>
      </c>
    </row>
    <row r="4479" spans="1:15" x14ac:dyDescent="0.35">
      <c r="A4479">
        <v>4478</v>
      </c>
      <c r="B4479" s="2" t="s">
        <v>30</v>
      </c>
      <c r="C4479" s="2" t="s">
        <v>15</v>
      </c>
      <c r="D4479">
        <v>57</v>
      </c>
      <c r="E4479" s="2" t="s">
        <v>16</v>
      </c>
      <c r="F4479" s="2" t="s">
        <v>13</v>
      </c>
      <c r="G4479">
        <v>20865</v>
      </c>
      <c r="H4479" s="1">
        <v>45271</v>
      </c>
      <c r="I4479">
        <v>10</v>
      </c>
      <c r="J4479">
        <v>5</v>
      </c>
      <c r="K4479">
        <v>2086</v>
      </c>
      <c r="L4479">
        <v>1043</v>
      </c>
      <c r="M4479">
        <v>21908</v>
      </c>
      <c r="N4479">
        <v>1043</v>
      </c>
      <c r="O4479">
        <v>23994</v>
      </c>
    </row>
    <row r="4480" spans="1:15" x14ac:dyDescent="0.35">
      <c r="A4480">
        <v>4479</v>
      </c>
      <c r="B4480" s="2" t="s">
        <v>23</v>
      </c>
      <c r="C4480" s="2" t="s">
        <v>15</v>
      </c>
      <c r="D4480">
        <v>41</v>
      </c>
      <c r="E4480" s="2" t="s">
        <v>24</v>
      </c>
      <c r="F4480" s="2" t="s">
        <v>17</v>
      </c>
      <c r="G4480">
        <v>78861</v>
      </c>
      <c r="H4480" s="1">
        <v>45355</v>
      </c>
      <c r="I4480">
        <v>12</v>
      </c>
      <c r="J4480">
        <v>5</v>
      </c>
      <c r="K4480">
        <v>7886</v>
      </c>
      <c r="L4480">
        <v>3943</v>
      </c>
      <c r="M4480">
        <v>82804</v>
      </c>
      <c r="N4480">
        <v>3943</v>
      </c>
      <c r="O4480">
        <v>90690</v>
      </c>
    </row>
    <row r="4481" spans="1:15" x14ac:dyDescent="0.35">
      <c r="A4481">
        <v>4480</v>
      </c>
      <c r="B4481" s="2" t="s">
        <v>22</v>
      </c>
      <c r="C4481" s="2" t="s">
        <v>15</v>
      </c>
      <c r="D4481">
        <v>43</v>
      </c>
      <c r="E4481" s="2" t="s">
        <v>16</v>
      </c>
      <c r="F4481" s="2" t="s">
        <v>25</v>
      </c>
      <c r="G4481">
        <v>49199</v>
      </c>
      <c r="H4481" s="1">
        <v>44756</v>
      </c>
      <c r="I4481">
        <v>17</v>
      </c>
      <c r="J4481">
        <v>1</v>
      </c>
      <c r="K4481">
        <v>4920</v>
      </c>
      <c r="L4481">
        <v>2460</v>
      </c>
      <c r="M4481">
        <v>51659</v>
      </c>
      <c r="N4481">
        <v>2460</v>
      </c>
      <c r="O4481">
        <v>56579</v>
      </c>
    </row>
    <row r="4482" spans="1:15" x14ac:dyDescent="0.35">
      <c r="A4482">
        <v>4481</v>
      </c>
      <c r="B4482" s="2" t="s">
        <v>27</v>
      </c>
      <c r="C4482" s="2" t="s">
        <v>15</v>
      </c>
      <c r="D4482">
        <v>59</v>
      </c>
      <c r="E4482" s="2" t="s">
        <v>28</v>
      </c>
      <c r="F4482" s="2" t="s">
        <v>17</v>
      </c>
      <c r="G4482">
        <v>48290</v>
      </c>
      <c r="H4482" s="1">
        <v>44588</v>
      </c>
      <c r="I4482">
        <v>9</v>
      </c>
      <c r="J4482">
        <v>2</v>
      </c>
      <c r="K4482">
        <v>4829</v>
      </c>
      <c r="L4482">
        <v>2414</v>
      </c>
      <c r="M4482">
        <v>50705</v>
      </c>
      <c r="N4482">
        <v>2414</v>
      </c>
      <c r="O4482">
        <v>55533</v>
      </c>
    </row>
    <row r="4483" spans="1:15" x14ac:dyDescent="0.35">
      <c r="A4483">
        <v>4482</v>
      </c>
      <c r="B4483" s="2" t="s">
        <v>10</v>
      </c>
      <c r="C4483" s="2" t="s">
        <v>15</v>
      </c>
      <c r="D4483">
        <v>23</v>
      </c>
      <c r="E4483" s="2" t="s">
        <v>24</v>
      </c>
      <c r="F4483" s="2" t="s">
        <v>13</v>
      </c>
      <c r="G4483">
        <v>34691</v>
      </c>
      <c r="H4483" s="1">
        <v>45540</v>
      </c>
      <c r="I4483">
        <v>3</v>
      </c>
      <c r="J4483">
        <v>4</v>
      </c>
      <c r="K4483">
        <v>3469</v>
      </c>
      <c r="L4483">
        <v>1735</v>
      </c>
      <c r="M4483">
        <v>36425</v>
      </c>
      <c r="N4483">
        <v>0</v>
      </c>
      <c r="O4483">
        <v>38160</v>
      </c>
    </row>
    <row r="4484" spans="1:15" x14ac:dyDescent="0.35">
      <c r="A4484">
        <v>4483</v>
      </c>
      <c r="B4484" s="2" t="s">
        <v>18</v>
      </c>
      <c r="C4484" s="2" t="s">
        <v>15</v>
      </c>
      <c r="D4484">
        <v>29</v>
      </c>
      <c r="E4484" s="2" t="s">
        <v>12</v>
      </c>
      <c r="F4484" s="2" t="s">
        <v>21</v>
      </c>
      <c r="G4484">
        <v>72437</v>
      </c>
      <c r="H4484" s="1">
        <v>45158</v>
      </c>
      <c r="I4484">
        <v>7</v>
      </c>
      <c r="J4484">
        <v>5</v>
      </c>
      <c r="K4484">
        <v>7244</v>
      </c>
      <c r="L4484">
        <v>3622</v>
      </c>
      <c r="M4484">
        <v>76059</v>
      </c>
      <c r="N4484">
        <v>3622</v>
      </c>
      <c r="O4484">
        <v>83303</v>
      </c>
    </row>
    <row r="4485" spans="1:15" x14ac:dyDescent="0.35">
      <c r="A4485">
        <v>4484</v>
      </c>
      <c r="B4485" s="2" t="s">
        <v>30</v>
      </c>
      <c r="C4485" s="2" t="s">
        <v>11</v>
      </c>
      <c r="D4485">
        <v>50</v>
      </c>
      <c r="E4485" s="2" t="s">
        <v>16</v>
      </c>
      <c r="F4485" s="2" t="s">
        <v>13</v>
      </c>
      <c r="G4485">
        <v>74006</v>
      </c>
      <c r="H4485" s="1">
        <v>45548</v>
      </c>
      <c r="I4485">
        <v>20</v>
      </c>
      <c r="J4485">
        <v>3</v>
      </c>
      <c r="K4485">
        <v>7401</v>
      </c>
      <c r="L4485">
        <v>3700</v>
      </c>
      <c r="M4485">
        <v>77707</v>
      </c>
      <c r="N4485">
        <v>3700</v>
      </c>
      <c r="O4485">
        <v>85107</v>
      </c>
    </row>
    <row r="4486" spans="1:15" x14ac:dyDescent="0.35">
      <c r="A4486">
        <v>4485</v>
      </c>
      <c r="B4486" s="2" t="s">
        <v>20</v>
      </c>
      <c r="C4486" s="2" t="s">
        <v>11</v>
      </c>
      <c r="D4486">
        <v>22</v>
      </c>
      <c r="E4486" s="2" t="s">
        <v>12</v>
      </c>
      <c r="F4486" s="2" t="s">
        <v>13</v>
      </c>
      <c r="G4486">
        <v>84078</v>
      </c>
      <c r="H4486" s="1">
        <v>45552</v>
      </c>
      <c r="I4486">
        <v>17</v>
      </c>
      <c r="J4486">
        <v>3</v>
      </c>
      <c r="K4486">
        <v>8408</v>
      </c>
      <c r="L4486">
        <v>4204</v>
      </c>
      <c r="M4486">
        <v>88282</v>
      </c>
      <c r="N4486">
        <v>4204</v>
      </c>
      <c r="O4486">
        <v>96690</v>
      </c>
    </row>
    <row r="4487" spans="1:15" x14ac:dyDescent="0.35">
      <c r="A4487">
        <v>4486</v>
      </c>
      <c r="B4487" s="2" t="s">
        <v>10</v>
      </c>
      <c r="C4487" s="2" t="s">
        <v>11</v>
      </c>
      <c r="D4487">
        <v>31</v>
      </c>
      <c r="E4487" s="2" t="s">
        <v>16</v>
      </c>
      <c r="F4487" s="2" t="s">
        <v>13</v>
      </c>
      <c r="G4487">
        <v>92551</v>
      </c>
      <c r="H4487" s="1">
        <v>45301</v>
      </c>
      <c r="I4487">
        <v>16</v>
      </c>
      <c r="J4487">
        <v>4</v>
      </c>
      <c r="K4487">
        <v>9255</v>
      </c>
      <c r="L4487">
        <v>4628</v>
      </c>
      <c r="M4487">
        <v>97178</v>
      </c>
      <c r="N4487">
        <v>4628</v>
      </c>
      <c r="O4487">
        <v>106434</v>
      </c>
    </row>
    <row r="4488" spans="1:15" x14ac:dyDescent="0.35">
      <c r="A4488">
        <v>4487</v>
      </c>
      <c r="B4488" s="2" t="s">
        <v>31</v>
      </c>
      <c r="C4488" s="2" t="s">
        <v>11</v>
      </c>
      <c r="D4488">
        <v>37</v>
      </c>
      <c r="E4488" s="2" t="s">
        <v>12</v>
      </c>
      <c r="F4488" s="2" t="s">
        <v>25</v>
      </c>
      <c r="G4488">
        <v>51465</v>
      </c>
      <c r="H4488" s="1">
        <v>45250</v>
      </c>
      <c r="I4488">
        <v>7</v>
      </c>
      <c r="J4488">
        <v>2</v>
      </c>
      <c r="K4488">
        <v>5146</v>
      </c>
      <c r="L4488">
        <v>2573</v>
      </c>
      <c r="M4488">
        <v>54038</v>
      </c>
      <c r="N4488">
        <v>2573</v>
      </c>
      <c r="O4488">
        <v>59184</v>
      </c>
    </row>
    <row r="4489" spans="1:15" x14ac:dyDescent="0.35">
      <c r="A4489">
        <v>4488</v>
      </c>
      <c r="B4489" s="2" t="s">
        <v>14</v>
      </c>
      <c r="C4489" s="2" t="s">
        <v>11</v>
      </c>
      <c r="D4489">
        <v>22</v>
      </c>
      <c r="E4489" s="2" t="s">
        <v>12</v>
      </c>
      <c r="F4489" s="2" t="s">
        <v>17</v>
      </c>
      <c r="G4489">
        <v>58359</v>
      </c>
      <c r="H4489" s="1">
        <v>44876</v>
      </c>
      <c r="I4489">
        <v>18</v>
      </c>
      <c r="J4489">
        <v>2</v>
      </c>
      <c r="K4489">
        <v>5836</v>
      </c>
      <c r="L4489">
        <v>2918</v>
      </c>
      <c r="M4489">
        <v>61277</v>
      </c>
      <c r="N4489">
        <v>2918</v>
      </c>
      <c r="O4489">
        <v>67113</v>
      </c>
    </row>
    <row r="4490" spans="1:15" x14ac:dyDescent="0.35">
      <c r="A4490">
        <v>4489</v>
      </c>
      <c r="B4490" s="2" t="s">
        <v>23</v>
      </c>
      <c r="C4490" s="2" t="s">
        <v>15</v>
      </c>
      <c r="D4490">
        <v>36</v>
      </c>
      <c r="E4490" s="2" t="s">
        <v>12</v>
      </c>
      <c r="F4490" s="2" t="s">
        <v>21</v>
      </c>
      <c r="G4490">
        <v>27703</v>
      </c>
      <c r="H4490" s="1">
        <v>45549</v>
      </c>
      <c r="I4490">
        <v>17</v>
      </c>
      <c r="J4490">
        <v>2</v>
      </c>
      <c r="K4490">
        <v>2770</v>
      </c>
      <c r="L4490">
        <v>1385</v>
      </c>
      <c r="M4490">
        <v>29088</v>
      </c>
      <c r="N4490">
        <v>1385</v>
      </c>
      <c r="O4490">
        <v>31858</v>
      </c>
    </row>
    <row r="4491" spans="1:15" x14ac:dyDescent="0.35">
      <c r="A4491">
        <v>4490</v>
      </c>
      <c r="B4491" s="2" t="s">
        <v>20</v>
      </c>
      <c r="C4491" s="2" t="s">
        <v>11</v>
      </c>
      <c r="D4491">
        <v>37</v>
      </c>
      <c r="E4491" s="2" t="s">
        <v>16</v>
      </c>
      <c r="F4491" s="2" t="s">
        <v>25</v>
      </c>
      <c r="G4491">
        <v>54693</v>
      </c>
      <c r="H4491" s="1">
        <v>45043</v>
      </c>
      <c r="I4491">
        <v>9</v>
      </c>
      <c r="J4491">
        <v>2</v>
      </c>
      <c r="K4491">
        <v>5469</v>
      </c>
      <c r="L4491">
        <v>2735</v>
      </c>
      <c r="M4491">
        <v>57427</v>
      </c>
      <c r="N4491">
        <v>2735</v>
      </c>
      <c r="O4491">
        <v>62897</v>
      </c>
    </row>
    <row r="4492" spans="1:15" x14ac:dyDescent="0.35">
      <c r="A4492">
        <v>4491</v>
      </c>
      <c r="B4492" s="2" t="s">
        <v>23</v>
      </c>
      <c r="C4492" s="2" t="s">
        <v>15</v>
      </c>
      <c r="D4492">
        <v>51</v>
      </c>
      <c r="E4492" s="2" t="s">
        <v>29</v>
      </c>
      <c r="F4492" s="2" t="s">
        <v>25</v>
      </c>
      <c r="G4492">
        <v>59063</v>
      </c>
      <c r="H4492" s="1">
        <v>45266</v>
      </c>
      <c r="I4492">
        <v>6</v>
      </c>
      <c r="J4492">
        <v>2</v>
      </c>
      <c r="K4492">
        <v>5906</v>
      </c>
      <c r="L4492">
        <v>2953</v>
      </c>
      <c r="M4492">
        <v>62016</v>
      </c>
      <c r="N4492">
        <v>2953</v>
      </c>
      <c r="O4492">
        <v>67922</v>
      </c>
    </row>
    <row r="4493" spans="1:15" x14ac:dyDescent="0.35">
      <c r="A4493">
        <v>4492</v>
      </c>
      <c r="B4493" s="2" t="s">
        <v>14</v>
      </c>
      <c r="C4493" s="2" t="s">
        <v>15</v>
      </c>
      <c r="D4493">
        <v>27</v>
      </c>
      <c r="E4493" s="2" t="s">
        <v>28</v>
      </c>
      <c r="F4493" s="2" t="s">
        <v>25</v>
      </c>
      <c r="G4493">
        <v>27303</v>
      </c>
      <c r="H4493" s="1">
        <v>44793</v>
      </c>
      <c r="I4493">
        <v>5</v>
      </c>
      <c r="J4493">
        <v>2</v>
      </c>
      <c r="K4493">
        <v>2730</v>
      </c>
      <c r="L4493">
        <v>1365</v>
      </c>
      <c r="M4493">
        <v>28668</v>
      </c>
      <c r="N4493">
        <v>0</v>
      </c>
      <c r="O4493">
        <v>30033</v>
      </c>
    </row>
    <row r="4494" spans="1:15" x14ac:dyDescent="0.35">
      <c r="A4494">
        <v>4493</v>
      </c>
      <c r="B4494" s="2" t="s">
        <v>14</v>
      </c>
      <c r="C4494" s="2" t="s">
        <v>11</v>
      </c>
      <c r="D4494">
        <v>47</v>
      </c>
      <c r="E4494" s="2" t="s">
        <v>16</v>
      </c>
      <c r="F4494" s="2" t="s">
        <v>21</v>
      </c>
      <c r="G4494">
        <v>29675</v>
      </c>
      <c r="H4494" s="1">
        <v>44686</v>
      </c>
      <c r="I4494">
        <v>18</v>
      </c>
      <c r="J4494">
        <v>2</v>
      </c>
      <c r="K4494">
        <v>2968</v>
      </c>
      <c r="L4494">
        <v>1484</v>
      </c>
      <c r="M4494">
        <v>31159</v>
      </c>
      <c r="N4494">
        <v>1484</v>
      </c>
      <c r="O4494">
        <v>34127</v>
      </c>
    </row>
    <row r="4495" spans="1:15" x14ac:dyDescent="0.35">
      <c r="A4495">
        <v>4494</v>
      </c>
      <c r="B4495" s="2" t="s">
        <v>18</v>
      </c>
      <c r="C4495" s="2" t="s">
        <v>11</v>
      </c>
      <c r="D4495">
        <v>38</v>
      </c>
      <c r="E4495" s="2" t="s">
        <v>12</v>
      </c>
      <c r="F4495" s="2" t="s">
        <v>25</v>
      </c>
      <c r="G4495">
        <v>62683</v>
      </c>
      <c r="H4495" s="1">
        <v>45216</v>
      </c>
      <c r="I4495">
        <v>8</v>
      </c>
      <c r="J4495">
        <v>1</v>
      </c>
      <c r="K4495">
        <v>6268</v>
      </c>
      <c r="L4495">
        <v>3134</v>
      </c>
      <c r="M4495">
        <v>65817</v>
      </c>
      <c r="N4495">
        <v>3134</v>
      </c>
      <c r="O4495">
        <v>72085</v>
      </c>
    </row>
    <row r="4496" spans="1:15" x14ac:dyDescent="0.35">
      <c r="A4496">
        <v>4495</v>
      </c>
      <c r="B4496" s="2" t="s">
        <v>23</v>
      </c>
      <c r="C4496" s="2" t="s">
        <v>15</v>
      </c>
      <c r="D4496">
        <v>47</v>
      </c>
      <c r="E4496" s="2" t="s">
        <v>24</v>
      </c>
      <c r="F4496" s="2" t="s">
        <v>13</v>
      </c>
      <c r="G4496">
        <v>79055</v>
      </c>
      <c r="H4496" s="1">
        <v>45289</v>
      </c>
      <c r="I4496">
        <v>11</v>
      </c>
      <c r="J4496">
        <v>3</v>
      </c>
      <c r="K4496">
        <v>7906</v>
      </c>
      <c r="L4496">
        <v>3953</v>
      </c>
      <c r="M4496">
        <v>83008</v>
      </c>
      <c r="N4496">
        <v>3953</v>
      </c>
      <c r="O4496">
        <v>90914</v>
      </c>
    </row>
    <row r="4497" spans="1:15" x14ac:dyDescent="0.35">
      <c r="A4497">
        <v>4496</v>
      </c>
      <c r="B4497" s="2" t="s">
        <v>20</v>
      </c>
      <c r="C4497" s="2" t="s">
        <v>15</v>
      </c>
      <c r="D4497">
        <v>34</v>
      </c>
      <c r="E4497" s="2" t="s">
        <v>28</v>
      </c>
      <c r="F4497" s="2" t="s">
        <v>13</v>
      </c>
      <c r="G4497">
        <v>75575</v>
      </c>
      <c r="H4497" s="1">
        <v>45279</v>
      </c>
      <c r="I4497">
        <v>7</v>
      </c>
      <c r="J4497">
        <v>1</v>
      </c>
      <c r="K4497">
        <v>7558</v>
      </c>
      <c r="L4497">
        <v>3779</v>
      </c>
      <c r="M4497">
        <v>79354</v>
      </c>
      <c r="N4497">
        <v>3779</v>
      </c>
      <c r="O4497">
        <v>86912</v>
      </c>
    </row>
    <row r="4498" spans="1:15" x14ac:dyDescent="0.35">
      <c r="A4498">
        <v>4497</v>
      </c>
      <c r="B4498" s="2" t="s">
        <v>27</v>
      </c>
      <c r="C4498" s="2" t="s">
        <v>11</v>
      </c>
      <c r="D4498">
        <v>49</v>
      </c>
      <c r="E4498" s="2" t="s">
        <v>16</v>
      </c>
      <c r="F4498" s="2" t="s">
        <v>21</v>
      </c>
      <c r="G4498">
        <v>26584</v>
      </c>
      <c r="H4498" s="1">
        <v>45269</v>
      </c>
      <c r="I4498">
        <v>5</v>
      </c>
      <c r="J4498">
        <v>3</v>
      </c>
      <c r="K4498">
        <v>2658</v>
      </c>
      <c r="L4498">
        <v>1329</v>
      </c>
      <c r="M4498">
        <v>27913</v>
      </c>
      <c r="N4498">
        <v>0</v>
      </c>
      <c r="O4498">
        <v>29242</v>
      </c>
    </row>
    <row r="4499" spans="1:15" x14ac:dyDescent="0.35">
      <c r="A4499">
        <v>4498</v>
      </c>
      <c r="B4499" s="2" t="s">
        <v>22</v>
      </c>
      <c r="C4499" s="2" t="s">
        <v>15</v>
      </c>
      <c r="D4499">
        <v>51</v>
      </c>
      <c r="E4499" s="2" t="s">
        <v>12</v>
      </c>
      <c r="F4499" s="2" t="s">
        <v>17</v>
      </c>
      <c r="G4499">
        <v>64650</v>
      </c>
      <c r="H4499" s="1">
        <v>45454</v>
      </c>
      <c r="I4499">
        <v>19</v>
      </c>
      <c r="J4499">
        <v>5</v>
      </c>
      <c r="K4499">
        <v>6465</v>
      </c>
      <c r="L4499">
        <v>3232</v>
      </c>
      <c r="M4499">
        <v>67883</v>
      </c>
      <c r="N4499">
        <v>3232</v>
      </c>
      <c r="O4499">
        <v>74347</v>
      </c>
    </row>
    <row r="4500" spans="1:15" x14ac:dyDescent="0.35">
      <c r="A4500">
        <v>4499</v>
      </c>
      <c r="B4500" s="2" t="s">
        <v>26</v>
      </c>
      <c r="C4500" s="2" t="s">
        <v>11</v>
      </c>
      <c r="D4500">
        <v>55</v>
      </c>
      <c r="E4500" s="2" t="s">
        <v>16</v>
      </c>
      <c r="F4500" s="2" t="s">
        <v>21</v>
      </c>
      <c r="G4500">
        <v>61813</v>
      </c>
      <c r="H4500" s="1">
        <v>45412</v>
      </c>
      <c r="I4500">
        <v>10</v>
      </c>
      <c r="J4500">
        <v>5</v>
      </c>
      <c r="K4500">
        <v>6181</v>
      </c>
      <c r="L4500">
        <v>3091</v>
      </c>
      <c r="M4500">
        <v>64903</v>
      </c>
      <c r="N4500">
        <v>3091</v>
      </c>
      <c r="O4500">
        <v>71085</v>
      </c>
    </row>
    <row r="4501" spans="1:15" x14ac:dyDescent="0.35">
      <c r="A4501">
        <v>4500</v>
      </c>
      <c r="B4501" s="2" t="s">
        <v>22</v>
      </c>
      <c r="C4501" s="2" t="s">
        <v>15</v>
      </c>
      <c r="D4501">
        <v>34</v>
      </c>
      <c r="E4501" s="2" t="s">
        <v>12</v>
      </c>
      <c r="F4501" s="2" t="s">
        <v>25</v>
      </c>
      <c r="G4501">
        <v>43192</v>
      </c>
      <c r="H4501" s="1">
        <v>45153</v>
      </c>
      <c r="I4501">
        <v>10</v>
      </c>
      <c r="J4501">
        <v>2</v>
      </c>
      <c r="K4501">
        <v>4319</v>
      </c>
      <c r="L4501">
        <v>2160</v>
      </c>
      <c r="M4501">
        <v>45351</v>
      </c>
      <c r="N4501">
        <v>2160</v>
      </c>
      <c r="O4501">
        <v>49671</v>
      </c>
    </row>
    <row r="4502" spans="1:15" x14ac:dyDescent="0.35">
      <c r="A4502">
        <v>4501</v>
      </c>
      <c r="B4502" s="2" t="s">
        <v>23</v>
      </c>
      <c r="C4502" s="2" t="s">
        <v>15</v>
      </c>
      <c r="D4502">
        <v>54</v>
      </c>
      <c r="E4502" s="2" t="s">
        <v>29</v>
      </c>
      <c r="F4502" s="2" t="s">
        <v>19</v>
      </c>
      <c r="G4502">
        <v>92192</v>
      </c>
      <c r="H4502" s="1">
        <v>44593</v>
      </c>
      <c r="I4502">
        <v>11</v>
      </c>
      <c r="J4502">
        <v>5</v>
      </c>
      <c r="K4502">
        <v>9219</v>
      </c>
      <c r="L4502">
        <v>4610</v>
      </c>
      <c r="M4502">
        <v>96801</v>
      </c>
      <c r="N4502">
        <v>4610</v>
      </c>
      <c r="O4502">
        <v>106021</v>
      </c>
    </row>
    <row r="4503" spans="1:15" x14ac:dyDescent="0.35">
      <c r="A4503">
        <v>4502</v>
      </c>
      <c r="B4503" s="2" t="s">
        <v>22</v>
      </c>
      <c r="C4503" s="2" t="s">
        <v>11</v>
      </c>
      <c r="D4503">
        <v>60</v>
      </c>
      <c r="E4503" s="2" t="s">
        <v>24</v>
      </c>
      <c r="F4503" s="2" t="s">
        <v>21</v>
      </c>
      <c r="G4503">
        <v>67293</v>
      </c>
      <c r="H4503" s="1">
        <v>45210</v>
      </c>
      <c r="I4503">
        <v>1</v>
      </c>
      <c r="J4503">
        <v>5</v>
      </c>
      <c r="K4503">
        <v>6729</v>
      </c>
      <c r="L4503">
        <v>3365</v>
      </c>
      <c r="M4503">
        <v>70657</v>
      </c>
      <c r="N4503">
        <v>0</v>
      </c>
      <c r="O4503">
        <v>74022</v>
      </c>
    </row>
    <row r="4504" spans="1:15" x14ac:dyDescent="0.35">
      <c r="A4504">
        <v>4503</v>
      </c>
      <c r="B4504" s="2" t="s">
        <v>30</v>
      </c>
      <c r="C4504" s="2" t="s">
        <v>15</v>
      </c>
      <c r="D4504">
        <v>56</v>
      </c>
      <c r="E4504" s="2" t="s">
        <v>24</v>
      </c>
      <c r="F4504" s="2" t="s">
        <v>19</v>
      </c>
      <c r="G4504">
        <v>57357</v>
      </c>
      <c r="H4504" s="1">
        <v>45357</v>
      </c>
      <c r="I4504">
        <v>16</v>
      </c>
      <c r="J4504">
        <v>4</v>
      </c>
      <c r="K4504">
        <v>5736</v>
      </c>
      <c r="L4504">
        <v>2868</v>
      </c>
      <c r="M4504">
        <v>60225</v>
      </c>
      <c r="N4504">
        <v>2868</v>
      </c>
      <c r="O4504">
        <v>65961</v>
      </c>
    </row>
    <row r="4505" spans="1:15" x14ac:dyDescent="0.35">
      <c r="A4505">
        <v>4504</v>
      </c>
      <c r="B4505" s="2" t="s">
        <v>10</v>
      </c>
      <c r="C4505" s="2" t="s">
        <v>11</v>
      </c>
      <c r="D4505">
        <v>44</v>
      </c>
      <c r="E4505" s="2" t="s">
        <v>12</v>
      </c>
      <c r="F4505" s="2" t="s">
        <v>25</v>
      </c>
      <c r="G4505">
        <v>44528</v>
      </c>
      <c r="H4505" s="1">
        <v>44694</v>
      </c>
      <c r="I4505">
        <v>2</v>
      </c>
      <c r="J4505">
        <v>5</v>
      </c>
      <c r="K4505">
        <v>4453</v>
      </c>
      <c r="L4505">
        <v>2226</v>
      </c>
      <c r="M4505">
        <v>46755</v>
      </c>
      <c r="N4505">
        <v>0</v>
      </c>
      <c r="O4505">
        <v>48981</v>
      </c>
    </row>
    <row r="4506" spans="1:15" x14ac:dyDescent="0.35">
      <c r="A4506">
        <v>4505</v>
      </c>
      <c r="B4506" s="2" t="s">
        <v>23</v>
      </c>
      <c r="C4506" s="2" t="s">
        <v>15</v>
      </c>
      <c r="D4506">
        <v>22</v>
      </c>
      <c r="E4506" s="2" t="s">
        <v>29</v>
      </c>
      <c r="F4506" s="2" t="s">
        <v>17</v>
      </c>
      <c r="G4506">
        <v>81401</v>
      </c>
      <c r="H4506" s="1">
        <v>44851</v>
      </c>
      <c r="I4506">
        <v>15</v>
      </c>
      <c r="J4506">
        <v>1</v>
      </c>
      <c r="K4506">
        <v>8140</v>
      </c>
      <c r="L4506">
        <v>4070</v>
      </c>
      <c r="M4506">
        <v>85471</v>
      </c>
      <c r="N4506">
        <v>4070</v>
      </c>
      <c r="O4506">
        <v>93611</v>
      </c>
    </row>
    <row r="4507" spans="1:15" x14ac:dyDescent="0.35">
      <c r="A4507">
        <v>4506</v>
      </c>
      <c r="B4507" s="2" t="s">
        <v>20</v>
      </c>
      <c r="C4507" s="2" t="s">
        <v>15</v>
      </c>
      <c r="D4507">
        <v>38</v>
      </c>
      <c r="E4507" s="2" t="s">
        <v>12</v>
      </c>
      <c r="F4507" s="2" t="s">
        <v>21</v>
      </c>
      <c r="G4507">
        <v>23060</v>
      </c>
      <c r="H4507" s="1">
        <v>44650</v>
      </c>
      <c r="I4507">
        <v>20</v>
      </c>
      <c r="J4507">
        <v>5</v>
      </c>
      <c r="K4507">
        <v>2306</v>
      </c>
      <c r="L4507">
        <v>1153</v>
      </c>
      <c r="M4507">
        <v>24213</v>
      </c>
      <c r="N4507">
        <v>1153</v>
      </c>
      <c r="O4507">
        <v>26519</v>
      </c>
    </row>
    <row r="4508" spans="1:15" x14ac:dyDescent="0.35">
      <c r="A4508">
        <v>4507</v>
      </c>
      <c r="B4508" s="2" t="s">
        <v>14</v>
      </c>
      <c r="C4508" s="2" t="s">
        <v>11</v>
      </c>
      <c r="D4508">
        <v>49</v>
      </c>
      <c r="E4508" s="2" t="s">
        <v>29</v>
      </c>
      <c r="F4508" s="2" t="s">
        <v>25</v>
      </c>
      <c r="G4508">
        <v>26905</v>
      </c>
      <c r="H4508" s="1">
        <v>45115</v>
      </c>
      <c r="I4508">
        <v>2</v>
      </c>
      <c r="J4508">
        <v>2</v>
      </c>
      <c r="K4508">
        <v>2690</v>
      </c>
      <c r="L4508">
        <v>1345</v>
      </c>
      <c r="M4508">
        <v>28250</v>
      </c>
      <c r="N4508">
        <v>0</v>
      </c>
      <c r="O4508">
        <v>29595</v>
      </c>
    </row>
    <row r="4509" spans="1:15" x14ac:dyDescent="0.35">
      <c r="A4509">
        <v>4508</v>
      </c>
      <c r="B4509" s="2" t="s">
        <v>23</v>
      </c>
      <c r="C4509" s="2" t="s">
        <v>11</v>
      </c>
      <c r="D4509">
        <v>35</v>
      </c>
      <c r="E4509" s="2" t="s">
        <v>16</v>
      </c>
      <c r="F4509" s="2" t="s">
        <v>17</v>
      </c>
      <c r="G4509">
        <v>43220</v>
      </c>
      <c r="H4509" s="1">
        <v>45339</v>
      </c>
      <c r="I4509">
        <v>9</v>
      </c>
      <c r="J4509">
        <v>4</v>
      </c>
      <c r="K4509">
        <v>4322</v>
      </c>
      <c r="L4509">
        <v>2161</v>
      </c>
      <c r="M4509">
        <v>45381</v>
      </c>
      <c r="N4509">
        <v>2161</v>
      </c>
      <c r="O4509">
        <v>49703</v>
      </c>
    </row>
    <row r="4510" spans="1:15" x14ac:dyDescent="0.35">
      <c r="A4510">
        <v>4509</v>
      </c>
      <c r="B4510" s="2" t="s">
        <v>10</v>
      </c>
      <c r="C4510" s="2" t="s">
        <v>15</v>
      </c>
      <c r="D4510">
        <v>40</v>
      </c>
      <c r="E4510" s="2" t="s">
        <v>16</v>
      </c>
      <c r="F4510" s="2" t="s">
        <v>19</v>
      </c>
      <c r="G4510">
        <v>59948</v>
      </c>
      <c r="H4510" s="1">
        <v>44732</v>
      </c>
      <c r="I4510">
        <v>3</v>
      </c>
      <c r="J4510">
        <v>5</v>
      </c>
      <c r="K4510">
        <v>5995</v>
      </c>
      <c r="L4510">
        <v>2997</v>
      </c>
      <c r="M4510">
        <v>62946</v>
      </c>
      <c r="N4510">
        <v>0</v>
      </c>
      <c r="O4510">
        <v>65943</v>
      </c>
    </row>
    <row r="4511" spans="1:15" x14ac:dyDescent="0.35">
      <c r="A4511">
        <v>4510</v>
      </c>
      <c r="B4511" s="2" t="s">
        <v>20</v>
      </c>
      <c r="C4511" s="2" t="s">
        <v>11</v>
      </c>
      <c r="D4511">
        <v>50</v>
      </c>
      <c r="E4511" s="2" t="s">
        <v>28</v>
      </c>
      <c r="F4511" s="2" t="s">
        <v>19</v>
      </c>
      <c r="G4511">
        <v>33109</v>
      </c>
      <c r="H4511" s="1">
        <v>45318</v>
      </c>
      <c r="I4511">
        <v>19</v>
      </c>
      <c r="J4511">
        <v>1</v>
      </c>
      <c r="K4511">
        <v>3311</v>
      </c>
      <c r="L4511">
        <v>1655</v>
      </c>
      <c r="M4511">
        <v>34765</v>
      </c>
      <c r="N4511">
        <v>1655</v>
      </c>
      <c r="O4511">
        <v>38075</v>
      </c>
    </row>
    <row r="4512" spans="1:15" x14ac:dyDescent="0.35">
      <c r="A4512">
        <v>4511</v>
      </c>
      <c r="B4512" s="2" t="s">
        <v>18</v>
      </c>
      <c r="C4512" s="2" t="s">
        <v>11</v>
      </c>
      <c r="D4512">
        <v>26</v>
      </c>
      <c r="E4512" s="2" t="s">
        <v>24</v>
      </c>
      <c r="F4512" s="2" t="s">
        <v>13</v>
      </c>
      <c r="G4512">
        <v>77930</v>
      </c>
      <c r="H4512" s="1">
        <v>45157</v>
      </c>
      <c r="I4512">
        <v>18</v>
      </c>
      <c r="J4512">
        <v>2</v>
      </c>
      <c r="K4512">
        <v>7793</v>
      </c>
      <c r="L4512">
        <v>3896</v>
      </c>
      <c r="M4512">
        <v>81827</v>
      </c>
      <c r="N4512">
        <v>3896</v>
      </c>
      <c r="O4512">
        <v>89619</v>
      </c>
    </row>
    <row r="4513" spans="1:15" x14ac:dyDescent="0.35">
      <c r="A4513">
        <v>4512</v>
      </c>
      <c r="B4513" s="2" t="s">
        <v>26</v>
      </c>
      <c r="C4513" s="2" t="s">
        <v>11</v>
      </c>
      <c r="D4513">
        <v>38</v>
      </c>
      <c r="E4513" s="2" t="s">
        <v>29</v>
      </c>
      <c r="F4513" s="2" t="s">
        <v>19</v>
      </c>
      <c r="G4513">
        <v>72194</v>
      </c>
      <c r="H4513" s="1">
        <v>45053</v>
      </c>
      <c r="I4513">
        <v>17</v>
      </c>
      <c r="J4513">
        <v>1</v>
      </c>
      <c r="K4513">
        <v>7219</v>
      </c>
      <c r="L4513">
        <v>3610</v>
      </c>
      <c r="M4513">
        <v>75803</v>
      </c>
      <c r="N4513">
        <v>3610</v>
      </c>
      <c r="O4513">
        <v>83023</v>
      </c>
    </row>
    <row r="4514" spans="1:15" x14ac:dyDescent="0.35">
      <c r="A4514">
        <v>4513</v>
      </c>
      <c r="B4514" s="2" t="s">
        <v>27</v>
      </c>
      <c r="C4514" s="2" t="s">
        <v>11</v>
      </c>
      <c r="D4514">
        <v>46</v>
      </c>
      <c r="E4514" s="2" t="s">
        <v>16</v>
      </c>
      <c r="F4514" s="2" t="s">
        <v>21</v>
      </c>
      <c r="G4514">
        <v>69986</v>
      </c>
      <c r="H4514" s="1">
        <v>45235</v>
      </c>
      <c r="I4514">
        <v>14</v>
      </c>
      <c r="J4514">
        <v>5</v>
      </c>
      <c r="K4514">
        <v>6999</v>
      </c>
      <c r="L4514">
        <v>3499</v>
      </c>
      <c r="M4514">
        <v>73486</v>
      </c>
      <c r="N4514">
        <v>3499</v>
      </c>
      <c r="O4514">
        <v>80484</v>
      </c>
    </row>
    <row r="4515" spans="1:15" x14ac:dyDescent="0.35">
      <c r="A4515">
        <v>4514</v>
      </c>
      <c r="B4515" s="2" t="s">
        <v>20</v>
      </c>
      <c r="C4515" s="2" t="s">
        <v>15</v>
      </c>
      <c r="D4515">
        <v>21</v>
      </c>
      <c r="E4515" s="2" t="s">
        <v>28</v>
      </c>
      <c r="F4515" s="2" t="s">
        <v>13</v>
      </c>
      <c r="G4515">
        <v>97869</v>
      </c>
      <c r="H4515" s="1">
        <v>45297</v>
      </c>
      <c r="I4515">
        <v>15</v>
      </c>
      <c r="J4515">
        <v>5</v>
      </c>
      <c r="K4515">
        <v>9787</v>
      </c>
      <c r="L4515">
        <v>4893</v>
      </c>
      <c r="M4515">
        <v>102763</v>
      </c>
      <c r="N4515">
        <v>4893</v>
      </c>
      <c r="O4515">
        <v>112549</v>
      </c>
    </row>
    <row r="4516" spans="1:15" x14ac:dyDescent="0.35">
      <c r="A4516">
        <v>4515</v>
      </c>
      <c r="B4516" s="2" t="s">
        <v>10</v>
      </c>
      <c r="C4516" s="2" t="s">
        <v>15</v>
      </c>
      <c r="D4516">
        <v>33</v>
      </c>
      <c r="E4516" s="2" t="s">
        <v>24</v>
      </c>
      <c r="F4516" s="2" t="s">
        <v>25</v>
      </c>
      <c r="G4516">
        <v>41284</v>
      </c>
      <c r="H4516" s="1">
        <v>44804</v>
      </c>
      <c r="I4516">
        <v>4</v>
      </c>
      <c r="J4516">
        <v>5</v>
      </c>
      <c r="K4516">
        <v>4128</v>
      </c>
      <c r="L4516">
        <v>2064</v>
      </c>
      <c r="M4516">
        <v>43348</v>
      </c>
      <c r="N4516">
        <v>0</v>
      </c>
      <c r="O4516">
        <v>45412</v>
      </c>
    </row>
    <row r="4517" spans="1:15" x14ac:dyDescent="0.35">
      <c r="A4517">
        <v>4516</v>
      </c>
      <c r="B4517" s="2" t="s">
        <v>23</v>
      </c>
      <c r="C4517" s="2" t="s">
        <v>15</v>
      </c>
      <c r="D4517">
        <v>34</v>
      </c>
      <c r="E4517" s="2" t="s">
        <v>24</v>
      </c>
      <c r="F4517" s="2" t="s">
        <v>21</v>
      </c>
      <c r="G4517">
        <v>23453</v>
      </c>
      <c r="H4517" s="1">
        <v>44982</v>
      </c>
      <c r="I4517">
        <v>19</v>
      </c>
      <c r="J4517">
        <v>4</v>
      </c>
      <c r="K4517">
        <v>2345</v>
      </c>
      <c r="L4517">
        <v>1173</v>
      </c>
      <c r="M4517">
        <v>24625</v>
      </c>
      <c r="N4517">
        <v>1173</v>
      </c>
      <c r="O4517">
        <v>26971</v>
      </c>
    </row>
    <row r="4518" spans="1:15" x14ac:dyDescent="0.35">
      <c r="A4518">
        <v>4517</v>
      </c>
      <c r="B4518" s="2" t="s">
        <v>30</v>
      </c>
      <c r="C4518" s="2" t="s">
        <v>11</v>
      </c>
      <c r="D4518">
        <v>28</v>
      </c>
      <c r="E4518" s="2" t="s">
        <v>28</v>
      </c>
      <c r="F4518" s="2" t="s">
        <v>13</v>
      </c>
      <c r="G4518">
        <v>86560</v>
      </c>
      <c r="H4518" s="1">
        <v>45397</v>
      </c>
      <c r="I4518">
        <v>11</v>
      </c>
      <c r="J4518">
        <v>2</v>
      </c>
      <c r="K4518">
        <v>8656</v>
      </c>
      <c r="L4518">
        <v>4328</v>
      </c>
      <c r="M4518">
        <v>90888</v>
      </c>
      <c r="N4518">
        <v>4328</v>
      </c>
      <c r="O4518">
        <v>99544</v>
      </c>
    </row>
    <row r="4519" spans="1:15" x14ac:dyDescent="0.35">
      <c r="A4519">
        <v>4518</v>
      </c>
      <c r="B4519" s="2" t="s">
        <v>22</v>
      </c>
      <c r="C4519" s="2" t="s">
        <v>15</v>
      </c>
      <c r="D4519">
        <v>54</v>
      </c>
      <c r="E4519" s="2" t="s">
        <v>29</v>
      </c>
      <c r="F4519" s="2" t="s">
        <v>19</v>
      </c>
      <c r="G4519">
        <v>30578</v>
      </c>
      <c r="H4519" s="1">
        <v>44806</v>
      </c>
      <c r="I4519">
        <v>3</v>
      </c>
      <c r="J4519">
        <v>3</v>
      </c>
      <c r="K4519">
        <v>3058</v>
      </c>
      <c r="L4519">
        <v>1529</v>
      </c>
      <c r="M4519">
        <v>32107</v>
      </c>
      <c r="N4519">
        <v>0</v>
      </c>
      <c r="O4519">
        <v>33636</v>
      </c>
    </row>
    <row r="4520" spans="1:15" x14ac:dyDescent="0.35">
      <c r="A4520">
        <v>4519</v>
      </c>
      <c r="B4520" s="2" t="s">
        <v>10</v>
      </c>
      <c r="C4520" s="2" t="s">
        <v>11</v>
      </c>
      <c r="D4520">
        <v>50</v>
      </c>
      <c r="E4520" s="2" t="s">
        <v>16</v>
      </c>
      <c r="F4520" s="2" t="s">
        <v>21</v>
      </c>
      <c r="G4520">
        <v>77358</v>
      </c>
      <c r="H4520" s="1">
        <v>45511</v>
      </c>
      <c r="I4520">
        <v>13</v>
      </c>
      <c r="J4520">
        <v>4</v>
      </c>
      <c r="K4520">
        <v>7736</v>
      </c>
      <c r="L4520">
        <v>3868</v>
      </c>
      <c r="M4520">
        <v>81226</v>
      </c>
      <c r="N4520">
        <v>3868</v>
      </c>
      <c r="O4520">
        <v>88962</v>
      </c>
    </row>
    <row r="4521" spans="1:15" x14ac:dyDescent="0.35">
      <c r="A4521">
        <v>4520</v>
      </c>
      <c r="B4521" s="2" t="s">
        <v>10</v>
      </c>
      <c r="C4521" s="2" t="s">
        <v>11</v>
      </c>
      <c r="D4521">
        <v>44</v>
      </c>
      <c r="E4521" s="2" t="s">
        <v>29</v>
      </c>
      <c r="F4521" s="2" t="s">
        <v>17</v>
      </c>
      <c r="G4521">
        <v>91567</v>
      </c>
      <c r="H4521" s="1">
        <v>45182</v>
      </c>
      <c r="I4521">
        <v>7</v>
      </c>
      <c r="J4521">
        <v>1</v>
      </c>
      <c r="K4521">
        <v>9157</v>
      </c>
      <c r="L4521">
        <v>4578</v>
      </c>
      <c r="M4521">
        <v>96146</v>
      </c>
      <c r="N4521">
        <v>4578</v>
      </c>
      <c r="O4521">
        <v>105302</v>
      </c>
    </row>
    <row r="4522" spans="1:15" x14ac:dyDescent="0.35">
      <c r="A4522">
        <v>4521</v>
      </c>
      <c r="B4522" s="2" t="s">
        <v>26</v>
      </c>
      <c r="C4522" s="2" t="s">
        <v>11</v>
      </c>
      <c r="D4522">
        <v>21</v>
      </c>
      <c r="E4522" s="2" t="s">
        <v>28</v>
      </c>
      <c r="F4522" s="2" t="s">
        <v>25</v>
      </c>
      <c r="G4522">
        <v>55286</v>
      </c>
      <c r="H4522" s="1">
        <v>45368</v>
      </c>
      <c r="I4522">
        <v>16</v>
      </c>
      <c r="J4522">
        <v>3</v>
      </c>
      <c r="K4522">
        <v>5529</v>
      </c>
      <c r="L4522">
        <v>2764</v>
      </c>
      <c r="M4522">
        <v>58051</v>
      </c>
      <c r="N4522">
        <v>2764</v>
      </c>
      <c r="O4522">
        <v>63579</v>
      </c>
    </row>
    <row r="4523" spans="1:15" x14ac:dyDescent="0.35">
      <c r="A4523">
        <v>4522</v>
      </c>
      <c r="B4523" s="2" t="s">
        <v>18</v>
      </c>
      <c r="C4523" s="2" t="s">
        <v>11</v>
      </c>
      <c r="D4523">
        <v>32</v>
      </c>
      <c r="E4523" s="2" t="s">
        <v>24</v>
      </c>
      <c r="F4523" s="2" t="s">
        <v>19</v>
      </c>
      <c r="G4523">
        <v>94397</v>
      </c>
      <c r="H4523" s="1">
        <v>44884</v>
      </c>
      <c r="I4523">
        <v>16</v>
      </c>
      <c r="J4523">
        <v>2</v>
      </c>
      <c r="K4523">
        <v>9440</v>
      </c>
      <c r="L4523">
        <v>4720</v>
      </c>
      <c r="M4523">
        <v>99117</v>
      </c>
      <c r="N4523">
        <v>4720</v>
      </c>
      <c r="O4523">
        <v>108557</v>
      </c>
    </row>
    <row r="4524" spans="1:15" x14ac:dyDescent="0.35">
      <c r="A4524">
        <v>4523</v>
      </c>
      <c r="B4524" s="2" t="s">
        <v>14</v>
      </c>
      <c r="C4524" s="2" t="s">
        <v>11</v>
      </c>
      <c r="D4524">
        <v>31</v>
      </c>
      <c r="E4524" s="2" t="s">
        <v>12</v>
      </c>
      <c r="F4524" s="2" t="s">
        <v>21</v>
      </c>
      <c r="G4524">
        <v>46881</v>
      </c>
      <c r="H4524" s="1">
        <v>44997</v>
      </c>
      <c r="I4524">
        <v>17</v>
      </c>
      <c r="J4524">
        <v>3</v>
      </c>
      <c r="K4524">
        <v>4688</v>
      </c>
      <c r="L4524">
        <v>2344</v>
      </c>
      <c r="M4524">
        <v>49225</v>
      </c>
      <c r="N4524">
        <v>2344</v>
      </c>
      <c r="O4524">
        <v>53913</v>
      </c>
    </row>
    <row r="4525" spans="1:15" x14ac:dyDescent="0.35">
      <c r="A4525">
        <v>4524</v>
      </c>
      <c r="B4525" s="2" t="s">
        <v>10</v>
      </c>
      <c r="C4525" s="2" t="s">
        <v>15</v>
      </c>
      <c r="D4525">
        <v>53</v>
      </c>
      <c r="E4525" s="2" t="s">
        <v>12</v>
      </c>
      <c r="F4525" s="2" t="s">
        <v>19</v>
      </c>
      <c r="G4525">
        <v>78749</v>
      </c>
      <c r="H4525" s="1">
        <v>45310</v>
      </c>
      <c r="I4525">
        <v>6</v>
      </c>
      <c r="J4525">
        <v>4</v>
      </c>
      <c r="K4525">
        <v>7875</v>
      </c>
      <c r="L4525">
        <v>3937</v>
      </c>
      <c r="M4525">
        <v>82687</v>
      </c>
      <c r="N4525">
        <v>3937</v>
      </c>
      <c r="O4525">
        <v>90561</v>
      </c>
    </row>
    <row r="4526" spans="1:15" x14ac:dyDescent="0.35">
      <c r="A4526">
        <v>4525</v>
      </c>
      <c r="B4526" s="2" t="s">
        <v>26</v>
      </c>
      <c r="C4526" s="2" t="s">
        <v>11</v>
      </c>
      <c r="D4526">
        <v>44</v>
      </c>
      <c r="E4526" s="2" t="s">
        <v>16</v>
      </c>
      <c r="F4526" s="2" t="s">
        <v>21</v>
      </c>
      <c r="G4526">
        <v>87304</v>
      </c>
      <c r="H4526" s="1">
        <v>45300</v>
      </c>
      <c r="I4526">
        <v>6</v>
      </c>
      <c r="J4526">
        <v>5</v>
      </c>
      <c r="K4526">
        <v>8730</v>
      </c>
      <c r="L4526">
        <v>4365</v>
      </c>
      <c r="M4526">
        <v>91669</v>
      </c>
      <c r="N4526">
        <v>4365</v>
      </c>
      <c r="O4526">
        <v>100399</v>
      </c>
    </row>
    <row r="4527" spans="1:15" x14ac:dyDescent="0.35">
      <c r="A4527">
        <v>4526</v>
      </c>
      <c r="B4527" s="2" t="s">
        <v>10</v>
      </c>
      <c r="C4527" s="2" t="s">
        <v>15</v>
      </c>
      <c r="D4527">
        <v>43</v>
      </c>
      <c r="E4527" s="2" t="s">
        <v>29</v>
      </c>
      <c r="F4527" s="2" t="s">
        <v>17</v>
      </c>
      <c r="G4527">
        <v>49938</v>
      </c>
      <c r="H4527" s="1">
        <v>44859</v>
      </c>
      <c r="I4527">
        <v>12</v>
      </c>
      <c r="J4527">
        <v>4</v>
      </c>
      <c r="K4527">
        <v>4994</v>
      </c>
      <c r="L4527">
        <v>2497</v>
      </c>
      <c r="M4527">
        <v>52435</v>
      </c>
      <c r="N4527">
        <v>2497</v>
      </c>
      <c r="O4527">
        <v>57429</v>
      </c>
    </row>
    <row r="4528" spans="1:15" x14ac:dyDescent="0.35">
      <c r="A4528">
        <v>4527</v>
      </c>
      <c r="B4528" s="2" t="s">
        <v>14</v>
      </c>
      <c r="C4528" s="2" t="s">
        <v>11</v>
      </c>
      <c r="D4528">
        <v>48</v>
      </c>
      <c r="E4528" s="2" t="s">
        <v>12</v>
      </c>
      <c r="F4528" s="2" t="s">
        <v>25</v>
      </c>
      <c r="G4528">
        <v>97798</v>
      </c>
      <c r="H4528" s="1">
        <v>45339</v>
      </c>
      <c r="I4528">
        <v>6</v>
      </c>
      <c r="J4528">
        <v>5</v>
      </c>
      <c r="K4528">
        <v>9780</v>
      </c>
      <c r="L4528">
        <v>4890</v>
      </c>
      <c r="M4528">
        <v>102688</v>
      </c>
      <c r="N4528">
        <v>4890</v>
      </c>
      <c r="O4528">
        <v>112468</v>
      </c>
    </row>
    <row r="4529" spans="1:15" x14ac:dyDescent="0.35">
      <c r="A4529">
        <v>4528</v>
      </c>
      <c r="B4529" s="2" t="s">
        <v>26</v>
      </c>
      <c r="C4529" s="2" t="s">
        <v>15</v>
      </c>
      <c r="D4529">
        <v>30</v>
      </c>
      <c r="E4529" s="2" t="s">
        <v>16</v>
      </c>
      <c r="F4529" s="2" t="s">
        <v>17</v>
      </c>
      <c r="G4529">
        <v>51401</v>
      </c>
      <c r="H4529" s="1">
        <v>44566</v>
      </c>
      <c r="I4529">
        <v>14</v>
      </c>
      <c r="J4529">
        <v>4</v>
      </c>
      <c r="K4529">
        <v>5140</v>
      </c>
      <c r="L4529">
        <v>2570</v>
      </c>
      <c r="M4529">
        <v>53971</v>
      </c>
      <c r="N4529">
        <v>2570</v>
      </c>
      <c r="O4529">
        <v>59111</v>
      </c>
    </row>
    <row r="4530" spans="1:15" x14ac:dyDescent="0.35">
      <c r="A4530">
        <v>4529</v>
      </c>
      <c r="B4530" s="2" t="s">
        <v>23</v>
      </c>
      <c r="C4530" s="2" t="s">
        <v>11</v>
      </c>
      <c r="D4530">
        <v>44</v>
      </c>
      <c r="E4530" s="2" t="s">
        <v>29</v>
      </c>
      <c r="F4530" s="2" t="s">
        <v>25</v>
      </c>
      <c r="G4530">
        <v>78066</v>
      </c>
      <c r="H4530" s="1">
        <v>44752</v>
      </c>
      <c r="I4530">
        <v>5</v>
      </c>
      <c r="J4530">
        <v>1</v>
      </c>
      <c r="K4530">
        <v>7807</v>
      </c>
      <c r="L4530">
        <v>3903</v>
      </c>
      <c r="M4530">
        <v>81970</v>
      </c>
      <c r="N4530">
        <v>0</v>
      </c>
      <c r="O4530">
        <v>85873</v>
      </c>
    </row>
    <row r="4531" spans="1:15" x14ac:dyDescent="0.35">
      <c r="A4531">
        <v>4530</v>
      </c>
      <c r="B4531" s="2" t="s">
        <v>22</v>
      </c>
      <c r="C4531" s="2" t="s">
        <v>11</v>
      </c>
      <c r="D4531">
        <v>22</v>
      </c>
      <c r="E4531" s="2" t="s">
        <v>16</v>
      </c>
      <c r="F4531" s="2" t="s">
        <v>19</v>
      </c>
      <c r="G4531">
        <v>77345</v>
      </c>
      <c r="H4531" s="1">
        <v>44618</v>
      </c>
      <c r="I4531">
        <v>13</v>
      </c>
      <c r="J4531">
        <v>3</v>
      </c>
      <c r="K4531">
        <v>7734</v>
      </c>
      <c r="L4531">
        <v>3867</v>
      </c>
      <c r="M4531">
        <v>81212</v>
      </c>
      <c r="N4531">
        <v>3867</v>
      </c>
      <c r="O4531">
        <v>88946</v>
      </c>
    </row>
    <row r="4532" spans="1:15" x14ac:dyDescent="0.35">
      <c r="A4532">
        <v>4531</v>
      </c>
      <c r="B4532" s="2" t="s">
        <v>20</v>
      </c>
      <c r="C4532" s="2" t="s">
        <v>15</v>
      </c>
      <c r="D4532">
        <v>39</v>
      </c>
      <c r="E4532" s="2" t="s">
        <v>28</v>
      </c>
      <c r="F4532" s="2" t="s">
        <v>25</v>
      </c>
      <c r="G4532">
        <v>24893</v>
      </c>
      <c r="H4532" s="1">
        <v>45461</v>
      </c>
      <c r="I4532">
        <v>1</v>
      </c>
      <c r="J4532">
        <v>3</v>
      </c>
      <c r="K4532">
        <v>2489</v>
      </c>
      <c r="L4532">
        <v>1245</v>
      </c>
      <c r="M4532">
        <v>26137</v>
      </c>
      <c r="N4532">
        <v>0</v>
      </c>
      <c r="O4532">
        <v>27382</v>
      </c>
    </row>
    <row r="4533" spans="1:15" x14ac:dyDescent="0.35">
      <c r="A4533">
        <v>4532</v>
      </c>
      <c r="B4533" s="2" t="s">
        <v>30</v>
      </c>
      <c r="C4533" s="2" t="s">
        <v>11</v>
      </c>
      <c r="D4533">
        <v>23</v>
      </c>
      <c r="E4533" s="2" t="s">
        <v>12</v>
      </c>
      <c r="F4533" s="2" t="s">
        <v>13</v>
      </c>
      <c r="G4533">
        <v>31431</v>
      </c>
      <c r="H4533" s="1">
        <v>44736</v>
      </c>
      <c r="I4533">
        <v>8</v>
      </c>
      <c r="J4533">
        <v>3</v>
      </c>
      <c r="K4533">
        <v>3143</v>
      </c>
      <c r="L4533">
        <v>1572</v>
      </c>
      <c r="M4533">
        <v>33002</v>
      </c>
      <c r="N4533">
        <v>1572</v>
      </c>
      <c r="O4533">
        <v>36146</v>
      </c>
    </row>
    <row r="4534" spans="1:15" x14ac:dyDescent="0.35">
      <c r="A4534">
        <v>4533</v>
      </c>
      <c r="B4534" s="2" t="s">
        <v>22</v>
      </c>
      <c r="C4534" s="2" t="s">
        <v>15</v>
      </c>
      <c r="D4534">
        <v>49</v>
      </c>
      <c r="E4534" s="2" t="s">
        <v>28</v>
      </c>
      <c r="F4534" s="2" t="s">
        <v>17</v>
      </c>
      <c r="G4534">
        <v>55905</v>
      </c>
      <c r="H4534" s="1">
        <v>44916</v>
      </c>
      <c r="I4534">
        <v>4</v>
      </c>
      <c r="J4534">
        <v>4</v>
      </c>
      <c r="K4534">
        <v>5590</v>
      </c>
      <c r="L4534">
        <v>2795</v>
      </c>
      <c r="M4534">
        <v>58700</v>
      </c>
      <c r="N4534">
        <v>0</v>
      </c>
      <c r="O4534">
        <v>61495</v>
      </c>
    </row>
    <row r="4535" spans="1:15" x14ac:dyDescent="0.35">
      <c r="A4535">
        <v>4534</v>
      </c>
      <c r="B4535" s="2" t="s">
        <v>20</v>
      </c>
      <c r="C4535" s="2" t="s">
        <v>15</v>
      </c>
      <c r="D4535">
        <v>24</v>
      </c>
      <c r="E4535" s="2" t="s">
        <v>28</v>
      </c>
      <c r="F4535" s="2" t="s">
        <v>19</v>
      </c>
      <c r="G4535">
        <v>52830</v>
      </c>
      <c r="H4535" s="1">
        <v>45215</v>
      </c>
      <c r="I4535">
        <v>15</v>
      </c>
      <c r="J4535">
        <v>4</v>
      </c>
      <c r="K4535">
        <v>5283</v>
      </c>
      <c r="L4535">
        <v>2642</v>
      </c>
      <c r="M4535">
        <v>55471</v>
      </c>
      <c r="N4535">
        <v>2642</v>
      </c>
      <c r="O4535">
        <v>60755</v>
      </c>
    </row>
    <row r="4536" spans="1:15" x14ac:dyDescent="0.35">
      <c r="A4536">
        <v>4535</v>
      </c>
      <c r="B4536" s="2" t="s">
        <v>22</v>
      </c>
      <c r="C4536" s="2" t="s">
        <v>11</v>
      </c>
      <c r="D4536">
        <v>29</v>
      </c>
      <c r="E4536" s="2" t="s">
        <v>28</v>
      </c>
      <c r="F4536" s="2" t="s">
        <v>17</v>
      </c>
      <c r="G4536">
        <v>94195</v>
      </c>
      <c r="H4536" s="1">
        <v>44633</v>
      </c>
      <c r="I4536">
        <v>11</v>
      </c>
      <c r="J4536">
        <v>4</v>
      </c>
      <c r="K4536">
        <v>9420</v>
      </c>
      <c r="L4536">
        <v>4710</v>
      </c>
      <c r="M4536">
        <v>98905</v>
      </c>
      <c r="N4536">
        <v>4710</v>
      </c>
      <c r="O4536">
        <v>108325</v>
      </c>
    </row>
    <row r="4537" spans="1:15" x14ac:dyDescent="0.35">
      <c r="A4537">
        <v>4536</v>
      </c>
      <c r="B4537" s="2" t="s">
        <v>26</v>
      </c>
      <c r="C4537" s="2" t="s">
        <v>11</v>
      </c>
      <c r="D4537">
        <v>30</v>
      </c>
      <c r="E4537" s="2" t="s">
        <v>29</v>
      </c>
      <c r="F4537" s="2" t="s">
        <v>21</v>
      </c>
      <c r="G4537">
        <v>65993</v>
      </c>
      <c r="H4537" s="1">
        <v>45495</v>
      </c>
      <c r="I4537">
        <v>18</v>
      </c>
      <c r="J4537">
        <v>3</v>
      </c>
      <c r="K4537">
        <v>6599</v>
      </c>
      <c r="L4537">
        <v>3300</v>
      </c>
      <c r="M4537">
        <v>69292</v>
      </c>
      <c r="N4537">
        <v>3300</v>
      </c>
      <c r="O4537">
        <v>75892</v>
      </c>
    </row>
    <row r="4538" spans="1:15" x14ac:dyDescent="0.35">
      <c r="A4538">
        <v>4537</v>
      </c>
      <c r="B4538" s="2" t="s">
        <v>14</v>
      </c>
      <c r="C4538" s="2" t="s">
        <v>11</v>
      </c>
      <c r="D4538">
        <v>31</v>
      </c>
      <c r="E4538" s="2" t="s">
        <v>12</v>
      </c>
      <c r="F4538" s="2" t="s">
        <v>19</v>
      </c>
      <c r="G4538">
        <v>94008</v>
      </c>
      <c r="H4538" s="1">
        <v>45537</v>
      </c>
      <c r="I4538">
        <v>2</v>
      </c>
      <c r="J4538">
        <v>1</v>
      </c>
      <c r="K4538">
        <v>9401</v>
      </c>
      <c r="L4538">
        <v>4700</v>
      </c>
      <c r="M4538">
        <v>98709</v>
      </c>
      <c r="N4538">
        <v>0</v>
      </c>
      <c r="O4538">
        <v>103409</v>
      </c>
    </row>
    <row r="4539" spans="1:15" x14ac:dyDescent="0.35">
      <c r="A4539">
        <v>4538</v>
      </c>
      <c r="B4539" s="2" t="s">
        <v>26</v>
      </c>
      <c r="C4539" s="2" t="s">
        <v>15</v>
      </c>
      <c r="D4539">
        <v>28</v>
      </c>
      <c r="E4539" s="2" t="s">
        <v>28</v>
      </c>
      <c r="F4539" s="2" t="s">
        <v>21</v>
      </c>
      <c r="G4539">
        <v>46323</v>
      </c>
      <c r="H4539" s="1">
        <v>45430</v>
      </c>
      <c r="I4539">
        <v>3</v>
      </c>
      <c r="J4539">
        <v>1</v>
      </c>
      <c r="K4539">
        <v>4632</v>
      </c>
      <c r="L4539">
        <v>2316</v>
      </c>
      <c r="M4539">
        <v>48639</v>
      </c>
      <c r="N4539">
        <v>0</v>
      </c>
      <c r="O4539">
        <v>50955</v>
      </c>
    </row>
    <row r="4540" spans="1:15" x14ac:dyDescent="0.35">
      <c r="A4540">
        <v>4539</v>
      </c>
      <c r="B4540" s="2" t="s">
        <v>20</v>
      </c>
      <c r="C4540" s="2" t="s">
        <v>11</v>
      </c>
      <c r="D4540">
        <v>49</v>
      </c>
      <c r="E4540" s="2" t="s">
        <v>28</v>
      </c>
      <c r="F4540" s="2" t="s">
        <v>25</v>
      </c>
      <c r="G4540">
        <v>79138</v>
      </c>
      <c r="H4540" s="1">
        <v>44595</v>
      </c>
      <c r="I4540">
        <v>3</v>
      </c>
      <c r="J4540">
        <v>4</v>
      </c>
      <c r="K4540">
        <v>7914</v>
      </c>
      <c r="L4540">
        <v>3957</v>
      </c>
      <c r="M4540">
        <v>83095</v>
      </c>
      <c r="N4540">
        <v>0</v>
      </c>
      <c r="O4540">
        <v>87052</v>
      </c>
    </row>
    <row r="4541" spans="1:15" x14ac:dyDescent="0.35">
      <c r="A4541">
        <v>4540</v>
      </c>
      <c r="B4541" s="2" t="s">
        <v>18</v>
      </c>
      <c r="C4541" s="2" t="s">
        <v>11</v>
      </c>
      <c r="D4541">
        <v>56</v>
      </c>
      <c r="E4541" s="2" t="s">
        <v>29</v>
      </c>
      <c r="F4541" s="2" t="s">
        <v>25</v>
      </c>
      <c r="G4541">
        <v>95552</v>
      </c>
      <c r="H4541" s="1">
        <v>44847</v>
      </c>
      <c r="I4541">
        <v>15</v>
      </c>
      <c r="J4541">
        <v>1</v>
      </c>
      <c r="K4541">
        <v>9555</v>
      </c>
      <c r="L4541">
        <v>4778</v>
      </c>
      <c r="M4541">
        <v>100329</v>
      </c>
      <c r="N4541">
        <v>4778</v>
      </c>
      <c r="O4541">
        <v>109885</v>
      </c>
    </row>
    <row r="4542" spans="1:15" x14ac:dyDescent="0.35">
      <c r="A4542">
        <v>4541</v>
      </c>
      <c r="B4542" s="2" t="s">
        <v>10</v>
      </c>
      <c r="C4542" s="2" t="s">
        <v>15</v>
      </c>
      <c r="D4542">
        <v>36</v>
      </c>
      <c r="E4542" s="2" t="s">
        <v>28</v>
      </c>
      <c r="F4542" s="2" t="s">
        <v>19</v>
      </c>
      <c r="G4542">
        <v>62978</v>
      </c>
      <c r="H4542" s="1">
        <v>44759</v>
      </c>
      <c r="I4542">
        <v>17</v>
      </c>
      <c r="J4542">
        <v>4</v>
      </c>
      <c r="K4542">
        <v>6298</v>
      </c>
      <c r="L4542">
        <v>3149</v>
      </c>
      <c r="M4542">
        <v>66127</v>
      </c>
      <c r="N4542">
        <v>3149</v>
      </c>
      <c r="O4542">
        <v>72425</v>
      </c>
    </row>
    <row r="4543" spans="1:15" x14ac:dyDescent="0.35">
      <c r="A4543">
        <v>4542</v>
      </c>
      <c r="B4543" s="2" t="s">
        <v>20</v>
      </c>
      <c r="C4543" s="2" t="s">
        <v>15</v>
      </c>
      <c r="D4543">
        <v>44</v>
      </c>
      <c r="E4543" s="2" t="s">
        <v>29</v>
      </c>
      <c r="F4543" s="2" t="s">
        <v>25</v>
      </c>
      <c r="G4543">
        <v>58408</v>
      </c>
      <c r="H4543" s="1">
        <v>45064</v>
      </c>
      <c r="I4543">
        <v>10</v>
      </c>
      <c r="J4543">
        <v>3</v>
      </c>
      <c r="K4543">
        <v>5841</v>
      </c>
      <c r="L4543">
        <v>2920</v>
      </c>
      <c r="M4543">
        <v>61329</v>
      </c>
      <c r="N4543">
        <v>2920</v>
      </c>
      <c r="O4543">
        <v>67169</v>
      </c>
    </row>
    <row r="4544" spans="1:15" x14ac:dyDescent="0.35">
      <c r="A4544">
        <v>4543</v>
      </c>
      <c r="B4544" s="2" t="s">
        <v>27</v>
      </c>
      <c r="C4544" s="2" t="s">
        <v>11</v>
      </c>
      <c r="D4544">
        <v>49</v>
      </c>
      <c r="E4544" s="2" t="s">
        <v>29</v>
      </c>
      <c r="F4544" s="2" t="s">
        <v>13</v>
      </c>
      <c r="G4544">
        <v>62569</v>
      </c>
      <c r="H4544" s="1">
        <v>44736</v>
      </c>
      <c r="I4544">
        <v>3</v>
      </c>
      <c r="J4544">
        <v>4</v>
      </c>
      <c r="K4544">
        <v>6257</v>
      </c>
      <c r="L4544">
        <v>3128</v>
      </c>
      <c r="M4544">
        <v>65698</v>
      </c>
      <c r="N4544">
        <v>0</v>
      </c>
      <c r="O4544">
        <v>68826</v>
      </c>
    </row>
    <row r="4545" spans="1:15" x14ac:dyDescent="0.35">
      <c r="A4545">
        <v>4544</v>
      </c>
      <c r="B4545" s="2" t="s">
        <v>18</v>
      </c>
      <c r="C4545" s="2" t="s">
        <v>11</v>
      </c>
      <c r="D4545">
        <v>24</v>
      </c>
      <c r="E4545" s="2" t="s">
        <v>12</v>
      </c>
      <c r="F4545" s="2" t="s">
        <v>25</v>
      </c>
      <c r="G4545">
        <v>58317</v>
      </c>
      <c r="H4545" s="1">
        <v>44891</v>
      </c>
      <c r="I4545">
        <v>2</v>
      </c>
      <c r="J4545">
        <v>4</v>
      </c>
      <c r="K4545">
        <v>5832</v>
      </c>
      <c r="L4545">
        <v>2916</v>
      </c>
      <c r="M4545">
        <v>61233</v>
      </c>
      <c r="N4545">
        <v>0</v>
      </c>
      <c r="O4545">
        <v>64149</v>
      </c>
    </row>
    <row r="4546" spans="1:15" x14ac:dyDescent="0.35">
      <c r="A4546">
        <v>4545</v>
      </c>
      <c r="B4546" s="2" t="s">
        <v>23</v>
      </c>
      <c r="C4546" s="2" t="s">
        <v>11</v>
      </c>
      <c r="D4546">
        <v>54</v>
      </c>
      <c r="E4546" s="2" t="s">
        <v>28</v>
      </c>
      <c r="F4546" s="2" t="s">
        <v>17</v>
      </c>
      <c r="G4546">
        <v>67217</v>
      </c>
      <c r="H4546" s="1">
        <v>45288</v>
      </c>
      <c r="I4546">
        <v>14</v>
      </c>
      <c r="J4546">
        <v>3</v>
      </c>
      <c r="K4546">
        <v>6722</v>
      </c>
      <c r="L4546">
        <v>3361</v>
      </c>
      <c r="M4546">
        <v>70578</v>
      </c>
      <c r="N4546">
        <v>3361</v>
      </c>
      <c r="O4546">
        <v>77300</v>
      </c>
    </row>
    <row r="4547" spans="1:15" x14ac:dyDescent="0.35">
      <c r="A4547">
        <v>4546</v>
      </c>
      <c r="B4547" s="2" t="s">
        <v>22</v>
      </c>
      <c r="C4547" s="2" t="s">
        <v>15</v>
      </c>
      <c r="D4547">
        <v>26</v>
      </c>
      <c r="E4547" s="2" t="s">
        <v>28</v>
      </c>
      <c r="F4547" s="2" t="s">
        <v>21</v>
      </c>
      <c r="G4547">
        <v>88472</v>
      </c>
      <c r="H4547" s="1">
        <v>44844</v>
      </c>
      <c r="I4547">
        <v>8</v>
      </c>
      <c r="J4547">
        <v>2</v>
      </c>
      <c r="K4547">
        <v>8847</v>
      </c>
      <c r="L4547">
        <v>4424</v>
      </c>
      <c r="M4547">
        <v>92895</v>
      </c>
      <c r="N4547">
        <v>4424</v>
      </c>
      <c r="O4547">
        <v>101743</v>
      </c>
    </row>
    <row r="4548" spans="1:15" x14ac:dyDescent="0.35">
      <c r="A4548">
        <v>4547</v>
      </c>
      <c r="B4548" s="2" t="s">
        <v>10</v>
      </c>
      <c r="C4548" s="2" t="s">
        <v>15</v>
      </c>
      <c r="D4548">
        <v>30</v>
      </c>
      <c r="E4548" s="2" t="s">
        <v>29</v>
      </c>
      <c r="F4548" s="2" t="s">
        <v>13</v>
      </c>
      <c r="G4548">
        <v>59696</v>
      </c>
      <c r="H4548" s="1">
        <v>45285</v>
      </c>
      <c r="I4548">
        <v>14</v>
      </c>
      <c r="J4548">
        <v>4</v>
      </c>
      <c r="K4548">
        <v>5970</v>
      </c>
      <c r="L4548">
        <v>2985</v>
      </c>
      <c r="M4548">
        <v>62681</v>
      </c>
      <c r="N4548">
        <v>2985</v>
      </c>
      <c r="O4548">
        <v>68651</v>
      </c>
    </row>
    <row r="4549" spans="1:15" x14ac:dyDescent="0.35">
      <c r="A4549">
        <v>4548</v>
      </c>
      <c r="B4549" s="2" t="s">
        <v>31</v>
      </c>
      <c r="C4549" s="2" t="s">
        <v>15</v>
      </c>
      <c r="D4549">
        <v>34</v>
      </c>
      <c r="E4549" s="2" t="s">
        <v>12</v>
      </c>
      <c r="F4549" s="2" t="s">
        <v>17</v>
      </c>
      <c r="G4549">
        <v>34438</v>
      </c>
      <c r="H4549" s="1">
        <v>45554</v>
      </c>
      <c r="I4549">
        <v>15</v>
      </c>
      <c r="J4549">
        <v>4</v>
      </c>
      <c r="K4549">
        <v>3444</v>
      </c>
      <c r="L4549">
        <v>1722</v>
      </c>
      <c r="M4549">
        <v>36160</v>
      </c>
      <c r="N4549">
        <v>1722</v>
      </c>
      <c r="O4549">
        <v>39604</v>
      </c>
    </row>
    <row r="4550" spans="1:15" x14ac:dyDescent="0.35">
      <c r="A4550">
        <v>4549</v>
      </c>
      <c r="B4550" s="2" t="s">
        <v>10</v>
      </c>
      <c r="C4550" s="2" t="s">
        <v>15</v>
      </c>
      <c r="D4550">
        <v>30</v>
      </c>
      <c r="E4550" s="2" t="s">
        <v>12</v>
      </c>
      <c r="F4550" s="2" t="s">
        <v>25</v>
      </c>
      <c r="G4550">
        <v>67960</v>
      </c>
      <c r="H4550" s="1">
        <v>45240</v>
      </c>
      <c r="I4550">
        <v>18</v>
      </c>
      <c r="J4550">
        <v>1</v>
      </c>
      <c r="K4550">
        <v>6796</v>
      </c>
      <c r="L4550">
        <v>3398</v>
      </c>
      <c r="M4550">
        <v>71358</v>
      </c>
      <c r="N4550">
        <v>3398</v>
      </c>
      <c r="O4550">
        <v>78154</v>
      </c>
    </row>
    <row r="4551" spans="1:15" x14ac:dyDescent="0.35">
      <c r="A4551">
        <v>4550</v>
      </c>
      <c r="B4551" s="2" t="s">
        <v>20</v>
      </c>
      <c r="C4551" s="2" t="s">
        <v>15</v>
      </c>
      <c r="D4551">
        <v>22</v>
      </c>
      <c r="E4551" s="2" t="s">
        <v>16</v>
      </c>
      <c r="F4551" s="2" t="s">
        <v>25</v>
      </c>
      <c r="G4551">
        <v>53432</v>
      </c>
      <c r="H4551" s="1">
        <v>45217</v>
      </c>
      <c r="I4551">
        <v>2</v>
      </c>
      <c r="J4551">
        <v>4</v>
      </c>
      <c r="K4551">
        <v>5343</v>
      </c>
      <c r="L4551">
        <v>2672</v>
      </c>
      <c r="M4551">
        <v>56103</v>
      </c>
      <c r="N4551">
        <v>0</v>
      </c>
      <c r="O4551">
        <v>58775</v>
      </c>
    </row>
    <row r="4552" spans="1:15" x14ac:dyDescent="0.35">
      <c r="A4552">
        <v>4551</v>
      </c>
      <c r="B4552" s="2" t="s">
        <v>23</v>
      </c>
      <c r="C4552" s="2" t="s">
        <v>11</v>
      </c>
      <c r="D4552">
        <v>23</v>
      </c>
      <c r="E4552" s="2" t="s">
        <v>29</v>
      </c>
      <c r="F4552" s="2" t="s">
        <v>19</v>
      </c>
      <c r="G4552">
        <v>52244</v>
      </c>
      <c r="H4552" s="1">
        <v>44912</v>
      </c>
      <c r="I4552">
        <v>1</v>
      </c>
      <c r="J4552">
        <v>5</v>
      </c>
      <c r="K4552">
        <v>5224</v>
      </c>
      <c r="L4552">
        <v>2612</v>
      </c>
      <c r="M4552">
        <v>54856</v>
      </c>
      <c r="N4552">
        <v>0</v>
      </c>
      <c r="O4552">
        <v>57468</v>
      </c>
    </row>
    <row r="4553" spans="1:15" x14ac:dyDescent="0.35">
      <c r="A4553">
        <v>4552</v>
      </c>
      <c r="B4553" s="2" t="s">
        <v>10</v>
      </c>
      <c r="C4553" s="2" t="s">
        <v>15</v>
      </c>
      <c r="D4553">
        <v>32</v>
      </c>
      <c r="E4553" s="2" t="s">
        <v>29</v>
      </c>
      <c r="F4553" s="2" t="s">
        <v>21</v>
      </c>
      <c r="G4553">
        <v>43859</v>
      </c>
      <c r="H4553" s="1">
        <v>45062</v>
      </c>
      <c r="I4553">
        <v>16</v>
      </c>
      <c r="J4553">
        <v>1</v>
      </c>
      <c r="K4553">
        <v>4386</v>
      </c>
      <c r="L4553">
        <v>2193</v>
      </c>
      <c r="M4553">
        <v>46052</v>
      </c>
      <c r="N4553">
        <v>2193</v>
      </c>
      <c r="O4553">
        <v>50438</v>
      </c>
    </row>
    <row r="4554" spans="1:15" x14ac:dyDescent="0.35">
      <c r="A4554">
        <v>4553</v>
      </c>
      <c r="B4554" s="2" t="s">
        <v>31</v>
      </c>
      <c r="C4554" s="2" t="s">
        <v>11</v>
      </c>
      <c r="D4554">
        <v>52</v>
      </c>
      <c r="E4554" s="2" t="s">
        <v>28</v>
      </c>
      <c r="F4554" s="2" t="s">
        <v>13</v>
      </c>
      <c r="G4554">
        <v>87965</v>
      </c>
      <c r="H4554" s="1">
        <v>44643</v>
      </c>
      <c r="I4554">
        <v>1</v>
      </c>
      <c r="J4554">
        <v>5</v>
      </c>
      <c r="K4554">
        <v>8796</v>
      </c>
      <c r="L4554">
        <v>4398</v>
      </c>
      <c r="M4554">
        <v>92363</v>
      </c>
      <c r="N4554">
        <v>0</v>
      </c>
      <c r="O4554">
        <v>96761</v>
      </c>
    </row>
    <row r="4555" spans="1:15" x14ac:dyDescent="0.35">
      <c r="A4555">
        <v>4554</v>
      </c>
      <c r="B4555" s="2" t="s">
        <v>30</v>
      </c>
      <c r="C4555" s="2" t="s">
        <v>11</v>
      </c>
      <c r="D4555">
        <v>29</v>
      </c>
      <c r="E4555" s="2" t="s">
        <v>28</v>
      </c>
      <c r="F4555" s="2" t="s">
        <v>13</v>
      </c>
      <c r="G4555">
        <v>83706</v>
      </c>
      <c r="H4555" s="1">
        <v>44652</v>
      </c>
      <c r="I4555">
        <v>10</v>
      </c>
      <c r="J4555">
        <v>4</v>
      </c>
      <c r="K4555">
        <v>8371</v>
      </c>
      <c r="L4555">
        <v>4185</v>
      </c>
      <c r="M4555">
        <v>87892</v>
      </c>
      <c r="N4555">
        <v>4185</v>
      </c>
      <c r="O4555">
        <v>96262</v>
      </c>
    </row>
    <row r="4556" spans="1:15" x14ac:dyDescent="0.35">
      <c r="A4556">
        <v>4555</v>
      </c>
      <c r="B4556" s="2" t="s">
        <v>22</v>
      </c>
      <c r="C4556" s="2" t="s">
        <v>11</v>
      </c>
      <c r="D4556">
        <v>40</v>
      </c>
      <c r="E4556" s="2" t="s">
        <v>24</v>
      </c>
      <c r="F4556" s="2" t="s">
        <v>19</v>
      </c>
      <c r="G4556">
        <v>47842</v>
      </c>
      <c r="H4556" s="1">
        <v>45181</v>
      </c>
      <c r="I4556">
        <v>16</v>
      </c>
      <c r="J4556">
        <v>5</v>
      </c>
      <c r="K4556">
        <v>4784</v>
      </c>
      <c r="L4556">
        <v>2392</v>
      </c>
      <c r="M4556">
        <v>50234</v>
      </c>
      <c r="N4556">
        <v>2392</v>
      </c>
      <c r="O4556">
        <v>55018</v>
      </c>
    </row>
    <row r="4557" spans="1:15" x14ac:dyDescent="0.35">
      <c r="A4557">
        <v>4556</v>
      </c>
      <c r="B4557" s="2" t="s">
        <v>14</v>
      </c>
      <c r="C4557" s="2" t="s">
        <v>11</v>
      </c>
      <c r="D4557">
        <v>47</v>
      </c>
      <c r="E4557" s="2" t="s">
        <v>28</v>
      </c>
      <c r="F4557" s="2" t="s">
        <v>21</v>
      </c>
      <c r="G4557">
        <v>27782</v>
      </c>
      <c r="H4557" s="1">
        <v>44959</v>
      </c>
      <c r="I4557">
        <v>10</v>
      </c>
      <c r="J4557">
        <v>4</v>
      </c>
      <c r="K4557">
        <v>2778</v>
      </c>
      <c r="L4557">
        <v>1389</v>
      </c>
      <c r="M4557">
        <v>29171</v>
      </c>
      <c r="N4557">
        <v>1389</v>
      </c>
      <c r="O4557">
        <v>31949</v>
      </c>
    </row>
    <row r="4558" spans="1:15" x14ac:dyDescent="0.35">
      <c r="A4558">
        <v>4557</v>
      </c>
      <c r="B4558" s="2" t="s">
        <v>26</v>
      </c>
      <c r="C4558" s="2" t="s">
        <v>11</v>
      </c>
      <c r="D4558">
        <v>36</v>
      </c>
      <c r="E4558" s="2" t="s">
        <v>12</v>
      </c>
      <c r="F4558" s="2" t="s">
        <v>13</v>
      </c>
      <c r="G4558">
        <v>35831</v>
      </c>
      <c r="H4558" s="1">
        <v>45511</v>
      </c>
      <c r="I4558">
        <v>8</v>
      </c>
      <c r="J4558">
        <v>5</v>
      </c>
      <c r="K4558">
        <v>3583</v>
      </c>
      <c r="L4558">
        <v>1792</v>
      </c>
      <c r="M4558">
        <v>37622</v>
      </c>
      <c r="N4558">
        <v>1792</v>
      </c>
      <c r="O4558">
        <v>41206</v>
      </c>
    </row>
    <row r="4559" spans="1:15" x14ac:dyDescent="0.35">
      <c r="A4559">
        <v>4558</v>
      </c>
      <c r="B4559" s="2" t="s">
        <v>26</v>
      </c>
      <c r="C4559" s="2" t="s">
        <v>15</v>
      </c>
      <c r="D4559">
        <v>31</v>
      </c>
      <c r="E4559" s="2" t="s">
        <v>24</v>
      </c>
      <c r="F4559" s="2" t="s">
        <v>13</v>
      </c>
      <c r="G4559">
        <v>43189</v>
      </c>
      <c r="H4559" s="1">
        <v>45077</v>
      </c>
      <c r="I4559">
        <v>17</v>
      </c>
      <c r="J4559">
        <v>4</v>
      </c>
      <c r="K4559">
        <v>4319</v>
      </c>
      <c r="L4559">
        <v>2159</v>
      </c>
      <c r="M4559">
        <v>45349</v>
      </c>
      <c r="N4559">
        <v>2159</v>
      </c>
      <c r="O4559">
        <v>49667</v>
      </c>
    </row>
    <row r="4560" spans="1:15" x14ac:dyDescent="0.35">
      <c r="A4560">
        <v>4559</v>
      </c>
      <c r="B4560" s="2" t="s">
        <v>20</v>
      </c>
      <c r="C4560" s="2" t="s">
        <v>15</v>
      </c>
      <c r="D4560">
        <v>59</v>
      </c>
      <c r="E4560" s="2" t="s">
        <v>16</v>
      </c>
      <c r="F4560" s="2" t="s">
        <v>17</v>
      </c>
      <c r="G4560">
        <v>30428</v>
      </c>
      <c r="H4560" s="1">
        <v>44613</v>
      </c>
      <c r="I4560">
        <v>19</v>
      </c>
      <c r="J4560">
        <v>5</v>
      </c>
      <c r="K4560">
        <v>3043</v>
      </c>
      <c r="L4560">
        <v>1521</v>
      </c>
      <c r="M4560">
        <v>31950</v>
      </c>
      <c r="N4560">
        <v>1521</v>
      </c>
      <c r="O4560">
        <v>34992</v>
      </c>
    </row>
    <row r="4561" spans="1:15" x14ac:dyDescent="0.35">
      <c r="A4561">
        <v>4560</v>
      </c>
      <c r="B4561" s="2" t="s">
        <v>20</v>
      </c>
      <c r="C4561" s="2" t="s">
        <v>15</v>
      </c>
      <c r="D4561">
        <v>24</v>
      </c>
      <c r="E4561" s="2" t="s">
        <v>29</v>
      </c>
      <c r="F4561" s="2" t="s">
        <v>19</v>
      </c>
      <c r="G4561">
        <v>93784</v>
      </c>
      <c r="H4561" s="1">
        <v>45199</v>
      </c>
      <c r="I4561">
        <v>12</v>
      </c>
      <c r="J4561">
        <v>1</v>
      </c>
      <c r="K4561">
        <v>9378</v>
      </c>
      <c r="L4561">
        <v>4689</v>
      </c>
      <c r="M4561">
        <v>98473</v>
      </c>
      <c r="N4561">
        <v>4689</v>
      </c>
      <c r="O4561">
        <v>107851</v>
      </c>
    </row>
    <row r="4562" spans="1:15" x14ac:dyDescent="0.35">
      <c r="A4562">
        <v>4561</v>
      </c>
      <c r="B4562" s="2" t="s">
        <v>18</v>
      </c>
      <c r="C4562" s="2" t="s">
        <v>11</v>
      </c>
      <c r="D4562">
        <v>36</v>
      </c>
      <c r="E4562" s="2" t="s">
        <v>29</v>
      </c>
      <c r="F4562" s="2" t="s">
        <v>25</v>
      </c>
      <c r="G4562">
        <v>36747</v>
      </c>
      <c r="H4562" s="1">
        <v>44602</v>
      </c>
      <c r="I4562">
        <v>13</v>
      </c>
      <c r="J4562">
        <v>4</v>
      </c>
      <c r="K4562">
        <v>3675</v>
      </c>
      <c r="L4562">
        <v>1837</v>
      </c>
      <c r="M4562">
        <v>38585</v>
      </c>
      <c r="N4562">
        <v>1837</v>
      </c>
      <c r="O4562">
        <v>42259</v>
      </c>
    </row>
    <row r="4563" spans="1:15" x14ac:dyDescent="0.35">
      <c r="A4563">
        <v>4562</v>
      </c>
      <c r="B4563" s="2" t="s">
        <v>22</v>
      </c>
      <c r="C4563" s="2" t="s">
        <v>15</v>
      </c>
      <c r="D4563">
        <v>55</v>
      </c>
      <c r="E4563" s="2" t="s">
        <v>28</v>
      </c>
      <c r="F4563" s="2" t="s">
        <v>25</v>
      </c>
      <c r="G4563">
        <v>69161</v>
      </c>
      <c r="H4563" s="1">
        <v>44652</v>
      </c>
      <c r="I4563">
        <v>2</v>
      </c>
      <c r="J4563">
        <v>5</v>
      </c>
      <c r="K4563">
        <v>6916</v>
      </c>
      <c r="L4563">
        <v>3458</v>
      </c>
      <c r="M4563">
        <v>72619</v>
      </c>
      <c r="N4563">
        <v>0</v>
      </c>
      <c r="O4563">
        <v>76077</v>
      </c>
    </row>
    <row r="4564" spans="1:15" x14ac:dyDescent="0.35">
      <c r="A4564">
        <v>4563</v>
      </c>
      <c r="B4564" s="2" t="s">
        <v>23</v>
      </c>
      <c r="C4564" s="2" t="s">
        <v>11</v>
      </c>
      <c r="D4564">
        <v>33</v>
      </c>
      <c r="E4564" s="2" t="s">
        <v>16</v>
      </c>
      <c r="F4564" s="2" t="s">
        <v>17</v>
      </c>
      <c r="G4564">
        <v>38073</v>
      </c>
      <c r="H4564" s="1">
        <v>44759</v>
      </c>
      <c r="I4564">
        <v>3</v>
      </c>
      <c r="J4564">
        <v>1</v>
      </c>
      <c r="K4564">
        <v>3807</v>
      </c>
      <c r="L4564">
        <v>1904</v>
      </c>
      <c r="M4564">
        <v>39976</v>
      </c>
      <c r="N4564">
        <v>0</v>
      </c>
      <c r="O4564">
        <v>41880</v>
      </c>
    </row>
    <row r="4565" spans="1:15" x14ac:dyDescent="0.35">
      <c r="A4565">
        <v>4564</v>
      </c>
      <c r="B4565" s="2" t="s">
        <v>30</v>
      </c>
      <c r="C4565" s="2" t="s">
        <v>11</v>
      </c>
      <c r="D4565">
        <v>39</v>
      </c>
      <c r="E4565" s="2" t="s">
        <v>12</v>
      </c>
      <c r="F4565" s="2" t="s">
        <v>13</v>
      </c>
      <c r="G4565">
        <v>64085</v>
      </c>
      <c r="H4565" s="1">
        <v>45253</v>
      </c>
      <c r="I4565">
        <v>12</v>
      </c>
      <c r="J4565">
        <v>2</v>
      </c>
      <c r="K4565">
        <v>6408</v>
      </c>
      <c r="L4565">
        <v>3204</v>
      </c>
      <c r="M4565">
        <v>67289</v>
      </c>
      <c r="N4565">
        <v>3204</v>
      </c>
      <c r="O4565">
        <v>73697</v>
      </c>
    </row>
    <row r="4566" spans="1:15" x14ac:dyDescent="0.35">
      <c r="A4566">
        <v>4565</v>
      </c>
      <c r="B4566" s="2" t="s">
        <v>27</v>
      </c>
      <c r="C4566" s="2" t="s">
        <v>15</v>
      </c>
      <c r="D4566">
        <v>51</v>
      </c>
      <c r="E4566" s="2" t="s">
        <v>24</v>
      </c>
      <c r="F4566" s="2" t="s">
        <v>21</v>
      </c>
      <c r="G4566">
        <v>91439</v>
      </c>
      <c r="H4566" s="1">
        <v>44983</v>
      </c>
      <c r="I4566">
        <v>1</v>
      </c>
      <c r="J4566">
        <v>4</v>
      </c>
      <c r="K4566">
        <v>9144</v>
      </c>
      <c r="L4566">
        <v>4572</v>
      </c>
      <c r="M4566">
        <v>96011</v>
      </c>
      <c r="N4566">
        <v>0</v>
      </c>
      <c r="O4566">
        <v>100583</v>
      </c>
    </row>
    <row r="4567" spans="1:15" x14ac:dyDescent="0.35">
      <c r="A4567">
        <v>4566</v>
      </c>
      <c r="B4567" s="2" t="s">
        <v>22</v>
      </c>
      <c r="C4567" s="2" t="s">
        <v>15</v>
      </c>
      <c r="D4567">
        <v>21</v>
      </c>
      <c r="E4567" s="2" t="s">
        <v>29</v>
      </c>
      <c r="F4567" s="2" t="s">
        <v>19</v>
      </c>
      <c r="G4567">
        <v>22760</v>
      </c>
      <c r="H4567" s="1">
        <v>44669</v>
      </c>
      <c r="I4567">
        <v>17</v>
      </c>
      <c r="J4567">
        <v>1</v>
      </c>
      <c r="K4567">
        <v>2276</v>
      </c>
      <c r="L4567">
        <v>1138</v>
      </c>
      <c r="M4567">
        <v>23898</v>
      </c>
      <c r="N4567">
        <v>1138</v>
      </c>
      <c r="O4567">
        <v>26174</v>
      </c>
    </row>
    <row r="4568" spans="1:15" x14ac:dyDescent="0.35">
      <c r="A4568">
        <v>4567</v>
      </c>
      <c r="B4568" s="2" t="s">
        <v>31</v>
      </c>
      <c r="C4568" s="2" t="s">
        <v>11</v>
      </c>
      <c r="D4568">
        <v>35</v>
      </c>
      <c r="E4568" s="2" t="s">
        <v>12</v>
      </c>
      <c r="F4568" s="2" t="s">
        <v>21</v>
      </c>
      <c r="G4568">
        <v>40998</v>
      </c>
      <c r="H4568" s="1">
        <v>44650</v>
      </c>
      <c r="I4568">
        <v>1</v>
      </c>
      <c r="J4568">
        <v>1</v>
      </c>
      <c r="K4568">
        <v>4100</v>
      </c>
      <c r="L4568">
        <v>2050</v>
      </c>
      <c r="M4568">
        <v>43048</v>
      </c>
      <c r="N4568">
        <v>0</v>
      </c>
      <c r="O4568">
        <v>45098</v>
      </c>
    </row>
    <row r="4569" spans="1:15" x14ac:dyDescent="0.35">
      <c r="A4569">
        <v>4568</v>
      </c>
      <c r="B4569" s="2" t="s">
        <v>30</v>
      </c>
      <c r="C4569" s="2" t="s">
        <v>15</v>
      </c>
      <c r="D4569">
        <v>59</v>
      </c>
      <c r="E4569" s="2" t="s">
        <v>24</v>
      </c>
      <c r="F4569" s="2" t="s">
        <v>21</v>
      </c>
      <c r="G4569">
        <v>31589</v>
      </c>
      <c r="H4569" s="1">
        <v>44747</v>
      </c>
      <c r="I4569">
        <v>18</v>
      </c>
      <c r="J4569">
        <v>5</v>
      </c>
      <c r="K4569">
        <v>3159</v>
      </c>
      <c r="L4569">
        <v>1579</v>
      </c>
      <c r="M4569">
        <v>33169</v>
      </c>
      <c r="N4569">
        <v>1579</v>
      </c>
      <c r="O4569">
        <v>36327</v>
      </c>
    </row>
    <row r="4570" spans="1:15" x14ac:dyDescent="0.35">
      <c r="A4570">
        <v>4569</v>
      </c>
      <c r="B4570" s="2" t="s">
        <v>27</v>
      </c>
      <c r="C4570" s="2" t="s">
        <v>15</v>
      </c>
      <c r="D4570">
        <v>58</v>
      </c>
      <c r="E4570" s="2" t="s">
        <v>24</v>
      </c>
      <c r="F4570" s="2" t="s">
        <v>17</v>
      </c>
      <c r="G4570">
        <v>74510</v>
      </c>
      <c r="H4570" s="1">
        <v>45532</v>
      </c>
      <c r="I4570">
        <v>8</v>
      </c>
      <c r="J4570">
        <v>5</v>
      </c>
      <c r="K4570">
        <v>7451</v>
      </c>
      <c r="L4570">
        <v>3726</v>
      </c>
      <c r="M4570">
        <v>78235</v>
      </c>
      <c r="N4570">
        <v>3726</v>
      </c>
      <c r="O4570">
        <v>85687</v>
      </c>
    </row>
    <row r="4571" spans="1:15" x14ac:dyDescent="0.35">
      <c r="A4571">
        <v>4570</v>
      </c>
      <c r="B4571" s="2" t="s">
        <v>26</v>
      </c>
      <c r="C4571" s="2" t="s">
        <v>15</v>
      </c>
      <c r="D4571">
        <v>34</v>
      </c>
      <c r="E4571" s="2" t="s">
        <v>12</v>
      </c>
      <c r="F4571" s="2" t="s">
        <v>13</v>
      </c>
      <c r="G4571">
        <v>84994</v>
      </c>
      <c r="H4571" s="1">
        <v>44779</v>
      </c>
      <c r="I4571">
        <v>12</v>
      </c>
      <c r="J4571">
        <v>3</v>
      </c>
      <c r="K4571">
        <v>8499</v>
      </c>
      <c r="L4571">
        <v>4250</v>
      </c>
      <c r="M4571">
        <v>89243</v>
      </c>
      <c r="N4571">
        <v>4250</v>
      </c>
      <c r="O4571">
        <v>97743</v>
      </c>
    </row>
    <row r="4572" spans="1:15" x14ac:dyDescent="0.35">
      <c r="A4572">
        <v>4571</v>
      </c>
      <c r="B4572" s="2" t="s">
        <v>31</v>
      </c>
      <c r="C4572" s="2" t="s">
        <v>15</v>
      </c>
      <c r="D4572">
        <v>31</v>
      </c>
      <c r="E4572" s="2" t="s">
        <v>12</v>
      </c>
      <c r="F4572" s="2" t="s">
        <v>19</v>
      </c>
      <c r="G4572">
        <v>47050</v>
      </c>
      <c r="H4572" s="1">
        <v>45507</v>
      </c>
      <c r="I4572">
        <v>7</v>
      </c>
      <c r="J4572">
        <v>3</v>
      </c>
      <c r="K4572">
        <v>4705</v>
      </c>
      <c r="L4572">
        <v>2352</v>
      </c>
      <c r="M4572">
        <v>49403</v>
      </c>
      <c r="N4572">
        <v>2352</v>
      </c>
      <c r="O4572">
        <v>54107</v>
      </c>
    </row>
    <row r="4573" spans="1:15" x14ac:dyDescent="0.35">
      <c r="A4573">
        <v>4572</v>
      </c>
      <c r="B4573" s="2" t="s">
        <v>26</v>
      </c>
      <c r="C4573" s="2" t="s">
        <v>15</v>
      </c>
      <c r="D4573">
        <v>32</v>
      </c>
      <c r="E4573" s="2" t="s">
        <v>29</v>
      </c>
      <c r="F4573" s="2" t="s">
        <v>13</v>
      </c>
      <c r="G4573">
        <v>57507</v>
      </c>
      <c r="H4573" s="1">
        <v>44676</v>
      </c>
      <c r="I4573">
        <v>7</v>
      </c>
      <c r="J4573">
        <v>3</v>
      </c>
      <c r="K4573">
        <v>5751</v>
      </c>
      <c r="L4573">
        <v>2875</v>
      </c>
      <c r="M4573">
        <v>60383</v>
      </c>
      <c r="N4573">
        <v>2875</v>
      </c>
      <c r="O4573">
        <v>66133</v>
      </c>
    </row>
    <row r="4574" spans="1:15" x14ac:dyDescent="0.35">
      <c r="A4574">
        <v>4573</v>
      </c>
      <c r="B4574" s="2" t="s">
        <v>27</v>
      </c>
      <c r="C4574" s="2" t="s">
        <v>11</v>
      </c>
      <c r="D4574">
        <v>31</v>
      </c>
      <c r="E4574" s="2" t="s">
        <v>24</v>
      </c>
      <c r="F4574" s="2" t="s">
        <v>25</v>
      </c>
      <c r="G4574">
        <v>47227</v>
      </c>
      <c r="H4574" s="1">
        <v>44947</v>
      </c>
      <c r="I4574">
        <v>18</v>
      </c>
      <c r="J4574">
        <v>5</v>
      </c>
      <c r="K4574">
        <v>4723</v>
      </c>
      <c r="L4574">
        <v>2361</v>
      </c>
      <c r="M4574">
        <v>49589</v>
      </c>
      <c r="N4574">
        <v>2361</v>
      </c>
      <c r="O4574">
        <v>54311</v>
      </c>
    </row>
    <row r="4575" spans="1:15" x14ac:dyDescent="0.35">
      <c r="A4575">
        <v>4574</v>
      </c>
      <c r="B4575" s="2" t="s">
        <v>22</v>
      </c>
      <c r="C4575" s="2" t="s">
        <v>11</v>
      </c>
      <c r="D4575">
        <v>53</v>
      </c>
      <c r="E4575" s="2" t="s">
        <v>28</v>
      </c>
      <c r="F4575" s="2" t="s">
        <v>25</v>
      </c>
      <c r="G4575">
        <v>76669</v>
      </c>
      <c r="H4575" s="1">
        <v>45442</v>
      </c>
      <c r="I4575">
        <v>15</v>
      </c>
      <c r="J4575">
        <v>5</v>
      </c>
      <c r="K4575">
        <v>7667</v>
      </c>
      <c r="L4575">
        <v>3833</v>
      </c>
      <c r="M4575">
        <v>80503</v>
      </c>
      <c r="N4575">
        <v>3833</v>
      </c>
      <c r="O4575">
        <v>88169</v>
      </c>
    </row>
    <row r="4576" spans="1:15" x14ac:dyDescent="0.35">
      <c r="A4576">
        <v>4575</v>
      </c>
      <c r="B4576" s="2" t="s">
        <v>27</v>
      </c>
      <c r="C4576" s="2" t="s">
        <v>15</v>
      </c>
      <c r="D4576">
        <v>27</v>
      </c>
      <c r="E4576" s="2" t="s">
        <v>28</v>
      </c>
      <c r="F4576" s="2" t="s">
        <v>17</v>
      </c>
      <c r="G4576">
        <v>34762</v>
      </c>
      <c r="H4576" s="1">
        <v>44809</v>
      </c>
      <c r="I4576">
        <v>19</v>
      </c>
      <c r="J4576">
        <v>4</v>
      </c>
      <c r="K4576">
        <v>3476</v>
      </c>
      <c r="L4576">
        <v>1738</v>
      </c>
      <c r="M4576">
        <v>36500</v>
      </c>
      <c r="N4576">
        <v>1738</v>
      </c>
      <c r="O4576">
        <v>39976</v>
      </c>
    </row>
    <row r="4577" spans="1:15" x14ac:dyDescent="0.35">
      <c r="A4577">
        <v>4576</v>
      </c>
      <c r="B4577" s="2" t="s">
        <v>20</v>
      </c>
      <c r="C4577" s="2" t="s">
        <v>15</v>
      </c>
      <c r="D4577">
        <v>53</v>
      </c>
      <c r="E4577" s="2" t="s">
        <v>24</v>
      </c>
      <c r="F4577" s="2" t="s">
        <v>21</v>
      </c>
      <c r="G4577">
        <v>35097</v>
      </c>
      <c r="H4577" s="1">
        <v>45064</v>
      </c>
      <c r="I4577">
        <v>6</v>
      </c>
      <c r="J4577">
        <v>1</v>
      </c>
      <c r="K4577">
        <v>3510</v>
      </c>
      <c r="L4577">
        <v>1755</v>
      </c>
      <c r="M4577">
        <v>36852</v>
      </c>
      <c r="N4577">
        <v>1755</v>
      </c>
      <c r="O4577">
        <v>40362</v>
      </c>
    </row>
    <row r="4578" spans="1:15" x14ac:dyDescent="0.35">
      <c r="A4578">
        <v>4577</v>
      </c>
      <c r="B4578" s="2" t="s">
        <v>26</v>
      </c>
      <c r="C4578" s="2" t="s">
        <v>15</v>
      </c>
      <c r="D4578">
        <v>57</v>
      </c>
      <c r="E4578" s="2" t="s">
        <v>29</v>
      </c>
      <c r="F4578" s="2" t="s">
        <v>21</v>
      </c>
      <c r="G4578">
        <v>57894</v>
      </c>
      <c r="H4578" s="1">
        <v>45554</v>
      </c>
      <c r="I4578">
        <v>1</v>
      </c>
      <c r="J4578">
        <v>5</v>
      </c>
      <c r="K4578">
        <v>5789</v>
      </c>
      <c r="L4578">
        <v>2895</v>
      </c>
      <c r="M4578">
        <v>60788</v>
      </c>
      <c r="N4578">
        <v>0</v>
      </c>
      <c r="O4578">
        <v>63683</v>
      </c>
    </row>
    <row r="4579" spans="1:15" x14ac:dyDescent="0.35">
      <c r="A4579">
        <v>4578</v>
      </c>
      <c r="B4579" s="2" t="s">
        <v>30</v>
      </c>
      <c r="C4579" s="2" t="s">
        <v>11</v>
      </c>
      <c r="D4579">
        <v>58</v>
      </c>
      <c r="E4579" s="2" t="s">
        <v>12</v>
      </c>
      <c r="F4579" s="2" t="s">
        <v>19</v>
      </c>
      <c r="G4579">
        <v>26217</v>
      </c>
      <c r="H4579" s="1">
        <v>45086</v>
      </c>
      <c r="I4579">
        <v>12</v>
      </c>
      <c r="J4579">
        <v>5</v>
      </c>
      <c r="K4579">
        <v>2622</v>
      </c>
      <c r="L4579">
        <v>1311</v>
      </c>
      <c r="M4579">
        <v>27528</v>
      </c>
      <c r="N4579">
        <v>1311</v>
      </c>
      <c r="O4579">
        <v>30150</v>
      </c>
    </row>
    <row r="4580" spans="1:15" x14ac:dyDescent="0.35">
      <c r="A4580">
        <v>4579</v>
      </c>
      <c r="B4580" s="2" t="s">
        <v>30</v>
      </c>
      <c r="C4580" s="2" t="s">
        <v>15</v>
      </c>
      <c r="D4580">
        <v>31</v>
      </c>
      <c r="E4580" s="2" t="s">
        <v>16</v>
      </c>
      <c r="F4580" s="2" t="s">
        <v>13</v>
      </c>
      <c r="G4580">
        <v>91239</v>
      </c>
      <c r="H4580" s="1">
        <v>44617</v>
      </c>
      <c r="I4580">
        <v>11</v>
      </c>
      <c r="J4580">
        <v>4</v>
      </c>
      <c r="K4580">
        <v>9124</v>
      </c>
      <c r="L4580">
        <v>4562</v>
      </c>
      <c r="M4580">
        <v>95801</v>
      </c>
      <c r="N4580">
        <v>4562</v>
      </c>
      <c r="O4580">
        <v>104925</v>
      </c>
    </row>
    <row r="4581" spans="1:15" x14ac:dyDescent="0.35">
      <c r="A4581">
        <v>4580</v>
      </c>
      <c r="B4581" s="2" t="s">
        <v>27</v>
      </c>
      <c r="C4581" s="2" t="s">
        <v>11</v>
      </c>
      <c r="D4581">
        <v>48</v>
      </c>
      <c r="E4581" s="2" t="s">
        <v>24</v>
      </c>
      <c r="F4581" s="2" t="s">
        <v>21</v>
      </c>
      <c r="G4581">
        <v>34439</v>
      </c>
      <c r="H4581" s="1">
        <v>44643</v>
      </c>
      <c r="I4581">
        <v>10</v>
      </c>
      <c r="J4581">
        <v>2</v>
      </c>
      <c r="K4581">
        <v>3444</v>
      </c>
      <c r="L4581">
        <v>1722</v>
      </c>
      <c r="M4581">
        <v>36161</v>
      </c>
      <c r="N4581">
        <v>1722</v>
      </c>
      <c r="O4581">
        <v>39605</v>
      </c>
    </row>
    <row r="4582" spans="1:15" x14ac:dyDescent="0.35">
      <c r="A4582">
        <v>4581</v>
      </c>
      <c r="B4582" s="2" t="s">
        <v>22</v>
      </c>
      <c r="C4582" s="2" t="s">
        <v>11</v>
      </c>
      <c r="D4582">
        <v>28</v>
      </c>
      <c r="E4582" s="2" t="s">
        <v>16</v>
      </c>
      <c r="F4582" s="2" t="s">
        <v>17</v>
      </c>
      <c r="G4582">
        <v>60753</v>
      </c>
      <c r="H4582" s="1">
        <v>44953</v>
      </c>
      <c r="I4582">
        <v>4</v>
      </c>
      <c r="J4582">
        <v>3</v>
      </c>
      <c r="K4582">
        <v>6075</v>
      </c>
      <c r="L4582">
        <v>3038</v>
      </c>
      <c r="M4582">
        <v>63790</v>
      </c>
      <c r="N4582">
        <v>0</v>
      </c>
      <c r="O4582">
        <v>66828</v>
      </c>
    </row>
    <row r="4583" spans="1:15" x14ac:dyDescent="0.35">
      <c r="A4583">
        <v>4582</v>
      </c>
      <c r="B4583" s="2" t="s">
        <v>27</v>
      </c>
      <c r="C4583" s="2" t="s">
        <v>15</v>
      </c>
      <c r="D4583">
        <v>30</v>
      </c>
      <c r="E4583" s="2" t="s">
        <v>28</v>
      </c>
      <c r="F4583" s="2" t="s">
        <v>25</v>
      </c>
      <c r="G4583">
        <v>23638</v>
      </c>
      <c r="H4583" s="1">
        <v>44852</v>
      </c>
      <c r="I4583">
        <v>13</v>
      </c>
      <c r="J4583">
        <v>1</v>
      </c>
      <c r="K4583">
        <v>2364</v>
      </c>
      <c r="L4583">
        <v>1182</v>
      </c>
      <c r="M4583">
        <v>24820</v>
      </c>
      <c r="N4583">
        <v>1182</v>
      </c>
      <c r="O4583">
        <v>27184</v>
      </c>
    </row>
    <row r="4584" spans="1:15" x14ac:dyDescent="0.35">
      <c r="A4584">
        <v>4583</v>
      </c>
      <c r="B4584" s="2" t="s">
        <v>18</v>
      </c>
      <c r="C4584" s="2" t="s">
        <v>11</v>
      </c>
      <c r="D4584">
        <v>34</v>
      </c>
      <c r="E4584" s="2" t="s">
        <v>12</v>
      </c>
      <c r="F4584" s="2" t="s">
        <v>21</v>
      </c>
      <c r="G4584">
        <v>45891</v>
      </c>
      <c r="H4584" s="1">
        <v>45442</v>
      </c>
      <c r="I4584">
        <v>7</v>
      </c>
      <c r="J4584">
        <v>4</v>
      </c>
      <c r="K4584">
        <v>4589</v>
      </c>
      <c r="L4584">
        <v>2295</v>
      </c>
      <c r="M4584">
        <v>48185</v>
      </c>
      <c r="N4584">
        <v>2295</v>
      </c>
      <c r="O4584">
        <v>52775</v>
      </c>
    </row>
    <row r="4585" spans="1:15" x14ac:dyDescent="0.35">
      <c r="A4585">
        <v>4584</v>
      </c>
      <c r="B4585" s="2" t="s">
        <v>27</v>
      </c>
      <c r="C4585" s="2" t="s">
        <v>11</v>
      </c>
      <c r="D4585">
        <v>21</v>
      </c>
      <c r="E4585" s="2" t="s">
        <v>12</v>
      </c>
      <c r="F4585" s="2" t="s">
        <v>19</v>
      </c>
      <c r="G4585">
        <v>38190</v>
      </c>
      <c r="H4585" s="1">
        <v>44798</v>
      </c>
      <c r="I4585">
        <v>8</v>
      </c>
      <c r="J4585">
        <v>2</v>
      </c>
      <c r="K4585">
        <v>3819</v>
      </c>
      <c r="L4585">
        <v>1910</v>
      </c>
      <c r="M4585">
        <v>40099</v>
      </c>
      <c r="N4585">
        <v>1910</v>
      </c>
      <c r="O4585">
        <v>43919</v>
      </c>
    </row>
    <row r="4586" spans="1:15" x14ac:dyDescent="0.35">
      <c r="A4586">
        <v>4585</v>
      </c>
      <c r="B4586" s="2" t="s">
        <v>30</v>
      </c>
      <c r="C4586" s="2" t="s">
        <v>15</v>
      </c>
      <c r="D4586">
        <v>41</v>
      </c>
      <c r="E4586" s="2" t="s">
        <v>29</v>
      </c>
      <c r="F4586" s="2" t="s">
        <v>25</v>
      </c>
      <c r="G4586">
        <v>38254</v>
      </c>
      <c r="H4586" s="1">
        <v>45058</v>
      </c>
      <c r="I4586">
        <v>13</v>
      </c>
      <c r="J4586">
        <v>5</v>
      </c>
      <c r="K4586">
        <v>3825</v>
      </c>
      <c r="L4586">
        <v>1913</v>
      </c>
      <c r="M4586">
        <v>40166</v>
      </c>
      <c r="N4586">
        <v>1913</v>
      </c>
      <c r="O4586">
        <v>43992</v>
      </c>
    </row>
    <row r="4587" spans="1:15" x14ac:dyDescent="0.35">
      <c r="A4587">
        <v>4586</v>
      </c>
      <c r="B4587" s="2" t="s">
        <v>27</v>
      </c>
      <c r="C4587" s="2" t="s">
        <v>11</v>
      </c>
      <c r="D4587">
        <v>54</v>
      </c>
      <c r="E4587" s="2" t="s">
        <v>16</v>
      </c>
      <c r="F4587" s="2" t="s">
        <v>19</v>
      </c>
      <c r="G4587">
        <v>27499</v>
      </c>
      <c r="H4587" s="1">
        <v>44673</v>
      </c>
      <c r="I4587">
        <v>14</v>
      </c>
      <c r="J4587">
        <v>3</v>
      </c>
      <c r="K4587">
        <v>2750</v>
      </c>
      <c r="L4587">
        <v>1375</v>
      </c>
      <c r="M4587">
        <v>28874</v>
      </c>
      <c r="N4587">
        <v>1375</v>
      </c>
      <c r="O4587">
        <v>31624</v>
      </c>
    </row>
    <row r="4588" spans="1:15" x14ac:dyDescent="0.35">
      <c r="A4588">
        <v>4587</v>
      </c>
      <c r="B4588" s="2" t="s">
        <v>31</v>
      </c>
      <c r="C4588" s="2" t="s">
        <v>15</v>
      </c>
      <c r="D4588">
        <v>26</v>
      </c>
      <c r="E4588" s="2" t="s">
        <v>12</v>
      </c>
      <c r="F4588" s="2" t="s">
        <v>19</v>
      </c>
      <c r="G4588">
        <v>43078</v>
      </c>
      <c r="H4588" s="1">
        <v>44933</v>
      </c>
      <c r="I4588">
        <v>14</v>
      </c>
      <c r="J4588">
        <v>5</v>
      </c>
      <c r="K4588">
        <v>4308</v>
      </c>
      <c r="L4588">
        <v>2154</v>
      </c>
      <c r="M4588">
        <v>45232</v>
      </c>
      <c r="N4588">
        <v>2154</v>
      </c>
      <c r="O4588">
        <v>49540</v>
      </c>
    </row>
    <row r="4589" spans="1:15" x14ac:dyDescent="0.35">
      <c r="A4589">
        <v>4588</v>
      </c>
      <c r="B4589" s="2" t="s">
        <v>22</v>
      </c>
      <c r="C4589" s="2" t="s">
        <v>15</v>
      </c>
      <c r="D4589">
        <v>38</v>
      </c>
      <c r="E4589" s="2" t="s">
        <v>28</v>
      </c>
      <c r="F4589" s="2" t="s">
        <v>17</v>
      </c>
      <c r="G4589">
        <v>44528</v>
      </c>
      <c r="H4589" s="1">
        <v>44751</v>
      </c>
      <c r="I4589">
        <v>19</v>
      </c>
      <c r="J4589">
        <v>4</v>
      </c>
      <c r="K4589">
        <v>4453</v>
      </c>
      <c r="L4589">
        <v>2226</v>
      </c>
      <c r="M4589">
        <v>46755</v>
      </c>
      <c r="N4589">
        <v>2226</v>
      </c>
      <c r="O4589">
        <v>51207</v>
      </c>
    </row>
    <row r="4590" spans="1:15" x14ac:dyDescent="0.35">
      <c r="A4590">
        <v>4589</v>
      </c>
      <c r="B4590" s="2" t="s">
        <v>10</v>
      </c>
      <c r="C4590" s="2" t="s">
        <v>15</v>
      </c>
      <c r="D4590">
        <v>44</v>
      </c>
      <c r="E4590" s="2" t="s">
        <v>16</v>
      </c>
      <c r="F4590" s="2" t="s">
        <v>19</v>
      </c>
      <c r="G4590">
        <v>61925</v>
      </c>
      <c r="H4590" s="1">
        <v>44627</v>
      </c>
      <c r="I4590">
        <v>12</v>
      </c>
      <c r="J4590">
        <v>5</v>
      </c>
      <c r="K4590">
        <v>6192</v>
      </c>
      <c r="L4590">
        <v>3096</v>
      </c>
      <c r="M4590">
        <v>65021</v>
      </c>
      <c r="N4590">
        <v>3096</v>
      </c>
      <c r="O4590">
        <v>71213</v>
      </c>
    </row>
    <row r="4591" spans="1:15" x14ac:dyDescent="0.35">
      <c r="A4591">
        <v>4590</v>
      </c>
      <c r="B4591" s="2" t="s">
        <v>20</v>
      </c>
      <c r="C4591" s="2" t="s">
        <v>11</v>
      </c>
      <c r="D4591">
        <v>28</v>
      </c>
      <c r="E4591" s="2" t="s">
        <v>24</v>
      </c>
      <c r="F4591" s="2" t="s">
        <v>13</v>
      </c>
      <c r="G4591">
        <v>21602</v>
      </c>
      <c r="H4591" s="1">
        <v>44906</v>
      </c>
      <c r="I4591">
        <v>15</v>
      </c>
      <c r="J4591">
        <v>1</v>
      </c>
      <c r="K4591">
        <v>2160</v>
      </c>
      <c r="L4591">
        <v>1080</v>
      </c>
      <c r="M4591">
        <v>22682</v>
      </c>
      <c r="N4591">
        <v>1080</v>
      </c>
      <c r="O4591">
        <v>24842</v>
      </c>
    </row>
    <row r="4592" spans="1:15" x14ac:dyDescent="0.35">
      <c r="A4592">
        <v>4591</v>
      </c>
      <c r="B4592" s="2" t="s">
        <v>22</v>
      </c>
      <c r="C4592" s="2" t="s">
        <v>11</v>
      </c>
      <c r="D4592">
        <v>50</v>
      </c>
      <c r="E4592" s="2" t="s">
        <v>28</v>
      </c>
      <c r="F4592" s="2" t="s">
        <v>13</v>
      </c>
      <c r="G4592">
        <v>97302</v>
      </c>
      <c r="H4592" s="1">
        <v>45072</v>
      </c>
      <c r="I4592">
        <v>8</v>
      </c>
      <c r="J4592">
        <v>3</v>
      </c>
      <c r="K4592">
        <v>9730</v>
      </c>
      <c r="L4592">
        <v>4865</v>
      </c>
      <c r="M4592">
        <v>102167</v>
      </c>
      <c r="N4592">
        <v>4865</v>
      </c>
      <c r="O4592">
        <v>111897</v>
      </c>
    </row>
    <row r="4593" spans="1:15" x14ac:dyDescent="0.35">
      <c r="A4593">
        <v>4592</v>
      </c>
      <c r="B4593" s="2" t="s">
        <v>18</v>
      </c>
      <c r="C4593" s="2" t="s">
        <v>11</v>
      </c>
      <c r="D4593">
        <v>36</v>
      </c>
      <c r="E4593" s="2" t="s">
        <v>29</v>
      </c>
      <c r="F4593" s="2" t="s">
        <v>13</v>
      </c>
      <c r="G4593">
        <v>68978</v>
      </c>
      <c r="H4593" s="1">
        <v>45314</v>
      </c>
      <c r="I4593">
        <v>15</v>
      </c>
      <c r="J4593">
        <v>3</v>
      </c>
      <c r="K4593">
        <v>6898</v>
      </c>
      <c r="L4593">
        <v>3449</v>
      </c>
      <c r="M4593">
        <v>72427</v>
      </c>
      <c r="N4593">
        <v>3449</v>
      </c>
      <c r="O4593">
        <v>79325</v>
      </c>
    </row>
    <row r="4594" spans="1:15" x14ac:dyDescent="0.35">
      <c r="A4594">
        <v>4593</v>
      </c>
      <c r="B4594" s="2" t="s">
        <v>10</v>
      </c>
      <c r="C4594" s="2" t="s">
        <v>11</v>
      </c>
      <c r="D4594">
        <v>22</v>
      </c>
      <c r="E4594" s="2" t="s">
        <v>28</v>
      </c>
      <c r="F4594" s="2" t="s">
        <v>13</v>
      </c>
      <c r="G4594">
        <v>79408</v>
      </c>
      <c r="H4594" s="1">
        <v>45255</v>
      </c>
      <c r="I4594">
        <v>1</v>
      </c>
      <c r="J4594">
        <v>1</v>
      </c>
      <c r="K4594">
        <v>7941</v>
      </c>
      <c r="L4594">
        <v>3970</v>
      </c>
      <c r="M4594">
        <v>83379</v>
      </c>
      <c r="N4594">
        <v>0</v>
      </c>
      <c r="O4594">
        <v>87349</v>
      </c>
    </row>
    <row r="4595" spans="1:15" x14ac:dyDescent="0.35">
      <c r="A4595">
        <v>4594</v>
      </c>
      <c r="B4595" s="2" t="s">
        <v>14</v>
      </c>
      <c r="C4595" s="2" t="s">
        <v>11</v>
      </c>
      <c r="D4595">
        <v>49</v>
      </c>
      <c r="E4595" s="2" t="s">
        <v>28</v>
      </c>
      <c r="F4595" s="2" t="s">
        <v>25</v>
      </c>
      <c r="G4595">
        <v>25785</v>
      </c>
      <c r="H4595" s="1">
        <v>45083</v>
      </c>
      <c r="I4595">
        <v>6</v>
      </c>
      <c r="J4595">
        <v>5</v>
      </c>
      <c r="K4595">
        <v>2578</v>
      </c>
      <c r="L4595">
        <v>1289</v>
      </c>
      <c r="M4595">
        <v>27074</v>
      </c>
      <c r="N4595">
        <v>1289</v>
      </c>
      <c r="O4595">
        <v>29652</v>
      </c>
    </row>
    <row r="4596" spans="1:15" x14ac:dyDescent="0.35">
      <c r="A4596">
        <v>4595</v>
      </c>
      <c r="B4596" s="2" t="s">
        <v>22</v>
      </c>
      <c r="C4596" s="2" t="s">
        <v>11</v>
      </c>
      <c r="D4596">
        <v>53</v>
      </c>
      <c r="E4596" s="2" t="s">
        <v>24</v>
      </c>
      <c r="F4596" s="2" t="s">
        <v>21</v>
      </c>
      <c r="G4596">
        <v>76477</v>
      </c>
      <c r="H4596" s="1">
        <v>45415</v>
      </c>
      <c r="I4596">
        <v>3</v>
      </c>
      <c r="J4596">
        <v>5</v>
      </c>
      <c r="K4596">
        <v>7648</v>
      </c>
      <c r="L4596">
        <v>3824</v>
      </c>
      <c r="M4596">
        <v>80301</v>
      </c>
      <c r="N4596">
        <v>0</v>
      </c>
      <c r="O4596">
        <v>84125</v>
      </c>
    </row>
    <row r="4597" spans="1:15" x14ac:dyDescent="0.35">
      <c r="A4597">
        <v>4596</v>
      </c>
      <c r="B4597" s="2" t="s">
        <v>14</v>
      </c>
      <c r="C4597" s="2" t="s">
        <v>11</v>
      </c>
      <c r="D4597">
        <v>23</v>
      </c>
      <c r="E4597" s="2" t="s">
        <v>16</v>
      </c>
      <c r="F4597" s="2" t="s">
        <v>21</v>
      </c>
      <c r="G4597">
        <v>54423</v>
      </c>
      <c r="H4597" s="1">
        <v>45076</v>
      </c>
      <c r="I4597">
        <v>16</v>
      </c>
      <c r="J4597">
        <v>1</v>
      </c>
      <c r="K4597">
        <v>5442</v>
      </c>
      <c r="L4597">
        <v>2721</v>
      </c>
      <c r="M4597">
        <v>57144</v>
      </c>
      <c r="N4597">
        <v>2721</v>
      </c>
      <c r="O4597">
        <v>62586</v>
      </c>
    </row>
    <row r="4598" spans="1:15" x14ac:dyDescent="0.35">
      <c r="A4598">
        <v>4597</v>
      </c>
      <c r="B4598" s="2" t="s">
        <v>20</v>
      </c>
      <c r="C4598" s="2" t="s">
        <v>11</v>
      </c>
      <c r="D4598">
        <v>22</v>
      </c>
      <c r="E4598" s="2" t="s">
        <v>29</v>
      </c>
      <c r="F4598" s="2" t="s">
        <v>19</v>
      </c>
      <c r="G4598">
        <v>56930</v>
      </c>
      <c r="H4598" s="1">
        <v>44907</v>
      </c>
      <c r="I4598">
        <v>7</v>
      </c>
      <c r="J4598">
        <v>3</v>
      </c>
      <c r="K4598">
        <v>5693</v>
      </c>
      <c r="L4598">
        <v>2846</v>
      </c>
      <c r="M4598">
        <v>59777</v>
      </c>
      <c r="N4598">
        <v>2846</v>
      </c>
      <c r="O4598">
        <v>65469</v>
      </c>
    </row>
    <row r="4599" spans="1:15" x14ac:dyDescent="0.35">
      <c r="A4599">
        <v>4598</v>
      </c>
      <c r="B4599" s="2" t="s">
        <v>31</v>
      </c>
      <c r="C4599" s="2" t="s">
        <v>15</v>
      </c>
      <c r="D4599">
        <v>37</v>
      </c>
      <c r="E4599" s="2" t="s">
        <v>28</v>
      </c>
      <c r="F4599" s="2" t="s">
        <v>13</v>
      </c>
      <c r="G4599">
        <v>92323</v>
      </c>
      <c r="H4599" s="1">
        <v>45503</v>
      </c>
      <c r="I4599">
        <v>18</v>
      </c>
      <c r="J4599">
        <v>3</v>
      </c>
      <c r="K4599">
        <v>9232</v>
      </c>
      <c r="L4599">
        <v>4616</v>
      </c>
      <c r="M4599">
        <v>96939</v>
      </c>
      <c r="N4599">
        <v>4616</v>
      </c>
      <c r="O4599">
        <v>106171</v>
      </c>
    </row>
    <row r="4600" spans="1:15" x14ac:dyDescent="0.35">
      <c r="A4600">
        <v>4599</v>
      </c>
      <c r="B4600" s="2" t="s">
        <v>31</v>
      </c>
      <c r="C4600" s="2" t="s">
        <v>11</v>
      </c>
      <c r="D4600">
        <v>50</v>
      </c>
      <c r="E4600" s="2" t="s">
        <v>12</v>
      </c>
      <c r="F4600" s="2" t="s">
        <v>21</v>
      </c>
      <c r="G4600">
        <v>49795</v>
      </c>
      <c r="H4600" s="1">
        <v>44622</v>
      </c>
      <c r="I4600">
        <v>3</v>
      </c>
      <c r="J4600">
        <v>1</v>
      </c>
      <c r="K4600">
        <v>4980</v>
      </c>
      <c r="L4600">
        <v>2490</v>
      </c>
      <c r="M4600">
        <v>52285</v>
      </c>
      <c r="N4600">
        <v>0</v>
      </c>
      <c r="O4600">
        <v>54775</v>
      </c>
    </row>
    <row r="4601" spans="1:15" x14ac:dyDescent="0.35">
      <c r="A4601">
        <v>4600</v>
      </c>
      <c r="B4601" s="2" t="s">
        <v>31</v>
      </c>
      <c r="C4601" s="2" t="s">
        <v>11</v>
      </c>
      <c r="D4601">
        <v>58</v>
      </c>
      <c r="E4601" s="2" t="s">
        <v>24</v>
      </c>
      <c r="F4601" s="2" t="s">
        <v>17</v>
      </c>
      <c r="G4601">
        <v>24349</v>
      </c>
      <c r="H4601" s="1">
        <v>45551</v>
      </c>
      <c r="I4601">
        <v>2</v>
      </c>
      <c r="J4601">
        <v>4</v>
      </c>
      <c r="K4601">
        <v>2435</v>
      </c>
      <c r="L4601">
        <v>1217</v>
      </c>
      <c r="M4601">
        <v>25567</v>
      </c>
      <c r="N4601">
        <v>0</v>
      </c>
      <c r="O4601">
        <v>26784</v>
      </c>
    </row>
    <row r="4602" spans="1:15" x14ac:dyDescent="0.35">
      <c r="A4602">
        <v>4601</v>
      </c>
      <c r="B4602" s="2" t="s">
        <v>30</v>
      </c>
      <c r="C4602" s="2" t="s">
        <v>15</v>
      </c>
      <c r="D4602">
        <v>27</v>
      </c>
      <c r="E4602" s="2" t="s">
        <v>24</v>
      </c>
      <c r="F4602" s="2" t="s">
        <v>25</v>
      </c>
      <c r="G4602">
        <v>92786</v>
      </c>
      <c r="H4602" s="1">
        <v>45403</v>
      </c>
      <c r="I4602">
        <v>11</v>
      </c>
      <c r="J4602">
        <v>4</v>
      </c>
      <c r="K4602">
        <v>9279</v>
      </c>
      <c r="L4602">
        <v>4639</v>
      </c>
      <c r="M4602">
        <v>97426</v>
      </c>
      <c r="N4602">
        <v>4639</v>
      </c>
      <c r="O4602">
        <v>106704</v>
      </c>
    </row>
    <row r="4603" spans="1:15" x14ac:dyDescent="0.35">
      <c r="A4603">
        <v>4602</v>
      </c>
      <c r="B4603" s="2" t="s">
        <v>26</v>
      </c>
      <c r="C4603" s="2" t="s">
        <v>11</v>
      </c>
      <c r="D4603">
        <v>57</v>
      </c>
      <c r="E4603" s="2" t="s">
        <v>16</v>
      </c>
      <c r="F4603" s="2" t="s">
        <v>25</v>
      </c>
      <c r="G4603">
        <v>74808</v>
      </c>
      <c r="H4603" s="1">
        <v>44850</v>
      </c>
      <c r="I4603">
        <v>10</v>
      </c>
      <c r="J4603">
        <v>2</v>
      </c>
      <c r="K4603">
        <v>7481</v>
      </c>
      <c r="L4603">
        <v>3740</v>
      </c>
      <c r="M4603">
        <v>78549</v>
      </c>
      <c r="N4603">
        <v>3740</v>
      </c>
      <c r="O4603">
        <v>86029</v>
      </c>
    </row>
    <row r="4604" spans="1:15" x14ac:dyDescent="0.35">
      <c r="A4604">
        <v>4603</v>
      </c>
      <c r="B4604" s="2" t="s">
        <v>10</v>
      </c>
      <c r="C4604" s="2" t="s">
        <v>15</v>
      </c>
      <c r="D4604">
        <v>47</v>
      </c>
      <c r="E4604" s="2" t="s">
        <v>12</v>
      </c>
      <c r="F4604" s="2" t="s">
        <v>17</v>
      </c>
      <c r="G4604">
        <v>96101</v>
      </c>
      <c r="H4604" s="1">
        <v>45177</v>
      </c>
      <c r="I4604">
        <v>12</v>
      </c>
      <c r="J4604">
        <v>2</v>
      </c>
      <c r="K4604">
        <v>9610</v>
      </c>
      <c r="L4604">
        <v>4805</v>
      </c>
      <c r="M4604">
        <v>100906</v>
      </c>
      <c r="N4604">
        <v>4805</v>
      </c>
      <c r="O4604">
        <v>110516</v>
      </c>
    </row>
    <row r="4605" spans="1:15" x14ac:dyDescent="0.35">
      <c r="A4605">
        <v>4604</v>
      </c>
      <c r="B4605" s="2" t="s">
        <v>20</v>
      </c>
      <c r="C4605" s="2" t="s">
        <v>11</v>
      </c>
      <c r="D4605">
        <v>38</v>
      </c>
      <c r="E4605" s="2" t="s">
        <v>28</v>
      </c>
      <c r="F4605" s="2" t="s">
        <v>19</v>
      </c>
      <c r="G4605">
        <v>78948</v>
      </c>
      <c r="H4605" s="1">
        <v>44734</v>
      </c>
      <c r="I4605">
        <v>3</v>
      </c>
      <c r="J4605">
        <v>1</v>
      </c>
      <c r="K4605">
        <v>7895</v>
      </c>
      <c r="L4605">
        <v>3947</v>
      </c>
      <c r="M4605">
        <v>82896</v>
      </c>
      <c r="N4605">
        <v>0</v>
      </c>
      <c r="O4605">
        <v>86843</v>
      </c>
    </row>
    <row r="4606" spans="1:15" x14ac:dyDescent="0.35">
      <c r="A4606">
        <v>4605</v>
      </c>
      <c r="B4606" s="2" t="s">
        <v>26</v>
      </c>
      <c r="C4606" s="2" t="s">
        <v>11</v>
      </c>
      <c r="D4606">
        <v>57</v>
      </c>
      <c r="E4606" s="2" t="s">
        <v>12</v>
      </c>
      <c r="F4606" s="2" t="s">
        <v>17</v>
      </c>
      <c r="G4606">
        <v>42929</v>
      </c>
      <c r="H4606" s="1">
        <v>45158</v>
      </c>
      <c r="I4606">
        <v>7</v>
      </c>
      <c r="J4606">
        <v>1</v>
      </c>
      <c r="K4606">
        <v>4293</v>
      </c>
      <c r="L4606">
        <v>2146</v>
      </c>
      <c r="M4606">
        <v>45076</v>
      </c>
      <c r="N4606">
        <v>2146</v>
      </c>
      <c r="O4606">
        <v>49368</v>
      </c>
    </row>
    <row r="4607" spans="1:15" x14ac:dyDescent="0.35">
      <c r="A4607">
        <v>4606</v>
      </c>
      <c r="B4607" s="2" t="s">
        <v>30</v>
      </c>
      <c r="C4607" s="2" t="s">
        <v>11</v>
      </c>
      <c r="D4607">
        <v>40</v>
      </c>
      <c r="E4607" s="2" t="s">
        <v>28</v>
      </c>
      <c r="F4607" s="2" t="s">
        <v>19</v>
      </c>
      <c r="G4607">
        <v>27564</v>
      </c>
      <c r="H4607" s="1">
        <v>45210</v>
      </c>
      <c r="I4607">
        <v>9</v>
      </c>
      <c r="J4607">
        <v>3</v>
      </c>
      <c r="K4607">
        <v>2756</v>
      </c>
      <c r="L4607">
        <v>1378</v>
      </c>
      <c r="M4607">
        <v>28942</v>
      </c>
      <c r="N4607">
        <v>1378</v>
      </c>
      <c r="O4607">
        <v>31698</v>
      </c>
    </row>
    <row r="4608" spans="1:15" x14ac:dyDescent="0.35">
      <c r="A4608">
        <v>4607</v>
      </c>
      <c r="B4608" s="2" t="s">
        <v>20</v>
      </c>
      <c r="C4608" s="2" t="s">
        <v>11</v>
      </c>
      <c r="D4608">
        <v>36</v>
      </c>
      <c r="E4608" s="2" t="s">
        <v>29</v>
      </c>
      <c r="F4608" s="2" t="s">
        <v>25</v>
      </c>
      <c r="G4608">
        <v>56475</v>
      </c>
      <c r="H4608" s="1">
        <v>45421</v>
      </c>
      <c r="I4608">
        <v>11</v>
      </c>
      <c r="J4608">
        <v>2</v>
      </c>
      <c r="K4608">
        <v>5648</v>
      </c>
      <c r="L4608">
        <v>2824</v>
      </c>
      <c r="M4608">
        <v>59299</v>
      </c>
      <c r="N4608">
        <v>2824</v>
      </c>
      <c r="O4608">
        <v>64947</v>
      </c>
    </row>
    <row r="4609" spans="1:15" x14ac:dyDescent="0.35">
      <c r="A4609">
        <v>4608</v>
      </c>
      <c r="B4609" s="2" t="s">
        <v>23</v>
      </c>
      <c r="C4609" s="2" t="s">
        <v>15</v>
      </c>
      <c r="D4609">
        <v>40</v>
      </c>
      <c r="E4609" s="2" t="s">
        <v>29</v>
      </c>
      <c r="F4609" s="2" t="s">
        <v>13</v>
      </c>
      <c r="G4609">
        <v>86365</v>
      </c>
      <c r="H4609" s="1">
        <v>45508</v>
      </c>
      <c r="I4609">
        <v>10</v>
      </c>
      <c r="J4609">
        <v>2</v>
      </c>
      <c r="K4609">
        <v>8636</v>
      </c>
      <c r="L4609">
        <v>4318</v>
      </c>
      <c r="M4609">
        <v>90683</v>
      </c>
      <c r="N4609">
        <v>4318</v>
      </c>
      <c r="O4609">
        <v>99319</v>
      </c>
    </row>
    <row r="4610" spans="1:15" x14ac:dyDescent="0.35">
      <c r="A4610">
        <v>4609</v>
      </c>
      <c r="B4610" s="2" t="s">
        <v>14</v>
      </c>
      <c r="C4610" s="2" t="s">
        <v>11</v>
      </c>
      <c r="D4610">
        <v>41</v>
      </c>
      <c r="E4610" s="2" t="s">
        <v>12</v>
      </c>
      <c r="F4610" s="2" t="s">
        <v>17</v>
      </c>
      <c r="G4610">
        <v>20236</v>
      </c>
      <c r="H4610" s="1">
        <v>44761</v>
      </c>
      <c r="I4610">
        <v>20</v>
      </c>
      <c r="J4610">
        <v>4</v>
      </c>
      <c r="K4610">
        <v>2024</v>
      </c>
      <c r="L4610">
        <v>1012</v>
      </c>
      <c r="M4610">
        <v>21248</v>
      </c>
      <c r="N4610">
        <v>1012</v>
      </c>
      <c r="O4610">
        <v>23272</v>
      </c>
    </row>
    <row r="4611" spans="1:15" x14ac:dyDescent="0.35">
      <c r="A4611">
        <v>4610</v>
      </c>
      <c r="B4611" s="2" t="s">
        <v>31</v>
      </c>
      <c r="C4611" s="2" t="s">
        <v>15</v>
      </c>
      <c r="D4611">
        <v>54</v>
      </c>
      <c r="E4611" s="2" t="s">
        <v>16</v>
      </c>
      <c r="F4611" s="2" t="s">
        <v>21</v>
      </c>
      <c r="G4611">
        <v>35358</v>
      </c>
      <c r="H4611" s="1">
        <v>44681</v>
      </c>
      <c r="I4611">
        <v>18</v>
      </c>
      <c r="J4611">
        <v>1</v>
      </c>
      <c r="K4611">
        <v>3536</v>
      </c>
      <c r="L4611">
        <v>1768</v>
      </c>
      <c r="M4611">
        <v>37126</v>
      </c>
      <c r="N4611">
        <v>1768</v>
      </c>
      <c r="O4611">
        <v>40662</v>
      </c>
    </row>
    <row r="4612" spans="1:15" x14ac:dyDescent="0.35">
      <c r="A4612">
        <v>4611</v>
      </c>
      <c r="B4612" s="2" t="s">
        <v>27</v>
      </c>
      <c r="C4612" s="2" t="s">
        <v>15</v>
      </c>
      <c r="D4612">
        <v>57</v>
      </c>
      <c r="E4612" s="2" t="s">
        <v>29</v>
      </c>
      <c r="F4612" s="2" t="s">
        <v>25</v>
      </c>
      <c r="G4612">
        <v>82655</v>
      </c>
      <c r="H4612" s="1">
        <v>44973</v>
      </c>
      <c r="I4612">
        <v>12</v>
      </c>
      <c r="J4612">
        <v>1</v>
      </c>
      <c r="K4612">
        <v>8266</v>
      </c>
      <c r="L4612">
        <v>4133</v>
      </c>
      <c r="M4612">
        <v>86788</v>
      </c>
      <c r="N4612">
        <v>4133</v>
      </c>
      <c r="O4612">
        <v>95054</v>
      </c>
    </row>
    <row r="4613" spans="1:15" x14ac:dyDescent="0.35">
      <c r="A4613">
        <v>4612</v>
      </c>
      <c r="B4613" s="2" t="s">
        <v>10</v>
      </c>
      <c r="C4613" s="2" t="s">
        <v>15</v>
      </c>
      <c r="D4613">
        <v>28</v>
      </c>
      <c r="E4613" s="2" t="s">
        <v>16</v>
      </c>
      <c r="F4613" s="2" t="s">
        <v>25</v>
      </c>
      <c r="G4613">
        <v>71818</v>
      </c>
      <c r="H4613" s="1">
        <v>44930</v>
      </c>
      <c r="I4613">
        <v>8</v>
      </c>
      <c r="J4613">
        <v>5</v>
      </c>
      <c r="K4613">
        <v>7182</v>
      </c>
      <c r="L4613">
        <v>3591</v>
      </c>
      <c r="M4613">
        <v>75409</v>
      </c>
      <c r="N4613">
        <v>3591</v>
      </c>
      <c r="O4613">
        <v>82591</v>
      </c>
    </row>
    <row r="4614" spans="1:15" x14ac:dyDescent="0.35">
      <c r="A4614">
        <v>4613</v>
      </c>
      <c r="B4614" s="2" t="s">
        <v>18</v>
      </c>
      <c r="C4614" s="2" t="s">
        <v>15</v>
      </c>
      <c r="D4614">
        <v>39</v>
      </c>
      <c r="E4614" s="2" t="s">
        <v>24</v>
      </c>
      <c r="F4614" s="2" t="s">
        <v>13</v>
      </c>
      <c r="G4614">
        <v>73129</v>
      </c>
      <c r="H4614" s="1">
        <v>44870</v>
      </c>
      <c r="I4614">
        <v>15</v>
      </c>
      <c r="J4614">
        <v>3</v>
      </c>
      <c r="K4614">
        <v>7313</v>
      </c>
      <c r="L4614">
        <v>3656</v>
      </c>
      <c r="M4614">
        <v>76786</v>
      </c>
      <c r="N4614">
        <v>3656</v>
      </c>
      <c r="O4614">
        <v>84098</v>
      </c>
    </row>
    <row r="4615" spans="1:15" x14ac:dyDescent="0.35">
      <c r="A4615">
        <v>4614</v>
      </c>
      <c r="B4615" s="2" t="s">
        <v>23</v>
      </c>
      <c r="C4615" s="2" t="s">
        <v>15</v>
      </c>
      <c r="D4615">
        <v>59</v>
      </c>
      <c r="E4615" s="2" t="s">
        <v>29</v>
      </c>
      <c r="F4615" s="2" t="s">
        <v>21</v>
      </c>
      <c r="G4615">
        <v>84827</v>
      </c>
      <c r="H4615" s="1">
        <v>45431</v>
      </c>
      <c r="I4615">
        <v>20</v>
      </c>
      <c r="J4615">
        <v>4</v>
      </c>
      <c r="K4615">
        <v>8483</v>
      </c>
      <c r="L4615">
        <v>4241</v>
      </c>
      <c r="M4615">
        <v>89069</v>
      </c>
      <c r="N4615">
        <v>4241</v>
      </c>
      <c r="O4615">
        <v>97551</v>
      </c>
    </row>
    <row r="4616" spans="1:15" x14ac:dyDescent="0.35">
      <c r="A4616">
        <v>4615</v>
      </c>
      <c r="B4616" s="2" t="s">
        <v>23</v>
      </c>
      <c r="C4616" s="2" t="s">
        <v>15</v>
      </c>
      <c r="D4616">
        <v>26</v>
      </c>
      <c r="E4616" s="2" t="s">
        <v>12</v>
      </c>
      <c r="F4616" s="2" t="s">
        <v>17</v>
      </c>
      <c r="G4616">
        <v>24810</v>
      </c>
      <c r="H4616" s="1">
        <v>45180</v>
      </c>
      <c r="I4616">
        <v>18</v>
      </c>
      <c r="J4616">
        <v>3</v>
      </c>
      <c r="K4616">
        <v>2481</v>
      </c>
      <c r="L4616">
        <v>1240</v>
      </c>
      <c r="M4616">
        <v>26051</v>
      </c>
      <c r="N4616">
        <v>1240</v>
      </c>
      <c r="O4616">
        <v>28531</v>
      </c>
    </row>
    <row r="4617" spans="1:15" x14ac:dyDescent="0.35">
      <c r="A4617">
        <v>4616</v>
      </c>
      <c r="B4617" s="2" t="s">
        <v>18</v>
      </c>
      <c r="C4617" s="2" t="s">
        <v>11</v>
      </c>
      <c r="D4617">
        <v>55</v>
      </c>
      <c r="E4617" s="2" t="s">
        <v>29</v>
      </c>
      <c r="F4617" s="2" t="s">
        <v>19</v>
      </c>
      <c r="G4617">
        <v>70752</v>
      </c>
      <c r="H4617" s="1">
        <v>45468</v>
      </c>
      <c r="I4617">
        <v>3</v>
      </c>
      <c r="J4617">
        <v>1</v>
      </c>
      <c r="K4617">
        <v>7075</v>
      </c>
      <c r="L4617">
        <v>3538</v>
      </c>
      <c r="M4617">
        <v>74289</v>
      </c>
      <c r="N4617">
        <v>0</v>
      </c>
      <c r="O4617">
        <v>77827</v>
      </c>
    </row>
    <row r="4618" spans="1:15" x14ac:dyDescent="0.35">
      <c r="A4618">
        <v>4617</v>
      </c>
      <c r="B4618" s="2" t="s">
        <v>22</v>
      </c>
      <c r="C4618" s="2" t="s">
        <v>11</v>
      </c>
      <c r="D4618">
        <v>31</v>
      </c>
      <c r="E4618" s="2" t="s">
        <v>24</v>
      </c>
      <c r="F4618" s="2" t="s">
        <v>17</v>
      </c>
      <c r="G4618">
        <v>32307</v>
      </c>
      <c r="H4618" s="1">
        <v>44855</v>
      </c>
      <c r="I4618">
        <v>12</v>
      </c>
      <c r="J4618">
        <v>2</v>
      </c>
      <c r="K4618">
        <v>3231</v>
      </c>
      <c r="L4618">
        <v>1615</v>
      </c>
      <c r="M4618">
        <v>33923</v>
      </c>
      <c r="N4618">
        <v>1615</v>
      </c>
      <c r="O4618">
        <v>37153</v>
      </c>
    </row>
    <row r="4619" spans="1:15" x14ac:dyDescent="0.35">
      <c r="A4619">
        <v>4618</v>
      </c>
      <c r="B4619" s="2" t="s">
        <v>14</v>
      </c>
      <c r="C4619" s="2" t="s">
        <v>11</v>
      </c>
      <c r="D4619">
        <v>55</v>
      </c>
      <c r="E4619" s="2" t="s">
        <v>28</v>
      </c>
      <c r="F4619" s="2" t="s">
        <v>19</v>
      </c>
      <c r="G4619">
        <v>49356</v>
      </c>
      <c r="H4619" s="1">
        <v>44704</v>
      </c>
      <c r="I4619">
        <v>4</v>
      </c>
      <c r="J4619">
        <v>4</v>
      </c>
      <c r="K4619">
        <v>4936</v>
      </c>
      <c r="L4619">
        <v>2468</v>
      </c>
      <c r="M4619">
        <v>51824</v>
      </c>
      <c r="N4619">
        <v>0</v>
      </c>
      <c r="O4619">
        <v>54292</v>
      </c>
    </row>
    <row r="4620" spans="1:15" x14ac:dyDescent="0.35">
      <c r="A4620">
        <v>4619</v>
      </c>
      <c r="B4620" s="2" t="s">
        <v>31</v>
      </c>
      <c r="C4620" s="2" t="s">
        <v>15</v>
      </c>
      <c r="D4620">
        <v>54</v>
      </c>
      <c r="E4620" s="2" t="s">
        <v>28</v>
      </c>
      <c r="F4620" s="2" t="s">
        <v>21</v>
      </c>
      <c r="G4620">
        <v>69013</v>
      </c>
      <c r="H4620" s="1">
        <v>45331</v>
      </c>
      <c r="I4620">
        <v>14</v>
      </c>
      <c r="J4620">
        <v>4</v>
      </c>
      <c r="K4620">
        <v>6901</v>
      </c>
      <c r="L4620">
        <v>3451</v>
      </c>
      <c r="M4620">
        <v>72463</v>
      </c>
      <c r="N4620">
        <v>3451</v>
      </c>
      <c r="O4620">
        <v>79365</v>
      </c>
    </row>
    <row r="4621" spans="1:15" x14ac:dyDescent="0.35">
      <c r="A4621">
        <v>4620</v>
      </c>
      <c r="B4621" s="2" t="s">
        <v>30</v>
      </c>
      <c r="C4621" s="2" t="s">
        <v>15</v>
      </c>
      <c r="D4621">
        <v>47</v>
      </c>
      <c r="E4621" s="2" t="s">
        <v>16</v>
      </c>
      <c r="F4621" s="2" t="s">
        <v>13</v>
      </c>
      <c r="G4621">
        <v>64028</v>
      </c>
      <c r="H4621" s="1">
        <v>45175</v>
      </c>
      <c r="I4621">
        <v>13</v>
      </c>
      <c r="J4621">
        <v>1</v>
      </c>
      <c r="K4621">
        <v>6403</v>
      </c>
      <c r="L4621">
        <v>3201</v>
      </c>
      <c r="M4621">
        <v>67230</v>
      </c>
      <c r="N4621">
        <v>3201</v>
      </c>
      <c r="O4621">
        <v>73632</v>
      </c>
    </row>
    <row r="4622" spans="1:15" x14ac:dyDescent="0.35">
      <c r="A4622">
        <v>4621</v>
      </c>
      <c r="B4622" s="2" t="s">
        <v>10</v>
      </c>
      <c r="C4622" s="2" t="s">
        <v>11</v>
      </c>
      <c r="D4622">
        <v>33</v>
      </c>
      <c r="E4622" s="2" t="s">
        <v>16</v>
      </c>
      <c r="F4622" s="2" t="s">
        <v>19</v>
      </c>
      <c r="G4622">
        <v>30660</v>
      </c>
      <c r="H4622" s="1">
        <v>44942</v>
      </c>
      <c r="I4622">
        <v>19</v>
      </c>
      <c r="J4622">
        <v>5</v>
      </c>
      <c r="K4622">
        <v>3066</v>
      </c>
      <c r="L4622">
        <v>1533</v>
      </c>
      <c r="M4622">
        <v>32193</v>
      </c>
      <c r="N4622">
        <v>1533</v>
      </c>
      <c r="O4622">
        <v>35259</v>
      </c>
    </row>
    <row r="4623" spans="1:15" x14ac:dyDescent="0.35">
      <c r="A4623">
        <v>4622</v>
      </c>
      <c r="B4623" s="2" t="s">
        <v>14</v>
      </c>
      <c r="C4623" s="2" t="s">
        <v>15</v>
      </c>
      <c r="D4623">
        <v>52</v>
      </c>
      <c r="E4623" s="2" t="s">
        <v>12</v>
      </c>
      <c r="F4623" s="2" t="s">
        <v>17</v>
      </c>
      <c r="G4623">
        <v>49748</v>
      </c>
      <c r="H4623" s="1">
        <v>45150</v>
      </c>
      <c r="I4623">
        <v>1</v>
      </c>
      <c r="J4623">
        <v>1</v>
      </c>
      <c r="K4623">
        <v>4975</v>
      </c>
      <c r="L4623">
        <v>2487</v>
      </c>
      <c r="M4623">
        <v>52236</v>
      </c>
      <c r="N4623">
        <v>0</v>
      </c>
      <c r="O4623">
        <v>54723</v>
      </c>
    </row>
    <row r="4624" spans="1:15" x14ac:dyDescent="0.35">
      <c r="A4624">
        <v>4623</v>
      </c>
      <c r="B4624" s="2" t="s">
        <v>22</v>
      </c>
      <c r="C4624" s="2" t="s">
        <v>15</v>
      </c>
      <c r="D4624">
        <v>22</v>
      </c>
      <c r="E4624" s="2" t="s">
        <v>28</v>
      </c>
      <c r="F4624" s="2" t="s">
        <v>19</v>
      </c>
      <c r="G4624">
        <v>88577</v>
      </c>
      <c r="H4624" s="1">
        <v>44644</v>
      </c>
      <c r="I4624">
        <v>11</v>
      </c>
      <c r="J4624">
        <v>5</v>
      </c>
      <c r="K4624">
        <v>8858</v>
      </c>
      <c r="L4624">
        <v>4429</v>
      </c>
      <c r="M4624">
        <v>93006</v>
      </c>
      <c r="N4624">
        <v>4429</v>
      </c>
      <c r="O4624">
        <v>101864</v>
      </c>
    </row>
    <row r="4625" spans="1:15" x14ac:dyDescent="0.35">
      <c r="A4625">
        <v>4624</v>
      </c>
      <c r="B4625" s="2" t="s">
        <v>10</v>
      </c>
      <c r="C4625" s="2" t="s">
        <v>15</v>
      </c>
      <c r="D4625">
        <v>44</v>
      </c>
      <c r="E4625" s="2" t="s">
        <v>29</v>
      </c>
      <c r="F4625" s="2" t="s">
        <v>13</v>
      </c>
      <c r="G4625">
        <v>75002</v>
      </c>
      <c r="H4625" s="1">
        <v>44662</v>
      </c>
      <c r="I4625">
        <v>13</v>
      </c>
      <c r="J4625">
        <v>3</v>
      </c>
      <c r="K4625">
        <v>7500</v>
      </c>
      <c r="L4625">
        <v>3750</v>
      </c>
      <c r="M4625">
        <v>78752</v>
      </c>
      <c r="N4625">
        <v>3750</v>
      </c>
      <c r="O4625">
        <v>86252</v>
      </c>
    </row>
    <row r="4626" spans="1:15" x14ac:dyDescent="0.35">
      <c r="A4626">
        <v>4625</v>
      </c>
      <c r="B4626" s="2" t="s">
        <v>22</v>
      </c>
      <c r="C4626" s="2" t="s">
        <v>11</v>
      </c>
      <c r="D4626">
        <v>49</v>
      </c>
      <c r="E4626" s="2" t="s">
        <v>28</v>
      </c>
      <c r="F4626" s="2" t="s">
        <v>21</v>
      </c>
      <c r="G4626">
        <v>45360</v>
      </c>
      <c r="H4626" s="1">
        <v>45094</v>
      </c>
      <c r="I4626">
        <v>10</v>
      </c>
      <c r="J4626">
        <v>2</v>
      </c>
      <c r="K4626">
        <v>4536</v>
      </c>
      <c r="L4626">
        <v>2268</v>
      </c>
      <c r="M4626">
        <v>47628</v>
      </c>
      <c r="N4626">
        <v>2268</v>
      </c>
      <c r="O4626">
        <v>52164</v>
      </c>
    </row>
    <row r="4627" spans="1:15" x14ac:dyDescent="0.35">
      <c r="A4627">
        <v>4626</v>
      </c>
      <c r="B4627" s="2" t="s">
        <v>26</v>
      </c>
      <c r="C4627" s="2" t="s">
        <v>15</v>
      </c>
      <c r="D4627">
        <v>59</v>
      </c>
      <c r="E4627" s="2" t="s">
        <v>29</v>
      </c>
      <c r="F4627" s="2" t="s">
        <v>13</v>
      </c>
      <c r="G4627">
        <v>98890</v>
      </c>
      <c r="H4627" s="1">
        <v>44820</v>
      </c>
      <c r="I4627">
        <v>3</v>
      </c>
      <c r="J4627">
        <v>4</v>
      </c>
      <c r="K4627">
        <v>9889</v>
      </c>
      <c r="L4627">
        <v>4944</v>
      </c>
      <c r="M4627">
        <v>103835</v>
      </c>
      <c r="N4627">
        <v>0</v>
      </c>
      <c r="O4627">
        <v>108779</v>
      </c>
    </row>
    <row r="4628" spans="1:15" x14ac:dyDescent="0.35">
      <c r="A4628">
        <v>4627</v>
      </c>
      <c r="B4628" s="2" t="s">
        <v>22</v>
      </c>
      <c r="C4628" s="2" t="s">
        <v>11</v>
      </c>
      <c r="D4628">
        <v>34</v>
      </c>
      <c r="E4628" s="2" t="s">
        <v>16</v>
      </c>
      <c r="F4628" s="2" t="s">
        <v>25</v>
      </c>
      <c r="G4628">
        <v>71362</v>
      </c>
      <c r="H4628" s="1">
        <v>45493</v>
      </c>
      <c r="I4628">
        <v>1</v>
      </c>
      <c r="J4628">
        <v>1</v>
      </c>
      <c r="K4628">
        <v>7136</v>
      </c>
      <c r="L4628">
        <v>3568</v>
      </c>
      <c r="M4628">
        <v>74930</v>
      </c>
      <c r="N4628">
        <v>0</v>
      </c>
      <c r="O4628">
        <v>78498</v>
      </c>
    </row>
    <row r="4629" spans="1:15" x14ac:dyDescent="0.35">
      <c r="A4629">
        <v>4628</v>
      </c>
      <c r="B4629" s="2" t="s">
        <v>22</v>
      </c>
      <c r="C4629" s="2" t="s">
        <v>11</v>
      </c>
      <c r="D4629">
        <v>52</v>
      </c>
      <c r="E4629" s="2" t="s">
        <v>24</v>
      </c>
      <c r="F4629" s="2" t="s">
        <v>21</v>
      </c>
      <c r="G4629">
        <v>95272</v>
      </c>
      <c r="H4629" s="1">
        <v>44797</v>
      </c>
      <c r="I4629">
        <v>17</v>
      </c>
      <c r="J4629">
        <v>4</v>
      </c>
      <c r="K4629">
        <v>9527</v>
      </c>
      <c r="L4629">
        <v>4764</v>
      </c>
      <c r="M4629">
        <v>100035</v>
      </c>
      <c r="N4629">
        <v>4764</v>
      </c>
      <c r="O4629">
        <v>109563</v>
      </c>
    </row>
    <row r="4630" spans="1:15" x14ac:dyDescent="0.35">
      <c r="A4630">
        <v>4629</v>
      </c>
      <c r="B4630" s="2" t="s">
        <v>18</v>
      </c>
      <c r="C4630" s="2" t="s">
        <v>11</v>
      </c>
      <c r="D4630">
        <v>57</v>
      </c>
      <c r="E4630" s="2" t="s">
        <v>28</v>
      </c>
      <c r="F4630" s="2" t="s">
        <v>17</v>
      </c>
      <c r="G4630">
        <v>32584</v>
      </c>
      <c r="H4630" s="1">
        <v>45217</v>
      </c>
      <c r="I4630">
        <v>18</v>
      </c>
      <c r="J4630">
        <v>5</v>
      </c>
      <c r="K4630">
        <v>3258</v>
      </c>
      <c r="L4630">
        <v>1629</v>
      </c>
      <c r="M4630">
        <v>34213</v>
      </c>
      <c r="N4630">
        <v>1629</v>
      </c>
      <c r="O4630">
        <v>37471</v>
      </c>
    </row>
    <row r="4631" spans="1:15" x14ac:dyDescent="0.35">
      <c r="A4631">
        <v>4630</v>
      </c>
      <c r="B4631" s="2" t="s">
        <v>18</v>
      </c>
      <c r="C4631" s="2" t="s">
        <v>11</v>
      </c>
      <c r="D4631">
        <v>39</v>
      </c>
      <c r="E4631" s="2" t="s">
        <v>24</v>
      </c>
      <c r="F4631" s="2" t="s">
        <v>19</v>
      </c>
      <c r="G4631">
        <v>66339</v>
      </c>
      <c r="H4631" s="1">
        <v>45133</v>
      </c>
      <c r="I4631">
        <v>19</v>
      </c>
      <c r="J4631">
        <v>2</v>
      </c>
      <c r="K4631">
        <v>6634</v>
      </c>
      <c r="L4631">
        <v>3317</v>
      </c>
      <c r="M4631">
        <v>69656</v>
      </c>
      <c r="N4631">
        <v>3317</v>
      </c>
      <c r="O4631">
        <v>76290</v>
      </c>
    </row>
    <row r="4632" spans="1:15" x14ac:dyDescent="0.35">
      <c r="A4632">
        <v>4631</v>
      </c>
      <c r="B4632" s="2" t="s">
        <v>18</v>
      </c>
      <c r="C4632" s="2" t="s">
        <v>15</v>
      </c>
      <c r="D4632">
        <v>54</v>
      </c>
      <c r="E4632" s="2" t="s">
        <v>16</v>
      </c>
      <c r="F4632" s="2" t="s">
        <v>13</v>
      </c>
      <c r="G4632">
        <v>68122</v>
      </c>
      <c r="H4632" s="1">
        <v>44596</v>
      </c>
      <c r="I4632">
        <v>17</v>
      </c>
      <c r="J4632">
        <v>1</v>
      </c>
      <c r="K4632">
        <v>6812</v>
      </c>
      <c r="L4632">
        <v>3406</v>
      </c>
      <c r="M4632">
        <v>71528</v>
      </c>
      <c r="N4632">
        <v>3406</v>
      </c>
      <c r="O4632">
        <v>78340</v>
      </c>
    </row>
    <row r="4633" spans="1:15" x14ac:dyDescent="0.35">
      <c r="A4633">
        <v>4632</v>
      </c>
      <c r="B4633" s="2" t="s">
        <v>23</v>
      </c>
      <c r="C4633" s="2" t="s">
        <v>15</v>
      </c>
      <c r="D4633">
        <v>56</v>
      </c>
      <c r="E4633" s="2" t="s">
        <v>24</v>
      </c>
      <c r="F4633" s="2" t="s">
        <v>25</v>
      </c>
      <c r="G4633">
        <v>29174</v>
      </c>
      <c r="H4633" s="1">
        <v>44857</v>
      </c>
      <c r="I4633">
        <v>13</v>
      </c>
      <c r="J4633">
        <v>2</v>
      </c>
      <c r="K4633">
        <v>2917</v>
      </c>
      <c r="L4633">
        <v>1459</v>
      </c>
      <c r="M4633">
        <v>30632</v>
      </c>
      <c r="N4633">
        <v>1459</v>
      </c>
      <c r="O4633">
        <v>33550</v>
      </c>
    </row>
    <row r="4634" spans="1:15" x14ac:dyDescent="0.35">
      <c r="A4634">
        <v>4633</v>
      </c>
      <c r="B4634" s="2" t="s">
        <v>14</v>
      </c>
      <c r="C4634" s="2" t="s">
        <v>15</v>
      </c>
      <c r="D4634">
        <v>37</v>
      </c>
      <c r="E4634" s="2" t="s">
        <v>28</v>
      </c>
      <c r="F4634" s="2" t="s">
        <v>25</v>
      </c>
      <c r="G4634">
        <v>68421</v>
      </c>
      <c r="H4634" s="1">
        <v>44752</v>
      </c>
      <c r="I4634">
        <v>6</v>
      </c>
      <c r="J4634">
        <v>5</v>
      </c>
      <c r="K4634">
        <v>6842</v>
      </c>
      <c r="L4634">
        <v>3421</v>
      </c>
      <c r="M4634">
        <v>71842</v>
      </c>
      <c r="N4634">
        <v>3421</v>
      </c>
      <c r="O4634">
        <v>78684</v>
      </c>
    </row>
    <row r="4635" spans="1:15" x14ac:dyDescent="0.35">
      <c r="A4635">
        <v>4634</v>
      </c>
      <c r="B4635" s="2" t="s">
        <v>14</v>
      </c>
      <c r="C4635" s="2" t="s">
        <v>11</v>
      </c>
      <c r="D4635">
        <v>53</v>
      </c>
      <c r="E4635" s="2" t="s">
        <v>16</v>
      </c>
      <c r="F4635" s="2" t="s">
        <v>21</v>
      </c>
      <c r="G4635">
        <v>89034</v>
      </c>
      <c r="H4635" s="1">
        <v>45043</v>
      </c>
      <c r="I4635">
        <v>18</v>
      </c>
      <c r="J4635">
        <v>5</v>
      </c>
      <c r="K4635">
        <v>8903</v>
      </c>
      <c r="L4635">
        <v>4452</v>
      </c>
      <c r="M4635">
        <v>93485</v>
      </c>
      <c r="N4635">
        <v>4452</v>
      </c>
      <c r="O4635">
        <v>102389</v>
      </c>
    </row>
    <row r="4636" spans="1:15" x14ac:dyDescent="0.35">
      <c r="A4636">
        <v>4635</v>
      </c>
      <c r="B4636" s="2" t="s">
        <v>27</v>
      </c>
      <c r="C4636" s="2" t="s">
        <v>11</v>
      </c>
      <c r="D4636">
        <v>59</v>
      </c>
      <c r="E4636" s="2" t="s">
        <v>29</v>
      </c>
      <c r="F4636" s="2" t="s">
        <v>19</v>
      </c>
      <c r="G4636">
        <v>74369</v>
      </c>
      <c r="H4636" s="1">
        <v>45210</v>
      </c>
      <c r="I4636">
        <v>14</v>
      </c>
      <c r="J4636">
        <v>2</v>
      </c>
      <c r="K4636">
        <v>7437</v>
      </c>
      <c r="L4636">
        <v>3718</v>
      </c>
      <c r="M4636">
        <v>78088</v>
      </c>
      <c r="N4636">
        <v>3718</v>
      </c>
      <c r="O4636">
        <v>85524</v>
      </c>
    </row>
    <row r="4637" spans="1:15" x14ac:dyDescent="0.35">
      <c r="A4637">
        <v>4636</v>
      </c>
      <c r="B4637" s="2" t="s">
        <v>18</v>
      </c>
      <c r="C4637" s="2" t="s">
        <v>15</v>
      </c>
      <c r="D4637">
        <v>33</v>
      </c>
      <c r="E4637" s="2" t="s">
        <v>28</v>
      </c>
      <c r="F4637" s="2" t="s">
        <v>19</v>
      </c>
      <c r="G4637">
        <v>23538</v>
      </c>
      <c r="H4637" s="1">
        <v>45076</v>
      </c>
      <c r="I4637">
        <v>11</v>
      </c>
      <c r="J4637">
        <v>2</v>
      </c>
      <c r="K4637">
        <v>2354</v>
      </c>
      <c r="L4637">
        <v>1177</v>
      </c>
      <c r="M4637">
        <v>24715</v>
      </c>
      <c r="N4637">
        <v>1177</v>
      </c>
      <c r="O4637">
        <v>27069</v>
      </c>
    </row>
    <row r="4638" spans="1:15" x14ac:dyDescent="0.35">
      <c r="A4638">
        <v>4637</v>
      </c>
      <c r="B4638" s="2" t="s">
        <v>26</v>
      </c>
      <c r="C4638" s="2" t="s">
        <v>11</v>
      </c>
      <c r="D4638">
        <v>27</v>
      </c>
      <c r="E4638" s="2" t="s">
        <v>24</v>
      </c>
      <c r="F4638" s="2" t="s">
        <v>19</v>
      </c>
      <c r="G4638">
        <v>81480</v>
      </c>
      <c r="H4638" s="1">
        <v>44929</v>
      </c>
      <c r="I4638">
        <v>17</v>
      </c>
      <c r="J4638">
        <v>1</v>
      </c>
      <c r="K4638">
        <v>8148</v>
      </c>
      <c r="L4638">
        <v>4074</v>
      </c>
      <c r="M4638">
        <v>85554</v>
      </c>
      <c r="N4638">
        <v>4074</v>
      </c>
      <c r="O4638">
        <v>93702</v>
      </c>
    </row>
    <row r="4639" spans="1:15" x14ac:dyDescent="0.35">
      <c r="A4639">
        <v>4638</v>
      </c>
      <c r="B4639" s="2" t="s">
        <v>10</v>
      </c>
      <c r="C4639" s="2" t="s">
        <v>11</v>
      </c>
      <c r="D4639">
        <v>49</v>
      </c>
      <c r="E4639" s="2" t="s">
        <v>28</v>
      </c>
      <c r="F4639" s="2" t="s">
        <v>19</v>
      </c>
      <c r="G4639">
        <v>26969</v>
      </c>
      <c r="H4639" s="1">
        <v>45121</v>
      </c>
      <c r="I4639">
        <v>17</v>
      </c>
      <c r="J4639">
        <v>1</v>
      </c>
      <c r="K4639">
        <v>2697</v>
      </c>
      <c r="L4639">
        <v>1348</v>
      </c>
      <c r="M4639">
        <v>28318</v>
      </c>
      <c r="N4639">
        <v>1348</v>
      </c>
      <c r="O4639">
        <v>31014</v>
      </c>
    </row>
    <row r="4640" spans="1:15" x14ac:dyDescent="0.35">
      <c r="A4640">
        <v>4639</v>
      </c>
      <c r="B4640" s="2" t="s">
        <v>26</v>
      </c>
      <c r="C4640" s="2" t="s">
        <v>15</v>
      </c>
      <c r="D4640">
        <v>46</v>
      </c>
      <c r="E4640" s="2" t="s">
        <v>29</v>
      </c>
      <c r="F4640" s="2" t="s">
        <v>21</v>
      </c>
      <c r="G4640">
        <v>21703</v>
      </c>
      <c r="H4640" s="1">
        <v>45151</v>
      </c>
      <c r="I4640">
        <v>18</v>
      </c>
      <c r="J4640">
        <v>1</v>
      </c>
      <c r="K4640">
        <v>2170</v>
      </c>
      <c r="L4640">
        <v>1085</v>
      </c>
      <c r="M4640">
        <v>22788</v>
      </c>
      <c r="N4640">
        <v>1085</v>
      </c>
      <c r="O4640">
        <v>24958</v>
      </c>
    </row>
    <row r="4641" spans="1:15" x14ac:dyDescent="0.35">
      <c r="A4641">
        <v>4640</v>
      </c>
      <c r="B4641" s="2" t="s">
        <v>18</v>
      </c>
      <c r="C4641" s="2" t="s">
        <v>15</v>
      </c>
      <c r="D4641">
        <v>38</v>
      </c>
      <c r="E4641" s="2" t="s">
        <v>28</v>
      </c>
      <c r="F4641" s="2" t="s">
        <v>25</v>
      </c>
      <c r="G4641">
        <v>92245</v>
      </c>
      <c r="H4641" s="1">
        <v>44809</v>
      </c>
      <c r="I4641">
        <v>6</v>
      </c>
      <c r="J4641">
        <v>3</v>
      </c>
      <c r="K4641">
        <v>9224</v>
      </c>
      <c r="L4641">
        <v>4612</v>
      </c>
      <c r="M4641">
        <v>96857</v>
      </c>
      <c r="N4641">
        <v>4612</v>
      </c>
      <c r="O4641">
        <v>106081</v>
      </c>
    </row>
    <row r="4642" spans="1:15" x14ac:dyDescent="0.35">
      <c r="A4642">
        <v>4641</v>
      </c>
      <c r="B4642" s="2" t="s">
        <v>27</v>
      </c>
      <c r="C4642" s="2" t="s">
        <v>11</v>
      </c>
      <c r="D4642">
        <v>56</v>
      </c>
      <c r="E4642" s="2" t="s">
        <v>28</v>
      </c>
      <c r="F4642" s="2" t="s">
        <v>21</v>
      </c>
      <c r="G4642">
        <v>77521</v>
      </c>
      <c r="H4642" s="1">
        <v>44878</v>
      </c>
      <c r="I4642">
        <v>4</v>
      </c>
      <c r="J4642">
        <v>3</v>
      </c>
      <c r="K4642">
        <v>7752</v>
      </c>
      <c r="L4642">
        <v>3876</v>
      </c>
      <c r="M4642">
        <v>81397</v>
      </c>
      <c r="N4642">
        <v>0</v>
      </c>
      <c r="O4642">
        <v>85273</v>
      </c>
    </row>
    <row r="4643" spans="1:15" x14ac:dyDescent="0.35">
      <c r="A4643">
        <v>4642</v>
      </c>
      <c r="B4643" s="2" t="s">
        <v>22</v>
      </c>
      <c r="C4643" s="2" t="s">
        <v>11</v>
      </c>
      <c r="D4643">
        <v>28</v>
      </c>
      <c r="E4643" s="2" t="s">
        <v>28</v>
      </c>
      <c r="F4643" s="2" t="s">
        <v>25</v>
      </c>
      <c r="G4643">
        <v>28694</v>
      </c>
      <c r="H4643" s="1">
        <v>44586</v>
      </c>
      <c r="I4643">
        <v>9</v>
      </c>
      <c r="J4643">
        <v>1</v>
      </c>
      <c r="K4643">
        <v>2869</v>
      </c>
      <c r="L4643">
        <v>1435</v>
      </c>
      <c r="M4643">
        <v>30128</v>
      </c>
      <c r="N4643">
        <v>1435</v>
      </c>
      <c r="O4643">
        <v>32998</v>
      </c>
    </row>
    <row r="4644" spans="1:15" x14ac:dyDescent="0.35">
      <c r="A4644">
        <v>4643</v>
      </c>
      <c r="B4644" s="2" t="s">
        <v>27</v>
      </c>
      <c r="C4644" s="2" t="s">
        <v>11</v>
      </c>
      <c r="D4644">
        <v>59</v>
      </c>
      <c r="E4644" s="2" t="s">
        <v>12</v>
      </c>
      <c r="F4644" s="2" t="s">
        <v>17</v>
      </c>
      <c r="G4644">
        <v>66859</v>
      </c>
      <c r="H4644" s="1">
        <v>45552</v>
      </c>
      <c r="I4644">
        <v>16</v>
      </c>
      <c r="J4644">
        <v>5</v>
      </c>
      <c r="K4644">
        <v>6686</v>
      </c>
      <c r="L4644">
        <v>3343</v>
      </c>
      <c r="M4644">
        <v>70202</v>
      </c>
      <c r="N4644">
        <v>3343</v>
      </c>
      <c r="O4644">
        <v>76888</v>
      </c>
    </row>
    <row r="4645" spans="1:15" x14ac:dyDescent="0.35">
      <c r="A4645">
        <v>4644</v>
      </c>
      <c r="B4645" s="2" t="s">
        <v>27</v>
      </c>
      <c r="C4645" s="2" t="s">
        <v>11</v>
      </c>
      <c r="D4645">
        <v>31</v>
      </c>
      <c r="E4645" s="2" t="s">
        <v>16</v>
      </c>
      <c r="F4645" s="2" t="s">
        <v>13</v>
      </c>
      <c r="G4645">
        <v>47987</v>
      </c>
      <c r="H4645" s="1">
        <v>45252</v>
      </c>
      <c r="I4645">
        <v>5</v>
      </c>
      <c r="J4645">
        <v>5</v>
      </c>
      <c r="K4645">
        <v>4799</v>
      </c>
      <c r="L4645">
        <v>2399</v>
      </c>
      <c r="M4645">
        <v>50387</v>
      </c>
      <c r="N4645">
        <v>0</v>
      </c>
      <c r="O4645">
        <v>52786</v>
      </c>
    </row>
    <row r="4646" spans="1:15" x14ac:dyDescent="0.35">
      <c r="A4646">
        <v>4645</v>
      </c>
      <c r="B4646" s="2" t="s">
        <v>14</v>
      </c>
      <c r="C4646" s="2" t="s">
        <v>11</v>
      </c>
      <c r="D4646">
        <v>50</v>
      </c>
      <c r="E4646" s="2" t="s">
        <v>24</v>
      </c>
      <c r="F4646" s="2" t="s">
        <v>17</v>
      </c>
      <c r="G4646">
        <v>41068</v>
      </c>
      <c r="H4646" s="1">
        <v>44836</v>
      </c>
      <c r="I4646">
        <v>19</v>
      </c>
      <c r="J4646">
        <v>2</v>
      </c>
      <c r="K4646">
        <v>4107</v>
      </c>
      <c r="L4646">
        <v>2053</v>
      </c>
      <c r="M4646">
        <v>43122</v>
      </c>
      <c r="N4646">
        <v>2053</v>
      </c>
      <c r="O4646">
        <v>47228</v>
      </c>
    </row>
    <row r="4647" spans="1:15" x14ac:dyDescent="0.35">
      <c r="A4647">
        <v>4646</v>
      </c>
      <c r="B4647" s="2" t="s">
        <v>14</v>
      </c>
      <c r="C4647" s="2" t="s">
        <v>11</v>
      </c>
      <c r="D4647">
        <v>28</v>
      </c>
      <c r="E4647" s="2" t="s">
        <v>29</v>
      </c>
      <c r="F4647" s="2" t="s">
        <v>13</v>
      </c>
      <c r="G4647">
        <v>43189</v>
      </c>
      <c r="H4647" s="1">
        <v>44866</v>
      </c>
      <c r="I4647">
        <v>8</v>
      </c>
      <c r="J4647">
        <v>3</v>
      </c>
      <c r="K4647">
        <v>4319</v>
      </c>
      <c r="L4647">
        <v>2159</v>
      </c>
      <c r="M4647">
        <v>45349</v>
      </c>
      <c r="N4647">
        <v>2159</v>
      </c>
      <c r="O4647">
        <v>49667</v>
      </c>
    </row>
    <row r="4648" spans="1:15" x14ac:dyDescent="0.35">
      <c r="A4648">
        <v>4647</v>
      </c>
      <c r="B4648" s="2" t="s">
        <v>22</v>
      </c>
      <c r="C4648" s="2" t="s">
        <v>15</v>
      </c>
      <c r="D4648">
        <v>51</v>
      </c>
      <c r="E4648" s="2" t="s">
        <v>12</v>
      </c>
      <c r="F4648" s="2" t="s">
        <v>13</v>
      </c>
      <c r="G4648">
        <v>79298</v>
      </c>
      <c r="H4648" s="1">
        <v>45085</v>
      </c>
      <c r="I4648">
        <v>8</v>
      </c>
      <c r="J4648">
        <v>2</v>
      </c>
      <c r="K4648">
        <v>7930</v>
      </c>
      <c r="L4648">
        <v>3965</v>
      </c>
      <c r="M4648">
        <v>83263</v>
      </c>
      <c r="N4648">
        <v>3965</v>
      </c>
      <c r="O4648">
        <v>91193</v>
      </c>
    </row>
    <row r="4649" spans="1:15" x14ac:dyDescent="0.35">
      <c r="A4649">
        <v>4648</v>
      </c>
      <c r="B4649" s="2" t="s">
        <v>14</v>
      </c>
      <c r="C4649" s="2" t="s">
        <v>15</v>
      </c>
      <c r="D4649">
        <v>21</v>
      </c>
      <c r="E4649" s="2" t="s">
        <v>29</v>
      </c>
      <c r="F4649" s="2" t="s">
        <v>19</v>
      </c>
      <c r="G4649">
        <v>86785</v>
      </c>
      <c r="H4649" s="1">
        <v>44628</v>
      </c>
      <c r="I4649">
        <v>10</v>
      </c>
      <c r="J4649">
        <v>5</v>
      </c>
      <c r="K4649">
        <v>8678</v>
      </c>
      <c r="L4649">
        <v>4339</v>
      </c>
      <c r="M4649">
        <v>91124</v>
      </c>
      <c r="N4649">
        <v>4339</v>
      </c>
      <c r="O4649">
        <v>99802</v>
      </c>
    </row>
    <row r="4650" spans="1:15" x14ac:dyDescent="0.35">
      <c r="A4650">
        <v>4649</v>
      </c>
      <c r="B4650" s="2" t="s">
        <v>23</v>
      </c>
      <c r="C4650" s="2" t="s">
        <v>11</v>
      </c>
      <c r="D4650">
        <v>46</v>
      </c>
      <c r="E4650" s="2" t="s">
        <v>28</v>
      </c>
      <c r="F4650" s="2" t="s">
        <v>19</v>
      </c>
      <c r="G4650">
        <v>70916</v>
      </c>
      <c r="H4650" s="1">
        <v>45226</v>
      </c>
      <c r="I4650">
        <v>5</v>
      </c>
      <c r="J4650">
        <v>1</v>
      </c>
      <c r="K4650">
        <v>7092</v>
      </c>
      <c r="L4650">
        <v>3546</v>
      </c>
      <c r="M4650">
        <v>74462</v>
      </c>
      <c r="N4650">
        <v>0</v>
      </c>
      <c r="O4650">
        <v>78008</v>
      </c>
    </row>
    <row r="4651" spans="1:15" x14ac:dyDescent="0.35">
      <c r="A4651">
        <v>4650</v>
      </c>
      <c r="B4651" s="2" t="s">
        <v>30</v>
      </c>
      <c r="C4651" s="2" t="s">
        <v>11</v>
      </c>
      <c r="D4651">
        <v>25</v>
      </c>
      <c r="E4651" s="2" t="s">
        <v>24</v>
      </c>
      <c r="F4651" s="2" t="s">
        <v>21</v>
      </c>
      <c r="G4651">
        <v>88030</v>
      </c>
      <c r="H4651" s="1">
        <v>45056</v>
      </c>
      <c r="I4651">
        <v>12</v>
      </c>
      <c r="J4651">
        <v>3</v>
      </c>
      <c r="K4651">
        <v>8803</v>
      </c>
      <c r="L4651">
        <v>4402</v>
      </c>
      <c r="M4651">
        <v>92431</v>
      </c>
      <c r="N4651">
        <v>4402</v>
      </c>
      <c r="O4651">
        <v>101235</v>
      </c>
    </row>
    <row r="4652" spans="1:15" x14ac:dyDescent="0.35">
      <c r="A4652">
        <v>4651</v>
      </c>
      <c r="B4652" s="2" t="s">
        <v>22</v>
      </c>
      <c r="C4652" s="2" t="s">
        <v>15</v>
      </c>
      <c r="D4652">
        <v>24</v>
      </c>
      <c r="E4652" s="2" t="s">
        <v>16</v>
      </c>
      <c r="F4652" s="2" t="s">
        <v>13</v>
      </c>
      <c r="G4652">
        <v>81804</v>
      </c>
      <c r="H4652" s="1">
        <v>44668</v>
      </c>
      <c r="I4652">
        <v>16</v>
      </c>
      <c r="J4652">
        <v>1</v>
      </c>
      <c r="K4652">
        <v>8180</v>
      </c>
      <c r="L4652">
        <v>4090</v>
      </c>
      <c r="M4652">
        <v>85894</v>
      </c>
      <c r="N4652">
        <v>4090</v>
      </c>
      <c r="O4652">
        <v>94074</v>
      </c>
    </row>
    <row r="4653" spans="1:15" x14ac:dyDescent="0.35">
      <c r="A4653">
        <v>4652</v>
      </c>
      <c r="B4653" s="2" t="s">
        <v>10</v>
      </c>
      <c r="C4653" s="2" t="s">
        <v>11</v>
      </c>
      <c r="D4653">
        <v>41</v>
      </c>
      <c r="E4653" s="2" t="s">
        <v>24</v>
      </c>
      <c r="F4653" s="2" t="s">
        <v>19</v>
      </c>
      <c r="G4653">
        <v>84032</v>
      </c>
      <c r="H4653" s="1">
        <v>45066</v>
      </c>
      <c r="I4653">
        <v>8</v>
      </c>
      <c r="J4653">
        <v>1</v>
      </c>
      <c r="K4653">
        <v>8403</v>
      </c>
      <c r="L4653">
        <v>4202</v>
      </c>
      <c r="M4653">
        <v>88233</v>
      </c>
      <c r="N4653">
        <v>4202</v>
      </c>
      <c r="O4653">
        <v>96637</v>
      </c>
    </row>
    <row r="4654" spans="1:15" x14ac:dyDescent="0.35">
      <c r="A4654">
        <v>4653</v>
      </c>
      <c r="B4654" s="2" t="s">
        <v>20</v>
      </c>
      <c r="C4654" s="2" t="s">
        <v>11</v>
      </c>
      <c r="D4654">
        <v>24</v>
      </c>
      <c r="E4654" s="2" t="s">
        <v>28</v>
      </c>
      <c r="F4654" s="2" t="s">
        <v>13</v>
      </c>
      <c r="G4654">
        <v>67549</v>
      </c>
      <c r="H4654" s="1">
        <v>45017</v>
      </c>
      <c r="I4654">
        <v>1</v>
      </c>
      <c r="J4654">
        <v>4</v>
      </c>
      <c r="K4654">
        <v>6755</v>
      </c>
      <c r="L4654">
        <v>3377</v>
      </c>
      <c r="M4654">
        <v>70927</v>
      </c>
      <c r="N4654">
        <v>0</v>
      </c>
      <c r="O4654">
        <v>74304</v>
      </c>
    </row>
    <row r="4655" spans="1:15" x14ac:dyDescent="0.35">
      <c r="A4655">
        <v>4654</v>
      </c>
      <c r="B4655" s="2" t="s">
        <v>31</v>
      </c>
      <c r="C4655" s="2" t="s">
        <v>15</v>
      </c>
      <c r="D4655">
        <v>44</v>
      </c>
      <c r="E4655" s="2" t="s">
        <v>12</v>
      </c>
      <c r="F4655" s="2" t="s">
        <v>19</v>
      </c>
      <c r="G4655">
        <v>62391</v>
      </c>
      <c r="H4655" s="1">
        <v>45086</v>
      </c>
      <c r="I4655">
        <v>18</v>
      </c>
      <c r="J4655">
        <v>5</v>
      </c>
      <c r="K4655">
        <v>6239</v>
      </c>
      <c r="L4655">
        <v>3120</v>
      </c>
      <c r="M4655">
        <v>65510</v>
      </c>
      <c r="N4655">
        <v>3120</v>
      </c>
      <c r="O4655">
        <v>71750</v>
      </c>
    </row>
    <row r="4656" spans="1:15" x14ac:dyDescent="0.35">
      <c r="A4656">
        <v>4655</v>
      </c>
      <c r="B4656" s="2" t="s">
        <v>10</v>
      </c>
      <c r="C4656" s="2" t="s">
        <v>15</v>
      </c>
      <c r="D4656">
        <v>59</v>
      </c>
      <c r="E4656" s="2" t="s">
        <v>29</v>
      </c>
      <c r="F4656" s="2" t="s">
        <v>21</v>
      </c>
      <c r="G4656">
        <v>84387</v>
      </c>
      <c r="H4656" s="1">
        <v>45550</v>
      </c>
      <c r="I4656">
        <v>15</v>
      </c>
      <c r="J4656">
        <v>5</v>
      </c>
      <c r="K4656">
        <v>8439</v>
      </c>
      <c r="L4656">
        <v>4219</v>
      </c>
      <c r="M4656">
        <v>88607</v>
      </c>
      <c r="N4656">
        <v>4219</v>
      </c>
      <c r="O4656">
        <v>97045</v>
      </c>
    </row>
    <row r="4657" spans="1:15" x14ac:dyDescent="0.35">
      <c r="A4657">
        <v>4656</v>
      </c>
      <c r="B4657" s="2" t="s">
        <v>22</v>
      </c>
      <c r="C4657" s="2" t="s">
        <v>15</v>
      </c>
      <c r="D4657">
        <v>45</v>
      </c>
      <c r="E4657" s="2" t="s">
        <v>24</v>
      </c>
      <c r="F4657" s="2" t="s">
        <v>17</v>
      </c>
      <c r="G4657">
        <v>94243</v>
      </c>
      <c r="H4657" s="1">
        <v>45297</v>
      </c>
      <c r="I4657">
        <v>5</v>
      </c>
      <c r="J4657">
        <v>3</v>
      </c>
      <c r="K4657">
        <v>9424</v>
      </c>
      <c r="L4657">
        <v>4712</v>
      </c>
      <c r="M4657">
        <v>98955</v>
      </c>
      <c r="N4657">
        <v>0</v>
      </c>
      <c r="O4657">
        <v>103667</v>
      </c>
    </row>
    <row r="4658" spans="1:15" x14ac:dyDescent="0.35">
      <c r="A4658">
        <v>4657</v>
      </c>
      <c r="B4658" s="2" t="s">
        <v>30</v>
      </c>
      <c r="C4658" s="2" t="s">
        <v>15</v>
      </c>
      <c r="D4658">
        <v>39</v>
      </c>
      <c r="E4658" s="2" t="s">
        <v>24</v>
      </c>
      <c r="F4658" s="2" t="s">
        <v>19</v>
      </c>
      <c r="G4658">
        <v>29809</v>
      </c>
      <c r="H4658" s="1">
        <v>44947</v>
      </c>
      <c r="I4658">
        <v>17</v>
      </c>
      <c r="J4658">
        <v>5</v>
      </c>
      <c r="K4658">
        <v>2981</v>
      </c>
      <c r="L4658">
        <v>1490</v>
      </c>
      <c r="M4658">
        <v>31300</v>
      </c>
      <c r="N4658">
        <v>1490</v>
      </c>
      <c r="O4658">
        <v>34280</v>
      </c>
    </row>
    <row r="4659" spans="1:15" x14ac:dyDescent="0.35">
      <c r="A4659">
        <v>4658</v>
      </c>
      <c r="B4659" s="2" t="s">
        <v>22</v>
      </c>
      <c r="C4659" s="2" t="s">
        <v>11</v>
      </c>
      <c r="D4659">
        <v>57</v>
      </c>
      <c r="E4659" s="2" t="s">
        <v>24</v>
      </c>
      <c r="F4659" s="2" t="s">
        <v>25</v>
      </c>
      <c r="G4659">
        <v>45049</v>
      </c>
      <c r="H4659" s="1">
        <v>44653</v>
      </c>
      <c r="I4659">
        <v>11</v>
      </c>
      <c r="J4659">
        <v>3</v>
      </c>
      <c r="K4659">
        <v>4505</v>
      </c>
      <c r="L4659">
        <v>2252</v>
      </c>
      <c r="M4659">
        <v>47302</v>
      </c>
      <c r="N4659">
        <v>2252</v>
      </c>
      <c r="O4659">
        <v>51806</v>
      </c>
    </row>
    <row r="4660" spans="1:15" x14ac:dyDescent="0.35">
      <c r="A4660">
        <v>4659</v>
      </c>
      <c r="B4660" s="2" t="s">
        <v>18</v>
      </c>
      <c r="C4660" s="2" t="s">
        <v>11</v>
      </c>
      <c r="D4660">
        <v>36</v>
      </c>
      <c r="E4660" s="2" t="s">
        <v>28</v>
      </c>
      <c r="F4660" s="2" t="s">
        <v>17</v>
      </c>
      <c r="G4660">
        <v>45369</v>
      </c>
      <c r="H4660" s="1">
        <v>44668</v>
      </c>
      <c r="I4660">
        <v>9</v>
      </c>
      <c r="J4660">
        <v>1</v>
      </c>
      <c r="K4660">
        <v>4537</v>
      </c>
      <c r="L4660">
        <v>2268</v>
      </c>
      <c r="M4660">
        <v>47638</v>
      </c>
      <c r="N4660">
        <v>2268</v>
      </c>
      <c r="O4660">
        <v>52174</v>
      </c>
    </row>
    <row r="4661" spans="1:15" x14ac:dyDescent="0.35">
      <c r="A4661">
        <v>4660</v>
      </c>
      <c r="B4661" s="2" t="s">
        <v>27</v>
      </c>
      <c r="C4661" s="2" t="s">
        <v>15</v>
      </c>
      <c r="D4661">
        <v>44</v>
      </c>
      <c r="E4661" s="2" t="s">
        <v>12</v>
      </c>
      <c r="F4661" s="2" t="s">
        <v>13</v>
      </c>
      <c r="G4661">
        <v>61015</v>
      </c>
      <c r="H4661" s="1">
        <v>45457</v>
      </c>
      <c r="I4661">
        <v>1</v>
      </c>
      <c r="J4661">
        <v>2</v>
      </c>
      <c r="K4661">
        <v>6102</v>
      </c>
      <c r="L4661">
        <v>3051</v>
      </c>
      <c r="M4661">
        <v>64066</v>
      </c>
      <c r="N4661">
        <v>0</v>
      </c>
      <c r="O4661">
        <v>67117</v>
      </c>
    </row>
    <row r="4662" spans="1:15" x14ac:dyDescent="0.35">
      <c r="A4662">
        <v>4661</v>
      </c>
      <c r="B4662" s="2" t="s">
        <v>10</v>
      </c>
      <c r="C4662" s="2" t="s">
        <v>11</v>
      </c>
      <c r="D4662">
        <v>42</v>
      </c>
      <c r="E4662" s="2" t="s">
        <v>12</v>
      </c>
      <c r="F4662" s="2" t="s">
        <v>21</v>
      </c>
      <c r="G4662">
        <v>79173</v>
      </c>
      <c r="H4662" s="1">
        <v>44711</v>
      </c>
      <c r="I4662">
        <v>18</v>
      </c>
      <c r="J4662">
        <v>2</v>
      </c>
      <c r="K4662">
        <v>7917</v>
      </c>
      <c r="L4662">
        <v>3959</v>
      </c>
      <c r="M4662">
        <v>83131</v>
      </c>
      <c r="N4662">
        <v>3959</v>
      </c>
      <c r="O4662">
        <v>91049</v>
      </c>
    </row>
    <row r="4663" spans="1:15" x14ac:dyDescent="0.35">
      <c r="A4663">
        <v>4662</v>
      </c>
      <c r="B4663" s="2" t="s">
        <v>27</v>
      </c>
      <c r="C4663" s="2" t="s">
        <v>11</v>
      </c>
      <c r="D4663">
        <v>54</v>
      </c>
      <c r="E4663" s="2" t="s">
        <v>12</v>
      </c>
      <c r="F4663" s="2" t="s">
        <v>17</v>
      </c>
      <c r="G4663">
        <v>56917</v>
      </c>
      <c r="H4663" s="1">
        <v>45144</v>
      </c>
      <c r="I4663">
        <v>4</v>
      </c>
      <c r="J4663">
        <v>1</v>
      </c>
      <c r="K4663">
        <v>5692</v>
      </c>
      <c r="L4663">
        <v>2846</v>
      </c>
      <c r="M4663">
        <v>59763</v>
      </c>
      <c r="N4663">
        <v>0</v>
      </c>
      <c r="O4663">
        <v>62609</v>
      </c>
    </row>
    <row r="4664" spans="1:15" x14ac:dyDescent="0.35">
      <c r="A4664">
        <v>4663</v>
      </c>
      <c r="B4664" s="2" t="s">
        <v>14</v>
      </c>
      <c r="C4664" s="2" t="s">
        <v>11</v>
      </c>
      <c r="D4664">
        <v>55</v>
      </c>
      <c r="E4664" s="2" t="s">
        <v>29</v>
      </c>
      <c r="F4664" s="2" t="s">
        <v>17</v>
      </c>
      <c r="G4664">
        <v>79173</v>
      </c>
      <c r="H4664" s="1">
        <v>45094</v>
      </c>
      <c r="I4664">
        <v>6</v>
      </c>
      <c r="J4664">
        <v>2</v>
      </c>
      <c r="K4664">
        <v>7917</v>
      </c>
      <c r="L4664">
        <v>3959</v>
      </c>
      <c r="M4664">
        <v>83131</v>
      </c>
      <c r="N4664">
        <v>3959</v>
      </c>
      <c r="O4664">
        <v>91049</v>
      </c>
    </row>
    <row r="4665" spans="1:15" x14ac:dyDescent="0.35">
      <c r="A4665">
        <v>4664</v>
      </c>
      <c r="B4665" s="2" t="s">
        <v>20</v>
      </c>
      <c r="C4665" s="2" t="s">
        <v>11</v>
      </c>
      <c r="D4665">
        <v>55</v>
      </c>
      <c r="E4665" s="2" t="s">
        <v>29</v>
      </c>
      <c r="F4665" s="2" t="s">
        <v>17</v>
      </c>
      <c r="G4665">
        <v>77433</v>
      </c>
      <c r="H4665" s="1">
        <v>45548</v>
      </c>
      <c r="I4665">
        <v>17</v>
      </c>
      <c r="J4665">
        <v>1</v>
      </c>
      <c r="K4665">
        <v>7743</v>
      </c>
      <c r="L4665">
        <v>3872</v>
      </c>
      <c r="M4665">
        <v>81304</v>
      </c>
      <c r="N4665">
        <v>3872</v>
      </c>
      <c r="O4665">
        <v>89048</v>
      </c>
    </row>
    <row r="4666" spans="1:15" x14ac:dyDescent="0.35">
      <c r="A4666">
        <v>4665</v>
      </c>
      <c r="B4666" s="2" t="s">
        <v>22</v>
      </c>
      <c r="C4666" s="2" t="s">
        <v>11</v>
      </c>
      <c r="D4666">
        <v>27</v>
      </c>
      <c r="E4666" s="2" t="s">
        <v>24</v>
      </c>
      <c r="F4666" s="2" t="s">
        <v>17</v>
      </c>
      <c r="G4666">
        <v>86490</v>
      </c>
      <c r="H4666" s="1">
        <v>45407</v>
      </c>
      <c r="I4666">
        <v>6</v>
      </c>
      <c r="J4666">
        <v>2</v>
      </c>
      <c r="K4666">
        <v>8649</v>
      </c>
      <c r="L4666">
        <v>4324</v>
      </c>
      <c r="M4666">
        <v>90815</v>
      </c>
      <c r="N4666">
        <v>4324</v>
      </c>
      <c r="O4666">
        <v>99463</v>
      </c>
    </row>
    <row r="4667" spans="1:15" x14ac:dyDescent="0.35">
      <c r="A4667">
        <v>4666</v>
      </c>
      <c r="B4667" s="2" t="s">
        <v>23</v>
      </c>
      <c r="C4667" s="2" t="s">
        <v>11</v>
      </c>
      <c r="D4667">
        <v>25</v>
      </c>
      <c r="E4667" s="2" t="s">
        <v>28</v>
      </c>
      <c r="F4667" s="2" t="s">
        <v>19</v>
      </c>
      <c r="G4667">
        <v>92101</v>
      </c>
      <c r="H4667" s="1">
        <v>45538</v>
      </c>
      <c r="I4667">
        <v>10</v>
      </c>
      <c r="J4667">
        <v>2</v>
      </c>
      <c r="K4667">
        <v>9210</v>
      </c>
      <c r="L4667">
        <v>4605</v>
      </c>
      <c r="M4667">
        <v>96706</v>
      </c>
      <c r="N4667">
        <v>4605</v>
      </c>
      <c r="O4667">
        <v>105916</v>
      </c>
    </row>
    <row r="4668" spans="1:15" x14ac:dyDescent="0.35">
      <c r="A4668">
        <v>4667</v>
      </c>
      <c r="B4668" s="2" t="s">
        <v>18</v>
      </c>
      <c r="C4668" s="2" t="s">
        <v>15</v>
      </c>
      <c r="D4668">
        <v>21</v>
      </c>
      <c r="E4668" s="2" t="s">
        <v>29</v>
      </c>
      <c r="F4668" s="2" t="s">
        <v>13</v>
      </c>
      <c r="G4668">
        <v>99953</v>
      </c>
      <c r="H4668" s="1">
        <v>44614</v>
      </c>
      <c r="I4668">
        <v>10</v>
      </c>
      <c r="J4668">
        <v>5</v>
      </c>
      <c r="K4668">
        <v>9995</v>
      </c>
      <c r="L4668">
        <v>4998</v>
      </c>
      <c r="M4668">
        <v>104950</v>
      </c>
      <c r="N4668">
        <v>4998</v>
      </c>
      <c r="O4668">
        <v>114946</v>
      </c>
    </row>
    <row r="4669" spans="1:15" x14ac:dyDescent="0.35">
      <c r="A4669">
        <v>4668</v>
      </c>
      <c r="B4669" s="2" t="s">
        <v>18</v>
      </c>
      <c r="C4669" s="2" t="s">
        <v>15</v>
      </c>
      <c r="D4669">
        <v>42</v>
      </c>
      <c r="E4669" s="2" t="s">
        <v>12</v>
      </c>
      <c r="F4669" s="2" t="s">
        <v>25</v>
      </c>
      <c r="G4669">
        <v>78155</v>
      </c>
      <c r="H4669" s="1">
        <v>45075</v>
      </c>
      <c r="I4669">
        <v>2</v>
      </c>
      <c r="J4669">
        <v>3</v>
      </c>
      <c r="K4669">
        <v>7816</v>
      </c>
      <c r="L4669">
        <v>3908</v>
      </c>
      <c r="M4669">
        <v>82063</v>
      </c>
      <c r="N4669">
        <v>0</v>
      </c>
      <c r="O4669">
        <v>85971</v>
      </c>
    </row>
    <row r="4670" spans="1:15" x14ac:dyDescent="0.35">
      <c r="A4670">
        <v>4669</v>
      </c>
      <c r="B4670" s="2" t="s">
        <v>22</v>
      </c>
      <c r="C4670" s="2" t="s">
        <v>15</v>
      </c>
      <c r="D4670">
        <v>21</v>
      </c>
      <c r="E4670" s="2" t="s">
        <v>12</v>
      </c>
      <c r="F4670" s="2" t="s">
        <v>17</v>
      </c>
      <c r="G4670">
        <v>32134</v>
      </c>
      <c r="H4670" s="1">
        <v>45175</v>
      </c>
      <c r="I4670">
        <v>10</v>
      </c>
      <c r="J4670">
        <v>4</v>
      </c>
      <c r="K4670">
        <v>3213</v>
      </c>
      <c r="L4670">
        <v>1607</v>
      </c>
      <c r="M4670">
        <v>33740</v>
      </c>
      <c r="N4670">
        <v>1607</v>
      </c>
      <c r="O4670">
        <v>36954</v>
      </c>
    </row>
    <row r="4671" spans="1:15" x14ac:dyDescent="0.35">
      <c r="A4671">
        <v>4670</v>
      </c>
      <c r="B4671" s="2" t="s">
        <v>22</v>
      </c>
      <c r="C4671" s="2" t="s">
        <v>11</v>
      </c>
      <c r="D4671">
        <v>51</v>
      </c>
      <c r="E4671" s="2" t="s">
        <v>12</v>
      </c>
      <c r="F4671" s="2" t="s">
        <v>21</v>
      </c>
      <c r="G4671">
        <v>94817</v>
      </c>
      <c r="H4671" s="1">
        <v>44771</v>
      </c>
      <c r="I4671">
        <v>9</v>
      </c>
      <c r="J4671">
        <v>2</v>
      </c>
      <c r="K4671">
        <v>9482</v>
      </c>
      <c r="L4671">
        <v>4741</v>
      </c>
      <c r="M4671">
        <v>99558</v>
      </c>
      <c r="N4671">
        <v>4741</v>
      </c>
      <c r="O4671">
        <v>109040</v>
      </c>
    </row>
    <row r="4672" spans="1:15" x14ac:dyDescent="0.35">
      <c r="A4672">
        <v>4671</v>
      </c>
      <c r="B4672" s="2" t="s">
        <v>20</v>
      </c>
      <c r="C4672" s="2" t="s">
        <v>15</v>
      </c>
      <c r="D4672">
        <v>53</v>
      </c>
      <c r="E4672" s="2" t="s">
        <v>24</v>
      </c>
      <c r="F4672" s="2" t="s">
        <v>19</v>
      </c>
      <c r="G4672">
        <v>54587</v>
      </c>
      <c r="H4672" s="1">
        <v>44635</v>
      </c>
      <c r="I4672">
        <v>11</v>
      </c>
      <c r="J4672">
        <v>4</v>
      </c>
      <c r="K4672">
        <v>5459</v>
      </c>
      <c r="L4672">
        <v>2729</v>
      </c>
      <c r="M4672">
        <v>57317</v>
      </c>
      <c r="N4672">
        <v>2729</v>
      </c>
      <c r="O4672">
        <v>62775</v>
      </c>
    </row>
    <row r="4673" spans="1:15" x14ac:dyDescent="0.35">
      <c r="A4673">
        <v>4672</v>
      </c>
      <c r="B4673" s="2" t="s">
        <v>18</v>
      </c>
      <c r="C4673" s="2" t="s">
        <v>11</v>
      </c>
      <c r="D4673">
        <v>42</v>
      </c>
      <c r="E4673" s="2" t="s">
        <v>12</v>
      </c>
      <c r="F4673" s="2" t="s">
        <v>17</v>
      </c>
      <c r="G4673">
        <v>48357</v>
      </c>
      <c r="H4673" s="1">
        <v>45143</v>
      </c>
      <c r="I4673">
        <v>12</v>
      </c>
      <c r="J4673">
        <v>3</v>
      </c>
      <c r="K4673">
        <v>4836</v>
      </c>
      <c r="L4673">
        <v>2418</v>
      </c>
      <c r="M4673">
        <v>50775</v>
      </c>
      <c r="N4673">
        <v>2418</v>
      </c>
      <c r="O4673">
        <v>55611</v>
      </c>
    </row>
    <row r="4674" spans="1:15" x14ac:dyDescent="0.35">
      <c r="A4674">
        <v>4673</v>
      </c>
      <c r="B4674" s="2" t="s">
        <v>31</v>
      </c>
      <c r="C4674" s="2" t="s">
        <v>15</v>
      </c>
      <c r="D4674">
        <v>57</v>
      </c>
      <c r="E4674" s="2" t="s">
        <v>28</v>
      </c>
      <c r="F4674" s="2" t="s">
        <v>21</v>
      </c>
      <c r="G4674">
        <v>95347</v>
      </c>
      <c r="H4674" s="1">
        <v>45517</v>
      </c>
      <c r="I4674">
        <v>6</v>
      </c>
      <c r="J4674">
        <v>5</v>
      </c>
      <c r="K4674">
        <v>9535</v>
      </c>
      <c r="L4674">
        <v>4767</v>
      </c>
      <c r="M4674">
        <v>100115</v>
      </c>
      <c r="N4674">
        <v>4767</v>
      </c>
      <c r="O4674">
        <v>109649</v>
      </c>
    </row>
    <row r="4675" spans="1:15" x14ac:dyDescent="0.35">
      <c r="A4675">
        <v>4674</v>
      </c>
      <c r="B4675" s="2" t="s">
        <v>27</v>
      </c>
      <c r="C4675" s="2" t="s">
        <v>15</v>
      </c>
      <c r="D4675">
        <v>29</v>
      </c>
      <c r="E4675" s="2" t="s">
        <v>16</v>
      </c>
      <c r="F4675" s="2" t="s">
        <v>19</v>
      </c>
      <c r="G4675">
        <v>67345</v>
      </c>
      <c r="H4675" s="1">
        <v>45041</v>
      </c>
      <c r="I4675">
        <v>7</v>
      </c>
      <c r="J4675">
        <v>5</v>
      </c>
      <c r="K4675">
        <v>6734</v>
      </c>
      <c r="L4675">
        <v>3367</v>
      </c>
      <c r="M4675">
        <v>70712</v>
      </c>
      <c r="N4675">
        <v>3367</v>
      </c>
      <c r="O4675">
        <v>77446</v>
      </c>
    </row>
    <row r="4676" spans="1:15" x14ac:dyDescent="0.35">
      <c r="A4676">
        <v>4675</v>
      </c>
      <c r="B4676" s="2" t="s">
        <v>31</v>
      </c>
      <c r="C4676" s="2" t="s">
        <v>11</v>
      </c>
      <c r="D4676">
        <v>50</v>
      </c>
      <c r="E4676" s="2" t="s">
        <v>16</v>
      </c>
      <c r="F4676" s="2" t="s">
        <v>17</v>
      </c>
      <c r="G4676">
        <v>57601</v>
      </c>
      <c r="H4676" s="1">
        <v>44763</v>
      </c>
      <c r="I4676">
        <v>13</v>
      </c>
      <c r="J4676">
        <v>4</v>
      </c>
      <c r="K4676">
        <v>5760</v>
      </c>
      <c r="L4676">
        <v>2880</v>
      </c>
      <c r="M4676">
        <v>60481</v>
      </c>
      <c r="N4676">
        <v>2880</v>
      </c>
      <c r="O4676">
        <v>66241</v>
      </c>
    </row>
    <row r="4677" spans="1:15" x14ac:dyDescent="0.35">
      <c r="A4677">
        <v>4676</v>
      </c>
      <c r="B4677" s="2" t="s">
        <v>23</v>
      </c>
      <c r="C4677" s="2" t="s">
        <v>15</v>
      </c>
      <c r="D4677">
        <v>36</v>
      </c>
      <c r="E4677" s="2" t="s">
        <v>24</v>
      </c>
      <c r="F4677" s="2" t="s">
        <v>21</v>
      </c>
      <c r="G4677">
        <v>73491</v>
      </c>
      <c r="H4677" s="1">
        <v>44588</v>
      </c>
      <c r="I4677">
        <v>11</v>
      </c>
      <c r="J4677">
        <v>1</v>
      </c>
      <c r="K4677">
        <v>7349</v>
      </c>
      <c r="L4677">
        <v>3675</v>
      </c>
      <c r="M4677">
        <v>77165</v>
      </c>
      <c r="N4677">
        <v>3675</v>
      </c>
      <c r="O4677">
        <v>84515</v>
      </c>
    </row>
    <row r="4678" spans="1:15" x14ac:dyDescent="0.35">
      <c r="A4678">
        <v>4677</v>
      </c>
      <c r="B4678" s="2" t="s">
        <v>18</v>
      </c>
      <c r="C4678" s="2" t="s">
        <v>11</v>
      </c>
      <c r="D4678">
        <v>23</v>
      </c>
      <c r="E4678" s="2" t="s">
        <v>12</v>
      </c>
      <c r="F4678" s="2" t="s">
        <v>13</v>
      </c>
      <c r="G4678">
        <v>31858</v>
      </c>
      <c r="H4678" s="1">
        <v>45024</v>
      </c>
      <c r="I4678">
        <v>6</v>
      </c>
      <c r="J4678">
        <v>2</v>
      </c>
      <c r="K4678">
        <v>3186</v>
      </c>
      <c r="L4678">
        <v>1593</v>
      </c>
      <c r="M4678">
        <v>33451</v>
      </c>
      <c r="N4678">
        <v>1593</v>
      </c>
      <c r="O4678">
        <v>36637</v>
      </c>
    </row>
    <row r="4679" spans="1:15" x14ac:dyDescent="0.35">
      <c r="A4679">
        <v>4678</v>
      </c>
      <c r="B4679" s="2" t="s">
        <v>31</v>
      </c>
      <c r="C4679" s="2" t="s">
        <v>11</v>
      </c>
      <c r="D4679">
        <v>59</v>
      </c>
      <c r="E4679" s="2" t="s">
        <v>29</v>
      </c>
      <c r="F4679" s="2" t="s">
        <v>21</v>
      </c>
      <c r="G4679">
        <v>92552</v>
      </c>
      <c r="H4679" s="1">
        <v>45184</v>
      </c>
      <c r="I4679">
        <v>20</v>
      </c>
      <c r="J4679">
        <v>5</v>
      </c>
      <c r="K4679">
        <v>9255</v>
      </c>
      <c r="L4679">
        <v>4628</v>
      </c>
      <c r="M4679">
        <v>97179</v>
      </c>
      <c r="N4679">
        <v>4628</v>
      </c>
      <c r="O4679">
        <v>106435</v>
      </c>
    </row>
    <row r="4680" spans="1:15" x14ac:dyDescent="0.35">
      <c r="A4680">
        <v>4679</v>
      </c>
      <c r="B4680" s="2" t="s">
        <v>10</v>
      </c>
      <c r="C4680" s="2" t="s">
        <v>11</v>
      </c>
      <c r="D4680">
        <v>33</v>
      </c>
      <c r="E4680" s="2" t="s">
        <v>12</v>
      </c>
      <c r="F4680" s="2" t="s">
        <v>17</v>
      </c>
      <c r="G4680">
        <v>98274</v>
      </c>
      <c r="H4680" s="1">
        <v>44662</v>
      </c>
      <c r="I4680">
        <v>15</v>
      </c>
      <c r="J4680">
        <v>2</v>
      </c>
      <c r="K4680">
        <v>9827</v>
      </c>
      <c r="L4680">
        <v>4914</v>
      </c>
      <c r="M4680">
        <v>103187</v>
      </c>
      <c r="N4680">
        <v>4914</v>
      </c>
      <c r="O4680">
        <v>113015</v>
      </c>
    </row>
    <row r="4681" spans="1:15" x14ac:dyDescent="0.35">
      <c r="A4681">
        <v>4680</v>
      </c>
      <c r="B4681" s="2" t="s">
        <v>27</v>
      </c>
      <c r="C4681" s="2" t="s">
        <v>15</v>
      </c>
      <c r="D4681">
        <v>48</v>
      </c>
      <c r="E4681" s="2" t="s">
        <v>24</v>
      </c>
      <c r="F4681" s="2" t="s">
        <v>21</v>
      </c>
      <c r="G4681">
        <v>65831</v>
      </c>
      <c r="H4681" s="1">
        <v>45556</v>
      </c>
      <c r="I4681">
        <v>10</v>
      </c>
      <c r="J4681">
        <v>2</v>
      </c>
      <c r="K4681">
        <v>6583</v>
      </c>
      <c r="L4681">
        <v>3292</v>
      </c>
      <c r="M4681">
        <v>69122</v>
      </c>
      <c r="N4681">
        <v>3292</v>
      </c>
      <c r="O4681">
        <v>75706</v>
      </c>
    </row>
    <row r="4682" spans="1:15" x14ac:dyDescent="0.35">
      <c r="A4682">
        <v>4681</v>
      </c>
      <c r="B4682" s="2" t="s">
        <v>14</v>
      </c>
      <c r="C4682" s="2" t="s">
        <v>11</v>
      </c>
      <c r="D4682">
        <v>21</v>
      </c>
      <c r="E4682" s="2" t="s">
        <v>24</v>
      </c>
      <c r="F4682" s="2" t="s">
        <v>19</v>
      </c>
      <c r="G4682">
        <v>36741</v>
      </c>
      <c r="H4682" s="1">
        <v>45444</v>
      </c>
      <c r="I4682">
        <v>3</v>
      </c>
      <c r="J4682">
        <v>3</v>
      </c>
      <c r="K4682">
        <v>3674</v>
      </c>
      <c r="L4682">
        <v>1837</v>
      </c>
      <c r="M4682">
        <v>38578</v>
      </c>
      <c r="N4682">
        <v>0</v>
      </c>
      <c r="O4682">
        <v>40415</v>
      </c>
    </row>
    <row r="4683" spans="1:15" x14ac:dyDescent="0.35">
      <c r="A4683">
        <v>4682</v>
      </c>
      <c r="B4683" s="2" t="s">
        <v>14</v>
      </c>
      <c r="C4683" s="2" t="s">
        <v>11</v>
      </c>
      <c r="D4683">
        <v>48</v>
      </c>
      <c r="E4683" s="2" t="s">
        <v>29</v>
      </c>
      <c r="F4683" s="2" t="s">
        <v>21</v>
      </c>
      <c r="G4683">
        <v>85443</v>
      </c>
      <c r="H4683" s="1">
        <v>45167</v>
      </c>
      <c r="I4683">
        <v>11</v>
      </c>
      <c r="J4683">
        <v>4</v>
      </c>
      <c r="K4683">
        <v>8544</v>
      </c>
      <c r="L4683">
        <v>4272</v>
      </c>
      <c r="M4683">
        <v>89715</v>
      </c>
      <c r="N4683">
        <v>4272</v>
      </c>
      <c r="O4683">
        <v>98259</v>
      </c>
    </row>
    <row r="4684" spans="1:15" x14ac:dyDescent="0.35">
      <c r="A4684">
        <v>4683</v>
      </c>
      <c r="B4684" s="2" t="s">
        <v>30</v>
      </c>
      <c r="C4684" s="2" t="s">
        <v>15</v>
      </c>
      <c r="D4684">
        <v>23</v>
      </c>
      <c r="E4684" s="2" t="s">
        <v>16</v>
      </c>
      <c r="F4684" s="2" t="s">
        <v>25</v>
      </c>
      <c r="G4684">
        <v>37599</v>
      </c>
      <c r="H4684" s="1">
        <v>45548</v>
      </c>
      <c r="I4684">
        <v>11</v>
      </c>
      <c r="J4684">
        <v>5</v>
      </c>
      <c r="K4684">
        <v>3760</v>
      </c>
      <c r="L4684">
        <v>1880</v>
      </c>
      <c r="M4684">
        <v>39479</v>
      </c>
      <c r="N4684">
        <v>1880</v>
      </c>
      <c r="O4684">
        <v>43239</v>
      </c>
    </row>
    <row r="4685" spans="1:15" x14ac:dyDescent="0.35">
      <c r="A4685">
        <v>4684</v>
      </c>
      <c r="B4685" s="2" t="s">
        <v>31</v>
      </c>
      <c r="C4685" s="2" t="s">
        <v>11</v>
      </c>
      <c r="D4685">
        <v>38</v>
      </c>
      <c r="E4685" s="2" t="s">
        <v>24</v>
      </c>
      <c r="F4685" s="2" t="s">
        <v>19</v>
      </c>
      <c r="G4685">
        <v>22555</v>
      </c>
      <c r="H4685" s="1">
        <v>44920</v>
      </c>
      <c r="I4685">
        <v>20</v>
      </c>
      <c r="J4685">
        <v>5</v>
      </c>
      <c r="K4685">
        <v>2256</v>
      </c>
      <c r="L4685">
        <v>1128</v>
      </c>
      <c r="M4685">
        <v>23683</v>
      </c>
      <c r="N4685">
        <v>1128</v>
      </c>
      <c r="O4685">
        <v>25939</v>
      </c>
    </row>
    <row r="4686" spans="1:15" x14ac:dyDescent="0.35">
      <c r="A4686">
        <v>4685</v>
      </c>
      <c r="B4686" s="2" t="s">
        <v>30</v>
      </c>
      <c r="C4686" s="2" t="s">
        <v>15</v>
      </c>
      <c r="D4686">
        <v>37</v>
      </c>
      <c r="E4686" s="2" t="s">
        <v>12</v>
      </c>
      <c r="F4686" s="2" t="s">
        <v>17</v>
      </c>
      <c r="G4686">
        <v>68300</v>
      </c>
      <c r="H4686" s="1">
        <v>44774</v>
      </c>
      <c r="I4686">
        <v>1</v>
      </c>
      <c r="J4686">
        <v>5</v>
      </c>
      <c r="K4686">
        <v>6830</v>
      </c>
      <c r="L4686">
        <v>3415</v>
      </c>
      <c r="M4686">
        <v>71715</v>
      </c>
      <c r="N4686">
        <v>0</v>
      </c>
      <c r="O4686">
        <v>75130</v>
      </c>
    </row>
    <row r="4687" spans="1:15" x14ac:dyDescent="0.35">
      <c r="A4687">
        <v>4686</v>
      </c>
      <c r="B4687" s="2" t="s">
        <v>23</v>
      </c>
      <c r="C4687" s="2" t="s">
        <v>15</v>
      </c>
      <c r="D4687">
        <v>57</v>
      </c>
      <c r="E4687" s="2" t="s">
        <v>29</v>
      </c>
      <c r="F4687" s="2" t="s">
        <v>25</v>
      </c>
      <c r="G4687">
        <v>55072</v>
      </c>
      <c r="H4687" s="1">
        <v>45409</v>
      </c>
      <c r="I4687">
        <v>3</v>
      </c>
      <c r="J4687">
        <v>5</v>
      </c>
      <c r="K4687">
        <v>5507</v>
      </c>
      <c r="L4687">
        <v>2754</v>
      </c>
      <c r="M4687">
        <v>57825</v>
      </c>
      <c r="N4687">
        <v>0</v>
      </c>
      <c r="O4687">
        <v>60579</v>
      </c>
    </row>
    <row r="4688" spans="1:15" x14ac:dyDescent="0.35">
      <c r="A4688">
        <v>4687</v>
      </c>
      <c r="B4688" s="2" t="s">
        <v>23</v>
      </c>
      <c r="C4688" s="2" t="s">
        <v>11</v>
      </c>
      <c r="D4688">
        <v>47</v>
      </c>
      <c r="E4688" s="2" t="s">
        <v>24</v>
      </c>
      <c r="F4688" s="2" t="s">
        <v>19</v>
      </c>
      <c r="G4688">
        <v>40206</v>
      </c>
      <c r="H4688" s="1">
        <v>44976</v>
      </c>
      <c r="I4688">
        <v>7</v>
      </c>
      <c r="J4688">
        <v>1</v>
      </c>
      <c r="K4688">
        <v>4021</v>
      </c>
      <c r="L4688">
        <v>2010</v>
      </c>
      <c r="M4688">
        <v>42217</v>
      </c>
      <c r="N4688">
        <v>2010</v>
      </c>
      <c r="O4688">
        <v>46237</v>
      </c>
    </row>
    <row r="4689" spans="1:15" x14ac:dyDescent="0.35">
      <c r="A4689">
        <v>4688</v>
      </c>
      <c r="B4689" s="2" t="s">
        <v>27</v>
      </c>
      <c r="C4689" s="2" t="s">
        <v>11</v>
      </c>
      <c r="D4689">
        <v>59</v>
      </c>
      <c r="E4689" s="2" t="s">
        <v>24</v>
      </c>
      <c r="F4689" s="2" t="s">
        <v>13</v>
      </c>
      <c r="G4689">
        <v>76660</v>
      </c>
      <c r="H4689" s="1">
        <v>44841</v>
      </c>
      <c r="I4689">
        <v>18</v>
      </c>
      <c r="J4689">
        <v>5</v>
      </c>
      <c r="K4689">
        <v>7666</v>
      </c>
      <c r="L4689">
        <v>3833</v>
      </c>
      <c r="M4689">
        <v>80493</v>
      </c>
      <c r="N4689">
        <v>3833</v>
      </c>
      <c r="O4689">
        <v>88159</v>
      </c>
    </row>
    <row r="4690" spans="1:15" x14ac:dyDescent="0.35">
      <c r="A4690">
        <v>4689</v>
      </c>
      <c r="B4690" s="2" t="s">
        <v>27</v>
      </c>
      <c r="C4690" s="2" t="s">
        <v>15</v>
      </c>
      <c r="D4690">
        <v>34</v>
      </c>
      <c r="E4690" s="2" t="s">
        <v>28</v>
      </c>
      <c r="F4690" s="2" t="s">
        <v>13</v>
      </c>
      <c r="G4690">
        <v>24515</v>
      </c>
      <c r="H4690" s="1">
        <v>45337</v>
      </c>
      <c r="I4690">
        <v>1</v>
      </c>
      <c r="J4690">
        <v>1</v>
      </c>
      <c r="K4690">
        <v>2452</v>
      </c>
      <c r="L4690">
        <v>1226</v>
      </c>
      <c r="M4690">
        <v>25741</v>
      </c>
      <c r="N4690">
        <v>0</v>
      </c>
      <c r="O4690">
        <v>26967</v>
      </c>
    </row>
    <row r="4691" spans="1:15" x14ac:dyDescent="0.35">
      <c r="A4691">
        <v>4690</v>
      </c>
      <c r="B4691" s="2" t="s">
        <v>26</v>
      </c>
      <c r="C4691" s="2" t="s">
        <v>15</v>
      </c>
      <c r="D4691">
        <v>29</v>
      </c>
      <c r="E4691" s="2" t="s">
        <v>29</v>
      </c>
      <c r="F4691" s="2" t="s">
        <v>17</v>
      </c>
      <c r="G4691">
        <v>81715</v>
      </c>
      <c r="H4691" s="1">
        <v>44599</v>
      </c>
      <c r="I4691">
        <v>7</v>
      </c>
      <c r="J4691">
        <v>1</v>
      </c>
      <c r="K4691">
        <v>8172</v>
      </c>
      <c r="L4691">
        <v>4086</v>
      </c>
      <c r="M4691">
        <v>85801</v>
      </c>
      <c r="N4691">
        <v>4086</v>
      </c>
      <c r="O4691">
        <v>93973</v>
      </c>
    </row>
    <row r="4692" spans="1:15" x14ac:dyDescent="0.35">
      <c r="A4692">
        <v>4691</v>
      </c>
      <c r="B4692" s="2" t="s">
        <v>31</v>
      </c>
      <c r="C4692" s="2" t="s">
        <v>11</v>
      </c>
      <c r="D4692">
        <v>60</v>
      </c>
      <c r="E4692" s="2" t="s">
        <v>24</v>
      </c>
      <c r="F4692" s="2" t="s">
        <v>19</v>
      </c>
      <c r="G4692">
        <v>46215</v>
      </c>
      <c r="H4692" s="1">
        <v>44637</v>
      </c>
      <c r="I4692">
        <v>14</v>
      </c>
      <c r="J4692">
        <v>3</v>
      </c>
      <c r="K4692">
        <v>4622</v>
      </c>
      <c r="L4692">
        <v>2311</v>
      </c>
      <c r="M4692">
        <v>48526</v>
      </c>
      <c r="N4692">
        <v>2311</v>
      </c>
      <c r="O4692">
        <v>53148</v>
      </c>
    </row>
    <row r="4693" spans="1:15" x14ac:dyDescent="0.35">
      <c r="A4693">
        <v>4692</v>
      </c>
      <c r="B4693" s="2" t="s">
        <v>20</v>
      </c>
      <c r="C4693" s="2" t="s">
        <v>11</v>
      </c>
      <c r="D4693">
        <v>33</v>
      </c>
      <c r="E4693" s="2" t="s">
        <v>12</v>
      </c>
      <c r="F4693" s="2" t="s">
        <v>21</v>
      </c>
      <c r="G4693">
        <v>85727</v>
      </c>
      <c r="H4693" s="1">
        <v>45296</v>
      </c>
      <c r="I4693">
        <v>10</v>
      </c>
      <c r="J4693">
        <v>2</v>
      </c>
      <c r="K4693">
        <v>8573</v>
      </c>
      <c r="L4693">
        <v>4286</v>
      </c>
      <c r="M4693">
        <v>90014</v>
      </c>
      <c r="N4693">
        <v>4286</v>
      </c>
      <c r="O4693">
        <v>98586</v>
      </c>
    </row>
    <row r="4694" spans="1:15" x14ac:dyDescent="0.35">
      <c r="A4694">
        <v>4693</v>
      </c>
      <c r="B4694" s="2" t="s">
        <v>10</v>
      </c>
      <c r="C4694" s="2" t="s">
        <v>11</v>
      </c>
      <c r="D4694">
        <v>28</v>
      </c>
      <c r="E4694" s="2" t="s">
        <v>16</v>
      </c>
      <c r="F4694" s="2" t="s">
        <v>21</v>
      </c>
      <c r="G4694">
        <v>97886</v>
      </c>
      <c r="H4694" s="1">
        <v>45344</v>
      </c>
      <c r="I4694">
        <v>11</v>
      </c>
      <c r="J4694">
        <v>1</v>
      </c>
      <c r="K4694">
        <v>9789</v>
      </c>
      <c r="L4694">
        <v>4894</v>
      </c>
      <c r="M4694">
        <v>102781</v>
      </c>
      <c r="N4694">
        <v>4894</v>
      </c>
      <c r="O4694">
        <v>112569</v>
      </c>
    </row>
    <row r="4695" spans="1:15" x14ac:dyDescent="0.35">
      <c r="A4695">
        <v>4694</v>
      </c>
      <c r="B4695" s="2" t="s">
        <v>14</v>
      </c>
      <c r="C4695" s="2" t="s">
        <v>11</v>
      </c>
      <c r="D4695">
        <v>21</v>
      </c>
      <c r="E4695" s="2" t="s">
        <v>12</v>
      </c>
      <c r="F4695" s="2" t="s">
        <v>17</v>
      </c>
      <c r="G4695">
        <v>43078</v>
      </c>
      <c r="H4695" s="1">
        <v>45345</v>
      </c>
      <c r="I4695">
        <v>6</v>
      </c>
      <c r="J4695">
        <v>1</v>
      </c>
      <c r="K4695">
        <v>4308</v>
      </c>
      <c r="L4695">
        <v>2154</v>
      </c>
      <c r="M4695">
        <v>45232</v>
      </c>
      <c r="N4695">
        <v>2154</v>
      </c>
      <c r="O4695">
        <v>49540</v>
      </c>
    </row>
    <row r="4696" spans="1:15" x14ac:dyDescent="0.35">
      <c r="A4696">
        <v>4695</v>
      </c>
      <c r="B4696" s="2" t="s">
        <v>10</v>
      </c>
      <c r="C4696" s="2" t="s">
        <v>11</v>
      </c>
      <c r="D4696">
        <v>33</v>
      </c>
      <c r="E4696" s="2" t="s">
        <v>24</v>
      </c>
      <c r="F4696" s="2" t="s">
        <v>17</v>
      </c>
      <c r="G4696">
        <v>79511</v>
      </c>
      <c r="H4696" s="1">
        <v>45108</v>
      </c>
      <c r="I4696">
        <v>12</v>
      </c>
      <c r="J4696">
        <v>1</v>
      </c>
      <c r="K4696">
        <v>7951</v>
      </c>
      <c r="L4696">
        <v>3976</v>
      </c>
      <c r="M4696">
        <v>83486</v>
      </c>
      <c r="N4696">
        <v>3976</v>
      </c>
      <c r="O4696">
        <v>91438</v>
      </c>
    </row>
    <row r="4697" spans="1:15" x14ac:dyDescent="0.35">
      <c r="A4697">
        <v>4696</v>
      </c>
      <c r="B4697" s="2" t="s">
        <v>23</v>
      </c>
      <c r="C4697" s="2" t="s">
        <v>15</v>
      </c>
      <c r="D4697">
        <v>22</v>
      </c>
      <c r="E4697" s="2" t="s">
        <v>12</v>
      </c>
      <c r="F4697" s="2" t="s">
        <v>19</v>
      </c>
      <c r="G4697">
        <v>24321</v>
      </c>
      <c r="H4697" s="1">
        <v>45462</v>
      </c>
      <c r="I4697">
        <v>7</v>
      </c>
      <c r="J4697">
        <v>1</v>
      </c>
      <c r="K4697">
        <v>2432</v>
      </c>
      <c r="L4697">
        <v>1216</v>
      </c>
      <c r="M4697">
        <v>25537</v>
      </c>
      <c r="N4697">
        <v>1216</v>
      </c>
      <c r="O4697">
        <v>27969</v>
      </c>
    </row>
    <row r="4698" spans="1:15" x14ac:dyDescent="0.35">
      <c r="A4698">
        <v>4697</v>
      </c>
      <c r="B4698" s="2" t="s">
        <v>30</v>
      </c>
      <c r="C4698" s="2" t="s">
        <v>11</v>
      </c>
      <c r="D4698">
        <v>36</v>
      </c>
      <c r="E4698" s="2" t="s">
        <v>12</v>
      </c>
      <c r="F4698" s="2" t="s">
        <v>17</v>
      </c>
      <c r="G4698">
        <v>93339</v>
      </c>
      <c r="H4698" s="1">
        <v>45155</v>
      </c>
      <c r="I4698">
        <v>18</v>
      </c>
      <c r="J4698">
        <v>4</v>
      </c>
      <c r="K4698">
        <v>9334</v>
      </c>
      <c r="L4698">
        <v>4667</v>
      </c>
      <c r="M4698">
        <v>98006</v>
      </c>
      <c r="N4698">
        <v>4667</v>
      </c>
      <c r="O4698">
        <v>107340</v>
      </c>
    </row>
    <row r="4699" spans="1:15" x14ac:dyDescent="0.35">
      <c r="A4699">
        <v>4698</v>
      </c>
      <c r="B4699" s="2" t="s">
        <v>23</v>
      </c>
      <c r="C4699" s="2" t="s">
        <v>11</v>
      </c>
      <c r="D4699">
        <v>52</v>
      </c>
      <c r="E4699" s="2" t="s">
        <v>29</v>
      </c>
      <c r="F4699" s="2" t="s">
        <v>17</v>
      </c>
      <c r="G4699">
        <v>73600</v>
      </c>
      <c r="H4699" s="1">
        <v>45039</v>
      </c>
      <c r="I4699">
        <v>18</v>
      </c>
      <c r="J4699">
        <v>5</v>
      </c>
      <c r="K4699">
        <v>7360</v>
      </c>
      <c r="L4699">
        <v>3680</v>
      </c>
      <c r="M4699">
        <v>77280</v>
      </c>
      <c r="N4699">
        <v>3680</v>
      </c>
      <c r="O4699">
        <v>84640</v>
      </c>
    </row>
    <row r="4700" spans="1:15" x14ac:dyDescent="0.35">
      <c r="A4700">
        <v>4699</v>
      </c>
      <c r="B4700" s="2" t="s">
        <v>20</v>
      </c>
      <c r="C4700" s="2" t="s">
        <v>11</v>
      </c>
      <c r="D4700">
        <v>43</v>
      </c>
      <c r="E4700" s="2" t="s">
        <v>29</v>
      </c>
      <c r="F4700" s="2" t="s">
        <v>25</v>
      </c>
      <c r="G4700">
        <v>52386</v>
      </c>
      <c r="H4700" s="1">
        <v>45365</v>
      </c>
      <c r="I4700">
        <v>17</v>
      </c>
      <c r="J4700">
        <v>1</v>
      </c>
      <c r="K4700">
        <v>5239</v>
      </c>
      <c r="L4700">
        <v>2619</v>
      </c>
      <c r="M4700">
        <v>55006</v>
      </c>
      <c r="N4700">
        <v>2619</v>
      </c>
      <c r="O4700">
        <v>60244</v>
      </c>
    </row>
    <row r="4701" spans="1:15" x14ac:dyDescent="0.35">
      <c r="A4701">
        <v>4700</v>
      </c>
      <c r="B4701" s="2" t="s">
        <v>23</v>
      </c>
      <c r="C4701" s="2" t="s">
        <v>11</v>
      </c>
      <c r="D4701">
        <v>57</v>
      </c>
      <c r="E4701" s="2" t="s">
        <v>12</v>
      </c>
      <c r="F4701" s="2" t="s">
        <v>21</v>
      </c>
      <c r="G4701">
        <v>65675</v>
      </c>
      <c r="H4701" s="1">
        <v>45191</v>
      </c>
      <c r="I4701">
        <v>20</v>
      </c>
      <c r="J4701">
        <v>5</v>
      </c>
      <c r="K4701">
        <v>6568</v>
      </c>
      <c r="L4701">
        <v>3284</v>
      </c>
      <c r="M4701">
        <v>68959</v>
      </c>
      <c r="N4701">
        <v>3284</v>
      </c>
      <c r="O4701">
        <v>75527</v>
      </c>
    </row>
    <row r="4702" spans="1:15" x14ac:dyDescent="0.35">
      <c r="A4702">
        <v>4701</v>
      </c>
      <c r="B4702" s="2" t="s">
        <v>31</v>
      </c>
      <c r="C4702" s="2" t="s">
        <v>11</v>
      </c>
      <c r="D4702">
        <v>37</v>
      </c>
      <c r="E4702" s="2" t="s">
        <v>12</v>
      </c>
      <c r="F4702" s="2" t="s">
        <v>21</v>
      </c>
      <c r="G4702">
        <v>76879</v>
      </c>
      <c r="H4702" s="1">
        <v>45532</v>
      </c>
      <c r="I4702">
        <v>20</v>
      </c>
      <c r="J4702">
        <v>4</v>
      </c>
      <c r="K4702">
        <v>7688</v>
      </c>
      <c r="L4702">
        <v>3844</v>
      </c>
      <c r="M4702">
        <v>80723</v>
      </c>
      <c r="N4702">
        <v>3844</v>
      </c>
      <c r="O4702">
        <v>88411</v>
      </c>
    </row>
    <row r="4703" spans="1:15" x14ac:dyDescent="0.35">
      <c r="A4703">
        <v>4702</v>
      </c>
      <c r="B4703" s="2" t="s">
        <v>18</v>
      </c>
      <c r="C4703" s="2" t="s">
        <v>11</v>
      </c>
      <c r="D4703">
        <v>29</v>
      </c>
      <c r="E4703" s="2" t="s">
        <v>12</v>
      </c>
      <c r="F4703" s="2" t="s">
        <v>25</v>
      </c>
      <c r="G4703">
        <v>86758</v>
      </c>
      <c r="H4703" s="1">
        <v>44717</v>
      </c>
      <c r="I4703">
        <v>5</v>
      </c>
      <c r="J4703">
        <v>5</v>
      </c>
      <c r="K4703">
        <v>8676</v>
      </c>
      <c r="L4703">
        <v>4338</v>
      </c>
      <c r="M4703">
        <v>91096</v>
      </c>
      <c r="N4703">
        <v>0</v>
      </c>
      <c r="O4703">
        <v>95434</v>
      </c>
    </row>
    <row r="4704" spans="1:15" x14ac:dyDescent="0.35">
      <c r="A4704">
        <v>4703</v>
      </c>
      <c r="B4704" s="2" t="s">
        <v>20</v>
      </c>
      <c r="C4704" s="2" t="s">
        <v>11</v>
      </c>
      <c r="D4704">
        <v>57</v>
      </c>
      <c r="E4704" s="2" t="s">
        <v>29</v>
      </c>
      <c r="F4704" s="2" t="s">
        <v>19</v>
      </c>
      <c r="G4704">
        <v>31015</v>
      </c>
      <c r="H4704" s="1">
        <v>45044</v>
      </c>
      <c r="I4704">
        <v>5</v>
      </c>
      <c r="J4704">
        <v>1</v>
      </c>
      <c r="K4704">
        <v>3102</v>
      </c>
      <c r="L4704">
        <v>1551</v>
      </c>
      <c r="M4704">
        <v>32566</v>
      </c>
      <c r="N4704">
        <v>0</v>
      </c>
      <c r="O4704">
        <v>34117</v>
      </c>
    </row>
    <row r="4705" spans="1:15" x14ac:dyDescent="0.35">
      <c r="A4705">
        <v>4704</v>
      </c>
      <c r="B4705" s="2" t="s">
        <v>30</v>
      </c>
      <c r="C4705" s="2" t="s">
        <v>15</v>
      </c>
      <c r="D4705">
        <v>29</v>
      </c>
      <c r="E4705" s="2" t="s">
        <v>24</v>
      </c>
      <c r="F4705" s="2" t="s">
        <v>17</v>
      </c>
      <c r="G4705">
        <v>42748</v>
      </c>
      <c r="H4705" s="1">
        <v>44795</v>
      </c>
      <c r="I4705">
        <v>10</v>
      </c>
      <c r="J4705">
        <v>1</v>
      </c>
      <c r="K4705">
        <v>4275</v>
      </c>
      <c r="L4705">
        <v>2137</v>
      </c>
      <c r="M4705">
        <v>44886</v>
      </c>
      <c r="N4705">
        <v>2137</v>
      </c>
      <c r="O4705">
        <v>49160</v>
      </c>
    </row>
    <row r="4706" spans="1:15" x14ac:dyDescent="0.35">
      <c r="A4706">
        <v>4705</v>
      </c>
      <c r="B4706" s="2" t="s">
        <v>20</v>
      </c>
      <c r="C4706" s="2" t="s">
        <v>11</v>
      </c>
      <c r="D4706">
        <v>51</v>
      </c>
      <c r="E4706" s="2" t="s">
        <v>24</v>
      </c>
      <c r="F4706" s="2" t="s">
        <v>13</v>
      </c>
      <c r="G4706">
        <v>20004</v>
      </c>
      <c r="H4706" s="1">
        <v>45493</v>
      </c>
      <c r="I4706">
        <v>2</v>
      </c>
      <c r="J4706">
        <v>3</v>
      </c>
      <c r="K4706">
        <v>2000</v>
      </c>
      <c r="L4706">
        <v>1000</v>
      </c>
      <c r="M4706">
        <v>21004</v>
      </c>
      <c r="N4706">
        <v>0</v>
      </c>
      <c r="O4706">
        <v>22004</v>
      </c>
    </row>
    <row r="4707" spans="1:15" x14ac:dyDescent="0.35">
      <c r="A4707">
        <v>4706</v>
      </c>
      <c r="B4707" s="2" t="s">
        <v>26</v>
      </c>
      <c r="C4707" s="2" t="s">
        <v>15</v>
      </c>
      <c r="D4707">
        <v>22</v>
      </c>
      <c r="E4707" s="2" t="s">
        <v>24</v>
      </c>
      <c r="F4707" s="2" t="s">
        <v>21</v>
      </c>
      <c r="G4707">
        <v>53833</v>
      </c>
      <c r="H4707" s="1">
        <v>44824</v>
      </c>
      <c r="I4707">
        <v>5</v>
      </c>
      <c r="J4707">
        <v>3</v>
      </c>
      <c r="K4707">
        <v>5383</v>
      </c>
      <c r="L4707">
        <v>2692</v>
      </c>
      <c r="M4707">
        <v>56524</v>
      </c>
      <c r="N4707">
        <v>0</v>
      </c>
      <c r="O4707">
        <v>59216</v>
      </c>
    </row>
    <row r="4708" spans="1:15" x14ac:dyDescent="0.35">
      <c r="A4708">
        <v>4707</v>
      </c>
      <c r="B4708" s="2" t="s">
        <v>26</v>
      </c>
      <c r="C4708" s="2" t="s">
        <v>11</v>
      </c>
      <c r="D4708">
        <v>58</v>
      </c>
      <c r="E4708" s="2" t="s">
        <v>16</v>
      </c>
      <c r="F4708" s="2" t="s">
        <v>19</v>
      </c>
      <c r="G4708">
        <v>23479</v>
      </c>
      <c r="H4708" s="1">
        <v>44916</v>
      </c>
      <c r="I4708">
        <v>15</v>
      </c>
      <c r="J4708">
        <v>4</v>
      </c>
      <c r="K4708">
        <v>2348</v>
      </c>
      <c r="L4708">
        <v>1174</v>
      </c>
      <c r="M4708">
        <v>24653</v>
      </c>
      <c r="N4708">
        <v>1174</v>
      </c>
      <c r="O4708">
        <v>27001</v>
      </c>
    </row>
    <row r="4709" spans="1:15" x14ac:dyDescent="0.35">
      <c r="A4709">
        <v>4708</v>
      </c>
      <c r="B4709" s="2" t="s">
        <v>23</v>
      </c>
      <c r="C4709" s="2" t="s">
        <v>11</v>
      </c>
      <c r="D4709">
        <v>28</v>
      </c>
      <c r="E4709" s="2" t="s">
        <v>28</v>
      </c>
      <c r="F4709" s="2" t="s">
        <v>17</v>
      </c>
      <c r="G4709">
        <v>43740</v>
      </c>
      <c r="H4709" s="1">
        <v>45212</v>
      </c>
      <c r="I4709">
        <v>5</v>
      </c>
      <c r="J4709">
        <v>1</v>
      </c>
      <c r="K4709">
        <v>4374</v>
      </c>
      <c r="L4709">
        <v>2187</v>
      </c>
      <c r="M4709">
        <v>45927</v>
      </c>
      <c r="N4709">
        <v>0</v>
      </c>
      <c r="O4709">
        <v>48114</v>
      </c>
    </row>
    <row r="4710" spans="1:15" x14ac:dyDescent="0.35">
      <c r="A4710">
        <v>4709</v>
      </c>
      <c r="B4710" s="2" t="s">
        <v>23</v>
      </c>
      <c r="C4710" s="2" t="s">
        <v>11</v>
      </c>
      <c r="D4710">
        <v>45</v>
      </c>
      <c r="E4710" s="2" t="s">
        <v>12</v>
      </c>
      <c r="F4710" s="2" t="s">
        <v>25</v>
      </c>
      <c r="G4710">
        <v>22310</v>
      </c>
      <c r="H4710" s="1">
        <v>44837</v>
      </c>
      <c r="I4710">
        <v>9</v>
      </c>
      <c r="J4710">
        <v>5</v>
      </c>
      <c r="K4710">
        <v>2231</v>
      </c>
      <c r="L4710">
        <v>1116</v>
      </c>
      <c r="M4710">
        <v>23425</v>
      </c>
      <c r="N4710">
        <v>1116</v>
      </c>
      <c r="O4710">
        <v>25657</v>
      </c>
    </row>
    <row r="4711" spans="1:15" x14ac:dyDescent="0.35">
      <c r="A4711">
        <v>4710</v>
      </c>
      <c r="B4711" s="2" t="s">
        <v>20</v>
      </c>
      <c r="C4711" s="2" t="s">
        <v>15</v>
      </c>
      <c r="D4711">
        <v>48</v>
      </c>
      <c r="E4711" s="2" t="s">
        <v>28</v>
      </c>
      <c r="F4711" s="2" t="s">
        <v>19</v>
      </c>
      <c r="G4711">
        <v>29500</v>
      </c>
      <c r="H4711" s="1">
        <v>44768</v>
      </c>
      <c r="I4711">
        <v>19</v>
      </c>
      <c r="J4711">
        <v>5</v>
      </c>
      <c r="K4711">
        <v>2950</v>
      </c>
      <c r="L4711">
        <v>1475</v>
      </c>
      <c r="M4711">
        <v>30975</v>
      </c>
      <c r="N4711">
        <v>1475</v>
      </c>
      <c r="O4711">
        <v>33925</v>
      </c>
    </row>
    <row r="4712" spans="1:15" x14ac:dyDescent="0.35">
      <c r="A4712">
        <v>4711</v>
      </c>
      <c r="B4712" s="2" t="s">
        <v>22</v>
      </c>
      <c r="C4712" s="2" t="s">
        <v>11</v>
      </c>
      <c r="D4712">
        <v>33</v>
      </c>
      <c r="E4712" s="2" t="s">
        <v>16</v>
      </c>
      <c r="F4712" s="2" t="s">
        <v>17</v>
      </c>
      <c r="G4712">
        <v>33629</v>
      </c>
      <c r="H4712" s="1">
        <v>45493</v>
      </c>
      <c r="I4712">
        <v>16</v>
      </c>
      <c r="J4712">
        <v>3</v>
      </c>
      <c r="K4712">
        <v>3363</v>
      </c>
      <c r="L4712">
        <v>1681</v>
      </c>
      <c r="M4712">
        <v>35311</v>
      </c>
      <c r="N4712">
        <v>1681</v>
      </c>
      <c r="O4712">
        <v>38673</v>
      </c>
    </row>
    <row r="4713" spans="1:15" x14ac:dyDescent="0.35">
      <c r="A4713">
        <v>4712</v>
      </c>
      <c r="B4713" s="2" t="s">
        <v>26</v>
      </c>
      <c r="C4713" s="2" t="s">
        <v>11</v>
      </c>
      <c r="D4713">
        <v>33</v>
      </c>
      <c r="E4713" s="2" t="s">
        <v>12</v>
      </c>
      <c r="F4713" s="2" t="s">
        <v>19</v>
      </c>
      <c r="G4713">
        <v>72699</v>
      </c>
      <c r="H4713" s="1">
        <v>45211</v>
      </c>
      <c r="I4713">
        <v>11</v>
      </c>
      <c r="J4713">
        <v>1</v>
      </c>
      <c r="K4713">
        <v>7270</v>
      </c>
      <c r="L4713">
        <v>3635</v>
      </c>
      <c r="M4713">
        <v>76334</v>
      </c>
      <c r="N4713">
        <v>3635</v>
      </c>
      <c r="O4713">
        <v>83604</v>
      </c>
    </row>
    <row r="4714" spans="1:15" x14ac:dyDescent="0.35">
      <c r="A4714">
        <v>4713</v>
      </c>
      <c r="B4714" s="2" t="s">
        <v>30</v>
      </c>
      <c r="C4714" s="2" t="s">
        <v>15</v>
      </c>
      <c r="D4714">
        <v>49</v>
      </c>
      <c r="E4714" s="2" t="s">
        <v>28</v>
      </c>
      <c r="F4714" s="2" t="s">
        <v>21</v>
      </c>
      <c r="G4714">
        <v>76744</v>
      </c>
      <c r="H4714" s="1">
        <v>45004</v>
      </c>
      <c r="I4714">
        <v>2</v>
      </c>
      <c r="J4714">
        <v>2</v>
      </c>
      <c r="K4714">
        <v>7674</v>
      </c>
      <c r="L4714">
        <v>3837</v>
      </c>
      <c r="M4714">
        <v>80581</v>
      </c>
      <c r="N4714">
        <v>0</v>
      </c>
      <c r="O4714">
        <v>84418</v>
      </c>
    </row>
    <row r="4715" spans="1:15" x14ac:dyDescent="0.35">
      <c r="A4715">
        <v>4714</v>
      </c>
      <c r="B4715" s="2" t="s">
        <v>23</v>
      </c>
      <c r="C4715" s="2" t="s">
        <v>15</v>
      </c>
      <c r="D4715">
        <v>45</v>
      </c>
      <c r="E4715" s="2" t="s">
        <v>24</v>
      </c>
      <c r="F4715" s="2" t="s">
        <v>21</v>
      </c>
      <c r="G4715">
        <v>22827</v>
      </c>
      <c r="H4715" s="1">
        <v>45033</v>
      </c>
      <c r="I4715">
        <v>14</v>
      </c>
      <c r="J4715">
        <v>3</v>
      </c>
      <c r="K4715">
        <v>2283</v>
      </c>
      <c r="L4715">
        <v>1141</v>
      </c>
      <c r="M4715">
        <v>23969</v>
      </c>
      <c r="N4715">
        <v>1141</v>
      </c>
      <c r="O4715">
        <v>26251</v>
      </c>
    </row>
    <row r="4716" spans="1:15" x14ac:dyDescent="0.35">
      <c r="A4716">
        <v>4715</v>
      </c>
      <c r="B4716" s="2" t="s">
        <v>27</v>
      </c>
      <c r="C4716" s="2" t="s">
        <v>11</v>
      </c>
      <c r="D4716">
        <v>23</v>
      </c>
      <c r="E4716" s="2" t="s">
        <v>24</v>
      </c>
      <c r="F4716" s="2" t="s">
        <v>13</v>
      </c>
      <c r="G4716">
        <v>68304</v>
      </c>
      <c r="H4716" s="1">
        <v>44729</v>
      </c>
      <c r="I4716">
        <v>14</v>
      </c>
      <c r="J4716">
        <v>3</v>
      </c>
      <c r="K4716">
        <v>6830</v>
      </c>
      <c r="L4716">
        <v>3415</v>
      </c>
      <c r="M4716">
        <v>71719</v>
      </c>
      <c r="N4716">
        <v>3415</v>
      </c>
      <c r="O4716">
        <v>78549</v>
      </c>
    </row>
    <row r="4717" spans="1:15" x14ac:dyDescent="0.35">
      <c r="A4717">
        <v>4716</v>
      </c>
      <c r="B4717" s="2" t="s">
        <v>23</v>
      </c>
      <c r="C4717" s="2" t="s">
        <v>11</v>
      </c>
      <c r="D4717">
        <v>43</v>
      </c>
      <c r="E4717" s="2" t="s">
        <v>16</v>
      </c>
      <c r="F4717" s="2" t="s">
        <v>21</v>
      </c>
      <c r="G4717">
        <v>81347</v>
      </c>
      <c r="H4717" s="1">
        <v>45373</v>
      </c>
      <c r="I4717">
        <v>11</v>
      </c>
      <c r="J4717">
        <v>4</v>
      </c>
      <c r="K4717">
        <v>8135</v>
      </c>
      <c r="L4717">
        <v>4067</v>
      </c>
      <c r="M4717">
        <v>85415</v>
      </c>
      <c r="N4717">
        <v>4067</v>
      </c>
      <c r="O4717">
        <v>93549</v>
      </c>
    </row>
    <row r="4718" spans="1:15" x14ac:dyDescent="0.35">
      <c r="A4718">
        <v>4717</v>
      </c>
      <c r="B4718" s="2" t="s">
        <v>31</v>
      </c>
      <c r="C4718" s="2" t="s">
        <v>15</v>
      </c>
      <c r="D4718">
        <v>38</v>
      </c>
      <c r="E4718" s="2" t="s">
        <v>28</v>
      </c>
      <c r="F4718" s="2" t="s">
        <v>17</v>
      </c>
      <c r="G4718">
        <v>80880</v>
      </c>
      <c r="H4718" s="1">
        <v>45272</v>
      </c>
      <c r="I4718">
        <v>7</v>
      </c>
      <c r="J4718">
        <v>3</v>
      </c>
      <c r="K4718">
        <v>8088</v>
      </c>
      <c r="L4718">
        <v>4044</v>
      </c>
      <c r="M4718">
        <v>84924</v>
      </c>
      <c r="N4718">
        <v>4044</v>
      </c>
      <c r="O4718">
        <v>93012</v>
      </c>
    </row>
    <row r="4719" spans="1:15" x14ac:dyDescent="0.35">
      <c r="A4719">
        <v>4718</v>
      </c>
      <c r="B4719" s="2" t="s">
        <v>31</v>
      </c>
      <c r="C4719" s="2" t="s">
        <v>11</v>
      </c>
      <c r="D4719">
        <v>52</v>
      </c>
      <c r="E4719" s="2" t="s">
        <v>16</v>
      </c>
      <c r="F4719" s="2" t="s">
        <v>19</v>
      </c>
      <c r="G4719">
        <v>73168</v>
      </c>
      <c r="H4719" s="1">
        <v>45257</v>
      </c>
      <c r="I4719">
        <v>15</v>
      </c>
      <c r="J4719">
        <v>1</v>
      </c>
      <c r="K4719">
        <v>7317</v>
      </c>
      <c r="L4719">
        <v>3658</v>
      </c>
      <c r="M4719">
        <v>76827</v>
      </c>
      <c r="N4719">
        <v>3658</v>
      </c>
      <c r="O4719">
        <v>84143</v>
      </c>
    </row>
    <row r="4720" spans="1:15" x14ac:dyDescent="0.35">
      <c r="A4720">
        <v>4719</v>
      </c>
      <c r="B4720" s="2" t="s">
        <v>14</v>
      </c>
      <c r="C4720" s="2" t="s">
        <v>11</v>
      </c>
      <c r="D4720">
        <v>35</v>
      </c>
      <c r="E4720" s="2" t="s">
        <v>28</v>
      </c>
      <c r="F4720" s="2" t="s">
        <v>13</v>
      </c>
      <c r="G4720">
        <v>93464</v>
      </c>
      <c r="H4720" s="1">
        <v>44665</v>
      </c>
      <c r="I4720">
        <v>1</v>
      </c>
      <c r="J4720">
        <v>3</v>
      </c>
      <c r="K4720">
        <v>9346</v>
      </c>
      <c r="L4720">
        <v>4673</v>
      </c>
      <c r="M4720">
        <v>98137</v>
      </c>
      <c r="N4720">
        <v>0</v>
      </c>
      <c r="O4720">
        <v>102810</v>
      </c>
    </row>
    <row r="4721" spans="1:15" x14ac:dyDescent="0.35">
      <c r="A4721">
        <v>4720</v>
      </c>
      <c r="B4721" s="2" t="s">
        <v>26</v>
      </c>
      <c r="C4721" s="2" t="s">
        <v>11</v>
      </c>
      <c r="D4721">
        <v>53</v>
      </c>
      <c r="E4721" s="2" t="s">
        <v>29</v>
      </c>
      <c r="F4721" s="2" t="s">
        <v>21</v>
      </c>
      <c r="G4721">
        <v>27607</v>
      </c>
      <c r="H4721" s="1">
        <v>45537</v>
      </c>
      <c r="I4721">
        <v>16</v>
      </c>
      <c r="J4721">
        <v>5</v>
      </c>
      <c r="K4721">
        <v>2761</v>
      </c>
      <c r="L4721">
        <v>1380</v>
      </c>
      <c r="M4721">
        <v>28988</v>
      </c>
      <c r="N4721">
        <v>1380</v>
      </c>
      <c r="O4721">
        <v>31748</v>
      </c>
    </row>
    <row r="4722" spans="1:15" x14ac:dyDescent="0.35">
      <c r="A4722">
        <v>4721</v>
      </c>
      <c r="B4722" s="2" t="s">
        <v>14</v>
      </c>
      <c r="C4722" s="2" t="s">
        <v>15</v>
      </c>
      <c r="D4722">
        <v>53</v>
      </c>
      <c r="E4722" s="2" t="s">
        <v>29</v>
      </c>
      <c r="F4722" s="2" t="s">
        <v>13</v>
      </c>
      <c r="G4722">
        <v>95747</v>
      </c>
      <c r="H4722" s="1">
        <v>45514</v>
      </c>
      <c r="I4722">
        <v>9</v>
      </c>
      <c r="J4722">
        <v>2</v>
      </c>
      <c r="K4722">
        <v>9575</v>
      </c>
      <c r="L4722">
        <v>4787</v>
      </c>
      <c r="M4722">
        <v>100535</v>
      </c>
      <c r="N4722">
        <v>4787</v>
      </c>
      <c r="O4722">
        <v>110109</v>
      </c>
    </row>
    <row r="4723" spans="1:15" x14ac:dyDescent="0.35">
      <c r="A4723">
        <v>4722</v>
      </c>
      <c r="B4723" s="2" t="s">
        <v>26</v>
      </c>
      <c r="C4723" s="2" t="s">
        <v>15</v>
      </c>
      <c r="D4723">
        <v>49</v>
      </c>
      <c r="E4723" s="2" t="s">
        <v>24</v>
      </c>
      <c r="F4723" s="2" t="s">
        <v>19</v>
      </c>
      <c r="G4723">
        <v>46346</v>
      </c>
      <c r="H4723" s="1">
        <v>45437</v>
      </c>
      <c r="I4723">
        <v>3</v>
      </c>
      <c r="J4723">
        <v>1</v>
      </c>
      <c r="K4723">
        <v>4635</v>
      </c>
      <c r="L4723">
        <v>2317</v>
      </c>
      <c r="M4723">
        <v>48664</v>
      </c>
      <c r="N4723">
        <v>0</v>
      </c>
      <c r="O4723">
        <v>50981</v>
      </c>
    </row>
    <row r="4724" spans="1:15" x14ac:dyDescent="0.35">
      <c r="A4724">
        <v>4723</v>
      </c>
      <c r="B4724" s="2" t="s">
        <v>22</v>
      </c>
      <c r="C4724" s="2" t="s">
        <v>15</v>
      </c>
      <c r="D4724">
        <v>36</v>
      </c>
      <c r="E4724" s="2" t="s">
        <v>28</v>
      </c>
      <c r="F4724" s="2" t="s">
        <v>21</v>
      </c>
      <c r="G4724">
        <v>28517</v>
      </c>
      <c r="H4724" s="1">
        <v>45176</v>
      </c>
      <c r="I4724">
        <v>1</v>
      </c>
      <c r="J4724">
        <v>2</v>
      </c>
      <c r="K4724">
        <v>2852</v>
      </c>
      <c r="L4724">
        <v>1426</v>
      </c>
      <c r="M4724">
        <v>29943</v>
      </c>
      <c r="N4724">
        <v>0</v>
      </c>
      <c r="O4724">
        <v>31369</v>
      </c>
    </row>
    <row r="4725" spans="1:15" x14ac:dyDescent="0.35">
      <c r="A4725">
        <v>4724</v>
      </c>
      <c r="B4725" s="2" t="s">
        <v>18</v>
      </c>
      <c r="C4725" s="2" t="s">
        <v>15</v>
      </c>
      <c r="D4725">
        <v>48</v>
      </c>
      <c r="E4725" s="2" t="s">
        <v>24</v>
      </c>
      <c r="F4725" s="2" t="s">
        <v>25</v>
      </c>
      <c r="G4725">
        <v>97244</v>
      </c>
      <c r="H4725" s="1">
        <v>45038</v>
      </c>
      <c r="I4725">
        <v>13</v>
      </c>
      <c r="J4725">
        <v>1</v>
      </c>
      <c r="K4725">
        <v>9724</v>
      </c>
      <c r="L4725">
        <v>4862</v>
      </c>
      <c r="M4725">
        <v>102106</v>
      </c>
      <c r="N4725">
        <v>4862</v>
      </c>
      <c r="O4725">
        <v>111830</v>
      </c>
    </row>
    <row r="4726" spans="1:15" x14ac:dyDescent="0.35">
      <c r="A4726">
        <v>4725</v>
      </c>
      <c r="B4726" s="2" t="s">
        <v>20</v>
      </c>
      <c r="C4726" s="2" t="s">
        <v>11</v>
      </c>
      <c r="D4726">
        <v>22</v>
      </c>
      <c r="E4726" s="2" t="s">
        <v>24</v>
      </c>
      <c r="F4726" s="2" t="s">
        <v>19</v>
      </c>
      <c r="G4726">
        <v>42948</v>
      </c>
      <c r="H4726" s="1">
        <v>45504</v>
      </c>
      <c r="I4726">
        <v>6</v>
      </c>
      <c r="J4726">
        <v>1</v>
      </c>
      <c r="K4726">
        <v>4295</v>
      </c>
      <c r="L4726">
        <v>2147</v>
      </c>
      <c r="M4726">
        <v>45096</v>
      </c>
      <c r="N4726">
        <v>2147</v>
      </c>
      <c r="O4726">
        <v>49390</v>
      </c>
    </row>
    <row r="4727" spans="1:15" x14ac:dyDescent="0.35">
      <c r="A4727">
        <v>4726</v>
      </c>
      <c r="B4727" s="2" t="s">
        <v>10</v>
      </c>
      <c r="C4727" s="2" t="s">
        <v>11</v>
      </c>
      <c r="D4727">
        <v>58</v>
      </c>
      <c r="E4727" s="2" t="s">
        <v>29</v>
      </c>
      <c r="F4727" s="2" t="s">
        <v>19</v>
      </c>
      <c r="G4727">
        <v>88774</v>
      </c>
      <c r="H4727" s="1">
        <v>44931</v>
      </c>
      <c r="I4727">
        <v>8</v>
      </c>
      <c r="J4727">
        <v>2</v>
      </c>
      <c r="K4727">
        <v>8877</v>
      </c>
      <c r="L4727">
        <v>4439</v>
      </c>
      <c r="M4727">
        <v>93212</v>
      </c>
      <c r="N4727">
        <v>4439</v>
      </c>
      <c r="O4727">
        <v>102090</v>
      </c>
    </row>
    <row r="4728" spans="1:15" x14ac:dyDescent="0.35">
      <c r="A4728">
        <v>4727</v>
      </c>
      <c r="B4728" s="2" t="s">
        <v>27</v>
      </c>
      <c r="C4728" s="2" t="s">
        <v>15</v>
      </c>
      <c r="D4728">
        <v>41</v>
      </c>
      <c r="E4728" s="2" t="s">
        <v>12</v>
      </c>
      <c r="F4728" s="2" t="s">
        <v>17</v>
      </c>
      <c r="G4728">
        <v>94022</v>
      </c>
      <c r="H4728" s="1">
        <v>44579</v>
      </c>
      <c r="I4728">
        <v>16</v>
      </c>
      <c r="J4728">
        <v>4</v>
      </c>
      <c r="K4728">
        <v>9402</v>
      </c>
      <c r="L4728">
        <v>4701</v>
      </c>
      <c r="M4728">
        <v>98723</v>
      </c>
      <c r="N4728">
        <v>4701</v>
      </c>
      <c r="O4728">
        <v>108125</v>
      </c>
    </row>
    <row r="4729" spans="1:15" x14ac:dyDescent="0.35">
      <c r="A4729">
        <v>4728</v>
      </c>
      <c r="B4729" s="2" t="s">
        <v>22</v>
      </c>
      <c r="C4729" s="2" t="s">
        <v>15</v>
      </c>
      <c r="D4729">
        <v>46</v>
      </c>
      <c r="E4729" s="2" t="s">
        <v>29</v>
      </c>
      <c r="F4729" s="2" t="s">
        <v>19</v>
      </c>
      <c r="G4729">
        <v>65005</v>
      </c>
      <c r="H4729" s="1">
        <v>44777</v>
      </c>
      <c r="I4729">
        <v>13</v>
      </c>
      <c r="J4729">
        <v>4</v>
      </c>
      <c r="K4729">
        <v>6500</v>
      </c>
      <c r="L4729">
        <v>3250</v>
      </c>
      <c r="M4729">
        <v>68255</v>
      </c>
      <c r="N4729">
        <v>3250</v>
      </c>
      <c r="O4729">
        <v>74755</v>
      </c>
    </row>
    <row r="4730" spans="1:15" x14ac:dyDescent="0.35">
      <c r="A4730">
        <v>4729</v>
      </c>
      <c r="B4730" s="2" t="s">
        <v>18</v>
      </c>
      <c r="C4730" s="2" t="s">
        <v>11</v>
      </c>
      <c r="D4730">
        <v>39</v>
      </c>
      <c r="E4730" s="2" t="s">
        <v>16</v>
      </c>
      <c r="F4730" s="2" t="s">
        <v>25</v>
      </c>
      <c r="G4730">
        <v>71562</v>
      </c>
      <c r="H4730" s="1">
        <v>44791</v>
      </c>
      <c r="I4730">
        <v>14</v>
      </c>
      <c r="J4730">
        <v>4</v>
      </c>
      <c r="K4730">
        <v>7156</v>
      </c>
      <c r="L4730">
        <v>3578</v>
      </c>
      <c r="M4730">
        <v>75140</v>
      </c>
      <c r="N4730">
        <v>3578</v>
      </c>
      <c r="O4730">
        <v>82296</v>
      </c>
    </row>
    <row r="4731" spans="1:15" x14ac:dyDescent="0.35">
      <c r="A4731">
        <v>4730</v>
      </c>
      <c r="B4731" s="2" t="s">
        <v>14</v>
      </c>
      <c r="C4731" s="2" t="s">
        <v>11</v>
      </c>
      <c r="D4731">
        <v>25</v>
      </c>
      <c r="E4731" s="2" t="s">
        <v>29</v>
      </c>
      <c r="F4731" s="2" t="s">
        <v>17</v>
      </c>
      <c r="G4731">
        <v>58030</v>
      </c>
      <c r="H4731" s="1">
        <v>45360</v>
      </c>
      <c r="I4731">
        <v>15</v>
      </c>
      <c r="J4731">
        <v>1</v>
      </c>
      <c r="K4731">
        <v>5803</v>
      </c>
      <c r="L4731">
        <v>2902</v>
      </c>
      <c r="M4731">
        <v>60931</v>
      </c>
      <c r="N4731">
        <v>2902</v>
      </c>
      <c r="O4731">
        <v>66735</v>
      </c>
    </row>
    <row r="4732" spans="1:15" x14ac:dyDescent="0.35">
      <c r="A4732">
        <v>4731</v>
      </c>
      <c r="B4732" s="2" t="s">
        <v>22</v>
      </c>
      <c r="C4732" s="2" t="s">
        <v>15</v>
      </c>
      <c r="D4732">
        <v>31</v>
      </c>
      <c r="E4732" s="2" t="s">
        <v>28</v>
      </c>
      <c r="F4732" s="2" t="s">
        <v>21</v>
      </c>
      <c r="G4732">
        <v>94064</v>
      </c>
      <c r="H4732" s="1">
        <v>44805</v>
      </c>
      <c r="I4732">
        <v>19</v>
      </c>
      <c r="J4732">
        <v>2</v>
      </c>
      <c r="K4732">
        <v>9406</v>
      </c>
      <c r="L4732">
        <v>4703</v>
      </c>
      <c r="M4732">
        <v>98767</v>
      </c>
      <c r="N4732">
        <v>4703</v>
      </c>
      <c r="O4732">
        <v>108173</v>
      </c>
    </row>
    <row r="4733" spans="1:15" x14ac:dyDescent="0.35">
      <c r="A4733">
        <v>4732</v>
      </c>
      <c r="B4733" s="2" t="s">
        <v>26</v>
      </c>
      <c r="C4733" s="2" t="s">
        <v>15</v>
      </c>
      <c r="D4733">
        <v>59</v>
      </c>
      <c r="E4733" s="2" t="s">
        <v>12</v>
      </c>
      <c r="F4733" s="2" t="s">
        <v>21</v>
      </c>
      <c r="G4733">
        <v>53078</v>
      </c>
      <c r="H4733" s="1">
        <v>45353</v>
      </c>
      <c r="I4733">
        <v>8</v>
      </c>
      <c r="J4733">
        <v>5</v>
      </c>
      <c r="K4733">
        <v>5308</v>
      </c>
      <c r="L4733">
        <v>2654</v>
      </c>
      <c r="M4733">
        <v>55732</v>
      </c>
      <c r="N4733">
        <v>2654</v>
      </c>
      <c r="O4733">
        <v>61040</v>
      </c>
    </row>
    <row r="4734" spans="1:15" x14ac:dyDescent="0.35">
      <c r="A4734">
        <v>4733</v>
      </c>
      <c r="B4734" s="2" t="s">
        <v>23</v>
      </c>
      <c r="C4734" s="2" t="s">
        <v>15</v>
      </c>
      <c r="D4734">
        <v>45</v>
      </c>
      <c r="E4734" s="2" t="s">
        <v>12</v>
      </c>
      <c r="F4734" s="2" t="s">
        <v>13</v>
      </c>
      <c r="G4734">
        <v>80423</v>
      </c>
      <c r="H4734" s="1">
        <v>44759</v>
      </c>
      <c r="I4734">
        <v>6</v>
      </c>
      <c r="J4734">
        <v>3</v>
      </c>
      <c r="K4734">
        <v>8042</v>
      </c>
      <c r="L4734">
        <v>4021</v>
      </c>
      <c r="M4734">
        <v>84444</v>
      </c>
      <c r="N4734">
        <v>4021</v>
      </c>
      <c r="O4734">
        <v>92486</v>
      </c>
    </row>
    <row r="4735" spans="1:15" x14ac:dyDescent="0.35">
      <c r="A4735">
        <v>4734</v>
      </c>
      <c r="B4735" s="2" t="s">
        <v>27</v>
      </c>
      <c r="C4735" s="2" t="s">
        <v>11</v>
      </c>
      <c r="D4735">
        <v>36</v>
      </c>
      <c r="E4735" s="2" t="s">
        <v>24</v>
      </c>
      <c r="F4735" s="2" t="s">
        <v>17</v>
      </c>
      <c r="G4735">
        <v>42498</v>
      </c>
      <c r="H4735" s="1">
        <v>45231</v>
      </c>
      <c r="I4735">
        <v>6</v>
      </c>
      <c r="J4735">
        <v>2</v>
      </c>
      <c r="K4735">
        <v>4250</v>
      </c>
      <c r="L4735">
        <v>2125</v>
      </c>
      <c r="M4735">
        <v>44623</v>
      </c>
      <c r="N4735">
        <v>2125</v>
      </c>
      <c r="O4735">
        <v>48873</v>
      </c>
    </row>
    <row r="4736" spans="1:15" x14ac:dyDescent="0.35">
      <c r="A4736">
        <v>4735</v>
      </c>
      <c r="B4736" s="2" t="s">
        <v>10</v>
      </c>
      <c r="C4736" s="2" t="s">
        <v>15</v>
      </c>
      <c r="D4736">
        <v>39</v>
      </c>
      <c r="E4736" s="2" t="s">
        <v>29</v>
      </c>
      <c r="F4736" s="2" t="s">
        <v>25</v>
      </c>
      <c r="G4736">
        <v>74122</v>
      </c>
      <c r="H4736" s="1">
        <v>45173</v>
      </c>
      <c r="I4736">
        <v>18</v>
      </c>
      <c r="J4736">
        <v>4</v>
      </c>
      <c r="K4736">
        <v>7412</v>
      </c>
      <c r="L4736">
        <v>3706</v>
      </c>
      <c r="M4736">
        <v>77828</v>
      </c>
      <c r="N4736">
        <v>3706</v>
      </c>
      <c r="O4736">
        <v>85240</v>
      </c>
    </row>
    <row r="4737" spans="1:15" x14ac:dyDescent="0.35">
      <c r="A4737">
        <v>4736</v>
      </c>
      <c r="B4737" s="2" t="s">
        <v>27</v>
      </c>
      <c r="C4737" s="2" t="s">
        <v>11</v>
      </c>
      <c r="D4737">
        <v>34</v>
      </c>
      <c r="E4737" s="2" t="s">
        <v>24</v>
      </c>
      <c r="F4737" s="2" t="s">
        <v>17</v>
      </c>
      <c r="G4737">
        <v>88787</v>
      </c>
      <c r="H4737" s="1">
        <v>44568</v>
      </c>
      <c r="I4737">
        <v>5</v>
      </c>
      <c r="J4737">
        <v>4</v>
      </c>
      <c r="K4737">
        <v>8879</v>
      </c>
      <c r="L4737">
        <v>4439</v>
      </c>
      <c r="M4737">
        <v>93227</v>
      </c>
      <c r="N4737">
        <v>0</v>
      </c>
      <c r="O4737">
        <v>97666</v>
      </c>
    </row>
    <row r="4738" spans="1:15" x14ac:dyDescent="0.35">
      <c r="A4738">
        <v>4737</v>
      </c>
      <c r="B4738" s="2" t="s">
        <v>20</v>
      </c>
      <c r="C4738" s="2" t="s">
        <v>15</v>
      </c>
      <c r="D4738">
        <v>59</v>
      </c>
      <c r="E4738" s="2" t="s">
        <v>12</v>
      </c>
      <c r="F4738" s="2" t="s">
        <v>19</v>
      </c>
      <c r="G4738">
        <v>80186</v>
      </c>
      <c r="H4738" s="1">
        <v>45155</v>
      </c>
      <c r="I4738">
        <v>20</v>
      </c>
      <c r="J4738">
        <v>5</v>
      </c>
      <c r="K4738">
        <v>8019</v>
      </c>
      <c r="L4738">
        <v>4009</v>
      </c>
      <c r="M4738">
        <v>84196</v>
      </c>
      <c r="N4738">
        <v>4009</v>
      </c>
      <c r="O4738">
        <v>92214</v>
      </c>
    </row>
    <row r="4739" spans="1:15" x14ac:dyDescent="0.35">
      <c r="A4739">
        <v>4738</v>
      </c>
      <c r="B4739" s="2" t="s">
        <v>31</v>
      </c>
      <c r="C4739" s="2" t="s">
        <v>11</v>
      </c>
      <c r="D4739">
        <v>40</v>
      </c>
      <c r="E4739" s="2" t="s">
        <v>16</v>
      </c>
      <c r="F4739" s="2" t="s">
        <v>21</v>
      </c>
      <c r="G4739">
        <v>73714</v>
      </c>
      <c r="H4739" s="1">
        <v>44722</v>
      </c>
      <c r="I4739">
        <v>10</v>
      </c>
      <c r="J4739">
        <v>4</v>
      </c>
      <c r="K4739">
        <v>7371</v>
      </c>
      <c r="L4739">
        <v>3686</v>
      </c>
      <c r="M4739">
        <v>77399</v>
      </c>
      <c r="N4739">
        <v>3686</v>
      </c>
      <c r="O4739">
        <v>84771</v>
      </c>
    </row>
    <row r="4740" spans="1:15" x14ac:dyDescent="0.35">
      <c r="A4740">
        <v>4739</v>
      </c>
      <c r="B4740" s="2" t="s">
        <v>31</v>
      </c>
      <c r="C4740" s="2" t="s">
        <v>15</v>
      </c>
      <c r="D4740">
        <v>51</v>
      </c>
      <c r="E4740" s="2" t="s">
        <v>12</v>
      </c>
      <c r="F4740" s="2" t="s">
        <v>25</v>
      </c>
      <c r="G4740">
        <v>76213</v>
      </c>
      <c r="H4740" s="1">
        <v>44963</v>
      </c>
      <c r="I4740">
        <v>19</v>
      </c>
      <c r="J4740">
        <v>2</v>
      </c>
      <c r="K4740">
        <v>7621</v>
      </c>
      <c r="L4740">
        <v>3811</v>
      </c>
      <c r="M4740">
        <v>80023</v>
      </c>
      <c r="N4740">
        <v>3811</v>
      </c>
      <c r="O4740">
        <v>87645</v>
      </c>
    </row>
    <row r="4741" spans="1:15" x14ac:dyDescent="0.35">
      <c r="A4741">
        <v>4740</v>
      </c>
      <c r="B4741" s="2" t="s">
        <v>22</v>
      </c>
      <c r="C4741" s="2" t="s">
        <v>15</v>
      </c>
      <c r="D4741">
        <v>25</v>
      </c>
      <c r="E4741" s="2" t="s">
        <v>28</v>
      </c>
      <c r="F4741" s="2" t="s">
        <v>13</v>
      </c>
      <c r="G4741">
        <v>63288</v>
      </c>
      <c r="H4741" s="1">
        <v>44891</v>
      </c>
      <c r="I4741">
        <v>15</v>
      </c>
      <c r="J4741">
        <v>1</v>
      </c>
      <c r="K4741">
        <v>6329</v>
      </c>
      <c r="L4741">
        <v>3164</v>
      </c>
      <c r="M4741">
        <v>66453</v>
      </c>
      <c r="N4741">
        <v>3164</v>
      </c>
      <c r="O4741">
        <v>72781</v>
      </c>
    </row>
    <row r="4742" spans="1:15" x14ac:dyDescent="0.35">
      <c r="A4742">
        <v>4741</v>
      </c>
      <c r="B4742" s="2" t="s">
        <v>18</v>
      </c>
      <c r="C4742" s="2" t="s">
        <v>11</v>
      </c>
      <c r="D4742">
        <v>57</v>
      </c>
      <c r="E4742" s="2" t="s">
        <v>12</v>
      </c>
      <c r="F4742" s="2" t="s">
        <v>21</v>
      </c>
      <c r="G4742">
        <v>32856</v>
      </c>
      <c r="H4742" s="1">
        <v>45243</v>
      </c>
      <c r="I4742">
        <v>13</v>
      </c>
      <c r="J4742">
        <v>5</v>
      </c>
      <c r="K4742">
        <v>3286</v>
      </c>
      <c r="L4742">
        <v>1643</v>
      </c>
      <c r="M4742">
        <v>34499</v>
      </c>
      <c r="N4742">
        <v>1643</v>
      </c>
      <c r="O4742">
        <v>37785</v>
      </c>
    </row>
    <row r="4743" spans="1:15" x14ac:dyDescent="0.35">
      <c r="A4743">
        <v>4742</v>
      </c>
      <c r="B4743" s="2" t="s">
        <v>20</v>
      </c>
      <c r="C4743" s="2" t="s">
        <v>11</v>
      </c>
      <c r="D4743">
        <v>24</v>
      </c>
      <c r="E4743" s="2" t="s">
        <v>12</v>
      </c>
      <c r="F4743" s="2" t="s">
        <v>19</v>
      </c>
      <c r="G4743">
        <v>32744</v>
      </c>
      <c r="H4743" s="1">
        <v>45082</v>
      </c>
      <c r="I4743">
        <v>11</v>
      </c>
      <c r="J4743">
        <v>2</v>
      </c>
      <c r="K4743">
        <v>3274</v>
      </c>
      <c r="L4743">
        <v>1637</v>
      </c>
      <c r="M4743">
        <v>34381</v>
      </c>
      <c r="N4743">
        <v>1637</v>
      </c>
      <c r="O4743">
        <v>37655</v>
      </c>
    </row>
    <row r="4744" spans="1:15" x14ac:dyDescent="0.35">
      <c r="A4744">
        <v>4743</v>
      </c>
      <c r="B4744" s="2" t="s">
        <v>31</v>
      </c>
      <c r="C4744" s="2" t="s">
        <v>11</v>
      </c>
      <c r="D4744">
        <v>56</v>
      </c>
      <c r="E4744" s="2" t="s">
        <v>29</v>
      </c>
      <c r="F4744" s="2" t="s">
        <v>19</v>
      </c>
      <c r="G4744">
        <v>35821</v>
      </c>
      <c r="H4744" s="1">
        <v>44955</v>
      </c>
      <c r="I4744">
        <v>18</v>
      </c>
      <c r="J4744">
        <v>4</v>
      </c>
      <c r="K4744">
        <v>3582</v>
      </c>
      <c r="L4744">
        <v>1791</v>
      </c>
      <c r="M4744">
        <v>37612</v>
      </c>
      <c r="N4744">
        <v>1791</v>
      </c>
      <c r="O4744">
        <v>41194</v>
      </c>
    </row>
    <row r="4745" spans="1:15" x14ac:dyDescent="0.35">
      <c r="A4745">
        <v>4744</v>
      </c>
      <c r="B4745" s="2" t="s">
        <v>18</v>
      </c>
      <c r="C4745" s="2" t="s">
        <v>15</v>
      </c>
      <c r="D4745">
        <v>35</v>
      </c>
      <c r="E4745" s="2" t="s">
        <v>12</v>
      </c>
      <c r="F4745" s="2" t="s">
        <v>21</v>
      </c>
      <c r="G4745">
        <v>99783</v>
      </c>
      <c r="H4745" s="1">
        <v>44739</v>
      </c>
      <c r="I4745">
        <v>19</v>
      </c>
      <c r="J4745">
        <v>3</v>
      </c>
      <c r="K4745">
        <v>9978</v>
      </c>
      <c r="L4745">
        <v>4989</v>
      </c>
      <c r="M4745">
        <v>104772</v>
      </c>
      <c r="N4745">
        <v>4989</v>
      </c>
      <c r="O4745">
        <v>114750</v>
      </c>
    </row>
    <row r="4746" spans="1:15" x14ac:dyDescent="0.35">
      <c r="A4746">
        <v>4745</v>
      </c>
      <c r="B4746" s="2" t="s">
        <v>18</v>
      </c>
      <c r="C4746" s="2" t="s">
        <v>15</v>
      </c>
      <c r="D4746">
        <v>38</v>
      </c>
      <c r="E4746" s="2" t="s">
        <v>28</v>
      </c>
      <c r="F4746" s="2" t="s">
        <v>21</v>
      </c>
      <c r="G4746">
        <v>36489</v>
      </c>
      <c r="H4746" s="1">
        <v>45460</v>
      </c>
      <c r="I4746">
        <v>1</v>
      </c>
      <c r="J4746">
        <v>4</v>
      </c>
      <c r="K4746">
        <v>3649</v>
      </c>
      <c r="L4746">
        <v>1824</v>
      </c>
      <c r="M4746">
        <v>38314</v>
      </c>
      <c r="N4746">
        <v>0</v>
      </c>
      <c r="O4746">
        <v>40138</v>
      </c>
    </row>
    <row r="4747" spans="1:15" x14ac:dyDescent="0.35">
      <c r="A4747">
        <v>4746</v>
      </c>
      <c r="B4747" s="2" t="s">
        <v>31</v>
      </c>
      <c r="C4747" s="2" t="s">
        <v>15</v>
      </c>
      <c r="D4747">
        <v>41</v>
      </c>
      <c r="E4747" s="2" t="s">
        <v>12</v>
      </c>
      <c r="F4747" s="2" t="s">
        <v>13</v>
      </c>
      <c r="G4747">
        <v>96586</v>
      </c>
      <c r="H4747" s="1">
        <v>45370</v>
      </c>
      <c r="I4747">
        <v>1</v>
      </c>
      <c r="J4747">
        <v>5</v>
      </c>
      <c r="K4747">
        <v>9659</v>
      </c>
      <c r="L4747">
        <v>4829</v>
      </c>
      <c r="M4747">
        <v>101416</v>
      </c>
      <c r="N4747">
        <v>0</v>
      </c>
      <c r="O4747">
        <v>106245</v>
      </c>
    </row>
    <row r="4748" spans="1:15" x14ac:dyDescent="0.35">
      <c r="A4748">
        <v>4747</v>
      </c>
      <c r="B4748" s="2" t="s">
        <v>22</v>
      </c>
      <c r="C4748" s="2" t="s">
        <v>11</v>
      </c>
      <c r="D4748">
        <v>54</v>
      </c>
      <c r="E4748" s="2" t="s">
        <v>16</v>
      </c>
      <c r="F4748" s="2" t="s">
        <v>13</v>
      </c>
      <c r="G4748">
        <v>74041</v>
      </c>
      <c r="H4748" s="1">
        <v>45398</v>
      </c>
      <c r="I4748">
        <v>9</v>
      </c>
      <c r="J4748">
        <v>2</v>
      </c>
      <c r="K4748">
        <v>7404</v>
      </c>
      <c r="L4748">
        <v>3702</v>
      </c>
      <c r="M4748">
        <v>77743</v>
      </c>
      <c r="N4748">
        <v>3702</v>
      </c>
      <c r="O4748">
        <v>85147</v>
      </c>
    </row>
    <row r="4749" spans="1:15" x14ac:dyDescent="0.35">
      <c r="A4749">
        <v>4748</v>
      </c>
      <c r="B4749" s="2" t="s">
        <v>14</v>
      </c>
      <c r="C4749" s="2" t="s">
        <v>11</v>
      </c>
      <c r="D4749">
        <v>22</v>
      </c>
      <c r="E4749" s="2" t="s">
        <v>29</v>
      </c>
      <c r="F4749" s="2" t="s">
        <v>17</v>
      </c>
      <c r="G4749">
        <v>60734</v>
      </c>
      <c r="H4749" s="1">
        <v>44771</v>
      </c>
      <c r="I4749">
        <v>10</v>
      </c>
      <c r="J4749">
        <v>3</v>
      </c>
      <c r="K4749">
        <v>6073</v>
      </c>
      <c r="L4749">
        <v>3037</v>
      </c>
      <c r="M4749">
        <v>63770</v>
      </c>
      <c r="N4749">
        <v>3037</v>
      </c>
      <c r="O4749">
        <v>69844</v>
      </c>
    </row>
    <row r="4750" spans="1:15" x14ac:dyDescent="0.35">
      <c r="A4750">
        <v>4749</v>
      </c>
      <c r="B4750" s="2" t="s">
        <v>20</v>
      </c>
      <c r="C4750" s="2" t="s">
        <v>15</v>
      </c>
      <c r="D4750">
        <v>38</v>
      </c>
      <c r="E4750" s="2" t="s">
        <v>29</v>
      </c>
      <c r="F4750" s="2" t="s">
        <v>25</v>
      </c>
      <c r="G4750">
        <v>29945</v>
      </c>
      <c r="H4750" s="1">
        <v>45121</v>
      </c>
      <c r="I4750">
        <v>15</v>
      </c>
      <c r="J4750">
        <v>4</v>
      </c>
      <c r="K4750">
        <v>2994</v>
      </c>
      <c r="L4750">
        <v>1497</v>
      </c>
      <c r="M4750">
        <v>31442</v>
      </c>
      <c r="N4750">
        <v>1497</v>
      </c>
      <c r="O4750">
        <v>34436</v>
      </c>
    </row>
    <row r="4751" spans="1:15" x14ac:dyDescent="0.35">
      <c r="A4751">
        <v>4750</v>
      </c>
      <c r="B4751" s="2" t="s">
        <v>20</v>
      </c>
      <c r="C4751" s="2" t="s">
        <v>15</v>
      </c>
      <c r="D4751">
        <v>28</v>
      </c>
      <c r="E4751" s="2" t="s">
        <v>28</v>
      </c>
      <c r="F4751" s="2" t="s">
        <v>21</v>
      </c>
      <c r="G4751">
        <v>24194</v>
      </c>
      <c r="H4751" s="1">
        <v>44859</v>
      </c>
      <c r="I4751">
        <v>13</v>
      </c>
      <c r="J4751">
        <v>3</v>
      </c>
      <c r="K4751">
        <v>2419</v>
      </c>
      <c r="L4751">
        <v>1210</v>
      </c>
      <c r="M4751">
        <v>25403</v>
      </c>
      <c r="N4751">
        <v>1210</v>
      </c>
      <c r="O4751">
        <v>27823</v>
      </c>
    </row>
    <row r="4752" spans="1:15" x14ac:dyDescent="0.35">
      <c r="A4752">
        <v>4751</v>
      </c>
      <c r="B4752" s="2" t="s">
        <v>27</v>
      </c>
      <c r="C4752" s="2" t="s">
        <v>15</v>
      </c>
      <c r="D4752">
        <v>31</v>
      </c>
      <c r="E4752" s="2" t="s">
        <v>12</v>
      </c>
      <c r="F4752" s="2" t="s">
        <v>17</v>
      </c>
      <c r="G4752">
        <v>28516</v>
      </c>
      <c r="H4752" s="1">
        <v>44608</v>
      </c>
      <c r="I4752">
        <v>2</v>
      </c>
      <c r="J4752">
        <v>1</v>
      </c>
      <c r="K4752">
        <v>2852</v>
      </c>
      <c r="L4752">
        <v>1426</v>
      </c>
      <c r="M4752">
        <v>29942</v>
      </c>
      <c r="N4752">
        <v>0</v>
      </c>
      <c r="O4752">
        <v>31368</v>
      </c>
    </row>
    <row r="4753" spans="1:15" x14ac:dyDescent="0.35">
      <c r="A4753">
        <v>4752</v>
      </c>
      <c r="B4753" s="2" t="s">
        <v>26</v>
      </c>
      <c r="C4753" s="2" t="s">
        <v>11</v>
      </c>
      <c r="D4753">
        <v>30</v>
      </c>
      <c r="E4753" s="2" t="s">
        <v>28</v>
      </c>
      <c r="F4753" s="2" t="s">
        <v>21</v>
      </c>
      <c r="G4753">
        <v>44143</v>
      </c>
      <c r="H4753" s="1">
        <v>45441</v>
      </c>
      <c r="I4753">
        <v>6</v>
      </c>
      <c r="J4753">
        <v>1</v>
      </c>
      <c r="K4753">
        <v>4414</v>
      </c>
      <c r="L4753">
        <v>2207</v>
      </c>
      <c r="M4753">
        <v>46350</v>
      </c>
      <c r="N4753">
        <v>2207</v>
      </c>
      <c r="O4753">
        <v>50764</v>
      </c>
    </row>
    <row r="4754" spans="1:15" x14ac:dyDescent="0.35">
      <c r="A4754">
        <v>4753</v>
      </c>
      <c r="B4754" s="2" t="s">
        <v>20</v>
      </c>
      <c r="C4754" s="2" t="s">
        <v>11</v>
      </c>
      <c r="D4754">
        <v>59</v>
      </c>
      <c r="E4754" s="2" t="s">
        <v>16</v>
      </c>
      <c r="F4754" s="2" t="s">
        <v>25</v>
      </c>
      <c r="G4754">
        <v>66935</v>
      </c>
      <c r="H4754" s="1">
        <v>45092</v>
      </c>
      <c r="I4754">
        <v>4</v>
      </c>
      <c r="J4754">
        <v>3</v>
      </c>
      <c r="K4754">
        <v>6694</v>
      </c>
      <c r="L4754">
        <v>3347</v>
      </c>
      <c r="M4754">
        <v>70282</v>
      </c>
      <c r="N4754">
        <v>0</v>
      </c>
      <c r="O4754">
        <v>73629</v>
      </c>
    </row>
    <row r="4755" spans="1:15" x14ac:dyDescent="0.35">
      <c r="A4755">
        <v>4754</v>
      </c>
      <c r="B4755" s="2" t="s">
        <v>14</v>
      </c>
      <c r="C4755" s="2" t="s">
        <v>15</v>
      </c>
      <c r="D4755">
        <v>33</v>
      </c>
      <c r="E4755" s="2" t="s">
        <v>24</v>
      </c>
      <c r="F4755" s="2" t="s">
        <v>17</v>
      </c>
      <c r="G4755">
        <v>57867</v>
      </c>
      <c r="H4755" s="1">
        <v>44626</v>
      </c>
      <c r="I4755">
        <v>11</v>
      </c>
      <c r="J4755">
        <v>3</v>
      </c>
      <c r="K4755">
        <v>5787</v>
      </c>
      <c r="L4755">
        <v>2893</v>
      </c>
      <c r="M4755">
        <v>60761</v>
      </c>
      <c r="N4755">
        <v>2893</v>
      </c>
      <c r="O4755">
        <v>66547</v>
      </c>
    </row>
    <row r="4756" spans="1:15" x14ac:dyDescent="0.35">
      <c r="A4756">
        <v>4755</v>
      </c>
      <c r="B4756" s="2" t="s">
        <v>31</v>
      </c>
      <c r="C4756" s="2" t="s">
        <v>11</v>
      </c>
      <c r="D4756">
        <v>35</v>
      </c>
      <c r="E4756" s="2" t="s">
        <v>12</v>
      </c>
      <c r="F4756" s="2" t="s">
        <v>25</v>
      </c>
      <c r="G4756">
        <v>55668</v>
      </c>
      <c r="H4756" s="1">
        <v>45016</v>
      </c>
      <c r="I4756">
        <v>1</v>
      </c>
      <c r="J4756">
        <v>4</v>
      </c>
      <c r="K4756">
        <v>5567</v>
      </c>
      <c r="L4756">
        <v>2783</v>
      </c>
      <c r="M4756">
        <v>58452</v>
      </c>
      <c r="N4756">
        <v>0</v>
      </c>
      <c r="O4756">
        <v>61235</v>
      </c>
    </row>
    <row r="4757" spans="1:15" x14ac:dyDescent="0.35">
      <c r="A4757">
        <v>4756</v>
      </c>
      <c r="B4757" s="2" t="s">
        <v>18</v>
      </c>
      <c r="C4757" s="2" t="s">
        <v>11</v>
      </c>
      <c r="D4757">
        <v>60</v>
      </c>
      <c r="E4757" s="2" t="s">
        <v>12</v>
      </c>
      <c r="F4757" s="2" t="s">
        <v>13</v>
      </c>
      <c r="G4757">
        <v>99535</v>
      </c>
      <c r="H4757" s="1">
        <v>45478</v>
      </c>
      <c r="I4757">
        <v>7</v>
      </c>
      <c r="J4757">
        <v>1</v>
      </c>
      <c r="K4757">
        <v>9954</v>
      </c>
      <c r="L4757">
        <v>4977</v>
      </c>
      <c r="M4757">
        <v>104512</v>
      </c>
      <c r="N4757">
        <v>4977</v>
      </c>
      <c r="O4757">
        <v>114466</v>
      </c>
    </row>
    <row r="4758" spans="1:15" x14ac:dyDescent="0.35">
      <c r="A4758">
        <v>4757</v>
      </c>
      <c r="B4758" s="2" t="s">
        <v>14</v>
      </c>
      <c r="C4758" s="2" t="s">
        <v>11</v>
      </c>
      <c r="D4758">
        <v>59</v>
      </c>
      <c r="E4758" s="2" t="s">
        <v>12</v>
      </c>
      <c r="F4758" s="2" t="s">
        <v>19</v>
      </c>
      <c r="G4758">
        <v>43581</v>
      </c>
      <c r="H4758" s="1">
        <v>45424</v>
      </c>
      <c r="I4758">
        <v>12</v>
      </c>
      <c r="J4758">
        <v>4</v>
      </c>
      <c r="K4758">
        <v>4358</v>
      </c>
      <c r="L4758">
        <v>2179</v>
      </c>
      <c r="M4758">
        <v>45760</v>
      </c>
      <c r="N4758">
        <v>2179</v>
      </c>
      <c r="O4758">
        <v>50118</v>
      </c>
    </row>
    <row r="4759" spans="1:15" x14ac:dyDescent="0.35">
      <c r="A4759">
        <v>4758</v>
      </c>
      <c r="B4759" s="2" t="s">
        <v>22</v>
      </c>
      <c r="C4759" s="2" t="s">
        <v>11</v>
      </c>
      <c r="D4759">
        <v>43</v>
      </c>
      <c r="E4759" s="2" t="s">
        <v>29</v>
      </c>
      <c r="F4759" s="2" t="s">
        <v>17</v>
      </c>
      <c r="G4759">
        <v>59674</v>
      </c>
      <c r="H4759" s="1">
        <v>45072</v>
      </c>
      <c r="I4759">
        <v>4</v>
      </c>
      <c r="J4759">
        <v>1</v>
      </c>
      <c r="K4759">
        <v>5967</v>
      </c>
      <c r="L4759">
        <v>2984</v>
      </c>
      <c r="M4759">
        <v>62657</v>
      </c>
      <c r="N4759">
        <v>0</v>
      </c>
      <c r="O4759">
        <v>65641</v>
      </c>
    </row>
    <row r="4760" spans="1:15" x14ac:dyDescent="0.35">
      <c r="A4760">
        <v>4759</v>
      </c>
      <c r="B4760" s="2" t="s">
        <v>18</v>
      </c>
      <c r="C4760" s="2" t="s">
        <v>11</v>
      </c>
      <c r="D4760">
        <v>38</v>
      </c>
      <c r="E4760" s="2" t="s">
        <v>28</v>
      </c>
      <c r="F4760" s="2" t="s">
        <v>13</v>
      </c>
      <c r="G4760">
        <v>72658</v>
      </c>
      <c r="H4760" s="1">
        <v>44813</v>
      </c>
      <c r="I4760">
        <v>9</v>
      </c>
      <c r="J4760">
        <v>4</v>
      </c>
      <c r="K4760">
        <v>7266</v>
      </c>
      <c r="L4760">
        <v>3633</v>
      </c>
      <c r="M4760">
        <v>76291</v>
      </c>
      <c r="N4760">
        <v>3633</v>
      </c>
      <c r="O4760">
        <v>83557</v>
      </c>
    </row>
    <row r="4761" spans="1:15" x14ac:dyDescent="0.35">
      <c r="A4761">
        <v>4760</v>
      </c>
      <c r="B4761" s="2" t="s">
        <v>30</v>
      </c>
      <c r="C4761" s="2" t="s">
        <v>15</v>
      </c>
      <c r="D4761">
        <v>28</v>
      </c>
      <c r="E4761" s="2" t="s">
        <v>12</v>
      </c>
      <c r="F4761" s="2" t="s">
        <v>17</v>
      </c>
      <c r="G4761">
        <v>82155</v>
      </c>
      <c r="H4761" s="1">
        <v>45404</v>
      </c>
      <c r="I4761">
        <v>18</v>
      </c>
      <c r="J4761">
        <v>1</v>
      </c>
      <c r="K4761">
        <v>8216</v>
      </c>
      <c r="L4761">
        <v>4108</v>
      </c>
      <c r="M4761">
        <v>86263</v>
      </c>
      <c r="N4761">
        <v>4108</v>
      </c>
      <c r="O4761">
        <v>94479</v>
      </c>
    </row>
    <row r="4762" spans="1:15" x14ac:dyDescent="0.35">
      <c r="A4762">
        <v>4761</v>
      </c>
      <c r="B4762" s="2" t="s">
        <v>27</v>
      </c>
      <c r="C4762" s="2" t="s">
        <v>15</v>
      </c>
      <c r="D4762">
        <v>22</v>
      </c>
      <c r="E4762" s="2" t="s">
        <v>12</v>
      </c>
      <c r="F4762" s="2" t="s">
        <v>13</v>
      </c>
      <c r="G4762">
        <v>72544</v>
      </c>
      <c r="H4762" s="1">
        <v>45144</v>
      </c>
      <c r="I4762">
        <v>13</v>
      </c>
      <c r="J4762">
        <v>4</v>
      </c>
      <c r="K4762">
        <v>7254</v>
      </c>
      <c r="L4762">
        <v>3627</v>
      </c>
      <c r="M4762">
        <v>76171</v>
      </c>
      <c r="N4762">
        <v>3627</v>
      </c>
      <c r="O4762">
        <v>83425</v>
      </c>
    </row>
    <row r="4763" spans="1:15" x14ac:dyDescent="0.35">
      <c r="A4763">
        <v>4762</v>
      </c>
      <c r="B4763" s="2" t="s">
        <v>14</v>
      </c>
      <c r="C4763" s="2" t="s">
        <v>15</v>
      </c>
      <c r="D4763">
        <v>47</v>
      </c>
      <c r="E4763" s="2" t="s">
        <v>12</v>
      </c>
      <c r="F4763" s="2" t="s">
        <v>21</v>
      </c>
      <c r="G4763">
        <v>67338</v>
      </c>
      <c r="H4763" s="1">
        <v>44890</v>
      </c>
      <c r="I4763">
        <v>4</v>
      </c>
      <c r="J4763">
        <v>3</v>
      </c>
      <c r="K4763">
        <v>6734</v>
      </c>
      <c r="L4763">
        <v>3367</v>
      </c>
      <c r="M4763">
        <v>70705</v>
      </c>
      <c r="N4763">
        <v>0</v>
      </c>
      <c r="O4763">
        <v>74072</v>
      </c>
    </row>
    <row r="4764" spans="1:15" x14ac:dyDescent="0.35">
      <c r="A4764">
        <v>4763</v>
      </c>
      <c r="B4764" s="2" t="s">
        <v>22</v>
      </c>
      <c r="C4764" s="2" t="s">
        <v>11</v>
      </c>
      <c r="D4764">
        <v>31</v>
      </c>
      <c r="E4764" s="2" t="s">
        <v>29</v>
      </c>
      <c r="F4764" s="2" t="s">
        <v>21</v>
      </c>
      <c r="G4764">
        <v>59638</v>
      </c>
      <c r="H4764" s="1">
        <v>45235</v>
      </c>
      <c r="I4764">
        <v>16</v>
      </c>
      <c r="J4764">
        <v>3</v>
      </c>
      <c r="K4764">
        <v>5964</v>
      </c>
      <c r="L4764">
        <v>2982</v>
      </c>
      <c r="M4764">
        <v>62620</v>
      </c>
      <c r="N4764">
        <v>2982</v>
      </c>
      <c r="O4764">
        <v>68584</v>
      </c>
    </row>
    <row r="4765" spans="1:15" x14ac:dyDescent="0.35">
      <c r="A4765">
        <v>4764</v>
      </c>
      <c r="B4765" s="2" t="s">
        <v>26</v>
      </c>
      <c r="C4765" s="2" t="s">
        <v>15</v>
      </c>
      <c r="D4765">
        <v>24</v>
      </c>
      <c r="E4765" s="2" t="s">
        <v>24</v>
      </c>
      <c r="F4765" s="2" t="s">
        <v>13</v>
      </c>
      <c r="G4765">
        <v>97847</v>
      </c>
      <c r="H4765" s="1">
        <v>44632</v>
      </c>
      <c r="I4765">
        <v>12</v>
      </c>
      <c r="J4765">
        <v>2</v>
      </c>
      <c r="K4765">
        <v>9785</v>
      </c>
      <c r="L4765">
        <v>4892</v>
      </c>
      <c r="M4765">
        <v>102740</v>
      </c>
      <c r="N4765">
        <v>4892</v>
      </c>
      <c r="O4765">
        <v>112524</v>
      </c>
    </row>
    <row r="4766" spans="1:15" x14ac:dyDescent="0.35">
      <c r="A4766">
        <v>4765</v>
      </c>
      <c r="B4766" s="2" t="s">
        <v>27</v>
      </c>
      <c r="C4766" s="2" t="s">
        <v>11</v>
      </c>
      <c r="D4766">
        <v>51</v>
      </c>
      <c r="E4766" s="2" t="s">
        <v>12</v>
      </c>
      <c r="F4766" s="2" t="s">
        <v>13</v>
      </c>
      <c r="G4766">
        <v>47215</v>
      </c>
      <c r="H4766" s="1">
        <v>45266</v>
      </c>
      <c r="I4766">
        <v>12</v>
      </c>
      <c r="J4766">
        <v>1</v>
      </c>
      <c r="K4766">
        <v>4722</v>
      </c>
      <c r="L4766">
        <v>2361</v>
      </c>
      <c r="M4766">
        <v>49576</v>
      </c>
      <c r="N4766">
        <v>2361</v>
      </c>
      <c r="O4766">
        <v>54298</v>
      </c>
    </row>
    <row r="4767" spans="1:15" x14ac:dyDescent="0.35">
      <c r="A4767">
        <v>4766</v>
      </c>
      <c r="B4767" s="2" t="s">
        <v>27</v>
      </c>
      <c r="C4767" s="2" t="s">
        <v>11</v>
      </c>
      <c r="D4767">
        <v>22</v>
      </c>
      <c r="E4767" s="2" t="s">
        <v>24</v>
      </c>
      <c r="F4767" s="2" t="s">
        <v>25</v>
      </c>
      <c r="G4767">
        <v>34827</v>
      </c>
      <c r="H4767" s="1">
        <v>44802</v>
      </c>
      <c r="I4767">
        <v>13</v>
      </c>
      <c r="J4767">
        <v>4</v>
      </c>
      <c r="K4767">
        <v>3483</v>
      </c>
      <c r="L4767">
        <v>1741</v>
      </c>
      <c r="M4767">
        <v>36569</v>
      </c>
      <c r="N4767">
        <v>1741</v>
      </c>
      <c r="O4767">
        <v>40051</v>
      </c>
    </row>
    <row r="4768" spans="1:15" x14ac:dyDescent="0.35">
      <c r="A4768">
        <v>4767</v>
      </c>
      <c r="B4768" s="2" t="s">
        <v>10</v>
      </c>
      <c r="C4768" s="2" t="s">
        <v>11</v>
      </c>
      <c r="D4768">
        <v>31</v>
      </c>
      <c r="E4768" s="2" t="s">
        <v>12</v>
      </c>
      <c r="F4768" s="2" t="s">
        <v>21</v>
      </c>
      <c r="G4768">
        <v>40837</v>
      </c>
      <c r="H4768" s="1">
        <v>45388</v>
      </c>
      <c r="I4768">
        <v>12</v>
      </c>
      <c r="J4768">
        <v>5</v>
      </c>
      <c r="K4768">
        <v>4084</v>
      </c>
      <c r="L4768">
        <v>2042</v>
      </c>
      <c r="M4768">
        <v>42879</v>
      </c>
      <c r="N4768">
        <v>2042</v>
      </c>
      <c r="O4768">
        <v>46963</v>
      </c>
    </row>
    <row r="4769" spans="1:15" x14ac:dyDescent="0.35">
      <c r="A4769">
        <v>4768</v>
      </c>
      <c r="B4769" s="2" t="s">
        <v>20</v>
      </c>
      <c r="C4769" s="2" t="s">
        <v>15</v>
      </c>
      <c r="D4769">
        <v>42</v>
      </c>
      <c r="E4769" s="2" t="s">
        <v>28</v>
      </c>
      <c r="F4769" s="2" t="s">
        <v>19</v>
      </c>
      <c r="G4769">
        <v>24040</v>
      </c>
      <c r="H4769" s="1">
        <v>45547</v>
      </c>
      <c r="I4769">
        <v>19</v>
      </c>
      <c r="J4769">
        <v>4</v>
      </c>
      <c r="K4769">
        <v>2404</v>
      </c>
      <c r="L4769">
        <v>1202</v>
      </c>
      <c r="M4769">
        <v>25242</v>
      </c>
      <c r="N4769">
        <v>1202</v>
      </c>
      <c r="O4769">
        <v>27646</v>
      </c>
    </row>
    <row r="4770" spans="1:15" x14ac:dyDescent="0.35">
      <c r="A4770">
        <v>4769</v>
      </c>
      <c r="B4770" s="2" t="s">
        <v>18</v>
      </c>
      <c r="C4770" s="2" t="s">
        <v>15</v>
      </c>
      <c r="D4770">
        <v>27</v>
      </c>
      <c r="E4770" s="2" t="s">
        <v>12</v>
      </c>
      <c r="F4770" s="2" t="s">
        <v>13</v>
      </c>
      <c r="G4770">
        <v>82245</v>
      </c>
      <c r="H4770" s="1">
        <v>44665</v>
      </c>
      <c r="I4770">
        <v>9</v>
      </c>
      <c r="J4770">
        <v>3</v>
      </c>
      <c r="K4770">
        <v>8224</v>
      </c>
      <c r="L4770">
        <v>4112</v>
      </c>
      <c r="M4770">
        <v>86357</v>
      </c>
      <c r="N4770">
        <v>4112</v>
      </c>
      <c r="O4770">
        <v>94581</v>
      </c>
    </row>
    <row r="4771" spans="1:15" x14ac:dyDescent="0.35">
      <c r="A4771">
        <v>4770</v>
      </c>
      <c r="B4771" s="2" t="s">
        <v>22</v>
      </c>
      <c r="C4771" s="2" t="s">
        <v>15</v>
      </c>
      <c r="D4771">
        <v>38</v>
      </c>
      <c r="E4771" s="2" t="s">
        <v>24</v>
      </c>
      <c r="F4771" s="2" t="s">
        <v>17</v>
      </c>
      <c r="G4771">
        <v>24604</v>
      </c>
      <c r="H4771" s="1">
        <v>44723</v>
      </c>
      <c r="I4771">
        <v>15</v>
      </c>
      <c r="J4771">
        <v>3</v>
      </c>
      <c r="K4771">
        <v>2460</v>
      </c>
      <c r="L4771">
        <v>1230</v>
      </c>
      <c r="M4771">
        <v>25834</v>
      </c>
      <c r="N4771">
        <v>1230</v>
      </c>
      <c r="O4771">
        <v>28294</v>
      </c>
    </row>
    <row r="4772" spans="1:15" x14ac:dyDescent="0.35">
      <c r="A4772">
        <v>4771</v>
      </c>
      <c r="B4772" s="2" t="s">
        <v>14</v>
      </c>
      <c r="C4772" s="2" t="s">
        <v>15</v>
      </c>
      <c r="D4772">
        <v>53</v>
      </c>
      <c r="E4772" s="2" t="s">
        <v>12</v>
      </c>
      <c r="F4772" s="2" t="s">
        <v>25</v>
      </c>
      <c r="G4772">
        <v>78826</v>
      </c>
      <c r="H4772" s="1">
        <v>44891</v>
      </c>
      <c r="I4772">
        <v>10</v>
      </c>
      <c r="J4772">
        <v>5</v>
      </c>
      <c r="K4772">
        <v>7883</v>
      </c>
      <c r="L4772">
        <v>3941</v>
      </c>
      <c r="M4772">
        <v>82768</v>
      </c>
      <c r="N4772">
        <v>3941</v>
      </c>
      <c r="O4772">
        <v>90650</v>
      </c>
    </row>
    <row r="4773" spans="1:15" x14ac:dyDescent="0.35">
      <c r="A4773">
        <v>4772</v>
      </c>
      <c r="B4773" s="2" t="s">
        <v>14</v>
      </c>
      <c r="C4773" s="2" t="s">
        <v>15</v>
      </c>
      <c r="D4773">
        <v>55</v>
      </c>
      <c r="E4773" s="2" t="s">
        <v>16</v>
      </c>
      <c r="F4773" s="2" t="s">
        <v>19</v>
      </c>
      <c r="G4773">
        <v>85468</v>
      </c>
      <c r="H4773" s="1">
        <v>44636</v>
      </c>
      <c r="I4773">
        <v>14</v>
      </c>
      <c r="J4773">
        <v>3</v>
      </c>
      <c r="K4773">
        <v>8547</v>
      </c>
      <c r="L4773">
        <v>4273</v>
      </c>
      <c r="M4773">
        <v>89742</v>
      </c>
      <c r="N4773">
        <v>4273</v>
      </c>
      <c r="O4773">
        <v>98288</v>
      </c>
    </row>
    <row r="4774" spans="1:15" x14ac:dyDescent="0.35">
      <c r="A4774">
        <v>4773</v>
      </c>
      <c r="B4774" s="2" t="s">
        <v>14</v>
      </c>
      <c r="C4774" s="2" t="s">
        <v>15</v>
      </c>
      <c r="D4774">
        <v>42</v>
      </c>
      <c r="E4774" s="2" t="s">
        <v>28</v>
      </c>
      <c r="F4774" s="2" t="s">
        <v>13</v>
      </c>
      <c r="G4774">
        <v>50557</v>
      </c>
      <c r="H4774" s="1">
        <v>44912</v>
      </c>
      <c r="I4774">
        <v>10</v>
      </c>
      <c r="J4774">
        <v>3</v>
      </c>
      <c r="K4774">
        <v>5056</v>
      </c>
      <c r="L4774">
        <v>2528</v>
      </c>
      <c r="M4774">
        <v>53085</v>
      </c>
      <c r="N4774">
        <v>2528</v>
      </c>
      <c r="O4774">
        <v>58141</v>
      </c>
    </row>
    <row r="4775" spans="1:15" x14ac:dyDescent="0.35">
      <c r="A4775">
        <v>4774</v>
      </c>
      <c r="B4775" s="2" t="s">
        <v>23</v>
      </c>
      <c r="C4775" s="2" t="s">
        <v>11</v>
      </c>
      <c r="D4775">
        <v>48</v>
      </c>
      <c r="E4775" s="2" t="s">
        <v>24</v>
      </c>
      <c r="F4775" s="2" t="s">
        <v>17</v>
      </c>
      <c r="G4775">
        <v>86193</v>
      </c>
      <c r="H4775" s="1">
        <v>44726</v>
      </c>
      <c r="I4775">
        <v>2</v>
      </c>
      <c r="J4775">
        <v>1</v>
      </c>
      <c r="K4775">
        <v>8619</v>
      </c>
      <c r="L4775">
        <v>4310</v>
      </c>
      <c r="M4775">
        <v>90502</v>
      </c>
      <c r="N4775">
        <v>0</v>
      </c>
      <c r="O4775">
        <v>94812</v>
      </c>
    </row>
    <row r="4776" spans="1:15" x14ac:dyDescent="0.35">
      <c r="A4776">
        <v>4775</v>
      </c>
      <c r="B4776" s="2" t="s">
        <v>18</v>
      </c>
      <c r="C4776" s="2" t="s">
        <v>11</v>
      </c>
      <c r="D4776">
        <v>53</v>
      </c>
      <c r="E4776" s="2" t="s">
        <v>16</v>
      </c>
      <c r="F4776" s="2" t="s">
        <v>25</v>
      </c>
      <c r="G4776">
        <v>88967</v>
      </c>
      <c r="H4776" s="1">
        <v>45339</v>
      </c>
      <c r="I4776">
        <v>9</v>
      </c>
      <c r="J4776">
        <v>3</v>
      </c>
      <c r="K4776">
        <v>8897</v>
      </c>
      <c r="L4776">
        <v>4448</v>
      </c>
      <c r="M4776">
        <v>93416</v>
      </c>
      <c r="N4776">
        <v>4448</v>
      </c>
      <c r="O4776">
        <v>102312</v>
      </c>
    </row>
    <row r="4777" spans="1:15" x14ac:dyDescent="0.35">
      <c r="A4777">
        <v>4776</v>
      </c>
      <c r="B4777" s="2" t="s">
        <v>20</v>
      </c>
      <c r="C4777" s="2" t="s">
        <v>11</v>
      </c>
      <c r="D4777">
        <v>57</v>
      </c>
      <c r="E4777" s="2" t="s">
        <v>16</v>
      </c>
      <c r="F4777" s="2" t="s">
        <v>13</v>
      </c>
      <c r="G4777">
        <v>50740</v>
      </c>
      <c r="H4777" s="1">
        <v>45264</v>
      </c>
      <c r="I4777">
        <v>13</v>
      </c>
      <c r="J4777">
        <v>1</v>
      </c>
      <c r="K4777">
        <v>5074</v>
      </c>
      <c r="L4777">
        <v>2537</v>
      </c>
      <c r="M4777">
        <v>53277</v>
      </c>
      <c r="N4777">
        <v>2537</v>
      </c>
      <c r="O4777">
        <v>58351</v>
      </c>
    </row>
    <row r="4778" spans="1:15" x14ac:dyDescent="0.35">
      <c r="A4778">
        <v>4777</v>
      </c>
      <c r="B4778" s="2" t="s">
        <v>10</v>
      </c>
      <c r="C4778" s="2" t="s">
        <v>11</v>
      </c>
      <c r="D4778">
        <v>52</v>
      </c>
      <c r="E4778" s="2" t="s">
        <v>24</v>
      </c>
      <c r="F4778" s="2" t="s">
        <v>21</v>
      </c>
      <c r="G4778">
        <v>86488</v>
      </c>
      <c r="H4778" s="1">
        <v>45105</v>
      </c>
      <c r="I4778">
        <v>13</v>
      </c>
      <c r="J4778">
        <v>5</v>
      </c>
      <c r="K4778">
        <v>8649</v>
      </c>
      <c r="L4778">
        <v>4324</v>
      </c>
      <c r="M4778">
        <v>90813</v>
      </c>
      <c r="N4778">
        <v>4324</v>
      </c>
      <c r="O4778">
        <v>99461</v>
      </c>
    </row>
    <row r="4779" spans="1:15" x14ac:dyDescent="0.35">
      <c r="A4779">
        <v>4778</v>
      </c>
      <c r="B4779" s="2" t="s">
        <v>31</v>
      </c>
      <c r="C4779" s="2" t="s">
        <v>15</v>
      </c>
      <c r="D4779">
        <v>40</v>
      </c>
      <c r="E4779" s="2" t="s">
        <v>29</v>
      </c>
      <c r="F4779" s="2" t="s">
        <v>13</v>
      </c>
      <c r="G4779">
        <v>94198</v>
      </c>
      <c r="H4779" s="1">
        <v>44816</v>
      </c>
      <c r="I4779">
        <v>7</v>
      </c>
      <c r="J4779">
        <v>4</v>
      </c>
      <c r="K4779">
        <v>9420</v>
      </c>
      <c r="L4779">
        <v>4710</v>
      </c>
      <c r="M4779">
        <v>98908</v>
      </c>
      <c r="N4779">
        <v>4710</v>
      </c>
      <c r="O4779">
        <v>108328</v>
      </c>
    </row>
    <row r="4780" spans="1:15" x14ac:dyDescent="0.35">
      <c r="A4780">
        <v>4779</v>
      </c>
      <c r="B4780" s="2" t="s">
        <v>22</v>
      </c>
      <c r="C4780" s="2" t="s">
        <v>11</v>
      </c>
      <c r="D4780">
        <v>57</v>
      </c>
      <c r="E4780" s="2" t="s">
        <v>12</v>
      </c>
      <c r="F4780" s="2" t="s">
        <v>13</v>
      </c>
      <c r="G4780">
        <v>59914</v>
      </c>
      <c r="H4780" s="1">
        <v>44950</v>
      </c>
      <c r="I4780">
        <v>10</v>
      </c>
      <c r="J4780">
        <v>5</v>
      </c>
      <c r="K4780">
        <v>5991</v>
      </c>
      <c r="L4780">
        <v>2996</v>
      </c>
      <c r="M4780">
        <v>62909</v>
      </c>
      <c r="N4780">
        <v>2996</v>
      </c>
      <c r="O4780">
        <v>68901</v>
      </c>
    </row>
    <row r="4781" spans="1:15" x14ac:dyDescent="0.35">
      <c r="A4781">
        <v>4780</v>
      </c>
      <c r="B4781" s="2" t="s">
        <v>23</v>
      </c>
      <c r="C4781" s="2" t="s">
        <v>11</v>
      </c>
      <c r="D4781">
        <v>45</v>
      </c>
      <c r="E4781" s="2" t="s">
        <v>28</v>
      </c>
      <c r="F4781" s="2" t="s">
        <v>19</v>
      </c>
      <c r="G4781">
        <v>99440</v>
      </c>
      <c r="H4781" s="1">
        <v>45476</v>
      </c>
      <c r="I4781">
        <v>15</v>
      </c>
      <c r="J4781">
        <v>1</v>
      </c>
      <c r="K4781">
        <v>9944</v>
      </c>
      <c r="L4781">
        <v>4972</v>
      </c>
      <c r="M4781">
        <v>104412</v>
      </c>
      <c r="N4781">
        <v>4972</v>
      </c>
      <c r="O4781">
        <v>114356</v>
      </c>
    </row>
    <row r="4782" spans="1:15" x14ac:dyDescent="0.35">
      <c r="A4782">
        <v>4781</v>
      </c>
      <c r="B4782" s="2" t="s">
        <v>26</v>
      </c>
      <c r="C4782" s="2" t="s">
        <v>11</v>
      </c>
      <c r="D4782">
        <v>43</v>
      </c>
      <c r="E4782" s="2" t="s">
        <v>28</v>
      </c>
      <c r="F4782" s="2" t="s">
        <v>17</v>
      </c>
      <c r="G4782">
        <v>85749</v>
      </c>
      <c r="H4782" s="1">
        <v>44608</v>
      </c>
      <c r="I4782">
        <v>19</v>
      </c>
      <c r="J4782">
        <v>1</v>
      </c>
      <c r="K4782">
        <v>8575</v>
      </c>
      <c r="L4782">
        <v>4287</v>
      </c>
      <c r="M4782">
        <v>90037</v>
      </c>
      <c r="N4782">
        <v>4287</v>
      </c>
      <c r="O4782">
        <v>98611</v>
      </c>
    </row>
    <row r="4783" spans="1:15" x14ac:dyDescent="0.35">
      <c r="A4783">
        <v>4782</v>
      </c>
      <c r="B4783" s="2" t="s">
        <v>27</v>
      </c>
      <c r="C4783" s="2" t="s">
        <v>11</v>
      </c>
      <c r="D4783">
        <v>54</v>
      </c>
      <c r="E4783" s="2" t="s">
        <v>12</v>
      </c>
      <c r="F4783" s="2" t="s">
        <v>13</v>
      </c>
      <c r="G4783">
        <v>49583</v>
      </c>
      <c r="H4783" s="1">
        <v>45329</v>
      </c>
      <c r="I4783">
        <v>9</v>
      </c>
      <c r="J4783">
        <v>3</v>
      </c>
      <c r="K4783">
        <v>4958</v>
      </c>
      <c r="L4783">
        <v>2479</v>
      </c>
      <c r="M4783">
        <v>52062</v>
      </c>
      <c r="N4783">
        <v>2479</v>
      </c>
      <c r="O4783">
        <v>57020</v>
      </c>
    </row>
    <row r="4784" spans="1:15" x14ac:dyDescent="0.35">
      <c r="A4784">
        <v>4783</v>
      </c>
      <c r="B4784" s="2" t="s">
        <v>31</v>
      </c>
      <c r="C4784" s="2" t="s">
        <v>11</v>
      </c>
      <c r="D4784">
        <v>46</v>
      </c>
      <c r="E4784" s="2" t="s">
        <v>24</v>
      </c>
      <c r="F4784" s="2" t="s">
        <v>13</v>
      </c>
      <c r="G4784">
        <v>33547</v>
      </c>
      <c r="H4784" s="1">
        <v>45010</v>
      </c>
      <c r="I4784">
        <v>17</v>
      </c>
      <c r="J4784">
        <v>1</v>
      </c>
      <c r="K4784">
        <v>3355</v>
      </c>
      <c r="L4784">
        <v>1677</v>
      </c>
      <c r="M4784">
        <v>35225</v>
      </c>
      <c r="N4784">
        <v>1677</v>
      </c>
      <c r="O4784">
        <v>38579</v>
      </c>
    </row>
    <row r="4785" spans="1:15" x14ac:dyDescent="0.35">
      <c r="A4785">
        <v>4784</v>
      </c>
      <c r="B4785" s="2" t="s">
        <v>30</v>
      </c>
      <c r="C4785" s="2" t="s">
        <v>11</v>
      </c>
      <c r="D4785">
        <v>24</v>
      </c>
      <c r="E4785" s="2" t="s">
        <v>16</v>
      </c>
      <c r="F4785" s="2" t="s">
        <v>25</v>
      </c>
      <c r="G4785">
        <v>92081</v>
      </c>
      <c r="H4785" s="1">
        <v>45286</v>
      </c>
      <c r="I4785">
        <v>3</v>
      </c>
      <c r="J4785">
        <v>3</v>
      </c>
      <c r="K4785">
        <v>9208</v>
      </c>
      <c r="L4785">
        <v>4604</v>
      </c>
      <c r="M4785">
        <v>96685</v>
      </c>
      <c r="N4785">
        <v>0</v>
      </c>
      <c r="O4785">
        <v>101289</v>
      </c>
    </row>
    <row r="4786" spans="1:15" x14ac:dyDescent="0.35">
      <c r="A4786">
        <v>4785</v>
      </c>
      <c r="B4786" s="2" t="s">
        <v>20</v>
      </c>
      <c r="C4786" s="2" t="s">
        <v>11</v>
      </c>
      <c r="D4786">
        <v>39</v>
      </c>
      <c r="E4786" s="2" t="s">
        <v>28</v>
      </c>
      <c r="F4786" s="2" t="s">
        <v>13</v>
      </c>
      <c r="G4786">
        <v>54664</v>
      </c>
      <c r="H4786" s="1">
        <v>45472</v>
      </c>
      <c r="I4786">
        <v>9</v>
      </c>
      <c r="J4786">
        <v>5</v>
      </c>
      <c r="K4786">
        <v>5466</v>
      </c>
      <c r="L4786">
        <v>2733</v>
      </c>
      <c r="M4786">
        <v>57397</v>
      </c>
      <c r="N4786">
        <v>2733</v>
      </c>
      <c r="O4786">
        <v>62863</v>
      </c>
    </row>
    <row r="4787" spans="1:15" x14ac:dyDescent="0.35">
      <c r="A4787">
        <v>4786</v>
      </c>
      <c r="B4787" s="2" t="s">
        <v>31</v>
      </c>
      <c r="C4787" s="2" t="s">
        <v>11</v>
      </c>
      <c r="D4787">
        <v>55</v>
      </c>
      <c r="E4787" s="2" t="s">
        <v>16</v>
      </c>
      <c r="F4787" s="2" t="s">
        <v>17</v>
      </c>
      <c r="G4787">
        <v>89918</v>
      </c>
      <c r="H4787" s="1">
        <v>45451</v>
      </c>
      <c r="I4787">
        <v>11</v>
      </c>
      <c r="J4787">
        <v>4</v>
      </c>
      <c r="K4787">
        <v>8992</v>
      </c>
      <c r="L4787">
        <v>4496</v>
      </c>
      <c r="M4787">
        <v>94414</v>
      </c>
      <c r="N4787">
        <v>4496</v>
      </c>
      <c r="O4787">
        <v>103406</v>
      </c>
    </row>
    <row r="4788" spans="1:15" x14ac:dyDescent="0.35">
      <c r="A4788">
        <v>4787</v>
      </c>
      <c r="B4788" s="2" t="s">
        <v>23</v>
      </c>
      <c r="C4788" s="2" t="s">
        <v>15</v>
      </c>
      <c r="D4788">
        <v>45</v>
      </c>
      <c r="E4788" s="2" t="s">
        <v>28</v>
      </c>
      <c r="F4788" s="2" t="s">
        <v>25</v>
      </c>
      <c r="G4788">
        <v>51967</v>
      </c>
      <c r="H4788" s="1">
        <v>45087</v>
      </c>
      <c r="I4788">
        <v>6</v>
      </c>
      <c r="J4788">
        <v>4</v>
      </c>
      <c r="K4788">
        <v>5197</v>
      </c>
      <c r="L4788">
        <v>2598</v>
      </c>
      <c r="M4788">
        <v>54566</v>
      </c>
      <c r="N4788">
        <v>2598</v>
      </c>
      <c r="O4788">
        <v>59762</v>
      </c>
    </row>
    <row r="4789" spans="1:15" x14ac:dyDescent="0.35">
      <c r="A4789">
        <v>4788</v>
      </c>
      <c r="B4789" s="2" t="s">
        <v>27</v>
      </c>
      <c r="C4789" s="2" t="s">
        <v>11</v>
      </c>
      <c r="D4789">
        <v>45</v>
      </c>
      <c r="E4789" s="2" t="s">
        <v>12</v>
      </c>
      <c r="F4789" s="2" t="s">
        <v>25</v>
      </c>
      <c r="G4789">
        <v>24014</v>
      </c>
      <c r="H4789" s="1">
        <v>44606</v>
      </c>
      <c r="I4789">
        <v>6</v>
      </c>
      <c r="J4789">
        <v>1</v>
      </c>
      <c r="K4789">
        <v>2401</v>
      </c>
      <c r="L4789">
        <v>1201</v>
      </c>
      <c r="M4789">
        <v>25214</v>
      </c>
      <c r="N4789">
        <v>1201</v>
      </c>
      <c r="O4789">
        <v>27616</v>
      </c>
    </row>
    <row r="4790" spans="1:15" x14ac:dyDescent="0.35">
      <c r="A4790">
        <v>4789</v>
      </c>
      <c r="B4790" s="2" t="s">
        <v>22</v>
      </c>
      <c r="C4790" s="2" t="s">
        <v>11</v>
      </c>
      <c r="D4790">
        <v>59</v>
      </c>
      <c r="E4790" s="2" t="s">
        <v>28</v>
      </c>
      <c r="F4790" s="2" t="s">
        <v>25</v>
      </c>
      <c r="G4790">
        <v>52579</v>
      </c>
      <c r="H4790" s="1">
        <v>45389</v>
      </c>
      <c r="I4790">
        <v>16</v>
      </c>
      <c r="J4790">
        <v>2</v>
      </c>
      <c r="K4790">
        <v>5258</v>
      </c>
      <c r="L4790">
        <v>2629</v>
      </c>
      <c r="M4790">
        <v>55208</v>
      </c>
      <c r="N4790">
        <v>2629</v>
      </c>
      <c r="O4790">
        <v>60466</v>
      </c>
    </row>
    <row r="4791" spans="1:15" x14ac:dyDescent="0.35">
      <c r="A4791">
        <v>4790</v>
      </c>
      <c r="B4791" s="2" t="s">
        <v>20</v>
      </c>
      <c r="C4791" s="2" t="s">
        <v>11</v>
      </c>
      <c r="D4791">
        <v>29</v>
      </c>
      <c r="E4791" s="2" t="s">
        <v>16</v>
      </c>
      <c r="F4791" s="2" t="s">
        <v>21</v>
      </c>
      <c r="G4791">
        <v>46431</v>
      </c>
      <c r="H4791" s="1">
        <v>45043</v>
      </c>
      <c r="I4791">
        <v>19</v>
      </c>
      <c r="J4791">
        <v>1</v>
      </c>
      <c r="K4791">
        <v>4643</v>
      </c>
      <c r="L4791">
        <v>2322</v>
      </c>
      <c r="M4791">
        <v>48752</v>
      </c>
      <c r="N4791">
        <v>2322</v>
      </c>
      <c r="O4791">
        <v>53396</v>
      </c>
    </row>
    <row r="4792" spans="1:15" x14ac:dyDescent="0.35">
      <c r="A4792">
        <v>4791</v>
      </c>
      <c r="B4792" s="2" t="s">
        <v>27</v>
      </c>
      <c r="C4792" s="2" t="s">
        <v>11</v>
      </c>
      <c r="D4792">
        <v>49</v>
      </c>
      <c r="E4792" s="2" t="s">
        <v>28</v>
      </c>
      <c r="F4792" s="2" t="s">
        <v>25</v>
      </c>
      <c r="G4792">
        <v>91574</v>
      </c>
      <c r="H4792" s="1">
        <v>45376</v>
      </c>
      <c r="I4792">
        <v>19</v>
      </c>
      <c r="J4792">
        <v>4</v>
      </c>
      <c r="K4792">
        <v>9157</v>
      </c>
      <c r="L4792">
        <v>4579</v>
      </c>
      <c r="M4792">
        <v>96152</v>
      </c>
      <c r="N4792">
        <v>4579</v>
      </c>
      <c r="O4792">
        <v>105310</v>
      </c>
    </row>
    <row r="4793" spans="1:15" x14ac:dyDescent="0.35">
      <c r="A4793">
        <v>4792</v>
      </c>
      <c r="B4793" s="2" t="s">
        <v>31</v>
      </c>
      <c r="C4793" s="2" t="s">
        <v>11</v>
      </c>
      <c r="D4793">
        <v>52</v>
      </c>
      <c r="E4793" s="2" t="s">
        <v>28</v>
      </c>
      <c r="F4793" s="2" t="s">
        <v>13</v>
      </c>
      <c r="G4793">
        <v>47526</v>
      </c>
      <c r="H4793" s="1">
        <v>44803</v>
      </c>
      <c r="I4793">
        <v>6</v>
      </c>
      <c r="J4793">
        <v>2</v>
      </c>
      <c r="K4793">
        <v>4753</v>
      </c>
      <c r="L4793">
        <v>2376</v>
      </c>
      <c r="M4793">
        <v>49903</v>
      </c>
      <c r="N4793">
        <v>2376</v>
      </c>
      <c r="O4793">
        <v>54655</v>
      </c>
    </row>
    <row r="4794" spans="1:15" x14ac:dyDescent="0.35">
      <c r="A4794">
        <v>4793</v>
      </c>
      <c r="B4794" s="2" t="s">
        <v>26</v>
      </c>
      <c r="C4794" s="2" t="s">
        <v>15</v>
      </c>
      <c r="D4794">
        <v>58</v>
      </c>
      <c r="E4794" s="2" t="s">
        <v>29</v>
      </c>
      <c r="F4794" s="2" t="s">
        <v>17</v>
      </c>
      <c r="G4794">
        <v>33966</v>
      </c>
      <c r="H4794" s="1">
        <v>44819</v>
      </c>
      <c r="I4794">
        <v>20</v>
      </c>
      <c r="J4794">
        <v>2</v>
      </c>
      <c r="K4794">
        <v>3397</v>
      </c>
      <c r="L4794">
        <v>1698</v>
      </c>
      <c r="M4794">
        <v>35665</v>
      </c>
      <c r="N4794">
        <v>1698</v>
      </c>
      <c r="O4794">
        <v>39061</v>
      </c>
    </row>
    <row r="4795" spans="1:15" x14ac:dyDescent="0.35">
      <c r="A4795">
        <v>4794</v>
      </c>
      <c r="B4795" s="2" t="s">
        <v>14</v>
      </c>
      <c r="C4795" s="2" t="s">
        <v>11</v>
      </c>
      <c r="D4795">
        <v>51</v>
      </c>
      <c r="E4795" s="2" t="s">
        <v>16</v>
      </c>
      <c r="F4795" s="2" t="s">
        <v>21</v>
      </c>
      <c r="G4795">
        <v>37331</v>
      </c>
      <c r="H4795" s="1">
        <v>44788</v>
      </c>
      <c r="I4795">
        <v>17</v>
      </c>
      <c r="J4795">
        <v>1</v>
      </c>
      <c r="K4795">
        <v>3733</v>
      </c>
      <c r="L4795">
        <v>1867</v>
      </c>
      <c r="M4795">
        <v>39197</v>
      </c>
      <c r="N4795">
        <v>1867</v>
      </c>
      <c r="O4795">
        <v>42931</v>
      </c>
    </row>
    <row r="4796" spans="1:15" x14ac:dyDescent="0.35">
      <c r="A4796">
        <v>4795</v>
      </c>
      <c r="B4796" s="2" t="s">
        <v>30</v>
      </c>
      <c r="C4796" s="2" t="s">
        <v>11</v>
      </c>
      <c r="D4796">
        <v>23</v>
      </c>
      <c r="E4796" s="2" t="s">
        <v>29</v>
      </c>
      <c r="F4796" s="2" t="s">
        <v>25</v>
      </c>
      <c r="G4796">
        <v>85250</v>
      </c>
      <c r="H4796" s="1">
        <v>45508</v>
      </c>
      <c r="I4796">
        <v>6</v>
      </c>
      <c r="J4796">
        <v>4</v>
      </c>
      <c r="K4796">
        <v>8525</v>
      </c>
      <c r="L4796">
        <v>4262</v>
      </c>
      <c r="M4796">
        <v>89513</v>
      </c>
      <c r="N4796">
        <v>4262</v>
      </c>
      <c r="O4796">
        <v>98037</v>
      </c>
    </row>
    <row r="4797" spans="1:15" x14ac:dyDescent="0.35">
      <c r="A4797">
        <v>4796</v>
      </c>
      <c r="B4797" s="2" t="s">
        <v>22</v>
      </c>
      <c r="C4797" s="2" t="s">
        <v>11</v>
      </c>
      <c r="D4797">
        <v>57</v>
      </c>
      <c r="E4797" s="2" t="s">
        <v>29</v>
      </c>
      <c r="F4797" s="2" t="s">
        <v>19</v>
      </c>
      <c r="G4797">
        <v>36232</v>
      </c>
      <c r="H4797" s="1">
        <v>45291</v>
      </c>
      <c r="I4797">
        <v>18</v>
      </c>
      <c r="J4797">
        <v>5</v>
      </c>
      <c r="K4797">
        <v>3623</v>
      </c>
      <c r="L4797">
        <v>1812</v>
      </c>
      <c r="M4797">
        <v>38043</v>
      </c>
      <c r="N4797">
        <v>1812</v>
      </c>
      <c r="O4797">
        <v>41667</v>
      </c>
    </row>
    <row r="4798" spans="1:15" x14ac:dyDescent="0.35">
      <c r="A4798">
        <v>4797</v>
      </c>
      <c r="B4798" s="2" t="s">
        <v>18</v>
      </c>
      <c r="C4798" s="2" t="s">
        <v>15</v>
      </c>
      <c r="D4798">
        <v>58</v>
      </c>
      <c r="E4798" s="2" t="s">
        <v>12</v>
      </c>
      <c r="F4798" s="2" t="s">
        <v>17</v>
      </c>
      <c r="G4798">
        <v>45686</v>
      </c>
      <c r="H4798" s="1">
        <v>45189</v>
      </c>
      <c r="I4798">
        <v>4</v>
      </c>
      <c r="J4798">
        <v>3</v>
      </c>
      <c r="K4798">
        <v>4569</v>
      </c>
      <c r="L4798">
        <v>2284</v>
      </c>
      <c r="M4798">
        <v>47971</v>
      </c>
      <c r="N4798">
        <v>0</v>
      </c>
      <c r="O4798">
        <v>50255</v>
      </c>
    </row>
    <row r="4799" spans="1:15" x14ac:dyDescent="0.35">
      <c r="A4799">
        <v>4798</v>
      </c>
      <c r="B4799" s="2" t="s">
        <v>10</v>
      </c>
      <c r="C4799" s="2" t="s">
        <v>11</v>
      </c>
      <c r="D4799">
        <v>41</v>
      </c>
      <c r="E4799" s="2" t="s">
        <v>16</v>
      </c>
      <c r="F4799" s="2" t="s">
        <v>17</v>
      </c>
      <c r="G4799">
        <v>56014</v>
      </c>
      <c r="H4799" s="1">
        <v>45215</v>
      </c>
      <c r="I4799">
        <v>12</v>
      </c>
      <c r="J4799">
        <v>1</v>
      </c>
      <c r="K4799">
        <v>5601</v>
      </c>
      <c r="L4799">
        <v>2801</v>
      </c>
      <c r="M4799">
        <v>58814</v>
      </c>
      <c r="N4799">
        <v>2801</v>
      </c>
      <c r="O4799">
        <v>64416</v>
      </c>
    </row>
    <row r="4800" spans="1:15" x14ac:dyDescent="0.35">
      <c r="A4800">
        <v>4799</v>
      </c>
      <c r="B4800" s="2" t="s">
        <v>26</v>
      </c>
      <c r="C4800" s="2" t="s">
        <v>11</v>
      </c>
      <c r="D4800">
        <v>52</v>
      </c>
      <c r="E4800" s="2" t="s">
        <v>24</v>
      </c>
      <c r="F4800" s="2" t="s">
        <v>13</v>
      </c>
      <c r="G4800">
        <v>64347</v>
      </c>
      <c r="H4800" s="1">
        <v>44749</v>
      </c>
      <c r="I4800">
        <v>14</v>
      </c>
      <c r="J4800">
        <v>3</v>
      </c>
      <c r="K4800">
        <v>6435</v>
      </c>
      <c r="L4800">
        <v>3217</v>
      </c>
      <c r="M4800">
        <v>67565</v>
      </c>
      <c r="N4800">
        <v>3217</v>
      </c>
      <c r="O4800">
        <v>73999</v>
      </c>
    </row>
    <row r="4801" spans="1:15" x14ac:dyDescent="0.35">
      <c r="A4801">
        <v>4800</v>
      </c>
      <c r="B4801" s="2" t="s">
        <v>23</v>
      </c>
      <c r="C4801" s="2" t="s">
        <v>15</v>
      </c>
      <c r="D4801">
        <v>23</v>
      </c>
      <c r="E4801" s="2" t="s">
        <v>16</v>
      </c>
      <c r="F4801" s="2" t="s">
        <v>19</v>
      </c>
      <c r="G4801">
        <v>25430</v>
      </c>
      <c r="H4801" s="1">
        <v>45276</v>
      </c>
      <c r="I4801">
        <v>17</v>
      </c>
      <c r="J4801">
        <v>5</v>
      </c>
      <c r="K4801">
        <v>2543</v>
      </c>
      <c r="L4801">
        <v>1272</v>
      </c>
      <c r="M4801">
        <v>26701</v>
      </c>
      <c r="N4801">
        <v>1272</v>
      </c>
      <c r="O4801">
        <v>29245</v>
      </c>
    </row>
    <row r="4802" spans="1:15" x14ac:dyDescent="0.35">
      <c r="A4802">
        <v>4801</v>
      </c>
      <c r="B4802" s="2" t="s">
        <v>14</v>
      </c>
      <c r="C4802" s="2" t="s">
        <v>15</v>
      </c>
      <c r="D4802">
        <v>52</v>
      </c>
      <c r="E4802" s="2" t="s">
        <v>12</v>
      </c>
      <c r="F4802" s="2" t="s">
        <v>21</v>
      </c>
      <c r="G4802">
        <v>70083</v>
      </c>
      <c r="H4802" s="1">
        <v>44877</v>
      </c>
      <c r="I4802">
        <v>17</v>
      </c>
      <c r="J4802">
        <v>1</v>
      </c>
      <c r="K4802">
        <v>7008</v>
      </c>
      <c r="L4802">
        <v>3504</v>
      </c>
      <c r="M4802">
        <v>73587</v>
      </c>
      <c r="N4802">
        <v>3504</v>
      </c>
      <c r="O4802">
        <v>80595</v>
      </c>
    </row>
    <row r="4803" spans="1:15" x14ac:dyDescent="0.35">
      <c r="A4803">
        <v>4802</v>
      </c>
      <c r="B4803" s="2" t="s">
        <v>23</v>
      </c>
      <c r="C4803" s="2" t="s">
        <v>15</v>
      </c>
      <c r="D4803">
        <v>42</v>
      </c>
      <c r="E4803" s="2" t="s">
        <v>16</v>
      </c>
      <c r="F4803" s="2" t="s">
        <v>13</v>
      </c>
      <c r="G4803">
        <v>96272</v>
      </c>
      <c r="H4803" s="1">
        <v>45362</v>
      </c>
      <c r="I4803">
        <v>11</v>
      </c>
      <c r="J4803">
        <v>5</v>
      </c>
      <c r="K4803">
        <v>9627</v>
      </c>
      <c r="L4803">
        <v>4814</v>
      </c>
      <c r="M4803">
        <v>101085</v>
      </c>
      <c r="N4803">
        <v>4814</v>
      </c>
      <c r="O4803">
        <v>110713</v>
      </c>
    </row>
    <row r="4804" spans="1:15" x14ac:dyDescent="0.35">
      <c r="A4804">
        <v>4803</v>
      </c>
      <c r="B4804" s="2" t="s">
        <v>22</v>
      </c>
      <c r="C4804" s="2" t="s">
        <v>11</v>
      </c>
      <c r="D4804">
        <v>27</v>
      </c>
      <c r="E4804" s="2" t="s">
        <v>28</v>
      </c>
      <c r="F4804" s="2" t="s">
        <v>17</v>
      </c>
      <c r="G4804">
        <v>81277</v>
      </c>
      <c r="H4804" s="1">
        <v>44977</v>
      </c>
      <c r="I4804">
        <v>4</v>
      </c>
      <c r="J4804">
        <v>2</v>
      </c>
      <c r="K4804">
        <v>8128</v>
      </c>
      <c r="L4804">
        <v>4064</v>
      </c>
      <c r="M4804">
        <v>85341</v>
      </c>
      <c r="N4804">
        <v>0</v>
      </c>
      <c r="O4804">
        <v>89405</v>
      </c>
    </row>
    <row r="4805" spans="1:15" x14ac:dyDescent="0.35">
      <c r="A4805">
        <v>4804</v>
      </c>
      <c r="B4805" s="2" t="s">
        <v>10</v>
      </c>
      <c r="C4805" s="2" t="s">
        <v>11</v>
      </c>
      <c r="D4805">
        <v>46</v>
      </c>
      <c r="E4805" s="2" t="s">
        <v>24</v>
      </c>
      <c r="F4805" s="2" t="s">
        <v>13</v>
      </c>
      <c r="G4805">
        <v>62618</v>
      </c>
      <c r="H4805" s="1">
        <v>45048</v>
      </c>
      <c r="I4805">
        <v>9</v>
      </c>
      <c r="J4805">
        <v>3</v>
      </c>
      <c r="K4805">
        <v>6262</v>
      </c>
      <c r="L4805">
        <v>3131</v>
      </c>
      <c r="M4805">
        <v>65749</v>
      </c>
      <c r="N4805">
        <v>3131</v>
      </c>
      <c r="O4805">
        <v>72011</v>
      </c>
    </row>
    <row r="4806" spans="1:15" x14ac:dyDescent="0.35">
      <c r="A4806">
        <v>4805</v>
      </c>
      <c r="B4806" s="2" t="s">
        <v>22</v>
      </c>
      <c r="C4806" s="2" t="s">
        <v>11</v>
      </c>
      <c r="D4806">
        <v>24</v>
      </c>
      <c r="E4806" s="2" t="s">
        <v>24</v>
      </c>
      <c r="F4806" s="2" t="s">
        <v>17</v>
      </c>
      <c r="G4806">
        <v>93926</v>
      </c>
      <c r="H4806" s="1">
        <v>45148</v>
      </c>
      <c r="I4806">
        <v>15</v>
      </c>
      <c r="J4806">
        <v>2</v>
      </c>
      <c r="K4806">
        <v>9393</v>
      </c>
      <c r="L4806">
        <v>4696</v>
      </c>
      <c r="M4806">
        <v>98623</v>
      </c>
      <c r="N4806">
        <v>4696</v>
      </c>
      <c r="O4806">
        <v>108015</v>
      </c>
    </row>
    <row r="4807" spans="1:15" x14ac:dyDescent="0.35">
      <c r="A4807">
        <v>4806</v>
      </c>
      <c r="B4807" s="2" t="s">
        <v>30</v>
      </c>
      <c r="C4807" s="2" t="s">
        <v>15</v>
      </c>
      <c r="D4807">
        <v>51</v>
      </c>
      <c r="E4807" s="2" t="s">
        <v>12</v>
      </c>
      <c r="F4807" s="2" t="s">
        <v>13</v>
      </c>
      <c r="G4807">
        <v>25136</v>
      </c>
      <c r="H4807" s="1">
        <v>45343</v>
      </c>
      <c r="I4807">
        <v>14</v>
      </c>
      <c r="J4807">
        <v>4</v>
      </c>
      <c r="K4807">
        <v>2514</v>
      </c>
      <c r="L4807">
        <v>1257</v>
      </c>
      <c r="M4807">
        <v>26393</v>
      </c>
      <c r="N4807">
        <v>1257</v>
      </c>
      <c r="O4807">
        <v>28907</v>
      </c>
    </row>
    <row r="4808" spans="1:15" x14ac:dyDescent="0.35">
      <c r="A4808">
        <v>4807</v>
      </c>
      <c r="B4808" s="2" t="s">
        <v>22</v>
      </c>
      <c r="C4808" s="2" t="s">
        <v>15</v>
      </c>
      <c r="D4808">
        <v>41</v>
      </c>
      <c r="E4808" s="2" t="s">
        <v>29</v>
      </c>
      <c r="F4808" s="2" t="s">
        <v>17</v>
      </c>
      <c r="G4808">
        <v>70526</v>
      </c>
      <c r="H4808" s="1">
        <v>44807</v>
      </c>
      <c r="I4808">
        <v>10</v>
      </c>
      <c r="J4808">
        <v>2</v>
      </c>
      <c r="K4808">
        <v>7053</v>
      </c>
      <c r="L4808">
        <v>3526</v>
      </c>
      <c r="M4808">
        <v>74053</v>
      </c>
      <c r="N4808">
        <v>3526</v>
      </c>
      <c r="O4808">
        <v>81105</v>
      </c>
    </row>
    <row r="4809" spans="1:15" x14ac:dyDescent="0.35">
      <c r="A4809">
        <v>4808</v>
      </c>
      <c r="B4809" s="2" t="s">
        <v>27</v>
      </c>
      <c r="C4809" s="2" t="s">
        <v>15</v>
      </c>
      <c r="D4809">
        <v>47</v>
      </c>
      <c r="E4809" s="2" t="s">
        <v>16</v>
      </c>
      <c r="F4809" s="2" t="s">
        <v>17</v>
      </c>
      <c r="G4809">
        <v>31362</v>
      </c>
      <c r="H4809" s="1">
        <v>44949</v>
      </c>
      <c r="I4809">
        <v>2</v>
      </c>
      <c r="J4809">
        <v>5</v>
      </c>
      <c r="K4809">
        <v>3136</v>
      </c>
      <c r="L4809">
        <v>1568</v>
      </c>
      <c r="M4809">
        <v>32930</v>
      </c>
      <c r="N4809">
        <v>0</v>
      </c>
      <c r="O4809">
        <v>34498</v>
      </c>
    </row>
    <row r="4810" spans="1:15" x14ac:dyDescent="0.35">
      <c r="A4810">
        <v>4809</v>
      </c>
      <c r="B4810" s="2" t="s">
        <v>10</v>
      </c>
      <c r="C4810" s="2" t="s">
        <v>15</v>
      </c>
      <c r="D4810">
        <v>25</v>
      </c>
      <c r="E4810" s="2" t="s">
        <v>24</v>
      </c>
      <c r="F4810" s="2" t="s">
        <v>17</v>
      </c>
      <c r="G4810">
        <v>20461</v>
      </c>
      <c r="H4810" s="1">
        <v>45005</v>
      </c>
      <c r="I4810">
        <v>6</v>
      </c>
      <c r="J4810">
        <v>2</v>
      </c>
      <c r="K4810">
        <v>2046</v>
      </c>
      <c r="L4810">
        <v>1023</v>
      </c>
      <c r="M4810">
        <v>21484</v>
      </c>
      <c r="N4810">
        <v>1023</v>
      </c>
      <c r="O4810">
        <v>23530</v>
      </c>
    </row>
    <row r="4811" spans="1:15" x14ac:dyDescent="0.35">
      <c r="A4811">
        <v>4810</v>
      </c>
      <c r="B4811" s="2" t="s">
        <v>26</v>
      </c>
      <c r="C4811" s="2" t="s">
        <v>11</v>
      </c>
      <c r="D4811">
        <v>40</v>
      </c>
      <c r="E4811" s="2" t="s">
        <v>16</v>
      </c>
      <c r="F4811" s="2" t="s">
        <v>13</v>
      </c>
      <c r="G4811">
        <v>74380</v>
      </c>
      <c r="H4811" s="1">
        <v>45119</v>
      </c>
      <c r="I4811">
        <v>7</v>
      </c>
      <c r="J4811">
        <v>4</v>
      </c>
      <c r="K4811">
        <v>7438</v>
      </c>
      <c r="L4811">
        <v>3719</v>
      </c>
      <c r="M4811">
        <v>78099</v>
      </c>
      <c r="N4811">
        <v>3719</v>
      </c>
      <c r="O4811">
        <v>85537</v>
      </c>
    </row>
    <row r="4812" spans="1:15" x14ac:dyDescent="0.35">
      <c r="A4812">
        <v>4811</v>
      </c>
      <c r="B4812" s="2" t="s">
        <v>14</v>
      </c>
      <c r="C4812" s="2" t="s">
        <v>15</v>
      </c>
      <c r="D4812">
        <v>50</v>
      </c>
      <c r="E4812" s="2" t="s">
        <v>16</v>
      </c>
      <c r="F4812" s="2" t="s">
        <v>19</v>
      </c>
      <c r="G4812">
        <v>54051</v>
      </c>
      <c r="H4812" s="1">
        <v>44807</v>
      </c>
      <c r="I4812">
        <v>1</v>
      </c>
      <c r="J4812">
        <v>3</v>
      </c>
      <c r="K4812">
        <v>5405</v>
      </c>
      <c r="L4812">
        <v>2703</v>
      </c>
      <c r="M4812">
        <v>56753</v>
      </c>
      <c r="N4812">
        <v>0</v>
      </c>
      <c r="O4812">
        <v>59456</v>
      </c>
    </row>
    <row r="4813" spans="1:15" x14ac:dyDescent="0.35">
      <c r="A4813">
        <v>4812</v>
      </c>
      <c r="B4813" s="2" t="s">
        <v>20</v>
      </c>
      <c r="C4813" s="2" t="s">
        <v>15</v>
      </c>
      <c r="D4813">
        <v>26</v>
      </c>
      <c r="E4813" s="2" t="s">
        <v>16</v>
      </c>
      <c r="F4813" s="2" t="s">
        <v>13</v>
      </c>
      <c r="G4813">
        <v>69027</v>
      </c>
      <c r="H4813" s="1">
        <v>44714</v>
      </c>
      <c r="I4813">
        <v>1</v>
      </c>
      <c r="J4813">
        <v>2</v>
      </c>
      <c r="K4813">
        <v>6903</v>
      </c>
      <c r="L4813">
        <v>3451</v>
      </c>
      <c r="M4813">
        <v>72479</v>
      </c>
      <c r="N4813">
        <v>0</v>
      </c>
      <c r="O4813">
        <v>75930</v>
      </c>
    </row>
    <row r="4814" spans="1:15" x14ac:dyDescent="0.35">
      <c r="A4814">
        <v>4813</v>
      </c>
      <c r="B4814" s="2" t="s">
        <v>18</v>
      </c>
      <c r="C4814" s="2" t="s">
        <v>15</v>
      </c>
      <c r="D4814">
        <v>34</v>
      </c>
      <c r="E4814" s="2" t="s">
        <v>12</v>
      </c>
      <c r="F4814" s="2" t="s">
        <v>25</v>
      </c>
      <c r="G4814">
        <v>81791</v>
      </c>
      <c r="H4814" s="1">
        <v>45208</v>
      </c>
      <c r="I4814">
        <v>8</v>
      </c>
      <c r="J4814">
        <v>5</v>
      </c>
      <c r="K4814">
        <v>8179</v>
      </c>
      <c r="L4814">
        <v>4090</v>
      </c>
      <c r="M4814">
        <v>85880</v>
      </c>
      <c r="N4814">
        <v>4090</v>
      </c>
      <c r="O4814">
        <v>94060</v>
      </c>
    </row>
    <row r="4815" spans="1:15" x14ac:dyDescent="0.35">
      <c r="A4815">
        <v>4814</v>
      </c>
      <c r="B4815" s="2" t="s">
        <v>31</v>
      </c>
      <c r="C4815" s="2" t="s">
        <v>11</v>
      </c>
      <c r="D4815">
        <v>46</v>
      </c>
      <c r="E4815" s="2" t="s">
        <v>16</v>
      </c>
      <c r="F4815" s="2" t="s">
        <v>13</v>
      </c>
      <c r="G4815">
        <v>35587</v>
      </c>
      <c r="H4815" s="1">
        <v>45322</v>
      </c>
      <c r="I4815">
        <v>6</v>
      </c>
      <c r="J4815">
        <v>5</v>
      </c>
      <c r="K4815">
        <v>3559</v>
      </c>
      <c r="L4815">
        <v>1779</v>
      </c>
      <c r="M4815">
        <v>37367</v>
      </c>
      <c r="N4815">
        <v>1779</v>
      </c>
      <c r="O4815">
        <v>40925</v>
      </c>
    </row>
    <row r="4816" spans="1:15" x14ac:dyDescent="0.35">
      <c r="A4816">
        <v>4815</v>
      </c>
      <c r="B4816" s="2" t="s">
        <v>26</v>
      </c>
      <c r="C4816" s="2" t="s">
        <v>15</v>
      </c>
      <c r="D4816">
        <v>35</v>
      </c>
      <c r="E4816" s="2" t="s">
        <v>16</v>
      </c>
      <c r="F4816" s="2" t="s">
        <v>21</v>
      </c>
      <c r="G4816">
        <v>63606</v>
      </c>
      <c r="H4816" s="1">
        <v>45049</v>
      </c>
      <c r="I4816">
        <v>13</v>
      </c>
      <c r="J4816">
        <v>3</v>
      </c>
      <c r="K4816">
        <v>6361</v>
      </c>
      <c r="L4816">
        <v>3180</v>
      </c>
      <c r="M4816">
        <v>66787</v>
      </c>
      <c r="N4816">
        <v>3180</v>
      </c>
      <c r="O4816">
        <v>73147</v>
      </c>
    </row>
    <row r="4817" spans="1:15" x14ac:dyDescent="0.35">
      <c r="A4817">
        <v>4816</v>
      </c>
      <c r="B4817" s="2" t="s">
        <v>26</v>
      </c>
      <c r="C4817" s="2" t="s">
        <v>11</v>
      </c>
      <c r="D4817">
        <v>29</v>
      </c>
      <c r="E4817" s="2" t="s">
        <v>12</v>
      </c>
      <c r="F4817" s="2" t="s">
        <v>25</v>
      </c>
      <c r="G4817">
        <v>28835</v>
      </c>
      <c r="H4817" s="1">
        <v>44875</v>
      </c>
      <c r="I4817">
        <v>11</v>
      </c>
      <c r="J4817">
        <v>1</v>
      </c>
      <c r="K4817">
        <v>2884</v>
      </c>
      <c r="L4817">
        <v>1442</v>
      </c>
      <c r="M4817">
        <v>30277</v>
      </c>
      <c r="N4817">
        <v>1442</v>
      </c>
      <c r="O4817">
        <v>33161</v>
      </c>
    </row>
    <row r="4818" spans="1:15" x14ac:dyDescent="0.35">
      <c r="A4818">
        <v>4817</v>
      </c>
      <c r="B4818" s="2" t="s">
        <v>14</v>
      </c>
      <c r="C4818" s="2" t="s">
        <v>15</v>
      </c>
      <c r="D4818">
        <v>49</v>
      </c>
      <c r="E4818" s="2" t="s">
        <v>29</v>
      </c>
      <c r="F4818" s="2" t="s">
        <v>19</v>
      </c>
      <c r="G4818">
        <v>24128</v>
      </c>
      <c r="H4818" s="1">
        <v>45225</v>
      </c>
      <c r="I4818">
        <v>19</v>
      </c>
      <c r="J4818">
        <v>4</v>
      </c>
      <c r="K4818">
        <v>2413</v>
      </c>
      <c r="L4818">
        <v>1206</v>
      </c>
      <c r="M4818">
        <v>25335</v>
      </c>
      <c r="N4818">
        <v>1206</v>
      </c>
      <c r="O4818">
        <v>27747</v>
      </c>
    </row>
    <row r="4819" spans="1:15" x14ac:dyDescent="0.35">
      <c r="A4819">
        <v>4818</v>
      </c>
      <c r="B4819" s="2" t="s">
        <v>14</v>
      </c>
      <c r="C4819" s="2" t="s">
        <v>15</v>
      </c>
      <c r="D4819">
        <v>35</v>
      </c>
      <c r="E4819" s="2" t="s">
        <v>16</v>
      </c>
      <c r="F4819" s="2" t="s">
        <v>17</v>
      </c>
      <c r="G4819">
        <v>26769</v>
      </c>
      <c r="H4819" s="1">
        <v>44858</v>
      </c>
      <c r="I4819">
        <v>2</v>
      </c>
      <c r="J4819">
        <v>4</v>
      </c>
      <c r="K4819">
        <v>2677</v>
      </c>
      <c r="L4819">
        <v>1338</v>
      </c>
      <c r="M4819">
        <v>28108</v>
      </c>
      <c r="N4819">
        <v>0</v>
      </c>
      <c r="O4819">
        <v>29446</v>
      </c>
    </row>
    <row r="4820" spans="1:15" x14ac:dyDescent="0.35">
      <c r="A4820">
        <v>4819</v>
      </c>
      <c r="B4820" s="2" t="s">
        <v>23</v>
      </c>
      <c r="C4820" s="2" t="s">
        <v>15</v>
      </c>
      <c r="D4820">
        <v>51</v>
      </c>
      <c r="E4820" s="2" t="s">
        <v>24</v>
      </c>
      <c r="F4820" s="2" t="s">
        <v>17</v>
      </c>
      <c r="G4820">
        <v>23602</v>
      </c>
      <c r="H4820" s="1">
        <v>45305</v>
      </c>
      <c r="I4820">
        <v>10</v>
      </c>
      <c r="J4820">
        <v>1</v>
      </c>
      <c r="K4820">
        <v>2360</v>
      </c>
      <c r="L4820">
        <v>1180</v>
      </c>
      <c r="M4820">
        <v>24782</v>
      </c>
      <c r="N4820">
        <v>1180</v>
      </c>
      <c r="O4820">
        <v>27142</v>
      </c>
    </row>
    <row r="4821" spans="1:15" x14ac:dyDescent="0.35">
      <c r="A4821">
        <v>4820</v>
      </c>
      <c r="B4821" s="2" t="s">
        <v>23</v>
      </c>
      <c r="C4821" s="2" t="s">
        <v>11</v>
      </c>
      <c r="D4821">
        <v>35</v>
      </c>
      <c r="E4821" s="2" t="s">
        <v>28</v>
      </c>
      <c r="F4821" s="2" t="s">
        <v>21</v>
      </c>
      <c r="G4821">
        <v>65266</v>
      </c>
      <c r="H4821" s="1">
        <v>44966</v>
      </c>
      <c r="I4821">
        <v>1</v>
      </c>
      <c r="J4821">
        <v>5</v>
      </c>
      <c r="K4821">
        <v>6527</v>
      </c>
      <c r="L4821">
        <v>3263</v>
      </c>
      <c r="M4821">
        <v>68530</v>
      </c>
      <c r="N4821">
        <v>0</v>
      </c>
      <c r="O4821">
        <v>71793</v>
      </c>
    </row>
    <row r="4822" spans="1:15" x14ac:dyDescent="0.35">
      <c r="A4822">
        <v>4821</v>
      </c>
      <c r="B4822" s="2" t="s">
        <v>18</v>
      </c>
      <c r="C4822" s="2" t="s">
        <v>11</v>
      </c>
      <c r="D4822">
        <v>30</v>
      </c>
      <c r="E4822" s="2" t="s">
        <v>29</v>
      </c>
      <c r="F4822" s="2" t="s">
        <v>25</v>
      </c>
      <c r="G4822">
        <v>39951</v>
      </c>
      <c r="H4822" s="1">
        <v>45132</v>
      </c>
      <c r="I4822">
        <v>13</v>
      </c>
      <c r="J4822">
        <v>1</v>
      </c>
      <c r="K4822">
        <v>3995</v>
      </c>
      <c r="L4822">
        <v>1998</v>
      </c>
      <c r="M4822">
        <v>41948</v>
      </c>
      <c r="N4822">
        <v>1998</v>
      </c>
      <c r="O4822">
        <v>45944</v>
      </c>
    </row>
    <row r="4823" spans="1:15" x14ac:dyDescent="0.35">
      <c r="A4823">
        <v>4822</v>
      </c>
      <c r="B4823" s="2" t="s">
        <v>30</v>
      </c>
      <c r="C4823" s="2" t="s">
        <v>15</v>
      </c>
      <c r="D4823">
        <v>39</v>
      </c>
      <c r="E4823" s="2" t="s">
        <v>16</v>
      </c>
      <c r="F4823" s="2" t="s">
        <v>17</v>
      </c>
      <c r="G4823">
        <v>60443</v>
      </c>
      <c r="H4823" s="1">
        <v>44633</v>
      </c>
      <c r="I4823">
        <v>14</v>
      </c>
      <c r="J4823">
        <v>1</v>
      </c>
      <c r="K4823">
        <v>6044</v>
      </c>
      <c r="L4823">
        <v>3022</v>
      </c>
      <c r="M4823">
        <v>63465</v>
      </c>
      <c r="N4823">
        <v>3022</v>
      </c>
      <c r="O4823">
        <v>69509</v>
      </c>
    </row>
    <row r="4824" spans="1:15" x14ac:dyDescent="0.35">
      <c r="A4824">
        <v>4823</v>
      </c>
      <c r="B4824" s="2" t="s">
        <v>27</v>
      </c>
      <c r="C4824" s="2" t="s">
        <v>11</v>
      </c>
      <c r="D4824">
        <v>39</v>
      </c>
      <c r="E4824" s="2" t="s">
        <v>28</v>
      </c>
      <c r="F4824" s="2" t="s">
        <v>19</v>
      </c>
      <c r="G4824">
        <v>89055</v>
      </c>
      <c r="H4824" s="1">
        <v>45533</v>
      </c>
      <c r="I4824">
        <v>14</v>
      </c>
      <c r="J4824">
        <v>3</v>
      </c>
      <c r="K4824">
        <v>8906</v>
      </c>
      <c r="L4824">
        <v>4453</v>
      </c>
      <c r="M4824">
        <v>93508</v>
      </c>
      <c r="N4824">
        <v>4453</v>
      </c>
      <c r="O4824">
        <v>102414</v>
      </c>
    </row>
    <row r="4825" spans="1:15" x14ac:dyDescent="0.35">
      <c r="A4825">
        <v>4824</v>
      </c>
      <c r="B4825" s="2" t="s">
        <v>30</v>
      </c>
      <c r="C4825" s="2" t="s">
        <v>15</v>
      </c>
      <c r="D4825">
        <v>45</v>
      </c>
      <c r="E4825" s="2" t="s">
        <v>28</v>
      </c>
      <c r="F4825" s="2" t="s">
        <v>21</v>
      </c>
      <c r="G4825">
        <v>35499</v>
      </c>
      <c r="H4825" s="1">
        <v>45158</v>
      </c>
      <c r="I4825">
        <v>5</v>
      </c>
      <c r="J4825">
        <v>4</v>
      </c>
      <c r="K4825">
        <v>3550</v>
      </c>
      <c r="L4825">
        <v>1775</v>
      </c>
      <c r="M4825">
        <v>37274</v>
      </c>
      <c r="N4825">
        <v>0</v>
      </c>
      <c r="O4825">
        <v>39049</v>
      </c>
    </row>
    <row r="4826" spans="1:15" x14ac:dyDescent="0.35">
      <c r="A4826">
        <v>4825</v>
      </c>
      <c r="B4826" s="2" t="s">
        <v>27</v>
      </c>
      <c r="C4826" s="2" t="s">
        <v>11</v>
      </c>
      <c r="D4826">
        <v>39</v>
      </c>
      <c r="E4826" s="2" t="s">
        <v>12</v>
      </c>
      <c r="F4826" s="2" t="s">
        <v>25</v>
      </c>
      <c r="G4826">
        <v>97978</v>
      </c>
      <c r="H4826" s="1">
        <v>44730</v>
      </c>
      <c r="I4826">
        <v>20</v>
      </c>
      <c r="J4826">
        <v>3</v>
      </c>
      <c r="K4826">
        <v>9798</v>
      </c>
      <c r="L4826">
        <v>4899</v>
      </c>
      <c r="M4826">
        <v>102877</v>
      </c>
      <c r="N4826">
        <v>4899</v>
      </c>
      <c r="O4826">
        <v>112675</v>
      </c>
    </row>
    <row r="4827" spans="1:15" x14ac:dyDescent="0.35">
      <c r="A4827">
        <v>4826</v>
      </c>
      <c r="B4827" s="2" t="s">
        <v>22</v>
      </c>
      <c r="C4827" s="2" t="s">
        <v>15</v>
      </c>
      <c r="D4827">
        <v>24</v>
      </c>
      <c r="E4827" s="2" t="s">
        <v>24</v>
      </c>
      <c r="F4827" s="2" t="s">
        <v>19</v>
      </c>
      <c r="G4827">
        <v>75228</v>
      </c>
      <c r="H4827" s="1">
        <v>44648</v>
      </c>
      <c r="I4827">
        <v>2</v>
      </c>
      <c r="J4827">
        <v>5</v>
      </c>
      <c r="K4827">
        <v>7523</v>
      </c>
      <c r="L4827">
        <v>3761</v>
      </c>
      <c r="M4827">
        <v>78990</v>
      </c>
      <c r="N4827">
        <v>0</v>
      </c>
      <c r="O4827">
        <v>82751</v>
      </c>
    </row>
    <row r="4828" spans="1:15" x14ac:dyDescent="0.35">
      <c r="A4828">
        <v>4827</v>
      </c>
      <c r="B4828" s="2" t="s">
        <v>26</v>
      </c>
      <c r="C4828" s="2" t="s">
        <v>11</v>
      </c>
      <c r="D4828">
        <v>36</v>
      </c>
      <c r="E4828" s="2" t="s">
        <v>16</v>
      </c>
      <c r="F4828" s="2" t="s">
        <v>17</v>
      </c>
      <c r="G4828">
        <v>46882</v>
      </c>
      <c r="H4828" s="1">
        <v>45215</v>
      </c>
      <c r="I4828">
        <v>1</v>
      </c>
      <c r="J4828">
        <v>2</v>
      </c>
      <c r="K4828">
        <v>4688</v>
      </c>
      <c r="L4828">
        <v>2344</v>
      </c>
      <c r="M4828">
        <v>49226</v>
      </c>
      <c r="N4828">
        <v>0</v>
      </c>
      <c r="O4828">
        <v>51570</v>
      </c>
    </row>
    <row r="4829" spans="1:15" x14ac:dyDescent="0.35">
      <c r="A4829">
        <v>4828</v>
      </c>
      <c r="B4829" s="2" t="s">
        <v>20</v>
      </c>
      <c r="C4829" s="2" t="s">
        <v>15</v>
      </c>
      <c r="D4829">
        <v>51</v>
      </c>
      <c r="E4829" s="2" t="s">
        <v>28</v>
      </c>
      <c r="F4829" s="2" t="s">
        <v>21</v>
      </c>
      <c r="G4829">
        <v>68100</v>
      </c>
      <c r="H4829" s="1">
        <v>44665</v>
      </c>
      <c r="I4829">
        <v>17</v>
      </c>
      <c r="J4829">
        <v>1</v>
      </c>
      <c r="K4829">
        <v>6810</v>
      </c>
      <c r="L4829">
        <v>3405</v>
      </c>
      <c r="M4829">
        <v>71505</v>
      </c>
      <c r="N4829">
        <v>3405</v>
      </c>
      <c r="O4829">
        <v>78315</v>
      </c>
    </row>
    <row r="4830" spans="1:15" x14ac:dyDescent="0.35">
      <c r="A4830">
        <v>4829</v>
      </c>
      <c r="B4830" s="2" t="s">
        <v>30</v>
      </c>
      <c r="C4830" s="2" t="s">
        <v>11</v>
      </c>
      <c r="D4830">
        <v>34</v>
      </c>
      <c r="E4830" s="2" t="s">
        <v>12</v>
      </c>
      <c r="F4830" s="2" t="s">
        <v>13</v>
      </c>
      <c r="G4830">
        <v>23140</v>
      </c>
      <c r="H4830" s="1">
        <v>44709</v>
      </c>
      <c r="I4830">
        <v>9</v>
      </c>
      <c r="J4830">
        <v>1</v>
      </c>
      <c r="K4830">
        <v>2314</v>
      </c>
      <c r="L4830">
        <v>1157</v>
      </c>
      <c r="M4830">
        <v>24297</v>
      </c>
      <c r="N4830">
        <v>1157</v>
      </c>
      <c r="O4830">
        <v>26611</v>
      </c>
    </row>
    <row r="4831" spans="1:15" x14ac:dyDescent="0.35">
      <c r="A4831">
        <v>4830</v>
      </c>
      <c r="B4831" s="2" t="s">
        <v>20</v>
      </c>
      <c r="C4831" s="2" t="s">
        <v>15</v>
      </c>
      <c r="D4831">
        <v>31</v>
      </c>
      <c r="E4831" s="2" t="s">
        <v>29</v>
      </c>
      <c r="F4831" s="2" t="s">
        <v>21</v>
      </c>
      <c r="G4831">
        <v>47076</v>
      </c>
      <c r="H4831" s="1">
        <v>44569</v>
      </c>
      <c r="I4831">
        <v>2</v>
      </c>
      <c r="J4831">
        <v>5</v>
      </c>
      <c r="K4831">
        <v>4708</v>
      </c>
      <c r="L4831">
        <v>2354</v>
      </c>
      <c r="M4831">
        <v>49430</v>
      </c>
      <c r="N4831">
        <v>0</v>
      </c>
      <c r="O4831">
        <v>51784</v>
      </c>
    </row>
    <row r="4832" spans="1:15" x14ac:dyDescent="0.35">
      <c r="A4832">
        <v>4831</v>
      </c>
      <c r="B4832" s="2" t="s">
        <v>30</v>
      </c>
      <c r="C4832" s="2" t="s">
        <v>11</v>
      </c>
      <c r="D4832">
        <v>37</v>
      </c>
      <c r="E4832" s="2" t="s">
        <v>24</v>
      </c>
      <c r="F4832" s="2" t="s">
        <v>13</v>
      </c>
      <c r="G4832">
        <v>54000</v>
      </c>
      <c r="H4832" s="1">
        <v>45108</v>
      </c>
      <c r="I4832">
        <v>2</v>
      </c>
      <c r="J4832">
        <v>3</v>
      </c>
      <c r="K4832">
        <v>5400</v>
      </c>
      <c r="L4832">
        <v>2700</v>
      </c>
      <c r="M4832">
        <v>56700</v>
      </c>
      <c r="N4832">
        <v>0</v>
      </c>
      <c r="O4832">
        <v>59400</v>
      </c>
    </row>
    <row r="4833" spans="1:15" x14ac:dyDescent="0.35">
      <c r="A4833">
        <v>4832</v>
      </c>
      <c r="B4833" s="2" t="s">
        <v>14</v>
      </c>
      <c r="C4833" s="2" t="s">
        <v>15</v>
      </c>
      <c r="D4833">
        <v>25</v>
      </c>
      <c r="E4833" s="2" t="s">
        <v>16</v>
      </c>
      <c r="F4833" s="2" t="s">
        <v>13</v>
      </c>
      <c r="G4833">
        <v>77207</v>
      </c>
      <c r="H4833" s="1">
        <v>45052</v>
      </c>
      <c r="I4833">
        <v>10</v>
      </c>
      <c r="J4833">
        <v>4</v>
      </c>
      <c r="K4833">
        <v>7721</v>
      </c>
      <c r="L4833">
        <v>3860</v>
      </c>
      <c r="M4833">
        <v>81068</v>
      </c>
      <c r="N4833">
        <v>3860</v>
      </c>
      <c r="O4833">
        <v>88788</v>
      </c>
    </row>
    <row r="4834" spans="1:15" x14ac:dyDescent="0.35">
      <c r="A4834">
        <v>4833</v>
      </c>
      <c r="B4834" s="2" t="s">
        <v>22</v>
      </c>
      <c r="C4834" s="2" t="s">
        <v>11</v>
      </c>
      <c r="D4834">
        <v>47</v>
      </c>
      <c r="E4834" s="2" t="s">
        <v>29</v>
      </c>
      <c r="F4834" s="2" t="s">
        <v>21</v>
      </c>
      <c r="G4834">
        <v>97481</v>
      </c>
      <c r="H4834" s="1">
        <v>44877</v>
      </c>
      <c r="I4834">
        <v>3</v>
      </c>
      <c r="J4834">
        <v>2</v>
      </c>
      <c r="K4834">
        <v>9748</v>
      </c>
      <c r="L4834">
        <v>4874</v>
      </c>
      <c r="M4834">
        <v>102355</v>
      </c>
      <c r="N4834">
        <v>0</v>
      </c>
      <c r="O4834">
        <v>107229</v>
      </c>
    </row>
    <row r="4835" spans="1:15" x14ac:dyDescent="0.35">
      <c r="A4835">
        <v>4834</v>
      </c>
      <c r="B4835" s="2" t="s">
        <v>18</v>
      </c>
      <c r="C4835" s="2" t="s">
        <v>11</v>
      </c>
      <c r="D4835">
        <v>55</v>
      </c>
      <c r="E4835" s="2" t="s">
        <v>24</v>
      </c>
      <c r="F4835" s="2" t="s">
        <v>13</v>
      </c>
      <c r="G4835">
        <v>60639</v>
      </c>
      <c r="H4835" s="1">
        <v>45287</v>
      </c>
      <c r="I4835">
        <v>11</v>
      </c>
      <c r="J4835">
        <v>2</v>
      </c>
      <c r="K4835">
        <v>6064</v>
      </c>
      <c r="L4835">
        <v>3032</v>
      </c>
      <c r="M4835">
        <v>63671</v>
      </c>
      <c r="N4835">
        <v>3032</v>
      </c>
      <c r="O4835">
        <v>69735</v>
      </c>
    </row>
    <row r="4836" spans="1:15" x14ac:dyDescent="0.35">
      <c r="A4836">
        <v>4835</v>
      </c>
      <c r="B4836" s="2" t="s">
        <v>10</v>
      </c>
      <c r="C4836" s="2" t="s">
        <v>15</v>
      </c>
      <c r="D4836">
        <v>51</v>
      </c>
      <c r="E4836" s="2" t="s">
        <v>12</v>
      </c>
      <c r="F4836" s="2" t="s">
        <v>13</v>
      </c>
      <c r="G4836">
        <v>32288</v>
      </c>
      <c r="H4836" s="1">
        <v>45415</v>
      </c>
      <c r="I4836">
        <v>6</v>
      </c>
      <c r="J4836">
        <v>2</v>
      </c>
      <c r="K4836">
        <v>3229</v>
      </c>
      <c r="L4836">
        <v>1614</v>
      </c>
      <c r="M4836">
        <v>33903</v>
      </c>
      <c r="N4836">
        <v>1614</v>
      </c>
      <c r="O4836">
        <v>37131</v>
      </c>
    </row>
    <row r="4837" spans="1:15" x14ac:dyDescent="0.35">
      <c r="A4837">
        <v>4836</v>
      </c>
      <c r="B4837" s="2" t="s">
        <v>18</v>
      </c>
      <c r="C4837" s="2" t="s">
        <v>11</v>
      </c>
      <c r="D4837">
        <v>45</v>
      </c>
      <c r="E4837" s="2" t="s">
        <v>16</v>
      </c>
      <c r="F4837" s="2" t="s">
        <v>19</v>
      </c>
      <c r="G4837">
        <v>23500</v>
      </c>
      <c r="H4837" s="1">
        <v>45473</v>
      </c>
      <c r="I4837">
        <v>9</v>
      </c>
      <c r="J4837">
        <v>1</v>
      </c>
      <c r="K4837">
        <v>2350</v>
      </c>
      <c r="L4837">
        <v>1175</v>
      </c>
      <c r="M4837">
        <v>24675</v>
      </c>
      <c r="N4837">
        <v>1175</v>
      </c>
      <c r="O4837">
        <v>27025</v>
      </c>
    </row>
    <row r="4838" spans="1:15" x14ac:dyDescent="0.35">
      <c r="A4838">
        <v>4837</v>
      </c>
      <c r="B4838" s="2" t="s">
        <v>20</v>
      </c>
      <c r="C4838" s="2" t="s">
        <v>15</v>
      </c>
      <c r="D4838">
        <v>47</v>
      </c>
      <c r="E4838" s="2" t="s">
        <v>24</v>
      </c>
      <c r="F4838" s="2" t="s">
        <v>17</v>
      </c>
      <c r="G4838">
        <v>90854</v>
      </c>
      <c r="H4838" s="1">
        <v>45172</v>
      </c>
      <c r="I4838">
        <v>9</v>
      </c>
      <c r="J4838">
        <v>1</v>
      </c>
      <c r="K4838">
        <v>9085</v>
      </c>
      <c r="L4838">
        <v>4543</v>
      </c>
      <c r="M4838">
        <v>95396</v>
      </c>
      <c r="N4838">
        <v>4543</v>
      </c>
      <c r="O4838">
        <v>104482</v>
      </c>
    </row>
    <row r="4839" spans="1:15" x14ac:dyDescent="0.35">
      <c r="A4839">
        <v>4838</v>
      </c>
      <c r="B4839" s="2" t="s">
        <v>30</v>
      </c>
      <c r="C4839" s="2" t="s">
        <v>15</v>
      </c>
      <c r="D4839">
        <v>38</v>
      </c>
      <c r="E4839" s="2" t="s">
        <v>29</v>
      </c>
      <c r="F4839" s="2" t="s">
        <v>21</v>
      </c>
      <c r="G4839">
        <v>56447</v>
      </c>
      <c r="H4839" s="1">
        <v>44722</v>
      </c>
      <c r="I4839">
        <v>20</v>
      </c>
      <c r="J4839">
        <v>4</v>
      </c>
      <c r="K4839">
        <v>5645</v>
      </c>
      <c r="L4839">
        <v>2822</v>
      </c>
      <c r="M4839">
        <v>59270</v>
      </c>
      <c r="N4839">
        <v>2822</v>
      </c>
      <c r="O4839">
        <v>64914</v>
      </c>
    </row>
    <row r="4840" spans="1:15" x14ac:dyDescent="0.35">
      <c r="A4840">
        <v>4839</v>
      </c>
      <c r="B4840" s="2" t="s">
        <v>20</v>
      </c>
      <c r="C4840" s="2" t="s">
        <v>11</v>
      </c>
      <c r="D4840">
        <v>26</v>
      </c>
      <c r="E4840" s="2" t="s">
        <v>29</v>
      </c>
      <c r="F4840" s="2" t="s">
        <v>19</v>
      </c>
      <c r="G4840">
        <v>80562</v>
      </c>
      <c r="H4840" s="1">
        <v>45163</v>
      </c>
      <c r="I4840">
        <v>5</v>
      </c>
      <c r="J4840">
        <v>4</v>
      </c>
      <c r="K4840">
        <v>8056</v>
      </c>
      <c r="L4840">
        <v>4028</v>
      </c>
      <c r="M4840">
        <v>84590</v>
      </c>
      <c r="N4840">
        <v>0</v>
      </c>
      <c r="O4840">
        <v>88618</v>
      </c>
    </row>
    <row r="4841" spans="1:15" x14ac:dyDescent="0.35">
      <c r="A4841">
        <v>4840</v>
      </c>
      <c r="B4841" s="2" t="s">
        <v>18</v>
      </c>
      <c r="C4841" s="2" t="s">
        <v>15</v>
      </c>
      <c r="D4841">
        <v>58</v>
      </c>
      <c r="E4841" s="2" t="s">
        <v>28</v>
      </c>
      <c r="F4841" s="2" t="s">
        <v>13</v>
      </c>
      <c r="G4841">
        <v>31703</v>
      </c>
      <c r="H4841" s="1">
        <v>44672</v>
      </c>
      <c r="I4841">
        <v>7</v>
      </c>
      <c r="J4841">
        <v>4</v>
      </c>
      <c r="K4841">
        <v>3170</v>
      </c>
      <c r="L4841">
        <v>1585</v>
      </c>
      <c r="M4841">
        <v>33288</v>
      </c>
      <c r="N4841">
        <v>1585</v>
      </c>
      <c r="O4841">
        <v>36458</v>
      </c>
    </row>
    <row r="4842" spans="1:15" x14ac:dyDescent="0.35">
      <c r="A4842">
        <v>4841</v>
      </c>
      <c r="B4842" s="2" t="s">
        <v>27</v>
      </c>
      <c r="C4842" s="2" t="s">
        <v>11</v>
      </c>
      <c r="D4842">
        <v>56</v>
      </c>
      <c r="E4842" s="2" t="s">
        <v>24</v>
      </c>
      <c r="F4842" s="2" t="s">
        <v>17</v>
      </c>
      <c r="G4842">
        <v>61912</v>
      </c>
      <c r="H4842" s="1">
        <v>45176</v>
      </c>
      <c r="I4842">
        <v>1</v>
      </c>
      <c r="J4842">
        <v>2</v>
      </c>
      <c r="K4842">
        <v>6191</v>
      </c>
      <c r="L4842">
        <v>3096</v>
      </c>
      <c r="M4842">
        <v>65007</v>
      </c>
      <c r="N4842">
        <v>0</v>
      </c>
      <c r="O4842">
        <v>68103</v>
      </c>
    </row>
    <row r="4843" spans="1:15" x14ac:dyDescent="0.35">
      <c r="A4843">
        <v>4842</v>
      </c>
      <c r="B4843" s="2" t="s">
        <v>27</v>
      </c>
      <c r="C4843" s="2" t="s">
        <v>11</v>
      </c>
      <c r="D4843">
        <v>33</v>
      </c>
      <c r="E4843" s="2" t="s">
        <v>28</v>
      </c>
      <c r="F4843" s="2" t="s">
        <v>17</v>
      </c>
      <c r="G4843">
        <v>64265</v>
      </c>
      <c r="H4843" s="1">
        <v>45525</v>
      </c>
      <c r="I4843">
        <v>5</v>
      </c>
      <c r="J4843">
        <v>4</v>
      </c>
      <c r="K4843">
        <v>6426</v>
      </c>
      <c r="L4843">
        <v>3213</v>
      </c>
      <c r="M4843">
        <v>67478</v>
      </c>
      <c r="N4843">
        <v>0</v>
      </c>
      <c r="O4843">
        <v>70691</v>
      </c>
    </row>
    <row r="4844" spans="1:15" x14ac:dyDescent="0.35">
      <c r="A4844">
        <v>4843</v>
      </c>
      <c r="B4844" s="2" t="s">
        <v>20</v>
      </c>
      <c r="C4844" s="2" t="s">
        <v>11</v>
      </c>
      <c r="D4844">
        <v>58</v>
      </c>
      <c r="E4844" s="2" t="s">
        <v>24</v>
      </c>
      <c r="F4844" s="2" t="s">
        <v>17</v>
      </c>
      <c r="G4844">
        <v>42339</v>
      </c>
      <c r="H4844" s="1">
        <v>45429</v>
      </c>
      <c r="I4844">
        <v>5</v>
      </c>
      <c r="J4844">
        <v>1</v>
      </c>
      <c r="K4844">
        <v>4234</v>
      </c>
      <c r="L4844">
        <v>2117</v>
      </c>
      <c r="M4844">
        <v>44456</v>
      </c>
      <c r="N4844">
        <v>0</v>
      </c>
      <c r="O4844">
        <v>46573</v>
      </c>
    </row>
    <row r="4845" spans="1:15" x14ac:dyDescent="0.35">
      <c r="A4845">
        <v>4844</v>
      </c>
      <c r="B4845" s="2" t="s">
        <v>26</v>
      </c>
      <c r="C4845" s="2" t="s">
        <v>11</v>
      </c>
      <c r="D4845">
        <v>45</v>
      </c>
      <c r="E4845" s="2" t="s">
        <v>28</v>
      </c>
      <c r="F4845" s="2" t="s">
        <v>19</v>
      </c>
      <c r="G4845">
        <v>51743</v>
      </c>
      <c r="H4845" s="1">
        <v>44847</v>
      </c>
      <c r="I4845">
        <v>12</v>
      </c>
      <c r="J4845">
        <v>5</v>
      </c>
      <c r="K4845">
        <v>5174</v>
      </c>
      <c r="L4845">
        <v>2587</v>
      </c>
      <c r="M4845">
        <v>54330</v>
      </c>
      <c r="N4845">
        <v>2587</v>
      </c>
      <c r="O4845">
        <v>59504</v>
      </c>
    </row>
    <row r="4846" spans="1:15" x14ac:dyDescent="0.35">
      <c r="A4846">
        <v>4845</v>
      </c>
      <c r="B4846" s="2" t="s">
        <v>31</v>
      </c>
      <c r="C4846" s="2" t="s">
        <v>11</v>
      </c>
      <c r="D4846">
        <v>55</v>
      </c>
      <c r="E4846" s="2" t="s">
        <v>24</v>
      </c>
      <c r="F4846" s="2" t="s">
        <v>21</v>
      </c>
      <c r="G4846">
        <v>39524</v>
      </c>
      <c r="H4846" s="1">
        <v>45252</v>
      </c>
      <c r="I4846">
        <v>10</v>
      </c>
      <c r="J4846">
        <v>2</v>
      </c>
      <c r="K4846">
        <v>3952</v>
      </c>
      <c r="L4846">
        <v>1976</v>
      </c>
      <c r="M4846">
        <v>41500</v>
      </c>
      <c r="N4846">
        <v>1976</v>
      </c>
      <c r="O4846">
        <v>45452</v>
      </c>
    </row>
    <row r="4847" spans="1:15" x14ac:dyDescent="0.35">
      <c r="A4847">
        <v>4846</v>
      </c>
      <c r="B4847" s="2" t="s">
        <v>18</v>
      </c>
      <c r="C4847" s="2" t="s">
        <v>15</v>
      </c>
      <c r="D4847">
        <v>35</v>
      </c>
      <c r="E4847" s="2" t="s">
        <v>16</v>
      </c>
      <c r="F4847" s="2" t="s">
        <v>17</v>
      </c>
      <c r="G4847">
        <v>35876</v>
      </c>
      <c r="H4847" s="1">
        <v>45315</v>
      </c>
      <c r="I4847">
        <v>18</v>
      </c>
      <c r="J4847">
        <v>5</v>
      </c>
      <c r="K4847">
        <v>3588</v>
      </c>
      <c r="L4847">
        <v>1794</v>
      </c>
      <c r="M4847">
        <v>37670</v>
      </c>
      <c r="N4847">
        <v>1794</v>
      </c>
      <c r="O4847">
        <v>41258</v>
      </c>
    </row>
    <row r="4848" spans="1:15" x14ac:dyDescent="0.35">
      <c r="A4848">
        <v>4847</v>
      </c>
      <c r="B4848" s="2" t="s">
        <v>14</v>
      </c>
      <c r="C4848" s="2" t="s">
        <v>15</v>
      </c>
      <c r="D4848">
        <v>24</v>
      </c>
      <c r="E4848" s="2" t="s">
        <v>16</v>
      </c>
      <c r="F4848" s="2" t="s">
        <v>19</v>
      </c>
      <c r="G4848">
        <v>60076</v>
      </c>
      <c r="H4848" s="1">
        <v>45052</v>
      </c>
      <c r="I4848">
        <v>15</v>
      </c>
      <c r="J4848">
        <v>5</v>
      </c>
      <c r="K4848">
        <v>6008</v>
      </c>
      <c r="L4848">
        <v>3004</v>
      </c>
      <c r="M4848">
        <v>63080</v>
      </c>
      <c r="N4848">
        <v>3004</v>
      </c>
      <c r="O4848">
        <v>69088</v>
      </c>
    </row>
    <row r="4849" spans="1:15" x14ac:dyDescent="0.35">
      <c r="A4849">
        <v>4848</v>
      </c>
      <c r="B4849" s="2" t="s">
        <v>30</v>
      </c>
      <c r="C4849" s="2" t="s">
        <v>11</v>
      </c>
      <c r="D4849">
        <v>28</v>
      </c>
      <c r="E4849" s="2" t="s">
        <v>28</v>
      </c>
      <c r="F4849" s="2" t="s">
        <v>17</v>
      </c>
      <c r="G4849">
        <v>52699</v>
      </c>
      <c r="H4849" s="1">
        <v>45514</v>
      </c>
      <c r="I4849">
        <v>16</v>
      </c>
      <c r="J4849">
        <v>5</v>
      </c>
      <c r="K4849">
        <v>5270</v>
      </c>
      <c r="L4849">
        <v>2635</v>
      </c>
      <c r="M4849">
        <v>55334</v>
      </c>
      <c r="N4849">
        <v>2635</v>
      </c>
      <c r="O4849">
        <v>60604</v>
      </c>
    </row>
    <row r="4850" spans="1:15" x14ac:dyDescent="0.35">
      <c r="A4850">
        <v>4849</v>
      </c>
      <c r="B4850" s="2" t="s">
        <v>30</v>
      </c>
      <c r="C4850" s="2" t="s">
        <v>15</v>
      </c>
      <c r="D4850">
        <v>58</v>
      </c>
      <c r="E4850" s="2" t="s">
        <v>12</v>
      </c>
      <c r="F4850" s="2" t="s">
        <v>25</v>
      </c>
      <c r="G4850">
        <v>75233</v>
      </c>
      <c r="H4850" s="1">
        <v>45063</v>
      </c>
      <c r="I4850">
        <v>8</v>
      </c>
      <c r="J4850">
        <v>2</v>
      </c>
      <c r="K4850">
        <v>7523</v>
      </c>
      <c r="L4850">
        <v>3762</v>
      </c>
      <c r="M4850">
        <v>78994</v>
      </c>
      <c r="N4850">
        <v>3762</v>
      </c>
      <c r="O4850">
        <v>86518</v>
      </c>
    </row>
    <row r="4851" spans="1:15" x14ac:dyDescent="0.35">
      <c r="A4851">
        <v>4850</v>
      </c>
      <c r="B4851" s="2" t="s">
        <v>30</v>
      </c>
      <c r="C4851" s="2" t="s">
        <v>11</v>
      </c>
      <c r="D4851">
        <v>46</v>
      </c>
      <c r="E4851" s="2" t="s">
        <v>29</v>
      </c>
      <c r="F4851" s="2" t="s">
        <v>17</v>
      </c>
      <c r="G4851">
        <v>82801</v>
      </c>
      <c r="H4851" s="1">
        <v>45090</v>
      </c>
      <c r="I4851">
        <v>4</v>
      </c>
      <c r="J4851">
        <v>5</v>
      </c>
      <c r="K4851">
        <v>8280</v>
      </c>
      <c r="L4851">
        <v>4140</v>
      </c>
      <c r="M4851">
        <v>86941</v>
      </c>
      <c r="N4851">
        <v>0</v>
      </c>
      <c r="O4851">
        <v>91081</v>
      </c>
    </row>
    <row r="4852" spans="1:15" x14ac:dyDescent="0.35">
      <c r="A4852">
        <v>4851</v>
      </c>
      <c r="B4852" s="2" t="s">
        <v>30</v>
      </c>
      <c r="C4852" s="2" t="s">
        <v>15</v>
      </c>
      <c r="D4852">
        <v>48</v>
      </c>
      <c r="E4852" s="2" t="s">
        <v>12</v>
      </c>
      <c r="F4852" s="2" t="s">
        <v>25</v>
      </c>
      <c r="G4852">
        <v>50079</v>
      </c>
      <c r="H4852" s="1">
        <v>45322</v>
      </c>
      <c r="I4852">
        <v>19</v>
      </c>
      <c r="J4852">
        <v>3</v>
      </c>
      <c r="K4852">
        <v>5008</v>
      </c>
      <c r="L4852">
        <v>2504</v>
      </c>
      <c r="M4852">
        <v>52583</v>
      </c>
      <c r="N4852">
        <v>2504</v>
      </c>
      <c r="O4852">
        <v>57591</v>
      </c>
    </row>
    <row r="4853" spans="1:15" x14ac:dyDescent="0.35">
      <c r="A4853">
        <v>4852</v>
      </c>
      <c r="B4853" s="2" t="s">
        <v>30</v>
      </c>
      <c r="C4853" s="2" t="s">
        <v>15</v>
      </c>
      <c r="D4853">
        <v>33</v>
      </c>
      <c r="E4853" s="2" t="s">
        <v>29</v>
      </c>
      <c r="F4853" s="2" t="s">
        <v>21</v>
      </c>
      <c r="G4853">
        <v>83649</v>
      </c>
      <c r="H4853" s="1">
        <v>44865</v>
      </c>
      <c r="I4853">
        <v>12</v>
      </c>
      <c r="J4853">
        <v>5</v>
      </c>
      <c r="K4853">
        <v>8365</v>
      </c>
      <c r="L4853">
        <v>4182</v>
      </c>
      <c r="M4853">
        <v>87832</v>
      </c>
      <c r="N4853">
        <v>4182</v>
      </c>
      <c r="O4853">
        <v>96196</v>
      </c>
    </row>
    <row r="4854" spans="1:15" x14ac:dyDescent="0.35">
      <c r="A4854">
        <v>4853</v>
      </c>
      <c r="B4854" s="2" t="s">
        <v>27</v>
      </c>
      <c r="C4854" s="2" t="s">
        <v>15</v>
      </c>
      <c r="D4854">
        <v>49</v>
      </c>
      <c r="E4854" s="2" t="s">
        <v>12</v>
      </c>
      <c r="F4854" s="2" t="s">
        <v>25</v>
      </c>
      <c r="G4854">
        <v>96458</v>
      </c>
      <c r="H4854" s="1">
        <v>44749</v>
      </c>
      <c r="I4854">
        <v>15</v>
      </c>
      <c r="J4854">
        <v>3</v>
      </c>
      <c r="K4854">
        <v>9646</v>
      </c>
      <c r="L4854">
        <v>4823</v>
      </c>
      <c r="M4854">
        <v>101281</v>
      </c>
      <c r="N4854">
        <v>4823</v>
      </c>
      <c r="O4854">
        <v>110927</v>
      </c>
    </row>
    <row r="4855" spans="1:15" x14ac:dyDescent="0.35">
      <c r="A4855">
        <v>4854</v>
      </c>
      <c r="B4855" s="2" t="s">
        <v>14</v>
      </c>
      <c r="C4855" s="2" t="s">
        <v>15</v>
      </c>
      <c r="D4855">
        <v>25</v>
      </c>
      <c r="E4855" s="2" t="s">
        <v>16</v>
      </c>
      <c r="F4855" s="2" t="s">
        <v>19</v>
      </c>
      <c r="G4855">
        <v>95921</v>
      </c>
      <c r="H4855" s="1">
        <v>44970</v>
      </c>
      <c r="I4855">
        <v>5</v>
      </c>
      <c r="J4855">
        <v>3</v>
      </c>
      <c r="K4855">
        <v>9592</v>
      </c>
      <c r="L4855">
        <v>4796</v>
      </c>
      <c r="M4855">
        <v>100717</v>
      </c>
      <c r="N4855">
        <v>0</v>
      </c>
      <c r="O4855">
        <v>105513</v>
      </c>
    </row>
    <row r="4856" spans="1:15" x14ac:dyDescent="0.35">
      <c r="A4856">
        <v>4855</v>
      </c>
      <c r="B4856" s="2" t="s">
        <v>14</v>
      </c>
      <c r="C4856" s="2" t="s">
        <v>11</v>
      </c>
      <c r="D4856">
        <v>35</v>
      </c>
      <c r="E4856" s="2" t="s">
        <v>28</v>
      </c>
      <c r="F4856" s="2" t="s">
        <v>19</v>
      </c>
      <c r="G4856">
        <v>81135</v>
      </c>
      <c r="H4856" s="1">
        <v>45420</v>
      </c>
      <c r="I4856">
        <v>17</v>
      </c>
      <c r="J4856">
        <v>3</v>
      </c>
      <c r="K4856">
        <v>8114</v>
      </c>
      <c r="L4856">
        <v>4057</v>
      </c>
      <c r="M4856">
        <v>85192</v>
      </c>
      <c r="N4856">
        <v>4057</v>
      </c>
      <c r="O4856">
        <v>93306</v>
      </c>
    </row>
    <row r="4857" spans="1:15" x14ac:dyDescent="0.35">
      <c r="A4857">
        <v>4856</v>
      </c>
      <c r="B4857" s="2" t="s">
        <v>27</v>
      </c>
      <c r="C4857" s="2" t="s">
        <v>15</v>
      </c>
      <c r="D4857">
        <v>38</v>
      </c>
      <c r="E4857" s="2" t="s">
        <v>12</v>
      </c>
      <c r="F4857" s="2" t="s">
        <v>21</v>
      </c>
      <c r="G4857">
        <v>56195</v>
      </c>
      <c r="H4857" s="1">
        <v>44805</v>
      </c>
      <c r="I4857">
        <v>4</v>
      </c>
      <c r="J4857">
        <v>3</v>
      </c>
      <c r="K4857">
        <v>5620</v>
      </c>
      <c r="L4857">
        <v>2810</v>
      </c>
      <c r="M4857">
        <v>59005</v>
      </c>
      <c r="N4857">
        <v>0</v>
      </c>
      <c r="O4857">
        <v>61815</v>
      </c>
    </row>
    <row r="4858" spans="1:15" x14ac:dyDescent="0.35">
      <c r="A4858">
        <v>4857</v>
      </c>
      <c r="B4858" s="2" t="s">
        <v>20</v>
      </c>
      <c r="C4858" s="2" t="s">
        <v>15</v>
      </c>
      <c r="D4858">
        <v>33</v>
      </c>
      <c r="E4858" s="2" t="s">
        <v>28</v>
      </c>
      <c r="F4858" s="2" t="s">
        <v>25</v>
      </c>
      <c r="G4858">
        <v>89256</v>
      </c>
      <c r="H4858" s="1">
        <v>45096</v>
      </c>
      <c r="I4858">
        <v>19</v>
      </c>
      <c r="J4858">
        <v>5</v>
      </c>
      <c r="K4858">
        <v>8926</v>
      </c>
      <c r="L4858">
        <v>4463</v>
      </c>
      <c r="M4858">
        <v>93719</v>
      </c>
      <c r="N4858">
        <v>4463</v>
      </c>
      <c r="O4858">
        <v>102645</v>
      </c>
    </row>
    <row r="4859" spans="1:15" x14ac:dyDescent="0.35">
      <c r="A4859">
        <v>4858</v>
      </c>
      <c r="B4859" s="2" t="s">
        <v>22</v>
      </c>
      <c r="C4859" s="2" t="s">
        <v>11</v>
      </c>
      <c r="D4859">
        <v>47</v>
      </c>
      <c r="E4859" s="2" t="s">
        <v>24</v>
      </c>
      <c r="F4859" s="2" t="s">
        <v>17</v>
      </c>
      <c r="G4859">
        <v>60073</v>
      </c>
      <c r="H4859" s="1">
        <v>45352</v>
      </c>
      <c r="I4859">
        <v>3</v>
      </c>
      <c r="J4859">
        <v>3</v>
      </c>
      <c r="K4859">
        <v>6007</v>
      </c>
      <c r="L4859">
        <v>3004</v>
      </c>
      <c r="M4859">
        <v>63076</v>
      </c>
      <c r="N4859">
        <v>0</v>
      </c>
      <c r="O4859">
        <v>66080</v>
      </c>
    </row>
    <row r="4860" spans="1:15" x14ac:dyDescent="0.35">
      <c r="A4860">
        <v>4859</v>
      </c>
      <c r="B4860" s="2" t="s">
        <v>26</v>
      </c>
      <c r="C4860" s="2" t="s">
        <v>11</v>
      </c>
      <c r="D4860">
        <v>34</v>
      </c>
      <c r="E4860" s="2" t="s">
        <v>16</v>
      </c>
      <c r="F4860" s="2" t="s">
        <v>21</v>
      </c>
      <c r="G4860">
        <v>66960</v>
      </c>
      <c r="H4860" s="1">
        <v>45444</v>
      </c>
      <c r="I4860">
        <v>16</v>
      </c>
      <c r="J4860">
        <v>2</v>
      </c>
      <c r="K4860">
        <v>6696</v>
      </c>
      <c r="L4860">
        <v>3348</v>
      </c>
      <c r="M4860">
        <v>70308</v>
      </c>
      <c r="N4860">
        <v>3348</v>
      </c>
      <c r="O4860">
        <v>77004</v>
      </c>
    </row>
    <row r="4861" spans="1:15" x14ac:dyDescent="0.35">
      <c r="A4861">
        <v>4860</v>
      </c>
      <c r="B4861" s="2" t="s">
        <v>14</v>
      </c>
      <c r="C4861" s="2" t="s">
        <v>15</v>
      </c>
      <c r="D4861">
        <v>41</v>
      </c>
      <c r="E4861" s="2" t="s">
        <v>28</v>
      </c>
      <c r="F4861" s="2" t="s">
        <v>17</v>
      </c>
      <c r="G4861">
        <v>50347</v>
      </c>
      <c r="H4861" s="1">
        <v>45501</v>
      </c>
      <c r="I4861">
        <v>18</v>
      </c>
      <c r="J4861">
        <v>1</v>
      </c>
      <c r="K4861">
        <v>5035</v>
      </c>
      <c r="L4861">
        <v>2517</v>
      </c>
      <c r="M4861">
        <v>52865</v>
      </c>
      <c r="N4861">
        <v>2517</v>
      </c>
      <c r="O4861">
        <v>57899</v>
      </c>
    </row>
    <row r="4862" spans="1:15" x14ac:dyDescent="0.35">
      <c r="A4862">
        <v>4861</v>
      </c>
      <c r="B4862" s="2" t="s">
        <v>10</v>
      </c>
      <c r="C4862" s="2" t="s">
        <v>11</v>
      </c>
      <c r="D4862">
        <v>32</v>
      </c>
      <c r="E4862" s="2" t="s">
        <v>28</v>
      </c>
      <c r="F4862" s="2" t="s">
        <v>13</v>
      </c>
      <c r="G4862">
        <v>42212</v>
      </c>
      <c r="H4862" s="1">
        <v>44644</v>
      </c>
      <c r="I4862">
        <v>14</v>
      </c>
      <c r="J4862">
        <v>1</v>
      </c>
      <c r="K4862">
        <v>4221</v>
      </c>
      <c r="L4862">
        <v>2111</v>
      </c>
      <c r="M4862">
        <v>44322</v>
      </c>
      <c r="N4862">
        <v>2111</v>
      </c>
      <c r="O4862">
        <v>48544</v>
      </c>
    </row>
    <row r="4863" spans="1:15" x14ac:dyDescent="0.35">
      <c r="A4863">
        <v>4862</v>
      </c>
      <c r="B4863" s="2" t="s">
        <v>22</v>
      </c>
      <c r="C4863" s="2" t="s">
        <v>11</v>
      </c>
      <c r="D4863">
        <v>47</v>
      </c>
      <c r="E4863" s="2" t="s">
        <v>24</v>
      </c>
      <c r="F4863" s="2" t="s">
        <v>17</v>
      </c>
      <c r="G4863">
        <v>94183</v>
      </c>
      <c r="H4863" s="1">
        <v>45263</v>
      </c>
      <c r="I4863">
        <v>20</v>
      </c>
      <c r="J4863">
        <v>5</v>
      </c>
      <c r="K4863">
        <v>9418</v>
      </c>
      <c r="L4863">
        <v>4709</v>
      </c>
      <c r="M4863">
        <v>98892</v>
      </c>
      <c r="N4863">
        <v>4709</v>
      </c>
      <c r="O4863">
        <v>108310</v>
      </c>
    </row>
    <row r="4864" spans="1:15" x14ac:dyDescent="0.35">
      <c r="A4864">
        <v>4863</v>
      </c>
      <c r="B4864" s="2" t="s">
        <v>14</v>
      </c>
      <c r="C4864" s="2" t="s">
        <v>15</v>
      </c>
      <c r="D4864">
        <v>55</v>
      </c>
      <c r="E4864" s="2" t="s">
        <v>12</v>
      </c>
      <c r="F4864" s="2" t="s">
        <v>19</v>
      </c>
      <c r="G4864">
        <v>80546</v>
      </c>
      <c r="H4864" s="1">
        <v>45474</v>
      </c>
      <c r="I4864">
        <v>11</v>
      </c>
      <c r="J4864">
        <v>4</v>
      </c>
      <c r="K4864">
        <v>8055</v>
      </c>
      <c r="L4864">
        <v>4027</v>
      </c>
      <c r="M4864">
        <v>84574</v>
      </c>
      <c r="N4864">
        <v>4027</v>
      </c>
      <c r="O4864">
        <v>92628</v>
      </c>
    </row>
    <row r="4865" spans="1:15" x14ac:dyDescent="0.35">
      <c r="A4865">
        <v>4864</v>
      </c>
      <c r="B4865" s="2" t="s">
        <v>18</v>
      </c>
      <c r="C4865" s="2" t="s">
        <v>11</v>
      </c>
      <c r="D4865">
        <v>49</v>
      </c>
      <c r="E4865" s="2" t="s">
        <v>29</v>
      </c>
      <c r="F4865" s="2" t="s">
        <v>21</v>
      </c>
      <c r="G4865">
        <v>67883</v>
      </c>
      <c r="H4865" s="1">
        <v>44659</v>
      </c>
      <c r="I4865">
        <v>14</v>
      </c>
      <c r="J4865">
        <v>4</v>
      </c>
      <c r="K4865">
        <v>6788</v>
      </c>
      <c r="L4865">
        <v>3394</v>
      </c>
      <c r="M4865">
        <v>71277</v>
      </c>
      <c r="N4865">
        <v>3394</v>
      </c>
      <c r="O4865">
        <v>78065</v>
      </c>
    </row>
    <row r="4866" spans="1:15" x14ac:dyDescent="0.35">
      <c r="A4866">
        <v>4865</v>
      </c>
      <c r="B4866" s="2" t="s">
        <v>26</v>
      </c>
      <c r="C4866" s="2" t="s">
        <v>15</v>
      </c>
      <c r="D4866">
        <v>22</v>
      </c>
      <c r="E4866" s="2" t="s">
        <v>28</v>
      </c>
      <c r="F4866" s="2" t="s">
        <v>19</v>
      </c>
      <c r="G4866">
        <v>66015</v>
      </c>
      <c r="H4866" s="1">
        <v>44592</v>
      </c>
      <c r="I4866">
        <v>6</v>
      </c>
      <c r="J4866">
        <v>1</v>
      </c>
      <c r="K4866">
        <v>6602</v>
      </c>
      <c r="L4866">
        <v>3301</v>
      </c>
      <c r="M4866">
        <v>69316</v>
      </c>
      <c r="N4866">
        <v>3301</v>
      </c>
      <c r="O4866">
        <v>75918</v>
      </c>
    </row>
    <row r="4867" spans="1:15" x14ac:dyDescent="0.35">
      <c r="A4867">
        <v>4866</v>
      </c>
      <c r="B4867" s="2" t="s">
        <v>31</v>
      </c>
      <c r="C4867" s="2" t="s">
        <v>15</v>
      </c>
      <c r="D4867">
        <v>43</v>
      </c>
      <c r="E4867" s="2" t="s">
        <v>28</v>
      </c>
      <c r="F4867" s="2" t="s">
        <v>17</v>
      </c>
      <c r="G4867">
        <v>28239</v>
      </c>
      <c r="H4867" s="1">
        <v>45119</v>
      </c>
      <c r="I4867">
        <v>15</v>
      </c>
      <c r="J4867">
        <v>3</v>
      </c>
      <c r="K4867">
        <v>2824</v>
      </c>
      <c r="L4867">
        <v>1412</v>
      </c>
      <c r="M4867">
        <v>29651</v>
      </c>
      <c r="N4867">
        <v>1412</v>
      </c>
      <c r="O4867">
        <v>32475</v>
      </c>
    </row>
    <row r="4868" spans="1:15" x14ac:dyDescent="0.35">
      <c r="A4868">
        <v>4867</v>
      </c>
      <c r="B4868" s="2" t="s">
        <v>20</v>
      </c>
      <c r="C4868" s="2" t="s">
        <v>11</v>
      </c>
      <c r="D4868">
        <v>44</v>
      </c>
      <c r="E4868" s="2" t="s">
        <v>28</v>
      </c>
      <c r="F4868" s="2" t="s">
        <v>19</v>
      </c>
      <c r="G4868">
        <v>50912</v>
      </c>
      <c r="H4868" s="1">
        <v>44955</v>
      </c>
      <c r="I4868">
        <v>5</v>
      </c>
      <c r="J4868">
        <v>4</v>
      </c>
      <c r="K4868">
        <v>5091</v>
      </c>
      <c r="L4868">
        <v>2546</v>
      </c>
      <c r="M4868">
        <v>53457</v>
      </c>
      <c r="N4868">
        <v>0</v>
      </c>
      <c r="O4868">
        <v>56003</v>
      </c>
    </row>
    <row r="4869" spans="1:15" x14ac:dyDescent="0.35">
      <c r="A4869">
        <v>4868</v>
      </c>
      <c r="B4869" s="2" t="s">
        <v>31</v>
      </c>
      <c r="C4869" s="2" t="s">
        <v>11</v>
      </c>
      <c r="D4869">
        <v>22</v>
      </c>
      <c r="E4869" s="2" t="s">
        <v>16</v>
      </c>
      <c r="F4869" s="2" t="s">
        <v>25</v>
      </c>
      <c r="G4869">
        <v>32399</v>
      </c>
      <c r="H4869" s="1">
        <v>45422</v>
      </c>
      <c r="I4869">
        <v>15</v>
      </c>
      <c r="J4869">
        <v>5</v>
      </c>
      <c r="K4869">
        <v>3240</v>
      </c>
      <c r="L4869">
        <v>1620</v>
      </c>
      <c r="M4869">
        <v>34019</v>
      </c>
      <c r="N4869">
        <v>1620</v>
      </c>
      <c r="O4869">
        <v>37259</v>
      </c>
    </row>
    <row r="4870" spans="1:15" x14ac:dyDescent="0.35">
      <c r="A4870">
        <v>4869</v>
      </c>
      <c r="B4870" s="2" t="s">
        <v>27</v>
      </c>
      <c r="C4870" s="2" t="s">
        <v>15</v>
      </c>
      <c r="D4870">
        <v>26</v>
      </c>
      <c r="E4870" s="2" t="s">
        <v>12</v>
      </c>
      <c r="F4870" s="2" t="s">
        <v>17</v>
      </c>
      <c r="G4870">
        <v>95652</v>
      </c>
      <c r="H4870" s="1">
        <v>45346</v>
      </c>
      <c r="I4870">
        <v>2</v>
      </c>
      <c r="J4870">
        <v>3</v>
      </c>
      <c r="K4870">
        <v>9565</v>
      </c>
      <c r="L4870">
        <v>4783</v>
      </c>
      <c r="M4870">
        <v>100434</v>
      </c>
      <c r="N4870">
        <v>0</v>
      </c>
      <c r="O4870">
        <v>105217</v>
      </c>
    </row>
    <row r="4871" spans="1:15" x14ac:dyDescent="0.35">
      <c r="A4871">
        <v>4870</v>
      </c>
      <c r="B4871" s="2" t="s">
        <v>30</v>
      </c>
      <c r="C4871" s="2" t="s">
        <v>15</v>
      </c>
      <c r="D4871">
        <v>21</v>
      </c>
      <c r="E4871" s="2" t="s">
        <v>12</v>
      </c>
      <c r="F4871" s="2" t="s">
        <v>25</v>
      </c>
      <c r="G4871">
        <v>46564</v>
      </c>
      <c r="H4871" s="1">
        <v>45191</v>
      </c>
      <c r="I4871">
        <v>5</v>
      </c>
      <c r="J4871">
        <v>2</v>
      </c>
      <c r="K4871">
        <v>4656</v>
      </c>
      <c r="L4871">
        <v>2328</v>
      </c>
      <c r="M4871">
        <v>48892</v>
      </c>
      <c r="N4871">
        <v>0</v>
      </c>
      <c r="O4871">
        <v>51220</v>
      </c>
    </row>
    <row r="4872" spans="1:15" x14ac:dyDescent="0.35">
      <c r="A4872">
        <v>4871</v>
      </c>
      <c r="B4872" s="2" t="s">
        <v>18</v>
      </c>
      <c r="C4872" s="2" t="s">
        <v>15</v>
      </c>
      <c r="D4872">
        <v>36</v>
      </c>
      <c r="E4872" s="2" t="s">
        <v>24</v>
      </c>
      <c r="F4872" s="2" t="s">
        <v>19</v>
      </c>
      <c r="G4872">
        <v>71025</v>
      </c>
      <c r="H4872" s="1">
        <v>45392</v>
      </c>
      <c r="I4872">
        <v>19</v>
      </c>
      <c r="J4872">
        <v>1</v>
      </c>
      <c r="K4872">
        <v>7102</v>
      </c>
      <c r="L4872">
        <v>3551</v>
      </c>
      <c r="M4872">
        <v>74576</v>
      </c>
      <c r="N4872">
        <v>3551</v>
      </c>
      <c r="O4872">
        <v>81678</v>
      </c>
    </row>
    <row r="4873" spans="1:15" x14ac:dyDescent="0.35">
      <c r="A4873">
        <v>4872</v>
      </c>
      <c r="B4873" s="2" t="s">
        <v>23</v>
      </c>
      <c r="C4873" s="2" t="s">
        <v>11</v>
      </c>
      <c r="D4873">
        <v>49</v>
      </c>
      <c r="E4873" s="2" t="s">
        <v>12</v>
      </c>
      <c r="F4873" s="2" t="s">
        <v>21</v>
      </c>
      <c r="G4873">
        <v>85988</v>
      </c>
      <c r="H4873" s="1">
        <v>45330</v>
      </c>
      <c r="I4873">
        <v>15</v>
      </c>
      <c r="J4873">
        <v>4</v>
      </c>
      <c r="K4873">
        <v>8599</v>
      </c>
      <c r="L4873">
        <v>4299</v>
      </c>
      <c r="M4873">
        <v>90288</v>
      </c>
      <c r="N4873">
        <v>4299</v>
      </c>
      <c r="O4873">
        <v>98886</v>
      </c>
    </row>
    <row r="4874" spans="1:15" x14ac:dyDescent="0.35">
      <c r="A4874">
        <v>4873</v>
      </c>
      <c r="B4874" s="2" t="s">
        <v>23</v>
      </c>
      <c r="C4874" s="2" t="s">
        <v>11</v>
      </c>
      <c r="D4874">
        <v>38</v>
      </c>
      <c r="E4874" s="2" t="s">
        <v>16</v>
      </c>
      <c r="F4874" s="2" t="s">
        <v>21</v>
      </c>
      <c r="G4874">
        <v>41855</v>
      </c>
      <c r="H4874" s="1">
        <v>45547</v>
      </c>
      <c r="I4874">
        <v>6</v>
      </c>
      <c r="J4874">
        <v>4</v>
      </c>
      <c r="K4874">
        <v>4186</v>
      </c>
      <c r="L4874">
        <v>2093</v>
      </c>
      <c r="M4874">
        <v>43948</v>
      </c>
      <c r="N4874">
        <v>2093</v>
      </c>
      <c r="O4874">
        <v>48134</v>
      </c>
    </row>
    <row r="4875" spans="1:15" x14ac:dyDescent="0.35">
      <c r="A4875">
        <v>4874</v>
      </c>
      <c r="B4875" s="2" t="s">
        <v>20</v>
      </c>
      <c r="C4875" s="2" t="s">
        <v>15</v>
      </c>
      <c r="D4875">
        <v>55</v>
      </c>
      <c r="E4875" s="2" t="s">
        <v>28</v>
      </c>
      <c r="F4875" s="2" t="s">
        <v>17</v>
      </c>
      <c r="G4875">
        <v>47518</v>
      </c>
      <c r="H4875" s="1">
        <v>45324</v>
      </c>
      <c r="I4875">
        <v>2</v>
      </c>
      <c r="J4875">
        <v>5</v>
      </c>
      <c r="K4875">
        <v>4752</v>
      </c>
      <c r="L4875">
        <v>2376</v>
      </c>
      <c r="M4875">
        <v>49894</v>
      </c>
      <c r="N4875">
        <v>0</v>
      </c>
      <c r="O4875">
        <v>52270</v>
      </c>
    </row>
    <row r="4876" spans="1:15" x14ac:dyDescent="0.35">
      <c r="A4876">
        <v>4875</v>
      </c>
      <c r="B4876" s="2" t="s">
        <v>22</v>
      </c>
      <c r="C4876" s="2" t="s">
        <v>11</v>
      </c>
      <c r="D4876">
        <v>32</v>
      </c>
      <c r="E4876" s="2" t="s">
        <v>24</v>
      </c>
      <c r="F4876" s="2" t="s">
        <v>21</v>
      </c>
      <c r="G4876">
        <v>94279</v>
      </c>
      <c r="H4876" s="1">
        <v>44968</v>
      </c>
      <c r="I4876">
        <v>18</v>
      </c>
      <c r="J4876">
        <v>5</v>
      </c>
      <c r="K4876">
        <v>9428</v>
      </c>
      <c r="L4876">
        <v>4714</v>
      </c>
      <c r="M4876">
        <v>98993</v>
      </c>
      <c r="N4876">
        <v>4714</v>
      </c>
      <c r="O4876">
        <v>108421</v>
      </c>
    </row>
    <row r="4877" spans="1:15" x14ac:dyDescent="0.35">
      <c r="A4877">
        <v>4876</v>
      </c>
      <c r="B4877" s="2" t="s">
        <v>22</v>
      </c>
      <c r="C4877" s="2" t="s">
        <v>15</v>
      </c>
      <c r="D4877">
        <v>27</v>
      </c>
      <c r="E4877" s="2" t="s">
        <v>16</v>
      </c>
      <c r="F4877" s="2" t="s">
        <v>19</v>
      </c>
      <c r="G4877">
        <v>91940</v>
      </c>
      <c r="H4877" s="1">
        <v>45562</v>
      </c>
      <c r="I4877">
        <v>13</v>
      </c>
      <c r="J4877">
        <v>1</v>
      </c>
      <c r="K4877">
        <v>9194</v>
      </c>
      <c r="L4877">
        <v>4597</v>
      </c>
      <c r="M4877">
        <v>96537</v>
      </c>
      <c r="N4877">
        <v>4597</v>
      </c>
      <c r="O4877">
        <v>105731</v>
      </c>
    </row>
    <row r="4878" spans="1:15" x14ac:dyDescent="0.35">
      <c r="A4878">
        <v>4877</v>
      </c>
      <c r="B4878" s="2" t="s">
        <v>14</v>
      </c>
      <c r="C4878" s="2" t="s">
        <v>11</v>
      </c>
      <c r="D4878">
        <v>57</v>
      </c>
      <c r="E4878" s="2" t="s">
        <v>28</v>
      </c>
      <c r="F4878" s="2" t="s">
        <v>19</v>
      </c>
      <c r="G4878">
        <v>36590</v>
      </c>
      <c r="H4878" s="1">
        <v>45188</v>
      </c>
      <c r="I4878">
        <v>9</v>
      </c>
      <c r="J4878">
        <v>1</v>
      </c>
      <c r="K4878">
        <v>3659</v>
      </c>
      <c r="L4878">
        <v>1830</v>
      </c>
      <c r="M4878">
        <v>38419</v>
      </c>
      <c r="N4878">
        <v>1830</v>
      </c>
      <c r="O4878">
        <v>42079</v>
      </c>
    </row>
    <row r="4879" spans="1:15" x14ac:dyDescent="0.35">
      <c r="A4879">
        <v>4878</v>
      </c>
      <c r="B4879" s="2" t="s">
        <v>20</v>
      </c>
      <c r="C4879" s="2" t="s">
        <v>11</v>
      </c>
      <c r="D4879">
        <v>58</v>
      </c>
      <c r="E4879" s="2" t="s">
        <v>12</v>
      </c>
      <c r="F4879" s="2" t="s">
        <v>25</v>
      </c>
      <c r="G4879">
        <v>86651</v>
      </c>
      <c r="H4879" s="1">
        <v>45489</v>
      </c>
      <c r="I4879">
        <v>14</v>
      </c>
      <c r="J4879">
        <v>5</v>
      </c>
      <c r="K4879">
        <v>8665</v>
      </c>
      <c r="L4879">
        <v>4333</v>
      </c>
      <c r="M4879">
        <v>90983</v>
      </c>
      <c r="N4879">
        <v>4333</v>
      </c>
      <c r="O4879">
        <v>99649</v>
      </c>
    </row>
    <row r="4880" spans="1:15" x14ac:dyDescent="0.35">
      <c r="A4880">
        <v>4879</v>
      </c>
      <c r="B4880" s="2" t="s">
        <v>20</v>
      </c>
      <c r="C4880" s="2" t="s">
        <v>11</v>
      </c>
      <c r="D4880">
        <v>30</v>
      </c>
      <c r="E4880" s="2" t="s">
        <v>12</v>
      </c>
      <c r="F4880" s="2" t="s">
        <v>19</v>
      </c>
      <c r="G4880">
        <v>54040</v>
      </c>
      <c r="H4880" s="1">
        <v>45551</v>
      </c>
      <c r="I4880">
        <v>8</v>
      </c>
      <c r="J4880">
        <v>3</v>
      </c>
      <c r="K4880">
        <v>5404</v>
      </c>
      <c r="L4880">
        <v>2702</v>
      </c>
      <c r="M4880">
        <v>56742</v>
      </c>
      <c r="N4880">
        <v>2702</v>
      </c>
      <c r="O4880">
        <v>62146</v>
      </c>
    </row>
    <row r="4881" spans="1:15" x14ac:dyDescent="0.35">
      <c r="A4881">
        <v>4880</v>
      </c>
      <c r="B4881" s="2" t="s">
        <v>23</v>
      </c>
      <c r="C4881" s="2" t="s">
        <v>15</v>
      </c>
      <c r="D4881">
        <v>60</v>
      </c>
      <c r="E4881" s="2" t="s">
        <v>24</v>
      </c>
      <c r="F4881" s="2" t="s">
        <v>25</v>
      </c>
      <c r="G4881">
        <v>64701</v>
      </c>
      <c r="H4881" s="1">
        <v>44705</v>
      </c>
      <c r="I4881">
        <v>18</v>
      </c>
      <c r="J4881">
        <v>3</v>
      </c>
      <c r="K4881">
        <v>6470</v>
      </c>
      <c r="L4881">
        <v>3235</v>
      </c>
      <c r="M4881">
        <v>67936</v>
      </c>
      <c r="N4881">
        <v>3235</v>
      </c>
      <c r="O4881">
        <v>74406</v>
      </c>
    </row>
    <row r="4882" spans="1:15" x14ac:dyDescent="0.35">
      <c r="A4882">
        <v>4881</v>
      </c>
      <c r="B4882" s="2" t="s">
        <v>10</v>
      </c>
      <c r="C4882" s="2" t="s">
        <v>11</v>
      </c>
      <c r="D4882">
        <v>53</v>
      </c>
      <c r="E4882" s="2" t="s">
        <v>12</v>
      </c>
      <c r="F4882" s="2" t="s">
        <v>19</v>
      </c>
      <c r="G4882">
        <v>82002</v>
      </c>
      <c r="H4882" s="1">
        <v>45445</v>
      </c>
      <c r="I4882">
        <v>7</v>
      </c>
      <c r="J4882">
        <v>5</v>
      </c>
      <c r="K4882">
        <v>8200</v>
      </c>
      <c r="L4882">
        <v>4100</v>
      </c>
      <c r="M4882">
        <v>86102</v>
      </c>
      <c r="N4882">
        <v>4100</v>
      </c>
      <c r="O4882">
        <v>94302</v>
      </c>
    </row>
    <row r="4883" spans="1:15" x14ac:dyDescent="0.35">
      <c r="A4883">
        <v>4882</v>
      </c>
      <c r="B4883" s="2" t="s">
        <v>14</v>
      </c>
      <c r="C4883" s="2" t="s">
        <v>15</v>
      </c>
      <c r="D4883">
        <v>54</v>
      </c>
      <c r="E4883" s="2" t="s">
        <v>29</v>
      </c>
      <c r="F4883" s="2" t="s">
        <v>19</v>
      </c>
      <c r="G4883">
        <v>83514</v>
      </c>
      <c r="H4883" s="1">
        <v>45005</v>
      </c>
      <c r="I4883">
        <v>3</v>
      </c>
      <c r="J4883">
        <v>2</v>
      </c>
      <c r="K4883">
        <v>8351</v>
      </c>
      <c r="L4883">
        <v>4176</v>
      </c>
      <c r="M4883">
        <v>87689</v>
      </c>
      <c r="N4883">
        <v>0</v>
      </c>
      <c r="O4883">
        <v>91865</v>
      </c>
    </row>
    <row r="4884" spans="1:15" x14ac:dyDescent="0.35">
      <c r="A4884">
        <v>4883</v>
      </c>
      <c r="B4884" s="2" t="s">
        <v>23</v>
      </c>
      <c r="C4884" s="2" t="s">
        <v>11</v>
      </c>
      <c r="D4884">
        <v>48</v>
      </c>
      <c r="E4884" s="2" t="s">
        <v>28</v>
      </c>
      <c r="F4884" s="2" t="s">
        <v>19</v>
      </c>
      <c r="G4884">
        <v>43319</v>
      </c>
      <c r="H4884" s="1">
        <v>44629</v>
      </c>
      <c r="I4884">
        <v>3</v>
      </c>
      <c r="J4884">
        <v>3</v>
      </c>
      <c r="K4884">
        <v>4332</v>
      </c>
      <c r="L4884">
        <v>2166</v>
      </c>
      <c r="M4884">
        <v>45485</v>
      </c>
      <c r="N4884">
        <v>0</v>
      </c>
      <c r="O4884">
        <v>47651</v>
      </c>
    </row>
    <row r="4885" spans="1:15" x14ac:dyDescent="0.35">
      <c r="A4885">
        <v>4884</v>
      </c>
      <c r="B4885" s="2" t="s">
        <v>10</v>
      </c>
      <c r="C4885" s="2" t="s">
        <v>15</v>
      </c>
      <c r="D4885">
        <v>23</v>
      </c>
      <c r="E4885" s="2" t="s">
        <v>12</v>
      </c>
      <c r="F4885" s="2" t="s">
        <v>21</v>
      </c>
      <c r="G4885">
        <v>28092</v>
      </c>
      <c r="H4885" s="1">
        <v>44614</v>
      </c>
      <c r="I4885">
        <v>8</v>
      </c>
      <c r="J4885">
        <v>5</v>
      </c>
      <c r="K4885">
        <v>2809</v>
      </c>
      <c r="L4885">
        <v>1405</v>
      </c>
      <c r="M4885">
        <v>29496</v>
      </c>
      <c r="N4885">
        <v>1405</v>
      </c>
      <c r="O4885">
        <v>32306</v>
      </c>
    </row>
    <row r="4886" spans="1:15" x14ac:dyDescent="0.35">
      <c r="A4886">
        <v>4885</v>
      </c>
      <c r="B4886" s="2" t="s">
        <v>10</v>
      </c>
      <c r="C4886" s="2" t="s">
        <v>15</v>
      </c>
      <c r="D4886">
        <v>34</v>
      </c>
      <c r="E4886" s="2" t="s">
        <v>12</v>
      </c>
      <c r="F4886" s="2" t="s">
        <v>19</v>
      </c>
      <c r="G4886">
        <v>97998</v>
      </c>
      <c r="H4886" s="1">
        <v>45302</v>
      </c>
      <c r="I4886">
        <v>10</v>
      </c>
      <c r="J4886">
        <v>4</v>
      </c>
      <c r="K4886">
        <v>9800</v>
      </c>
      <c r="L4886">
        <v>4900</v>
      </c>
      <c r="M4886">
        <v>102898</v>
      </c>
      <c r="N4886">
        <v>4900</v>
      </c>
      <c r="O4886">
        <v>112698</v>
      </c>
    </row>
    <row r="4887" spans="1:15" x14ac:dyDescent="0.35">
      <c r="A4887">
        <v>4886</v>
      </c>
      <c r="B4887" s="2" t="s">
        <v>23</v>
      </c>
      <c r="C4887" s="2" t="s">
        <v>15</v>
      </c>
      <c r="D4887">
        <v>31</v>
      </c>
      <c r="E4887" s="2" t="s">
        <v>24</v>
      </c>
      <c r="F4887" s="2" t="s">
        <v>25</v>
      </c>
      <c r="G4887">
        <v>21806</v>
      </c>
      <c r="H4887" s="1">
        <v>44863</v>
      </c>
      <c r="I4887">
        <v>11</v>
      </c>
      <c r="J4887">
        <v>2</v>
      </c>
      <c r="K4887">
        <v>2181</v>
      </c>
      <c r="L4887">
        <v>1090</v>
      </c>
      <c r="M4887">
        <v>22897</v>
      </c>
      <c r="N4887">
        <v>1090</v>
      </c>
      <c r="O4887">
        <v>25077</v>
      </c>
    </row>
    <row r="4888" spans="1:15" x14ac:dyDescent="0.35">
      <c r="A4888">
        <v>4887</v>
      </c>
      <c r="B4888" s="2" t="s">
        <v>31</v>
      </c>
      <c r="C4888" s="2" t="s">
        <v>11</v>
      </c>
      <c r="D4888">
        <v>48</v>
      </c>
      <c r="E4888" s="2" t="s">
        <v>28</v>
      </c>
      <c r="F4888" s="2" t="s">
        <v>19</v>
      </c>
      <c r="G4888">
        <v>83791</v>
      </c>
      <c r="H4888" s="1">
        <v>44990</v>
      </c>
      <c r="I4888">
        <v>16</v>
      </c>
      <c r="J4888">
        <v>2</v>
      </c>
      <c r="K4888">
        <v>8379</v>
      </c>
      <c r="L4888">
        <v>4190</v>
      </c>
      <c r="M4888">
        <v>87980</v>
      </c>
      <c r="N4888">
        <v>4190</v>
      </c>
      <c r="O4888">
        <v>96360</v>
      </c>
    </row>
    <row r="4889" spans="1:15" x14ac:dyDescent="0.35">
      <c r="A4889">
        <v>4888</v>
      </c>
      <c r="B4889" s="2" t="s">
        <v>22</v>
      </c>
      <c r="C4889" s="2" t="s">
        <v>11</v>
      </c>
      <c r="D4889">
        <v>39</v>
      </c>
      <c r="E4889" s="2" t="s">
        <v>29</v>
      </c>
      <c r="F4889" s="2" t="s">
        <v>25</v>
      </c>
      <c r="G4889">
        <v>87771</v>
      </c>
      <c r="H4889" s="1">
        <v>44931</v>
      </c>
      <c r="I4889">
        <v>1</v>
      </c>
      <c r="J4889">
        <v>1</v>
      </c>
      <c r="K4889">
        <v>8777</v>
      </c>
      <c r="L4889">
        <v>4389</v>
      </c>
      <c r="M4889">
        <v>92159</v>
      </c>
      <c r="N4889">
        <v>0</v>
      </c>
      <c r="O4889">
        <v>96548</v>
      </c>
    </row>
    <row r="4890" spans="1:15" x14ac:dyDescent="0.35">
      <c r="A4890">
        <v>4889</v>
      </c>
      <c r="B4890" s="2" t="s">
        <v>22</v>
      </c>
      <c r="C4890" s="2" t="s">
        <v>11</v>
      </c>
      <c r="D4890">
        <v>25</v>
      </c>
      <c r="E4890" s="2" t="s">
        <v>29</v>
      </c>
      <c r="F4890" s="2" t="s">
        <v>17</v>
      </c>
      <c r="G4890">
        <v>39137</v>
      </c>
      <c r="H4890" s="1">
        <v>44898</v>
      </c>
      <c r="I4890">
        <v>7</v>
      </c>
      <c r="J4890">
        <v>3</v>
      </c>
      <c r="K4890">
        <v>3914</v>
      </c>
      <c r="L4890">
        <v>1957</v>
      </c>
      <c r="M4890">
        <v>41094</v>
      </c>
      <c r="N4890">
        <v>1957</v>
      </c>
      <c r="O4890">
        <v>45008</v>
      </c>
    </row>
    <row r="4891" spans="1:15" x14ac:dyDescent="0.35">
      <c r="A4891">
        <v>4890</v>
      </c>
      <c r="B4891" s="2" t="s">
        <v>22</v>
      </c>
      <c r="C4891" s="2" t="s">
        <v>11</v>
      </c>
      <c r="D4891">
        <v>46</v>
      </c>
      <c r="E4891" s="2" t="s">
        <v>28</v>
      </c>
      <c r="F4891" s="2" t="s">
        <v>17</v>
      </c>
      <c r="G4891">
        <v>66096</v>
      </c>
      <c r="H4891" s="1">
        <v>45308</v>
      </c>
      <c r="I4891">
        <v>11</v>
      </c>
      <c r="J4891">
        <v>4</v>
      </c>
      <c r="K4891">
        <v>6610</v>
      </c>
      <c r="L4891">
        <v>3305</v>
      </c>
      <c r="M4891">
        <v>69401</v>
      </c>
      <c r="N4891">
        <v>3305</v>
      </c>
      <c r="O4891">
        <v>76011</v>
      </c>
    </row>
    <row r="4892" spans="1:15" x14ac:dyDescent="0.35">
      <c r="A4892">
        <v>4891</v>
      </c>
      <c r="B4892" s="2" t="s">
        <v>14</v>
      </c>
      <c r="C4892" s="2" t="s">
        <v>15</v>
      </c>
      <c r="D4892">
        <v>56</v>
      </c>
      <c r="E4892" s="2" t="s">
        <v>16</v>
      </c>
      <c r="F4892" s="2" t="s">
        <v>13</v>
      </c>
      <c r="G4892">
        <v>24319</v>
      </c>
      <c r="H4892" s="1">
        <v>44796</v>
      </c>
      <c r="I4892">
        <v>16</v>
      </c>
      <c r="J4892">
        <v>3</v>
      </c>
      <c r="K4892">
        <v>2432</v>
      </c>
      <c r="L4892">
        <v>1216</v>
      </c>
      <c r="M4892">
        <v>25535</v>
      </c>
      <c r="N4892">
        <v>1216</v>
      </c>
      <c r="O4892">
        <v>27967</v>
      </c>
    </row>
    <row r="4893" spans="1:15" x14ac:dyDescent="0.35">
      <c r="A4893">
        <v>4892</v>
      </c>
      <c r="B4893" s="2" t="s">
        <v>30</v>
      </c>
      <c r="C4893" s="2" t="s">
        <v>15</v>
      </c>
      <c r="D4893">
        <v>52</v>
      </c>
      <c r="E4893" s="2" t="s">
        <v>28</v>
      </c>
      <c r="F4893" s="2" t="s">
        <v>17</v>
      </c>
      <c r="G4893">
        <v>77583</v>
      </c>
      <c r="H4893" s="1">
        <v>44577</v>
      </c>
      <c r="I4893">
        <v>2</v>
      </c>
      <c r="J4893">
        <v>1</v>
      </c>
      <c r="K4893">
        <v>7758</v>
      </c>
      <c r="L4893">
        <v>3879</v>
      </c>
      <c r="M4893">
        <v>81462</v>
      </c>
      <c r="N4893">
        <v>0</v>
      </c>
      <c r="O4893">
        <v>85341</v>
      </c>
    </row>
    <row r="4894" spans="1:15" x14ac:dyDescent="0.35">
      <c r="A4894">
        <v>4893</v>
      </c>
      <c r="B4894" s="2" t="s">
        <v>20</v>
      </c>
      <c r="C4894" s="2" t="s">
        <v>15</v>
      </c>
      <c r="D4894">
        <v>24</v>
      </c>
      <c r="E4894" s="2" t="s">
        <v>12</v>
      </c>
      <c r="F4894" s="2" t="s">
        <v>25</v>
      </c>
      <c r="G4894">
        <v>93311</v>
      </c>
      <c r="H4894" s="1">
        <v>44730</v>
      </c>
      <c r="I4894">
        <v>10</v>
      </c>
      <c r="J4894">
        <v>1</v>
      </c>
      <c r="K4894">
        <v>9331</v>
      </c>
      <c r="L4894">
        <v>4666</v>
      </c>
      <c r="M4894">
        <v>97976</v>
      </c>
      <c r="N4894">
        <v>4666</v>
      </c>
      <c r="O4894">
        <v>107308</v>
      </c>
    </row>
    <row r="4895" spans="1:15" x14ac:dyDescent="0.35">
      <c r="A4895">
        <v>4894</v>
      </c>
      <c r="B4895" s="2" t="s">
        <v>20</v>
      </c>
      <c r="C4895" s="2" t="s">
        <v>15</v>
      </c>
      <c r="D4895">
        <v>38</v>
      </c>
      <c r="E4895" s="2" t="s">
        <v>12</v>
      </c>
      <c r="F4895" s="2" t="s">
        <v>25</v>
      </c>
      <c r="G4895">
        <v>97079</v>
      </c>
      <c r="H4895" s="1">
        <v>45163</v>
      </c>
      <c r="I4895">
        <v>3</v>
      </c>
      <c r="J4895">
        <v>3</v>
      </c>
      <c r="K4895">
        <v>9708</v>
      </c>
      <c r="L4895">
        <v>4854</v>
      </c>
      <c r="M4895">
        <v>101933</v>
      </c>
      <c r="N4895">
        <v>0</v>
      </c>
      <c r="O4895">
        <v>106787</v>
      </c>
    </row>
    <row r="4896" spans="1:15" x14ac:dyDescent="0.35">
      <c r="A4896">
        <v>4895</v>
      </c>
      <c r="B4896" s="2" t="s">
        <v>27</v>
      </c>
      <c r="C4896" s="2" t="s">
        <v>11</v>
      </c>
      <c r="D4896">
        <v>59</v>
      </c>
      <c r="E4896" s="2" t="s">
        <v>16</v>
      </c>
      <c r="F4896" s="2" t="s">
        <v>25</v>
      </c>
      <c r="G4896">
        <v>42684</v>
      </c>
      <c r="H4896" s="1">
        <v>45135</v>
      </c>
      <c r="I4896">
        <v>2</v>
      </c>
      <c r="J4896">
        <v>1</v>
      </c>
      <c r="K4896">
        <v>4268</v>
      </c>
      <c r="L4896">
        <v>2134</v>
      </c>
      <c r="M4896">
        <v>44818</v>
      </c>
      <c r="N4896">
        <v>0</v>
      </c>
      <c r="O4896">
        <v>46952</v>
      </c>
    </row>
    <row r="4897" spans="1:15" x14ac:dyDescent="0.35">
      <c r="A4897">
        <v>4896</v>
      </c>
      <c r="B4897" s="2" t="s">
        <v>10</v>
      </c>
      <c r="C4897" s="2" t="s">
        <v>15</v>
      </c>
      <c r="D4897">
        <v>55</v>
      </c>
      <c r="E4897" s="2" t="s">
        <v>12</v>
      </c>
      <c r="F4897" s="2" t="s">
        <v>21</v>
      </c>
      <c r="G4897">
        <v>67707</v>
      </c>
      <c r="H4897" s="1">
        <v>45424</v>
      </c>
      <c r="I4897">
        <v>1</v>
      </c>
      <c r="J4897">
        <v>2</v>
      </c>
      <c r="K4897">
        <v>6771</v>
      </c>
      <c r="L4897">
        <v>3385</v>
      </c>
      <c r="M4897">
        <v>71093</v>
      </c>
      <c r="N4897">
        <v>0</v>
      </c>
      <c r="O4897">
        <v>74478</v>
      </c>
    </row>
    <row r="4898" spans="1:15" x14ac:dyDescent="0.35">
      <c r="A4898">
        <v>4897</v>
      </c>
      <c r="B4898" s="2" t="s">
        <v>26</v>
      </c>
      <c r="C4898" s="2" t="s">
        <v>11</v>
      </c>
      <c r="D4898">
        <v>44</v>
      </c>
      <c r="E4898" s="2" t="s">
        <v>24</v>
      </c>
      <c r="F4898" s="2" t="s">
        <v>19</v>
      </c>
      <c r="G4898">
        <v>29331</v>
      </c>
      <c r="H4898" s="1">
        <v>45244</v>
      </c>
      <c r="I4898">
        <v>6</v>
      </c>
      <c r="J4898">
        <v>3</v>
      </c>
      <c r="K4898">
        <v>2933</v>
      </c>
      <c r="L4898">
        <v>1467</v>
      </c>
      <c r="M4898">
        <v>30797</v>
      </c>
      <c r="N4898">
        <v>1467</v>
      </c>
      <c r="O4898">
        <v>33731</v>
      </c>
    </row>
    <row r="4899" spans="1:15" x14ac:dyDescent="0.35">
      <c r="A4899">
        <v>4898</v>
      </c>
      <c r="B4899" s="2" t="s">
        <v>31</v>
      </c>
      <c r="C4899" s="2" t="s">
        <v>15</v>
      </c>
      <c r="D4899">
        <v>36</v>
      </c>
      <c r="E4899" s="2" t="s">
        <v>24</v>
      </c>
      <c r="F4899" s="2" t="s">
        <v>17</v>
      </c>
      <c r="G4899">
        <v>70229</v>
      </c>
      <c r="H4899" s="1">
        <v>44772</v>
      </c>
      <c r="I4899">
        <v>6</v>
      </c>
      <c r="J4899">
        <v>5</v>
      </c>
      <c r="K4899">
        <v>7023</v>
      </c>
      <c r="L4899">
        <v>3511</v>
      </c>
      <c r="M4899">
        <v>73741</v>
      </c>
      <c r="N4899">
        <v>3511</v>
      </c>
      <c r="O4899">
        <v>80763</v>
      </c>
    </row>
    <row r="4900" spans="1:15" x14ac:dyDescent="0.35">
      <c r="A4900">
        <v>4899</v>
      </c>
      <c r="B4900" s="2" t="s">
        <v>31</v>
      </c>
      <c r="C4900" s="2" t="s">
        <v>15</v>
      </c>
      <c r="D4900">
        <v>57</v>
      </c>
      <c r="E4900" s="2" t="s">
        <v>28</v>
      </c>
      <c r="F4900" s="2" t="s">
        <v>13</v>
      </c>
      <c r="G4900">
        <v>47198</v>
      </c>
      <c r="H4900" s="1">
        <v>45290</v>
      </c>
      <c r="I4900">
        <v>11</v>
      </c>
      <c r="J4900">
        <v>2</v>
      </c>
      <c r="K4900">
        <v>4720</v>
      </c>
      <c r="L4900">
        <v>2360</v>
      </c>
      <c r="M4900">
        <v>49558</v>
      </c>
      <c r="N4900">
        <v>2360</v>
      </c>
      <c r="O4900">
        <v>54278</v>
      </c>
    </row>
    <row r="4901" spans="1:15" x14ac:dyDescent="0.35">
      <c r="A4901">
        <v>4900</v>
      </c>
      <c r="B4901" s="2" t="s">
        <v>30</v>
      </c>
      <c r="C4901" s="2" t="s">
        <v>11</v>
      </c>
      <c r="D4901">
        <v>35</v>
      </c>
      <c r="E4901" s="2" t="s">
        <v>29</v>
      </c>
      <c r="F4901" s="2" t="s">
        <v>21</v>
      </c>
      <c r="G4901">
        <v>73403</v>
      </c>
      <c r="H4901" s="1">
        <v>44640</v>
      </c>
      <c r="I4901">
        <v>14</v>
      </c>
      <c r="J4901">
        <v>4</v>
      </c>
      <c r="K4901">
        <v>7340</v>
      </c>
      <c r="L4901">
        <v>3670</v>
      </c>
      <c r="M4901">
        <v>77073</v>
      </c>
      <c r="N4901">
        <v>3670</v>
      </c>
      <c r="O4901">
        <v>84413</v>
      </c>
    </row>
    <row r="4902" spans="1:15" x14ac:dyDescent="0.35">
      <c r="A4902">
        <v>4901</v>
      </c>
      <c r="B4902" s="2" t="s">
        <v>22</v>
      </c>
      <c r="C4902" s="2" t="s">
        <v>11</v>
      </c>
      <c r="D4902">
        <v>42</v>
      </c>
      <c r="E4902" s="2" t="s">
        <v>29</v>
      </c>
      <c r="F4902" s="2" t="s">
        <v>21</v>
      </c>
      <c r="G4902">
        <v>32143</v>
      </c>
      <c r="H4902" s="1">
        <v>45325</v>
      </c>
      <c r="I4902">
        <v>4</v>
      </c>
      <c r="J4902">
        <v>2</v>
      </c>
      <c r="K4902">
        <v>3214</v>
      </c>
      <c r="L4902">
        <v>1607</v>
      </c>
      <c r="M4902">
        <v>33750</v>
      </c>
      <c r="N4902">
        <v>0</v>
      </c>
      <c r="O4902">
        <v>35357</v>
      </c>
    </row>
    <row r="4903" spans="1:15" x14ac:dyDescent="0.35">
      <c r="A4903">
        <v>4902</v>
      </c>
      <c r="B4903" s="2" t="s">
        <v>18</v>
      </c>
      <c r="C4903" s="2" t="s">
        <v>11</v>
      </c>
      <c r="D4903">
        <v>60</v>
      </c>
      <c r="E4903" s="2" t="s">
        <v>16</v>
      </c>
      <c r="F4903" s="2" t="s">
        <v>13</v>
      </c>
      <c r="G4903">
        <v>63491</v>
      </c>
      <c r="H4903" s="1">
        <v>44566</v>
      </c>
      <c r="I4903">
        <v>17</v>
      </c>
      <c r="J4903">
        <v>3</v>
      </c>
      <c r="K4903">
        <v>6349</v>
      </c>
      <c r="L4903">
        <v>3175</v>
      </c>
      <c r="M4903">
        <v>66665</v>
      </c>
      <c r="N4903">
        <v>3175</v>
      </c>
      <c r="O4903">
        <v>73015</v>
      </c>
    </row>
    <row r="4904" spans="1:15" x14ac:dyDescent="0.35">
      <c r="A4904">
        <v>4903</v>
      </c>
      <c r="B4904" s="2" t="s">
        <v>18</v>
      </c>
      <c r="C4904" s="2" t="s">
        <v>11</v>
      </c>
      <c r="D4904">
        <v>32</v>
      </c>
      <c r="E4904" s="2" t="s">
        <v>29</v>
      </c>
      <c r="F4904" s="2" t="s">
        <v>25</v>
      </c>
      <c r="G4904">
        <v>32669</v>
      </c>
      <c r="H4904" s="1">
        <v>45269</v>
      </c>
      <c r="I4904">
        <v>7</v>
      </c>
      <c r="J4904">
        <v>5</v>
      </c>
      <c r="K4904">
        <v>3267</v>
      </c>
      <c r="L4904">
        <v>1633</v>
      </c>
      <c r="M4904">
        <v>34303</v>
      </c>
      <c r="N4904">
        <v>1633</v>
      </c>
      <c r="O4904">
        <v>37569</v>
      </c>
    </row>
    <row r="4905" spans="1:15" x14ac:dyDescent="0.35">
      <c r="A4905">
        <v>4904</v>
      </c>
      <c r="B4905" s="2" t="s">
        <v>27</v>
      </c>
      <c r="C4905" s="2" t="s">
        <v>11</v>
      </c>
      <c r="D4905">
        <v>26</v>
      </c>
      <c r="E4905" s="2" t="s">
        <v>24</v>
      </c>
      <c r="F4905" s="2" t="s">
        <v>19</v>
      </c>
      <c r="G4905">
        <v>53637</v>
      </c>
      <c r="H4905" s="1">
        <v>44632</v>
      </c>
      <c r="I4905">
        <v>8</v>
      </c>
      <c r="J4905">
        <v>4</v>
      </c>
      <c r="K4905">
        <v>5364</v>
      </c>
      <c r="L4905">
        <v>2682</v>
      </c>
      <c r="M4905">
        <v>56319</v>
      </c>
      <c r="N4905">
        <v>2682</v>
      </c>
      <c r="O4905">
        <v>61683</v>
      </c>
    </row>
    <row r="4906" spans="1:15" x14ac:dyDescent="0.35">
      <c r="A4906">
        <v>4905</v>
      </c>
      <c r="B4906" s="2" t="s">
        <v>14</v>
      </c>
      <c r="C4906" s="2" t="s">
        <v>11</v>
      </c>
      <c r="D4906">
        <v>28</v>
      </c>
      <c r="E4906" s="2" t="s">
        <v>24</v>
      </c>
      <c r="F4906" s="2" t="s">
        <v>21</v>
      </c>
      <c r="G4906">
        <v>24955</v>
      </c>
      <c r="H4906" s="1">
        <v>45103</v>
      </c>
      <c r="I4906">
        <v>20</v>
      </c>
      <c r="J4906">
        <v>4</v>
      </c>
      <c r="K4906">
        <v>2496</v>
      </c>
      <c r="L4906">
        <v>1248</v>
      </c>
      <c r="M4906">
        <v>26203</v>
      </c>
      <c r="N4906">
        <v>1248</v>
      </c>
      <c r="O4906">
        <v>28699</v>
      </c>
    </row>
    <row r="4907" spans="1:15" x14ac:dyDescent="0.35">
      <c r="A4907">
        <v>4906</v>
      </c>
      <c r="B4907" s="2" t="s">
        <v>22</v>
      </c>
      <c r="C4907" s="2" t="s">
        <v>15</v>
      </c>
      <c r="D4907">
        <v>37</v>
      </c>
      <c r="E4907" s="2" t="s">
        <v>12</v>
      </c>
      <c r="F4907" s="2" t="s">
        <v>25</v>
      </c>
      <c r="G4907">
        <v>27893</v>
      </c>
      <c r="H4907" s="1">
        <v>44581</v>
      </c>
      <c r="I4907">
        <v>11</v>
      </c>
      <c r="J4907">
        <v>3</v>
      </c>
      <c r="K4907">
        <v>2789</v>
      </c>
      <c r="L4907">
        <v>1395</v>
      </c>
      <c r="M4907">
        <v>29287</v>
      </c>
      <c r="N4907">
        <v>1395</v>
      </c>
      <c r="O4907">
        <v>32077</v>
      </c>
    </row>
    <row r="4908" spans="1:15" x14ac:dyDescent="0.35">
      <c r="A4908">
        <v>4907</v>
      </c>
      <c r="B4908" s="2" t="s">
        <v>23</v>
      </c>
      <c r="C4908" s="2" t="s">
        <v>15</v>
      </c>
      <c r="D4908">
        <v>33</v>
      </c>
      <c r="E4908" s="2" t="s">
        <v>16</v>
      </c>
      <c r="F4908" s="2" t="s">
        <v>13</v>
      </c>
      <c r="G4908">
        <v>75775</v>
      </c>
      <c r="H4908" s="1">
        <v>44569</v>
      </c>
      <c r="I4908">
        <v>9</v>
      </c>
      <c r="J4908">
        <v>3</v>
      </c>
      <c r="K4908">
        <v>7578</v>
      </c>
      <c r="L4908">
        <v>3789</v>
      </c>
      <c r="M4908">
        <v>79564</v>
      </c>
      <c r="N4908">
        <v>3789</v>
      </c>
      <c r="O4908">
        <v>87142</v>
      </c>
    </row>
    <row r="4909" spans="1:15" x14ac:dyDescent="0.35">
      <c r="A4909">
        <v>4908</v>
      </c>
      <c r="B4909" s="2" t="s">
        <v>10</v>
      </c>
      <c r="C4909" s="2" t="s">
        <v>11</v>
      </c>
      <c r="D4909">
        <v>29</v>
      </c>
      <c r="E4909" s="2" t="s">
        <v>29</v>
      </c>
      <c r="F4909" s="2" t="s">
        <v>21</v>
      </c>
      <c r="G4909">
        <v>52010</v>
      </c>
      <c r="H4909" s="1">
        <v>45324</v>
      </c>
      <c r="I4909">
        <v>1</v>
      </c>
      <c r="J4909">
        <v>3</v>
      </c>
      <c r="K4909">
        <v>5201</v>
      </c>
      <c r="L4909">
        <v>2600</v>
      </c>
      <c r="M4909">
        <v>54611</v>
      </c>
      <c r="N4909">
        <v>0</v>
      </c>
      <c r="O4909">
        <v>57211</v>
      </c>
    </row>
    <row r="4910" spans="1:15" x14ac:dyDescent="0.35">
      <c r="A4910">
        <v>4909</v>
      </c>
      <c r="B4910" s="2" t="s">
        <v>20</v>
      </c>
      <c r="C4910" s="2" t="s">
        <v>15</v>
      </c>
      <c r="D4910">
        <v>32</v>
      </c>
      <c r="E4910" s="2" t="s">
        <v>24</v>
      </c>
      <c r="F4910" s="2" t="s">
        <v>19</v>
      </c>
      <c r="G4910">
        <v>87621</v>
      </c>
      <c r="H4910" s="1">
        <v>44959</v>
      </c>
      <c r="I4910">
        <v>14</v>
      </c>
      <c r="J4910">
        <v>1</v>
      </c>
      <c r="K4910">
        <v>8762</v>
      </c>
      <c r="L4910">
        <v>4381</v>
      </c>
      <c r="M4910">
        <v>92002</v>
      </c>
      <c r="N4910">
        <v>4381</v>
      </c>
      <c r="O4910">
        <v>100764</v>
      </c>
    </row>
    <row r="4911" spans="1:15" x14ac:dyDescent="0.35">
      <c r="A4911">
        <v>4910</v>
      </c>
      <c r="B4911" s="2" t="s">
        <v>18</v>
      </c>
      <c r="C4911" s="2" t="s">
        <v>15</v>
      </c>
      <c r="D4911">
        <v>44</v>
      </c>
      <c r="E4911" s="2" t="s">
        <v>24</v>
      </c>
      <c r="F4911" s="2" t="s">
        <v>19</v>
      </c>
      <c r="G4911">
        <v>69653</v>
      </c>
      <c r="H4911" s="1">
        <v>44589</v>
      </c>
      <c r="I4911">
        <v>4</v>
      </c>
      <c r="J4911">
        <v>3</v>
      </c>
      <c r="K4911">
        <v>6965</v>
      </c>
      <c r="L4911">
        <v>3483</v>
      </c>
      <c r="M4911">
        <v>73135</v>
      </c>
      <c r="N4911">
        <v>0</v>
      </c>
      <c r="O4911">
        <v>76618</v>
      </c>
    </row>
    <row r="4912" spans="1:15" x14ac:dyDescent="0.35">
      <c r="A4912">
        <v>4911</v>
      </c>
      <c r="B4912" s="2" t="s">
        <v>27</v>
      </c>
      <c r="C4912" s="2" t="s">
        <v>15</v>
      </c>
      <c r="D4912">
        <v>49</v>
      </c>
      <c r="E4912" s="2" t="s">
        <v>24</v>
      </c>
      <c r="F4912" s="2" t="s">
        <v>19</v>
      </c>
      <c r="G4912">
        <v>57590</v>
      </c>
      <c r="H4912" s="1">
        <v>45479</v>
      </c>
      <c r="I4912">
        <v>19</v>
      </c>
      <c r="J4912">
        <v>5</v>
      </c>
      <c r="K4912">
        <v>5759</v>
      </c>
      <c r="L4912">
        <v>2880</v>
      </c>
      <c r="M4912">
        <v>60469</v>
      </c>
      <c r="N4912">
        <v>2880</v>
      </c>
      <c r="O4912">
        <v>66229</v>
      </c>
    </row>
    <row r="4913" spans="1:15" x14ac:dyDescent="0.35">
      <c r="A4913">
        <v>4912</v>
      </c>
      <c r="B4913" s="2" t="s">
        <v>23</v>
      </c>
      <c r="C4913" s="2" t="s">
        <v>15</v>
      </c>
      <c r="D4913">
        <v>43</v>
      </c>
      <c r="E4913" s="2" t="s">
        <v>28</v>
      </c>
      <c r="F4913" s="2" t="s">
        <v>17</v>
      </c>
      <c r="G4913">
        <v>66471</v>
      </c>
      <c r="H4913" s="1">
        <v>44819</v>
      </c>
      <c r="I4913">
        <v>17</v>
      </c>
      <c r="J4913">
        <v>4</v>
      </c>
      <c r="K4913">
        <v>6647</v>
      </c>
      <c r="L4913">
        <v>3324</v>
      </c>
      <c r="M4913">
        <v>69794</v>
      </c>
      <c r="N4913">
        <v>3324</v>
      </c>
      <c r="O4913">
        <v>76442</v>
      </c>
    </row>
    <row r="4914" spans="1:15" x14ac:dyDescent="0.35">
      <c r="A4914">
        <v>4913</v>
      </c>
      <c r="B4914" s="2" t="s">
        <v>27</v>
      </c>
      <c r="C4914" s="2" t="s">
        <v>11</v>
      </c>
      <c r="D4914">
        <v>53</v>
      </c>
      <c r="E4914" s="2" t="s">
        <v>12</v>
      </c>
      <c r="F4914" s="2" t="s">
        <v>25</v>
      </c>
      <c r="G4914">
        <v>86528</v>
      </c>
      <c r="H4914" s="1">
        <v>45553</v>
      </c>
      <c r="I4914">
        <v>13</v>
      </c>
      <c r="J4914">
        <v>2</v>
      </c>
      <c r="K4914">
        <v>8653</v>
      </c>
      <c r="L4914">
        <v>4326</v>
      </c>
      <c r="M4914">
        <v>90855</v>
      </c>
      <c r="N4914">
        <v>4326</v>
      </c>
      <c r="O4914">
        <v>99507</v>
      </c>
    </row>
    <row r="4915" spans="1:15" x14ac:dyDescent="0.35">
      <c r="A4915">
        <v>4914</v>
      </c>
      <c r="B4915" s="2" t="s">
        <v>20</v>
      </c>
      <c r="C4915" s="2" t="s">
        <v>11</v>
      </c>
      <c r="D4915">
        <v>22</v>
      </c>
      <c r="E4915" s="2" t="s">
        <v>16</v>
      </c>
      <c r="F4915" s="2" t="s">
        <v>25</v>
      </c>
      <c r="G4915">
        <v>80292</v>
      </c>
      <c r="H4915" s="1">
        <v>44895</v>
      </c>
      <c r="I4915">
        <v>19</v>
      </c>
      <c r="J4915">
        <v>3</v>
      </c>
      <c r="K4915">
        <v>8029</v>
      </c>
      <c r="L4915">
        <v>4015</v>
      </c>
      <c r="M4915">
        <v>84306</v>
      </c>
      <c r="N4915">
        <v>4015</v>
      </c>
      <c r="O4915">
        <v>92336</v>
      </c>
    </row>
    <row r="4916" spans="1:15" x14ac:dyDescent="0.35">
      <c r="A4916">
        <v>4915</v>
      </c>
      <c r="B4916" s="2" t="s">
        <v>30</v>
      </c>
      <c r="C4916" s="2" t="s">
        <v>15</v>
      </c>
      <c r="D4916">
        <v>53</v>
      </c>
      <c r="E4916" s="2" t="s">
        <v>12</v>
      </c>
      <c r="F4916" s="2" t="s">
        <v>17</v>
      </c>
      <c r="G4916">
        <v>75516</v>
      </c>
      <c r="H4916" s="1">
        <v>45452</v>
      </c>
      <c r="I4916">
        <v>9</v>
      </c>
      <c r="J4916">
        <v>1</v>
      </c>
      <c r="K4916">
        <v>7552</v>
      </c>
      <c r="L4916">
        <v>3776</v>
      </c>
      <c r="M4916">
        <v>79292</v>
      </c>
      <c r="N4916">
        <v>3776</v>
      </c>
      <c r="O4916">
        <v>86844</v>
      </c>
    </row>
    <row r="4917" spans="1:15" x14ac:dyDescent="0.35">
      <c r="A4917">
        <v>4916</v>
      </c>
      <c r="B4917" s="2" t="s">
        <v>31</v>
      </c>
      <c r="C4917" s="2" t="s">
        <v>11</v>
      </c>
      <c r="D4917">
        <v>26</v>
      </c>
      <c r="E4917" s="2" t="s">
        <v>29</v>
      </c>
      <c r="F4917" s="2" t="s">
        <v>19</v>
      </c>
      <c r="G4917">
        <v>59103</v>
      </c>
      <c r="H4917" s="1">
        <v>45504</v>
      </c>
      <c r="I4917">
        <v>2</v>
      </c>
      <c r="J4917">
        <v>5</v>
      </c>
      <c r="K4917">
        <v>5910</v>
      </c>
      <c r="L4917">
        <v>2955</v>
      </c>
      <c r="M4917">
        <v>62058</v>
      </c>
      <c r="N4917">
        <v>0</v>
      </c>
      <c r="O4917">
        <v>65013</v>
      </c>
    </row>
    <row r="4918" spans="1:15" x14ac:dyDescent="0.35">
      <c r="A4918">
        <v>4917</v>
      </c>
      <c r="B4918" s="2" t="s">
        <v>22</v>
      </c>
      <c r="C4918" s="2" t="s">
        <v>11</v>
      </c>
      <c r="D4918">
        <v>22</v>
      </c>
      <c r="E4918" s="2" t="s">
        <v>24</v>
      </c>
      <c r="F4918" s="2" t="s">
        <v>25</v>
      </c>
      <c r="G4918">
        <v>96293</v>
      </c>
      <c r="H4918" s="1">
        <v>45099</v>
      </c>
      <c r="I4918">
        <v>4</v>
      </c>
      <c r="J4918">
        <v>3</v>
      </c>
      <c r="K4918">
        <v>9629</v>
      </c>
      <c r="L4918">
        <v>4815</v>
      </c>
      <c r="M4918">
        <v>101107</v>
      </c>
      <c r="N4918">
        <v>0</v>
      </c>
      <c r="O4918">
        <v>105922</v>
      </c>
    </row>
    <row r="4919" spans="1:15" x14ac:dyDescent="0.35">
      <c r="A4919">
        <v>4918</v>
      </c>
      <c r="B4919" s="2" t="s">
        <v>18</v>
      </c>
      <c r="C4919" s="2" t="s">
        <v>11</v>
      </c>
      <c r="D4919">
        <v>23</v>
      </c>
      <c r="E4919" s="2" t="s">
        <v>12</v>
      </c>
      <c r="F4919" s="2" t="s">
        <v>21</v>
      </c>
      <c r="G4919">
        <v>70269</v>
      </c>
      <c r="H4919" s="1">
        <v>45077</v>
      </c>
      <c r="I4919">
        <v>8</v>
      </c>
      <c r="J4919">
        <v>3</v>
      </c>
      <c r="K4919">
        <v>7027</v>
      </c>
      <c r="L4919">
        <v>3513</v>
      </c>
      <c r="M4919">
        <v>73783</v>
      </c>
      <c r="N4919">
        <v>3513</v>
      </c>
      <c r="O4919">
        <v>80809</v>
      </c>
    </row>
    <row r="4920" spans="1:15" x14ac:dyDescent="0.35">
      <c r="A4920">
        <v>4919</v>
      </c>
      <c r="B4920" s="2" t="s">
        <v>14</v>
      </c>
      <c r="C4920" s="2" t="s">
        <v>15</v>
      </c>
      <c r="D4920">
        <v>34</v>
      </c>
      <c r="E4920" s="2" t="s">
        <v>29</v>
      </c>
      <c r="F4920" s="2" t="s">
        <v>21</v>
      </c>
      <c r="G4920">
        <v>99175</v>
      </c>
      <c r="H4920" s="1">
        <v>44951</v>
      </c>
      <c r="I4920">
        <v>2</v>
      </c>
      <c r="J4920">
        <v>5</v>
      </c>
      <c r="K4920">
        <v>9918</v>
      </c>
      <c r="L4920">
        <v>4959</v>
      </c>
      <c r="M4920">
        <v>104134</v>
      </c>
      <c r="N4920">
        <v>0</v>
      </c>
      <c r="O4920">
        <v>109093</v>
      </c>
    </row>
    <row r="4921" spans="1:15" x14ac:dyDescent="0.35">
      <c r="A4921">
        <v>4920</v>
      </c>
      <c r="B4921" s="2" t="s">
        <v>31</v>
      </c>
      <c r="C4921" s="2" t="s">
        <v>15</v>
      </c>
      <c r="D4921">
        <v>37</v>
      </c>
      <c r="E4921" s="2" t="s">
        <v>12</v>
      </c>
      <c r="F4921" s="2" t="s">
        <v>21</v>
      </c>
      <c r="G4921">
        <v>27156</v>
      </c>
      <c r="H4921" s="1">
        <v>45187</v>
      </c>
      <c r="I4921">
        <v>12</v>
      </c>
      <c r="J4921">
        <v>4</v>
      </c>
      <c r="K4921">
        <v>2716</v>
      </c>
      <c r="L4921">
        <v>1358</v>
      </c>
      <c r="M4921">
        <v>28514</v>
      </c>
      <c r="N4921">
        <v>1358</v>
      </c>
      <c r="O4921">
        <v>31230</v>
      </c>
    </row>
    <row r="4922" spans="1:15" x14ac:dyDescent="0.35">
      <c r="A4922">
        <v>4921</v>
      </c>
      <c r="B4922" s="2" t="s">
        <v>23</v>
      </c>
      <c r="C4922" s="2" t="s">
        <v>11</v>
      </c>
      <c r="D4922">
        <v>46</v>
      </c>
      <c r="E4922" s="2" t="s">
        <v>28</v>
      </c>
      <c r="F4922" s="2" t="s">
        <v>19</v>
      </c>
      <c r="G4922">
        <v>47347</v>
      </c>
      <c r="H4922" s="1">
        <v>45433</v>
      </c>
      <c r="I4922">
        <v>11</v>
      </c>
      <c r="J4922">
        <v>5</v>
      </c>
      <c r="K4922">
        <v>4735</v>
      </c>
      <c r="L4922">
        <v>2367</v>
      </c>
      <c r="M4922">
        <v>49715</v>
      </c>
      <c r="N4922">
        <v>2367</v>
      </c>
      <c r="O4922">
        <v>54449</v>
      </c>
    </row>
    <row r="4923" spans="1:15" x14ac:dyDescent="0.35">
      <c r="A4923">
        <v>4922</v>
      </c>
      <c r="B4923" s="2" t="s">
        <v>31</v>
      </c>
      <c r="C4923" s="2" t="s">
        <v>11</v>
      </c>
      <c r="D4923">
        <v>44</v>
      </c>
      <c r="E4923" s="2" t="s">
        <v>29</v>
      </c>
      <c r="F4923" s="2" t="s">
        <v>13</v>
      </c>
      <c r="G4923">
        <v>56983</v>
      </c>
      <c r="H4923" s="1">
        <v>44655</v>
      </c>
      <c r="I4923">
        <v>11</v>
      </c>
      <c r="J4923">
        <v>5</v>
      </c>
      <c r="K4923">
        <v>5698</v>
      </c>
      <c r="L4923">
        <v>2849</v>
      </c>
      <c r="M4923">
        <v>59832</v>
      </c>
      <c r="N4923">
        <v>2849</v>
      </c>
      <c r="O4923">
        <v>65530</v>
      </c>
    </row>
    <row r="4924" spans="1:15" x14ac:dyDescent="0.35">
      <c r="A4924">
        <v>4923</v>
      </c>
      <c r="B4924" s="2" t="s">
        <v>23</v>
      </c>
      <c r="C4924" s="2" t="s">
        <v>15</v>
      </c>
      <c r="D4924">
        <v>44</v>
      </c>
      <c r="E4924" s="2" t="s">
        <v>28</v>
      </c>
      <c r="F4924" s="2" t="s">
        <v>19</v>
      </c>
      <c r="G4924">
        <v>22508</v>
      </c>
      <c r="H4924" s="1">
        <v>45354</v>
      </c>
      <c r="I4924">
        <v>8</v>
      </c>
      <c r="J4924">
        <v>4</v>
      </c>
      <c r="K4924">
        <v>2251</v>
      </c>
      <c r="L4924">
        <v>1125</v>
      </c>
      <c r="M4924">
        <v>23634</v>
      </c>
      <c r="N4924">
        <v>1125</v>
      </c>
      <c r="O4924">
        <v>25884</v>
      </c>
    </row>
    <row r="4925" spans="1:15" x14ac:dyDescent="0.35">
      <c r="A4925">
        <v>4924</v>
      </c>
      <c r="B4925" s="2" t="s">
        <v>31</v>
      </c>
      <c r="C4925" s="2" t="s">
        <v>15</v>
      </c>
      <c r="D4925">
        <v>48</v>
      </c>
      <c r="E4925" s="2" t="s">
        <v>16</v>
      </c>
      <c r="F4925" s="2" t="s">
        <v>21</v>
      </c>
      <c r="G4925">
        <v>82927</v>
      </c>
      <c r="H4925" s="1">
        <v>44788</v>
      </c>
      <c r="I4925">
        <v>9</v>
      </c>
      <c r="J4925">
        <v>1</v>
      </c>
      <c r="K4925">
        <v>8293</v>
      </c>
      <c r="L4925">
        <v>4146</v>
      </c>
      <c r="M4925">
        <v>87074</v>
      </c>
      <c r="N4925">
        <v>4146</v>
      </c>
      <c r="O4925">
        <v>95366</v>
      </c>
    </row>
    <row r="4926" spans="1:15" x14ac:dyDescent="0.35">
      <c r="A4926">
        <v>4925</v>
      </c>
      <c r="B4926" s="2" t="s">
        <v>14</v>
      </c>
      <c r="C4926" s="2" t="s">
        <v>15</v>
      </c>
      <c r="D4926">
        <v>25</v>
      </c>
      <c r="E4926" s="2" t="s">
        <v>28</v>
      </c>
      <c r="F4926" s="2" t="s">
        <v>13</v>
      </c>
      <c r="G4926">
        <v>45098</v>
      </c>
      <c r="H4926" s="1">
        <v>44884</v>
      </c>
      <c r="I4926">
        <v>18</v>
      </c>
      <c r="J4926">
        <v>2</v>
      </c>
      <c r="K4926">
        <v>4510</v>
      </c>
      <c r="L4926">
        <v>2255</v>
      </c>
      <c r="M4926">
        <v>47353</v>
      </c>
      <c r="N4926">
        <v>2255</v>
      </c>
      <c r="O4926">
        <v>51863</v>
      </c>
    </row>
    <row r="4927" spans="1:15" x14ac:dyDescent="0.35">
      <c r="A4927">
        <v>4926</v>
      </c>
      <c r="B4927" s="2" t="s">
        <v>26</v>
      </c>
      <c r="C4927" s="2" t="s">
        <v>15</v>
      </c>
      <c r="D4927">
        <v>39</v>
      </c>
      <c r="E4927" s="2" t="s">
        <v>16</v>
      </c>
      <c r="F4927" s="2" t="s">
        <v>25</v>
      </c>
      <c r="G4927">
        <v>97606</v>
      </c>
      <c r="H4927" s="1">
        <v>44922</v>
      </c>
      <c r="I4927">
        <v>15</v>
      </c>
      <c r="J4927">
        <v>2</v>
      </c>
      <c r="K4927">
        <v>9761</v>
      </c>
      <c r="L4927">
        <v>4880</v>
      </c>
      <c r="M4927">
        <v>102487</v>
      </c>
      <c r="N4927">
        <v>4880</v>
      </c>
      <c r="O4927">
        <v>112247</v>
      </c>
    </row>
    <row r="4928" spans="1:15" x14ac:dyDescent="0.35">
      <c r="A4928">
        <v>4927</v>
      </c>
      <c r="B4928" s="2" t="s">
        <v>31</v>
      </c>
      <c r="C4928" s="2" t="s">
        <v>11</v>
      </c>
      <c r="D4928">
        <v>53</v>
      </c>
      <c r="E4928" s="2" t="s">
        <v>12</v>
      </c>
      <c r="F4928" s="2" t="s">
        <v>17</v>
      </c>
      <c r="G4928">
        <v>21784</v>
      </c>
      <c r="H4928" s="1">
        <v>45217</v>
      </c>
      <c r="I4928">
        <v>4</v>
      </c>
      <c r="J4928">
        <v>2</v>
      </c>
      <c r="K4928">
        <v>2178</v>
      </c>
      <c r="L4928">
        <v>1089</v>
      </c>
      <c r="M4928">
        <v>22873</v>
      </c>
      <c r="N4928">
        <v>0</v>
      </c>
      <c r="O4928">
        <v>23962</v>
      </c>
    </row>
    <row r="4929" spans="1:15" x14ac:dyDescent="0.35">
      <c r="A4929">
        <v>4928</v>
      </c>
      <c r="B4929" s="2" t="s">
        <v>14</v>
      </c>
      <c r="C4929" s="2" t="s">
        <v>15</v>
      </c>
      <c r="D4929">
        <v>32</v>
      </c>
      <c r="E4929" s="2" t="s">
        <v>24</v>
      </c>
      <c r="F4929" s="2" t="s">
        <v>13</v>
      </c>
      <c r="G4929">
        <v>62591</v>
      </c>
      <c r="H4929" s="1">
        <v>44580</v>
      </c>
      <c r="I4929">
        <v>14</v>
      </c>
      <c r="J4929">
        <v>1</v>
      </c>
      <c r="K4929">
        <v>6259</v>
      </c>
      <c r="L4929">
        <v>3130</v>
      </c>
      <c r="M4929">
        <v>65720</v>
      </c>
      <c r="N4929">
        <v>3130</v>
      </c>
      <c r="O4929">
        <v>71980</v>
      </c>
    </row>
    <row r="4930" spans="1:15" x14ac:dyDescent="0.35">
      <c r="A4930">
        <v>4929</v>
      </c>
      <c r="B4930" s="2" t="s">
        <v>10</v>
      </c>
      <c r="C4930" s="2" t="s">
        <v>15</v>
      </c>
      <c r="D4930">
        <v>31</v>
      </c>
      <c r="E4930" s="2" t="s">
        <v>24</v>
      </c>
      <c r="F4930" s="2" t="s">
        <v>13</v>
      </c>
      <c r="G4930">
        <v>62896</v>
      </c>
      <c r="H4930" s="1">
        <v>45373</v>
      </c>
      <c r="I4930">
        <v>18</v>
      </c>
      <c r="J4930">
        <v>4</v>
      </c>
      <c r="K4930">
        <v>6290</v>
      </c>
      <c r="L4930">
        <v>3145</v>
      </c>
      <c r="M4930">
        <v>66041</v>
      </c>
      <c r="N4930">
        <v>3145</v>
      </c>
      <c r="O4930">
        <v>72331</v>
      </c>
    </row>
    <row r="4931" spans="1:15" x14ac:dyDescent="0.35">
      <c r="A4931">
        <v>4930</v>
      </c>
      <c r="B4931" s="2" t="s">
        <v>31</v>
      </c>
      <c r="C4931" s="2" t="s">
        <v>11</v>
      </c>
      <c r="D4931">
        <v>47</v>
      </c>
      <c r="E4931" s="2" t="s">
        <v>29</v>
      </c>
      <c r="F4931" s="2" t="s">
        <v>19</v>
      </c>
      <c r="G4931">
        <v>73176</v>
      </c>
      <c r="H4931" s="1">
        <v>45274</v>
      </c>
      <c r="I4931">
        <v>7</v>
      </c>
      <c r="J4931">
        <v>1</v>
      </c>
      <c r="K4931">
        <v>7318</v>
      </c>
      <c r="L4931">
        <v>3659</v>
      </c>
      <c r="M4931">
        <v>76835</v>
      </c>
      <c r="N4931">
        <v>3659</v>
      </c>
      <c r="O4931">
        <v>84153</v>
      </c>
    </row>
    <row r="4932" spans="1:15" x14ac:dyDescent="0.35">
      <c r="A4932">
        <v>4931</v>
      </c>
      <c r="B4932" s="2" t="s">
        <v>27</v>
      </c>
      <c r="C4932" s="2" t="s">
        <v>15</v>
      </c>
      <c r="D4932">
        <v>29</v>
      </c>
      <c r="E4932" s="2" t="s">
        <v>24</v>
      </c>
      <c r="F4932" s="2" t="s">
        <v>21</v>
      </c>
      <c r="G4932">
        <v>64987</v>
      </c>
      <c r="H4932" s="1">
        <v>45527</v>
      </c>
      <c r="I4932">
        <v>18</v>
      </c>
      <c r="J4932">
        <v>4</v>
      </c>
      <c r="K4932">
        <v>6499</v>
      </c>
      <c r="L4932">
        <v>3249</v>
      </c>
      <c r="M4932">
        <v>68237</v>
      </c>
      <c r="N4932">
        <v>3249</v>
      </c>
      <c r="O4932">
        <v>74735</v>
      </c>
    </row>
    <row r="4933" spans="1:15" x14ac:dyDescent="0.35">
      <c r="A4933">
        <v>4932</v>
      </c>
      <c r="B4933" s="2" t="s">
        <v>18</v>
      </c>
      <c r="C4933" s="2" t="s">
        <v>11</v>
      </c>
      <c r="D4933">
        <v>25</v>
      </c>
      <c r="E4933" s="2" t="s">
        <v>16</v>
      </c>
      <c r="F4933" s="2" t="s">
        <v>25</v>
      </c>
      <c r="G4933">
        <v>37877</v>
      </c>
      <c r="H4933" s="1">
        <v>44591</v>
      </c>
      <c r="I4933">
        <v>12</v>
      </c>
      <c r="J4933">
        <v>4</v>
      </c>
      <c r="K4933">
        <v>3788</v>
      </c>
      <c r="L4933">
        <v>1894</v>
      </c>
      <c r="M4933">
        <v>39771</v>
      </c>
      <c r="N4933">
        <v>1894</v>
      </c>
      <c r="O4933">
        <v>43559</v>
      </c>
    </row>
    <row r="4934" spans="1:15" x14ac:dyDescent="0.35">
      <c r="A4934">
        <v>4933</v>
      </c>
      <c r="B4934" s="2" t="s">
        <v>18</v>
      </c>
      <c r="C4934" s="2" t="s">
        <v>15</v>
      </c>
      <c r="D4934">
        <v>27</v>
      </c>
      <c r="E4934" s="2" t="s">
        <v>16</v>
      </c>
      <c r="F4934" s="2" t="s">
        <v>17</v>
      </c>
      <c r="G4934">
        <v>93503</v>
      </c>
      <c r="H4934" s="1">
        <v>45216</v>
      </c>
      <c r="I4934">
        <v>1</v>
      </c>
      <c r="J4934">
        <v>1</v>
      </c>
      <c r="K4934">
        <v>9350</v>
      </c>
      <c r="L4934">
        <v>4675</v>
      </c>
      <c r="M4934">
        <v>98178</v>
      </c>
      <c r="N4934">
        <v>0</v>
      </c>
      <c r="O4934">
        <v>102853</v>
      </c>
    </row>
    <row r="4935" spans="1:15" x14ac:dyDescent="0.35">
      <c r="A4935">
        <v>4934</v>
      </c>
      <c r="B4935" s="2" t="s">
        <v>26</v>
      </c>
      <c r="C4935" s="2" t="s">
        <v>15</v>
      </c>
      <c r="D4935">
        <v>23</v>
      </c>
      <c r="E4935" s="2" t="s">
        <v>16</v>
      </c>
      <c r="F4935" s="2" t="s">
        <v>13</v>
      </c>
      <c r="G4935">
        <v>92505</v>
      </c>
      <c r="H4935" s="1">
        <v>44827</v>
      </c>
      <c r="I4935">
        <v>11</v>
      </c>
      <c r="J4935">
        <v>3</v>
      </c>
      <c r="K4935">
        <v>9250</v>
      </c>
      <c r="L4935">
        <v>4625</v>
      </c>
      <c r="M4935">
        <v>97130</v>
      </c>
      <c r="N4935">
        <v>4625</v>
      </c>
      <c r="O4935">
        <v>106380</v>
      </c>
    </row>
    <row r="4936" spans="1:15" x14ac:dyDescent="0.35">
      <c r="A4936">
        <v>4935</v>
      </c>
      <c r="B4936" s="2" t="s">
        <v>22</v>
      </c>
      <c r="C4936" s="2" t="s">
        <v>11</v>
      </c>
      <c r="D4936">
        <v>42</v>
      </c>
      <c r="E4936" s="2" t="s">
        <v>12</v>
      </c>
      <c r="F4936" s="2" t="s">
        <v>13</v>
      </c>
      <c r="G4936">
        <v>74118</v>
      </c>
      <c r="H4936" s="1">
        <v>44863</v>
      </c>
      <c r="I4936">
        <v>2</v>
      </c>
      <c r="J4936">
        <v>2</v>
      </c>
      <c r="K4936">
        <v>7412</v>
      </c>
      <c r="L4936">
        <v>3706</v>
      </c>
      <c r="M4936">
        <v>77824</v>
      </c>
      <c r="N4936">
        <v>0</v>
      </c>
      <c r="O4936">
        <v>81530</v>
      </c>
    </row>
    <row r="4937" spans="1:15" x14ac:dyDescent="0.35">
      <c r="A4937">
        <v>4936</v>
      </c>
      <c r="B4937" s="2" t="s">
        <v>27</v>
      </c>
      <c r="C4937" s="2" t="s">
        <v>15</v>
      </c>
      <c r="D4937">
        <v>38</v>
      </c>
      <c r="E4937" s="2" t="s">
        <v>24</v>
      </c>
      <c r="F4937" s="2" t="s">
        <v>17</v>
      </c>
      <c r="G4937">
        <v>49625</v>
      </c>
      <c r="H4937" s="1">
        <v>45124</v>
      </c>
      <c r="I4937">
        <v>11</v>
      </c>
      <c r="J4937">
        <v>2</v>
      </c>
      <c r="K4937">
        <v>4962</v>
      </c>
      <c r="L4937">
        <v>2481</v>
      </c>
      <c r="M4937">
        <v>52106</v>
      </c>
      <c r="N4937">
        <v>2481</v>
      </c>
      <c r="O4937">
        <v>57068</v>
      </c>
    </row>
    <row r="4938" spans="1:15" x14ac:dyDescent="0.35">
      <c r="A4938">
        <v>4937</v>
      </c>
      <c r="B4938" s="2" t="s">
        <v>26</v>
      </c>
      <c r="C4938" s="2" t="s">
        <v>11</v>
      </c>
      <c r="D4938">
        <v>58</v>
      </c>
      <c r="E4938" s="2" t="s">
        <v>12</v>
      </c>
      <c r="F4938" s="2" t="s">
        <v>17</v>
      </c>
      <c r="G4938">
        <v>93943</v>
      </c>
      <c r="H4938" s="1">
        <v>45447</v>
      </c>
      <c r="I4938">
        <v>9</v>
      </c>
      <c r="J4938">
        <v>2</v>
      </c>
      <c r="K4938">
        <v>9394</v>
      </c>
      <c r="L4938">
        <v>4697</v>
      </c>
      <c r="M4938">
        <v>98640</v>
      </c>
      <c r="N4938">
        <v>4697</v>
      </c>
      <c r="O4938">
        <v>108034</v>
      </c>
    </row>
    <row r="4939" spans="1:15" x14ac:dyDescent="0.35">
      <c r="A4939">
        <v>4938</v>
      </c>
      <c r="B4939" s="2" t="s">
        <v>23</v>
      </c>
      <c r="C4939" s="2" t="s">
        <v>11</v>
      </c>
      <c r="D4939">
        <v>37</v>
      </c>
      <c r="E4939" s="2" t="s">
        <v>28</v>
      </c>
      <c r="F4939" s="2" t="s">
        <v>13</v>
      </c>
      <c r="G4939">
        <v>56413</v>
      </c>
      <c r="H4939" s="1">
        <v>45523</v>
      </c>
      <c r="I4939">
        <v>18</v>
      </c>
      <c r="J4939">
        <v>3</v>
      </c>
      <c r="K4939">
        <v>5641</v>
      </c>
      <c r="L4939">
        <v>2821</v>
      </c>
      <c r="M4939">
        <v>59233</v>
      </c>
      <c r="N4939">
        <v>2821</v>
      </c>
      <c r="O4939">
        <v>64875</v>
      </c>
    </row>
    <row r="4940" spans="1:15" x14ac:dyDescent="0.35">
      <c r="A4940">
        <v>4939</v>
      </c>
      <c r="B4940" s="2" t="s">
        <v>22</v>
      </c>
      <c r="C4940" s="2" t="s">
        <v>11</v>
      </c>
      <c r="D4940">
        <v>30</v>
      </c>
      <c r="E4940" s="2" t="s">
        <v>29</v>
      </c>
      <c r="F4940" s="2" t="s">
        <v>21</v>
      </c>
      <c r="G4940">
        <v>62027</v>
      </c>
      <c r="H4940" s="1">
        <v>44688</v>
      </c>
      <c r="I4940">
        <v>17</v>
      </c>
      <c r="J4940">
        <v>3</v>
      </c>
      <c r="K4940">
        <v>6203</v>
      </c>
      <c r="L4940">
        <v>3101</v>
      </c>
      <c r="M4940">
        <v>65129</v>
      </c>
      <c r="N4940">
        <v>3101</v>
      </c>
      <c r="O4940">
        <v>71331</v>
      </c>
    </row>
    <row r="4941" spans="1:15" x14ac:dyDescent="0.35">
      <c r="A4941">
        <v>4940</v>
      </c>
      <c r="B4941" s="2" t="s">
        <v>10</v>
      </c>
      <c r="C4941" s="2" t="s">
        <v>15</v>
      </c>
      <c r="D4941">
        <v>53</v>
      </c>
      <c r="E4941" s="2" t="s">
        <v>12</v>
      </c>
      <c r="F4941" s="2" t="s">
        <v>13</v>
      </c>
      <c r="G4941">
        <v>72314</v>
      </c>
      <c r="H4941" s="1">
        <v>44866</v>
      </c>
      <c r="I4941">
        <v>18</v>
      </c>
      <c r="J4941">
        <v>4</v>
      </c>
      <c r="K4941">
        <v>7231</v>
      </c>
      <c r="L4941">
        <v>3616</v>
      </c>
      <c r="M4941">
        <v>75929</v>
      </c>
      <c r="N4941">
        <v>3616</v>
      </c>
      <c r="O4941">
        <v>83161</v>
      </c>
    </row>
    <row r="4942" spans="1:15" x14ac:dyDescent="0.35">
      <c r="A4942">
        <v>4941</v>
      </c>
      <c r="B4942" s="2" t="s">
        <v>14</v>
      </c>
      <c r="C4942" s="2" t="s">
        <v>11</v>
      </c>
      <c r="D4942">
        <v>52</v>
      </c>
      <c r="E4942" s="2" t="s">
        <v>29</v>
      </c>
      <c r="F4942" s="2" t="s">
        <v>13</v>
      </c>
      <c r="G4942">
        <v>46753</v>
      </c>
      <c r="H4942" s="1">
        <v>44678</v>
      </c>
      <c r="I4942">
        <v>16</v>
      </c>
      <c r="J4942">
        <v>5</v>
      </c>
      <c r="K4942">
        <v>4675</v>
      </c>
      <c r="L4942">
        <v>2338</v>
      </c>
      <c r="M4942">
        <v>49090</v>
      </c>
      <c r="N4942">
        <v>2338</v>
      </c>
      <c r="O4942">
        <v>53766</v>
      </c>
    </row>
    <row r="4943" spans="1:15" x14ac:dyDescent="0.35">
      <c r="A4943">
        <v>4942</v>
      </c>
      <c r="B4943" s="2" t="s">
        <v>23</v>
      </c>
      <c r="C4943" s="2" t="s">
        <v>11</v>
      </c>
      <c r="D4943">
        <v>54</v>
      </c>
      <c r="E4943" s="2" t="s">
        <v>28</v>
      </c>
      <c r="F4943" s="2" t="s">
        <v>17</v>
      </c>
      <c r="G4943">
        <v>24780</v>
      </c>
      <c r="H4943" s="1">
        <v>44874</v>
      </c>
      <c r="I4943">
        <v>6</v>
      </c>
      <c r="J4943">
        <v>2</v>
      </c>
      <c r="K4943">
        <v>2478</v>
      </c>
      <c r="L4943">
        <v>1239</v>
      </c>
      <c r="M4943">
        <v>26019</v>
      </c>
      <c r="N4943">
        <v>1239</v>
      </c>
      <c r="O4943">
        <v>28497</v>
      </c>
    </row>
    <row r="4944" spans="1:15" x14ac:dyDescent="0.35">
      <c r="A4944">
        <v>4943</v>
      </c>
      <c r="B4944" s="2" t="s">
        <v>30</v>
      </c>
      <c r="C4944" s="2" t="s">
        <v>11</v>
      </c>
      <c r="D4944">
        <v>49</v>
      </c>
      <c r="E4944" s="2" t="s">
        <v>29</v>
      </c>
      <c r="F4944" s="2" t="s">
        <v>21</v>
      </c>
      <c r="G4944">
        <v>74461</v>
      </c>
      <c r="H4944" s="1">
        <v>45444</v>
      </c>
      <c r="I4944">
        <v>16</v>
      </c>
      <c r="J4944">
        <v>4</v>
      </c>
      <c r="K4944">
        <v>7446</v>
      </c>
      <c r="L4944">
        <v>3723</v>
      </c>
      <c r="M4944">
        <v>78184</v>
      </c>
      <c r="N4944">
        <v>3723</v>
      </c>
      <c r="O4944">
        <v>85630</v>
      </c>
    </row>
    <row r="4945" spans="1:15" x14ac:dyDescent="0.35">
      <c r="A4945">
        <v>4944</v>
      </c>
      <c r="B4945" s="2" t="s">
        <v>26</v>
      </c>
      <c r="C4945" s="2" t="s">
        <v>11</v>
      </c>
      <c r="D4945">
        <v>49</v>
      </c>
      <c r="E4945" s="2" t="s">
        <v>12</v>
      </c>
      <c r="F4945" s="2" t="s">
        <v>13</v>
      </c>
      <c r="G4945">
        <v>82550</v>
      </c>
      <c r="H4945" s="1">
        <v>45352</v>
      </c>
      <c r="I4945">
        <v>16</v>
      </c>
      <c r="J4945">
        <v>3</v>
      </c>
      <c r="K4945">
        <v>8255</v>
      </c>
      <c r="L4945">
        <v>4128</v>
      </c>
      <c r="M4945">
        <v>86677</v>
      </c>
      <c r="N4945">
        <v>4128</v>
      </c>
      <c r="O4945">
        <v>94933</v>
      </c>
    </row>
    <row r="4946" spans="1:15" x14ac:dyDescent="0.35">
      <c r="A4946">
        <v>4945</v>
      </c>
      <c r="B4946" s="2" t="s">
        <v>22</v>
      </c>
      <c r="C4946" s="2" t="s">
        <v>11</v>
      </c>
      <c r="D4946">
        <v>38</v>
      </c>
      <c r="E4946" s="2" t="s">
        <v>12</v>
      </c>
      <c r="F4946" s="2" t="s">
        <v>25</v>
      </c>
      <c r="G4946">
        <v>68444</v>
      </c>
      <c r="H4946" s="1">
        <v>44963</v>
      </c>
      <c r="I4946">
        <v>14</v>
      </c>
      <c r="J4946">
        <v>2</v>
      </c>
      <c r="K4946">
        <v>6844</v>
      </c>
      <c r="L4946">
        <v>3422</v>
      </c>
      <c r="M4946">
        <v>71866</v>
      </c>
      <c r="N4946">
        <v>3422</v>
      </c>
      <c r="O4946">
        <v>78710</v>
      </c>
    </row>
    <row r="4947" spans="1:15" x14ac:dyDescent="0.35">
      <c r="A4947">
        <v>4946</v>
      </c>
      <c r="B4947" s="2" t="s">
        <v>20</v>
      </c>
      <c r="C4947" s="2" t="s">
        <v>15</v>
      </c>
      <c r="D4947">
        <v>54</v>
      </c>
      <c r="E4947" s="2" t="s">
        <v>24</v>
      </c>
      <c r="F4947" s="2" t="s">
        <v>17</v>
      </c>
      <c r="G4947">
        <v>56958</v>
      </c>
      <c r="H4947" s="1">
        <v>45486</v>
      </c>
      <c r="I4947">
        <v>10</v>
      </c>
      <c r="J4947">
        <v>1</v>
      </c>
      <c r="K4947">
        <v>5696</v>
      </c>
      <c r="L4947">
        <v>2848</v>
      </c>
      <c r="M4947">
        <v>59806</v>
      </c>
      <c r="N4947">
        <v>2848</v>
      </c>
      <c r="O4947">
        <v>65502</v>
      </c>
    </row>
    <row r="4948" spans="1:15" x14ac:dyDescent="0.35">
      <c r="A4948">
        <v>4947</v>
      </c>
      <c r="B4948" s="2" t="s">
        <v>23</v>
      </c>
      <c r="C4948" s="2" t="s">
        <v>15</v>
      </c>
      <c r="D4948">
        <v>22</v>
      </c>
      <c r="E4948" s="2" t="s">
        <v>29</v>
      </c>
      <c r="F4948" s="2" t="s">
        <v>17</v>
      </c>
      <c r="G4948">
        <v>98788</v>
      </c>
      <c r="H4948" s="1">
        <v>45034</v>
      </c>
      <c r="I4948">
        <v>9</v>
      </c>
      <c r="J4948">
        <v>5</v>
      </c>
      <c r="K4948">
        <v>9879</v>
      </c>
      <c r="L4948">
        <v>4939</v>
      </c>
      <c r="M4948">
        <v>103728</v>
      </c>
      <c r="N4948">
        <v>4939</v>
      </c>
      <c r="O4948">
        <v>113606</v>
      </c>
    </row>
    <row r="4949" spans="1:15" x14ac:dyDescent="0.35">
      <c r="A4949">
        <v>4948</v>
      </c>
      <c r="B4949" s="2" t="s">
        <v>20</v>
      </c>
      <c r="C4949" s="2" t="s">
        <v>11</v>
      </c>
      <c r="D4949">
        <v>33</v>
      </c>
      <c r="E4949" s="2" t="s">
        <v>12</v>
      </c>
      <c r="F4949" s="2" t="s">
        <v>19</v>
      </c>
      <c r="G4949">
        <v>67955</v>
      </c>
      <c r="H4949" s="1">
        <v>44934</v>
      </c>
      <c r="I4949">
        <v>7</v>
      </c>
      <c r="J4949">
        <v>2</v>
      </c>
      <c r="K4949">
        <v>6796</v>
      </c>
      <c r="L4949">
        <v>3398</v>
      </c>
      <c r="M4949">
        <v>71353</v>
      </c>
      <c r="N4949">
        <v>3398</v>
      </c>
      <c r="O4949">
        <v>78149</v>
      </c>
    </row>
    <row r="4950" spans="1:15" x14ac:dyDescent="0.35">
      <c r="A4950">
        <v>4949</v>
      </c>
      <c r="B4950" s="2" t="s">
        <v>10</v>
      </c>
      <c r="C4950" s="2" t="s">
        <v>11</v>
      </c>
      <c r="D4950">
        <v>32</v>
      </c>
      <c r="E4950" s="2" t="s">
        <v>16</v>
      </c>
      <c r="F4950" s="2" t="s">
        <v>19</v>
      </c>
      <c r="G4950">
        <v>91250</v>
      </c>
      <c r="H4950" s="1">
        <v>44709</v>
      </c>
      <c r="I4950">
        <v>11</v>
      </c>
      <c r="J4950">
        <v>1</v>
      </c>
      <c r="K4950">
        <v>9125</v>
      </c>
      <c r="L4950">
        <v>4562</v>
      </c>
      <c r="M4950">
        <v>95813</v>
      </c>
      <c r="N4950">
        <v>4562</v>
      </c>
      <c r="O4950">
        <v>104937</v>
      </c>
    </row>
    <row r="4951" spans="1:15" x14ac:dyDescent="0.35">
      <c r="A4951">
        <v>4950</v>
      </c>
      <c r="B4951" s="2" t="s">
        <v>14</v>
      </c>
      <c r="C4951" s="2" t="s">
        <v>15</v>
      </c>
      <c r="D4951">
        <v>55</v>
      </c>
      <c r="E4951" s="2" t="s">
        <v>16</v>
      </c>
      <c r="F4951" s="2" t="s">
        <v>13</v>
      </c>
      <c r="G4951">
        <v>69914</v>
      </c>
      <c r="H4951" s="1">
        <v>45255</v>
      </c>
      <c r="I4951">
        <v>2</v>
      </c>
      <c r="J4951">
        <v>4</v>
      </c>
      <c r="K4951">
        <v>6991</v>
      </c>
      <c r="L4951">
        <v>3496</v>
      </c>
      <c r="M4951">
        <v>73409</v>
      </c>
      <c r="N4951">
        <v>0</v>
      </c>
      <c r="O4951">
        <v>76905</v>
      </c>
    </row>
    <row r="4952" spans="1:15" x14ac:dyDescent="0.35">
      <c r="A4952">
        <v>4951</v>
      </c>
      <c r="B4952" s="2" t="s">
        <v>18</v>
      </c>
      <c r="C4952" s="2" t="s">
        <v>15</v>
      </c>
      <c r="D4952">
        <v>51</v>
      </c>
      <c r="E4952" s="2" t="s">
        <v>28</v>
      </c>
      <c r="F4952" s="2" t="s">
        <v>19</v>
      </c>
      <c r="G4952">
        <v>59269</v>
      </c>
      <c r="H4952" s="1">
        <v>45460</v>
      </c>
      <c r="I4952">
        <v>20</v>
      </c>
      <c r="J4952">
        <v>5</v>
      </c>
      <c r="K4952">
        <v>5927</v>
      </c>
      <c r="L4952">
        <v>2963</v>
      </c>
      <c r="M4952">
        <v>62233</v>
      </c>
      <c r="N4952">
        <v>2963</v>
      </c>
      <c r="O4952">
        <v>68159</v>
      </c>
    </row>
    <row r="4953" spans="1:15" x14ac:dyDescent="0.35">
      <c r="A4953">
        <v>4952</v>
      </c>
      <c r="B4953" s="2" t="s">
        <v>14</v>
      </c>
      <c r="C4953" s="2" t="s">
        <v>15</v>
      </c>
      <c r="D4953">
        <v>36</v>
      </c>
      <c r="E4953" s="2" t="s">
        <v>28</v>
      </c>
      <c r="F4953" s="2" t="s">
        <v>21</v>
      </c>
      <c r="G4953">
        <v>65272</v>
      </c>
      <c r="H4953" s="1">
        <v>45448</v>
      </c>
      <c r="I4953">
        <v>12</v>
      </c>
      <c r="J4953">
        <v>1</v>
      </c>
      <c r="K4953">
        <v>6527</v>
      </c>
      <c r="L4953">
        <v>3264</v>
      </c>
      <c r="M4953">
        <v>68535</v>
      </c>
      <c r="N4953">
        <v>3264</v>
      </c>
      <c r="O4953">
        <v>75063</v>
      </c>
    </row>
    <row r="4954" spans="1:15" x14ac:dyDescent="0.35">
      <c r="A4954">
        <v>4953</v>
      </c>
      <c r="B4954" s="2" t="s">
        <v>20</v>
      </c>
      <c r="C4954" s="2" t="s">
        <v>11</v>
      </c>
      <c r="D4954">
        <v>59</v>
      </c>
      <c r="E4954" s="2" t="s">
        <v>28</v>
      </c>
      <c r="F4954" s="2" t="s">
        <v>25</v>
      </c>
      <c r="G4954">
        <v>71008</v>
      </c>
      <c r="H4954" s="1">
        <v>45253</v>
      </c>
      <c r="I4954">
        <v>20</v>
      </c>
      <c r="J4954">
        <v>1</v>
      </c>
      <c r="K4954">
        <v>7101</v>
      </c>
      <c r="L4954">
        <v>3550</v>
      </c>
      <c r="M4954">
        <v>74559</v>
      </c>
      <c r="N4954">
        <v>3550</v>
      </c>
      <c r="O4954">
        <v>81659</v>
      </c>
    </row>
    <row r="4955" spans="1:15" x14ac:dyDescent="0.35">
      <c r="A4955">
        <v>4954</v>
      </c>
      <c r="B4955" s="2" t="s">
        <v>23</v>
      </c>
      <c r="C4955" s="2" t="s">
        <v>11</v>
      </c>
      <c r="D4955">
        <v>41</v>
      </c>
      <c r="E4955" s="2" t="s">
        <v>24</v>
      </c>
      <c r="F4955" s="2" t="s">
        <v>25</v>
      </c>
      <c r="G4955">
        <v>53612</v>
      </c>
      <c r="H4955" s="1">
        <v>44728</v>
      </c>
      <c r="I4955">
        <v>11</v>
      </c>
      <c r="J4955">
        <v>3</v>
      </c>
      <c r="K4955">
        <v>5361</v>
      </c>
      <c r="L4955">
        <v>2681</v>
      </c>
      <c r="M4955">
        <v>56292</v>
      </c>
      <c r="N4955">
        <v>2681</v>
      </c>
      <c r="O4955">
        <v>61654</v>
      </c>
    </row>
    <row r="4956" spans="1:15" x14ac:dyDescent="0.35">
      <c r="A4956">
        <v>4955</v>
      </c>
      <c r="B4956" s="2" t="s">
        <v>23</v>
      </c>
      <c r="C4956" s="2" t="s">
        <v>11</v>
      </c>
      <c r="D4956">
        <v>48</v>
      </c>
      <c r="E4956" s="2" t="s">
        <v>29</v>
      </c>
      <c r="F4956" s="2" t="s">
        <v>21</v>
      </c>
      <c r="G4956">
        <v>37061</v>
      </c>
      <c r="H4956" s="1">
        <v>45285</v>
      </c>
      <c r="I4956">
        <v>3</v>
      </c>
      <c r="J4956">
        <v>4</v>
      </c>
      <c r="K4956">
        <v>3706</v>
      </c>
      <c r="L4956">
        <v>1853</v>
      </c>
      <c r="M4956">
        <v>38914</v>
      </c>
      <c r="N4956">
        <v>0</v>
      </c>
      <c r="O4956">
        <v>40767</v>
      </c>
    </row>
    <row r="4957" spans="1:15" x14ac:dyDescent="0.35">
      <c r="A4957">
        <v>4956</v>
      </c>
      <c r="B4957" s="2" t="s">
        <v>14</v>
      </c>
      <c r="C4957" s="2" t="s">
        <v>11</v>
      </c>
      <c r="D4957">
        <v>23</v>
      </c>
      <c r="E4957" s="2" t="s">
        <v>12</v>
      </c>
      <c r="F4957" s="2" t="s">
        <v>25</v>
      </c>
      <c r="G4957">
        <v>98984</v>
      </c>
      <c r="H4957" s="1">
        <v>44668</v>
      </c>
      <c r="I4957">
        <v>11</v>
      </c>
      <c r="J4957">
        <v>5</v>
      </c>
      <c r="K4957">
        <v>9898</v>
      </c>
      <c r="L4957">
        <v>4949</v>
      </c>
      <c r="M4957">
        <v>103933</v>
      </c>
      <c r="N4957">
        <v>4949</v>
      </c>
      <c r="O4957">
        <v>113831</v>
      </c>
    </row>
    <row r="4958" spans="1:15" x14ac:dyDescent="0.35">
      <c r="A4958">
        <v>4957</v>
      </c>
      <c r="B4958" s="2" t="s">
        <v>26</v>
      </c>
      <c r="C4958" s="2" t="s">
        <v>15</v>
      </c>
      <c r="D4958">
        <v>57</v>
      </c>
      <c r="E4958" s="2" t="s">
        <v>28</v>
      </c>
      <c r="F4958" s="2" t="s">
        <v>25</v>
      </c>
      <c r="G4958">
        <v>69038</v>
      </c>
      <c r="H4958" s="1">
        <v>45206</v>
      </c>
      <c r="I4958">
        <v>11</v>
      </c>
      <c r="J4958">
        <v>1</v>
      </c>
      <c r="K4958">
        <v>6904</v>
      </c>
      <c r="L4958">
        <v>3452</v>
      </c>
      <c r="M4958">
        <v>72490</v>
      </c>
      <c r="N4958">
        <v>3452</v>
      </c>
      <c r="O4958">
        <v>79394</v>
      </c>
    </row>
    <row r="4959" spans="1:15" x14ac:dyDescent="0.35">
      <c r="A4959">
        <v>4958</v>
      </c>
      <c r="B4959" s="2" t="s">
        <v>10</v>
      </c>
      <c r="C4959" s="2" t="s">
        <v>15</v>
      </c>
      <c r="D4959">
        <v>54</v>
      </c>
      <c r="E4959" s="2" t="s">
        <v>12</v>
      </c>
      <c r="F4959" s="2" t="s">
        <v>21</v>
      </c>
      <c r="G4959">
        <v>93982</v>
      </c>
      <c r="H4959" s="1">
        <v>45508</v>
      </c>
      <c r="I4959">
        <v>17</v>
      </c>
      <c r="J4959">
        <v>2</v>
      </c>
      <c r="K4959">
        <v>9398</v>
      </c>
      <c r="L4959">
        <v>4699</v>
      </c>
      <c r="M4959">
        <v>98681</v>
      </c>
      <c r="N4959">
        <v>4699</v>
      </c>
      <c r="O4959">
        <v>108079</v>
      </c>
    </row>
    <row r="4960" spans="1:15" x14ac:dyDescent="0.35">
      <c r="A4960">
        <v>4959</v>
      </c>
      <c r="B4960" s="2" t="s">
        <v>30</v>
      </c>
      <c r="C4960" s="2" t="s">
        <v>15</v>
      </c>
      <c r="D4960">
        <v>57</v>
      </c>
      <c r="E4960" s="2" t="s">
        <v>24</v>
      </c>
      <c r="F4960" s="2" t="s">
        <v>19</v>
      </c>
      <c r="G4960">
        <v>87600</v>
      </c>
      <c r="H4960" s="1">
        <v>45557</v>
      </c>
      <c r="I4960">
        <v>11</v>
      </c>
      <c r="J4960">
        <v>3</v>
      </c>
      <c r="K4960">
        <v>8760</v>
      </c>
      <c r="L4960">
        <v>4380</v>
      </c>
      <c r="M4960">
        <v>91980</v>
      </c>
      <c r="N4960">
        <v>4380</v>
      </c>
      <c r="O4960">
        <v>100740</v>
      </c>
    </row>
    <row r="4961" spans="1:15" x14ac:dyDescent="0.35">
      <c r="A4961">
        <v>4960</v>
      </c>
      <c r="B4961" s="2" t="s">
        <v>27</v>
      </c>
      <c r="C4961" s="2" t="s">
        <v>11</v>
      </c>
      <c r="D4961">
        <v>29</v>
      </c>
      <c r="E4961" s="2" t="s">
        <v>12</v>
      </c>
      <c r="F4961" s="2" t="s">
        <v>17</v>
      </c>
      <c r="G4961">
        <v>84525</v>
      </c>
      <c r="H4961" s="1">
        <v>44564</v>
      </c>
      <c r="I4961">
        <v>8</v>
      </c>
      <c r="J4961">
        <v>3</v>
      </c>
      <c r="K4961">
        <v>8452</v>
      </c>
      <c r="L4961">
        <v>4226</v>
      </c>
      <c r="M4961">
        <v>88751</v>
      </c>
      <c r="N4961">
        <v>4226</v>
      </c>
      <c r="O4961">
        <v>97203</v>
      </c>
    </row>
    <row r="4962" spans="1:15" x14ac:dyDescent="0.35">
      <c r="A4962">
        <v>4961</v>
      </c>
      <c r="B4962" s="2" t="s">
        <v>30</v>
      </c>
      <c r="C4962" s="2" t="s">
        <v>11</v>
      </c>
      <c r="D4962">
        <v>58</v>
      </c>
      <c r="E4962" s="2" t="s">
        <v>28</v>
      </c>
      <c r="F4962" s="2" t="s">
        <v>13</v>
      </c>
      <c r="G4962">
        <v>96852</v>
      </c>
      <c r="H4962" s="1">
        <v>44771</v>
      </c>
      <c r="I4962">
        <v>7</v>
      </c>
      <c r="J4962">
        <v>4</v>
      </c>
      <c r="K4962">
        <v>9685</v>
      </c>
      <c r="L4962">
        <v>4843</v>
      </c>
      <c r="M4962">
        <v>101694</v>
      </c>
      <c r="N4962">
        <v>4843</v>
      </c>
      <c r="O4962">
        <v>111380</v>
      </c>
    </row>
    <row r="4963" spans="1:15" x14ac:dyDescent="0.35">
      <c r="A4963">
        <v>4962</v>
      </c>
      <c r="B4963" s="2" t="s">
        <v>26</v>
      </c>
      <c r="C4963" s="2" t="s">
        <v>15</v>
      </c>
      <c r="D4963">
        <v>45</v>
      </c>
      <c r="E4963" s="2" t="s">
        <v>28</v>
      </c>
      <c r="F4963" s="2" t="s">
        <v>21</v>
      </c>
      <c r="G4963">
        <v>30867</v>
      </c>
      <c r="H4963" s="1">
        <v>45144</v>
      </c>
      <c r="I4963">
        <v>16</v>
      </c>
      <c r="J4963">
        <v>1</v>
      </c>
      <c r="K4963">
        <v>3087</v>
      </c>
      <c r="L4963">
        <v>1543</v>
      </c>
      <c r="M4963">
        <v>32411</v>
      </c>
      <c r="N4963">
        <v>1543</v>
      </c>
      <c r="O4963">
        <v>35497</v>
      </c>
    </row>
    <row r="4964" spans="1:15" x14ac:dyDescent="0.35">
      <c r="A4964">
        <v>4963</v>
      </c>
      <c r="B4964" s="2" t="s">
        <v>18</v>
      </c>
      <c r="C4964" s="2" t="s">
        <v>15</v>
      </c>
      <c r="D4964">
        <v>54</v>
      </c>
      <c r="E4964" s="2" t="s">
        <v>29</v>
      </c>
      <c r="F4964" s="2" t="s">
        <v>21</v>
      </c>
      <c r="G4964">
        <v>93300</v>
      </c>
      <c r="H4964" s="1">
        <v>45335</v>
      </c>
      <c r="I4964">
        <v>6</v>
      </c>
      <c r="J4964">
        <v>1</v>
      </c>
      <c r="K4964">
        <v>9330</v>
      </c>
      <c r="L4964">
        <v>4665</v>
      </c>
      <c r="M4964">
        <v>97965</v>
      </c>
      <c r="N4964">
        <v>4665</v>
      </c>
      <c r="O4964">
        <v>107295</v>
      </c>
    </row>
    <row r="4965" spans="1:15" x14ac:dyDescent="0.35">
      <c r="A4965">
        <v>4964</v>
      </c>
      <c r="B4965" s="2" t="s">
        <v>10</v>
      </c>
      <c r="C4965" s="2" t="s">
        <v>11</v>
      </c>
      <c r="D4965">
        <v>29</v>
      </c>
      <c r="E4965" s="2" t="s">
        <v>12</v>
      </c>
      <c r="F4965" s="2" t="s">
        <v>25</v>
      </c>
      <c r="G4965">
        <v>90424</v>
      </c>
      <c r="H4965" s="1">
        <v>44767</v>
      </c>
      <c r="I4965">
        <v>11</v>
      </c>
      <c r="J4965">
        <v>3</v>
      </c>
      <c r="K4965">
        <v>9042</v>
      </c>
      <c r="L4965">
        <v>4521</v>
      </c>
      <c r="M4965">
        <v>94945</v>
      </c>
      <c r="N4965">
        <v>4521</v>
      </c>
      <c r="O4965">
        <v>103987</v>
      </c>
    </row>
    <row r="4966" spans="1:15" x14ac:dyDescent="0.35">
      <c r="A4966">
        <v>4965</v>
      </c>
      <c r="B4966" s="2" t="s">
        <v>30</v>
      </c>
      <c r="C4966" s="2" t="s">
        <v>15</v>
      </c>
      <c r="D4966">
        <v>54</v>
      </c>
      <c r="E4966" s="2" t="s">
        <v>24</v>
      </c>
      <c r="F4966" s="2" t="s">
        <v>21</v>
      </c>
      <c r="G4966">
        <v>82879</v>
      </c>
      <c r="H4966" s="1">
        <v>44927</v>
      </c>
      <c r="I4966">
        <v>10</v>
      </c>
      <c r="J4966">
        <v>3</v>
      </c>
      <c r="K4966">
        <v>8288</v>
      </c>
      <c r="L4966">
        <v>4144</v>
      </c>
      <c r="M4966">
        <v>87023</v>
      </c>
      <c r="N4966">
        <v>4144</v>
      </c>
      <c r="O4966">
        <v>95311</v>
      </c>
    </row>
    <row r="4967" spans="1:15" x14ac:dyDescent="0.35">
      <c r="A4967">
        <v>4966</v>
      </c>
      <c r="B4967" s="2" t="s">
        <v>22</v>
      </c>
      <c r="C4967" s="2" t="s">
        <v>11</v>
      </c>
      <c r="D4967">
        <v>34</v>
      </c>
      <c r="E4967" s="2" t="s">
        <v>12</v>
      </c>
      <c r="F4967" s="2" t="s">
        <v>19</v>
      </c>
      <c r="G4967">
        <v>83378</v>
      </c>
      <c r="H4967" s="1">
        <v>45234</v>
      </c>
      <c r="I4967">
        <v>8</v>
      </c>
      <c r="J4967">
        <v>1</v>
      </c>
      <c r="K4967">
        <v>8338</v>
      </c>
      <c r="L4967">
        <v>4169</v>
      </c>
      <c r="M4967">
        <v>87547</v>
      </c>
      <c r="N4967">
        <v>4169</v>
      </c>
      <c r="O4967">
        <v>95885</v>
      </c>
    </row>
    <row r="4968" spans="1:15" x14ac:dyDescent="0.35">
      <c r="A4968">
        <v>4967</v>
      </c>
      <c r="B4968" s="2" t="s">
        <v>20</v>
      </c>
      <c r="C4968" s="2" t="s">
        <v>15</v>
      </c>
      <c r="D4968">
        <v>43</v>
      </c>
      <c r="E4968" s="2" t="s">
        <v>28</v>
      </c>
      <c r="F4968" s="2" t="s">
        <v>19</v>
      </c>
      <c r="G4968">
        <v>80996</v>
      </c>
      <c r="H4968" s="1">
        <v>45125</v>
      </c>
      <c r="I4968">
        <v>11</v>
      </c>
      <c r="J4968">
        <v>1</v>
      </c>
      <c r="K4968">
        <v>8100</v>
      </c>
      <c r="L4968">
        <v>4050</v>
      </c>
      <c r="M4968">
        <v>85046</v>
      </c>
      <c r="N4968">
        <v>4050</v>
      </c>
      <c r="O4968">
        <v>93146</v>
      </c>
    </row>
    <row r="4969" spans="1:15" x14ac:dyDescent="0.35">
      <c r="A4969">
        <v>4968</v>
      </c>
      <c r="B4969" s="2" t="s">
        <v>10</v>
      </c>
      <c r="C4969" s="2" t="s">
        <v>11</v>
      </c>
      <c r="D4969">
        <v>47</v>
      </c>
      <c r="E4969" s="2" t="s">
        <v>16</v>
      </c>
      <c r="F4969" s="2" t="s">
        <v>25</v>
      </c>
      <c r="G4969">
        <v>44486</v>
      </c>
      <c r="H4969" s="1">
        <v>45510</v>
      </c>
      <c r="I4969">
        <v>6</v>
      </c>
      <c r="J4969">
        <v>3</v>
      </c>
      <c r="K4969">
        <v>4449</v>
      </c>
      <c r="L4969">
        <v>2224</v>
      </c>
      <c r="M4969">
        <v>46711</v>
      </c>
      <c r="N4969">
        <v>2224</v>
      </c>
      <c r="O4969">
        <v>51159</v>
      </c>
    </row>
    <row r="4970" spans="1:15" x14ac:dyDescent="0.35">
      <c r="A4970">
        <v>4969</v>
      </c>
      <c r="B4970" s="2" t="s">
        <v>10</v>
      </c>
      <c r="C4970" s="2" t="s">
        <v>15</v>
      </c>
      <c r="D4970">
        <v>46</v>
      </c>
      <c r="E4970" s="2" t="s">
        <v>12</v>
      </c>
      <c r="F4970" s="2" t="s">
        <v>21</v>
      </c>
      <c r="G4970">
        <v>26844</v>
      </c>
      <c r="H4970" s="1">
        <v>45281</v>
      </c>
      <c r="I4970">
        <v>18</v>
      </c>
      <c r="J4970">
        <v>2</v>
      </c>
      <c r="K4970">
        <v>2684</v>
      </c>
      <c r="L4970">
        <v>1342</v>
      </c>
      <c r="M4970">
        <v>28186</v>
      </c>
      <c r="N4970">
        <v>1342</v>
      </c>
      <c r="O4970">
        <v>30870</v>
      </c>
    </row>
    <row r="4971" spans="1:15" x14ac:dyDescent="0.35">
      <c r="A4971">
        <v>4970</v>
      </c>
      <c r="B4971" s="2" t="s">
        <v>22</v>
      </c>
      <c r="C4971" s="2" t="s">
        <v>15</v>
      </c>
      <c r="D4971">
        <v>45</v>
      </c>
      <c r="E4971" s="2" t="s">
        <v>29</v>
      </c>
      <c r="F4971" s="2" t="s">
        <v>13</v>
      </c>
      <c r="G4971">
        <v>27911</v>
      </c>
      <c r="H4971" s="1">
        <v>45489</v>
      </c>
      <c r="I4971">
        <v>7</v>
      </c>
      <c r="J4971">
        <v>2</v>
      </c>
      <c r="K4971">
        <v>2791</v>
      </c>
      <c r="L4971">
        <v>1396</v>
      </c>
      <c r="M4971">
        <v>29306</v>
      </c>
      <c r="N4971">
        <v>1396</v>
      </c>
      <c r="O4971">
        <v>32098</v>
      </c>
    </row>
    <row r="4972" spans="1:15" x14ac:dyDescent="0.35">
      <c r="A4972">
        <v>4971</v>
      </c>
      <c r="B4972" s="2" t="s">
        <v>26</v>
      </c>
      <c r="C4972" s="2" t="s">
        <v>15</v>
      </c>
      <c r="D4972">
        <v>58</v>
      </c>
      <c r="E4972" s="2" t="s">
        <v>12</v>
      </c>
      <c r="F4972" s="2" t="s">
        <v>21</v>
      </c>
      <c r="G4972">
        <v>89801</v>
      </c>
      <c r="H4972" s="1">
        <v>44654</v>
      </c>
      <c r="I4972">
        <v>17</v>
      </c>
      <c r="J4972">
        <v>5</v>
      </c>
      <c r="K4972">
        <v>8980</v>
      </c>
      <c r="L4972">
        <v>4490</v>
      </c>
      <c r="M4972">
        <v>94291</v>
      </c>
      <c r="N4972">
        <v>4490</v>
      </c>
      <c r="O4972">
        <v>103271</v>
      </c>
    </row>
    <row r="4973" spans="1:15" x14ac:dyDescent="0.35">
      <c r="A4973">
        <v>4972</v>
      </c>
      <c r="B4973" s="2" t="s">
        <v>14</v>
      </c>
      <c r="C4973" s="2" t="s">
        <v>15</v>
      </c>
      <c r="D4973">
        <v>36</v>
      </c>
      <c r="E4973" s="2" t="s">
        <v>28</v>
      </c>
      <c r="F4973" s="2" t="s">
        <v>13</v>
      </c>
      <c r="G4973">
        <v>46213</v>
      </c>
      <c r="H4973" s="1">
        <v>45017</v>
      </c>
      <c r="I4973">
        <v>6</v>
      </c>
      <c r="J4973">
        <v>2</v>
      </c>
      <c r="K4973">
        <v>4621</v>
      </c>
      <c r="L4973">
        <v>2311</v>
      </c>
      <c r="M4973">
        <v>48523</v>
      </c>
      <c r="N4973">
        <v>2311</v>
      </c>
      <c r="O4973">
        <v>53145</v>
      </c>
    </row>
    <row r="4974" spans="1:15" x14ac:dyDescent="0.35">
      <c r="A4974">
        <v>4973</v>
      </c>
      <c r="B4974" s="2" t="s">
        <v>31</v>
      </c>
      <c r="C4974" s="2" t="s">
        <v>11</v>
      </c>
      <c r="D4974">
        <v>32</v>
      </c>
      <c r="E4974" s="2" t="s">
        <v>28</v>
      </c>
      <c r="F4974" s="2" t="s">
        <v>21</v>
      </c>
      <c r="G4974">
        <v>95306</v>
      </c>
      <c r="H4974" s="1">
        <v>45461</v>
      </c>
      <c r="I4974">
        <v>14</v>
      </c>
      <c r="J4974">
        <v>2</v>
      </c>
      <c r="K4974">
        <v>9531</v>
      </c>
      <c r="L4974">
        <v>4765</v>
      </c>
      <c r="M4974">
        <v>100072</v>
      </c>
      <c r="N4974">
        <v>4765</v>
      </c>
      <c r="O4974">
        <v>109602</v>
      </c>
    </row>
    <row r="4975" spans="1:15" x14ac:dyDescent="0.35">
      <c r="A4975">
        <v>4974</v>
      </c>
      <c r="B4975" s="2" t="s">
        <v>30</v>
      </c>
      <c r="C4975" s="2" t="s">
        <v>11</v>
      </c>
      <c r="D4975">
        <v>40</v>
      </c>
      <c r="E4975" s="2" t="s">
        <v>16</v>
      </c>
      <c r="F4975" s="2" t="s">
        <v>21</v>
      </c>
      <c r="G4975">
        <v>88083</v>
      </c>
      <c r="H4975" s="1">
        <v>45148</v>
      </c>
      <c r="I4975">
        <v>7</v>
      </c>
      <c r="J4975">
        <v>5</v>
      </c>
      <c r="K4975">
        <v>8808</v>
      </c>
      <c r="L4975">
        <v>4404</v>
      </c>
      <c r="M4975">
        <v>92487</v>
      </c>
      <c r="N4975">
        <v>4404</v>
      </c>
      <c r="O4975">
        <v>101295</v>
      </c>
    </row>
    <row r="4976" spans="1:15" x14ac:dyDescent="0.35">
      <c r="A4976">
        <v>4975</v>
      </c>
      <c r="B4976" s="2" t="s">
        <v>23</v>
      </c>
      <c r="C4976" s="2" t="s">
        <v>11</v>
      </c>
      <c r="D4976">
        <v>57</v>
      </c>
      <c r="E4976" s="2" t="s">
        <v>12</v>
      </c>
      <c r="F4976" s="2" t="s">
        <v>17</v>
      </c>
      <c r="G4976">
        <v>86667</v>
      </c>
      <c r="H4976" s="1">
        <v>45360</v>
      </c>
      <c r="I4976">
        <v>16</v>
      </c>
      <c r="J4976">
        <v>4</v>
      </c>
      <c r="K4976">
        <v>8667</v>
      </c>
      <c r="L4976">
        <v>4333</v>
      </c>
      <c r="M4976">
        <v>91001</v>
      </c>
      <c r="N4976">
        <v>4333</v>
      </c>
      <c r="O4976">
        <v>99667</v>
      </c>
    </row>
    <row r="4977" spans="1:15" x14ac:dyDescent="0.35">
      <c r="A4977">
        <v>4976</v>
      </c>
      <c r="B4977" s="2" t="s">
        <v>18</v>
      </c>
      <c r="C4977" s="2" t="s">
        <v>11</v>
      </c>
      <c r="D4977">
        <v>53</v>
      </c>
      <c r="E4977" s="2" t="s">
        <v>12</v>
      </c>
      <c r="F4977" s="2" t="s">
        <v>21</v>
      </c>
      <c r="G4977">
        <v>31645</v>
      </c>
      <c r="H4977" s="1">
        <v>44879</v>
      </c>
      <c r="I4977">
        <v>16</v>
      </c>
      <c r="J4977">
        <v>5</v>
      </c>
      <c r="K4977">
        <v>3164</v>
      </c>
      <c r="L4977">
        <v>1582</v>
      </c>
      <c r="M4977">
        <v>33227</v>
      </c>
      <c r="N4977">
        <v>1582</v>
      </c>
      <c r="O4977">
        <v>36391</v>
      </c>
    </row>
    <row r="4978" spans="1:15" x14ac:dyDescent="0.35">
      <c r="A4978">
        <v>4977</v>
      </c>
      <c r="B4978" s="2" t="s">
        <v>14</v>
      </c>
      <c r="C4978" s="2" t="s">
        <v>15</v>
      </c>
      <c r="D4978">
        <v>38</v>
      </c>
      <c r="E4978" s="2" t="s">
        <v>12</v>
      </c>
      <c r="F4978" s="2" t="s">
        <v>25</v>
      </c>
      <c r="G4978">
        <v>44785</v>
      </c>
      <c r="H4978" s="1">
        <v>44714</v>
      </c>
      <c r="I4978">
        <v>3</v>
      </c>
      <c r="J4978">
        <v>2</v>
      </c>
      <c r="K4978">
        <v>4478</v>
      </c>
      <c r="L4978">
        <v>2239</v>
      </c>
      <c r="M4978">
        <v>47024</v>
      </c>
      <c r="N4978">
        <v>0</v>
      </c>
      <c r="O4978">
        <v>49263</v>
      </c>
    </row>
    <row r="4979" spans="1:15" x14ac:dyDescent="0.35">
      <c r="A4979">
        <v>4978</v>
      </c>
      <c r="B4979" s="2" t="s">
        <v>27</v>
      </c>
      <c r="C4979" s="2" t="s">
        <v>15</v>
      </c>
      <c r="D4979">
        <v>55</v>
      </c>
      <c r="E4979" s="2" t="s">
        <v>28</v>
      </c>
      <c r="F4979" s="2" t="s">
        <v>19</v>
      </c>
      <c r="G4979">
        <v>40909</v>
      </c>
      <c r="H4979" s="1">
        <v>44833</v>
      </c>
      <c r="I4979">
        <v>9</v>
      </c>
      <c r="J4979">
        <v>4</v>
      </c>
      <c r="K4979">
        <v>4091</v>
      </c>
      <c r="L4979">
        <v>2045</v>
      </c>
      <c r="M4979">
        <v>42955</v>
      </c>
      <c r="N4979">
        <v>2045</v>
      </c>
      <c r="O4979">
        <v>47045</v>
      </c>
    </row>
    <row r="4980" spans="1:15" x14ac:dyDescent="0.35">
      <c r="A4980">
        <v>4979</v>
      </c>
      <c r="B4980" s="2" t="s">
        <v>31</v>
      </c>
      <c r="C4980" s="2" t="s">
        <v>15</v>
      </c>
      <c r="D4980">
        <v>22</v>
      </c>
      <c r="E4980" s="2" t="s">
        <v>12</v>
      </c>
      <c r="F4980" s="2" t="s">
        <v>13</v>
      </c>
      <c r="G4980">
        <v>87526</v>
      </c>
      <c r="H4980" s="1">
        <v>45054</v>
      </c>
      <c r="I4980">
        <v>10</v>
      </c>
      <c r="J4980">
        <v>3</v>
      </c>
      <c r="K4980">
        <v>8753</v>
      </c>
      <c r="L4980">
        <v>4376</v>
      </c>
      <c r="M4980">
        <v>91903</v>
      </c>
      <c r="N4980">
        <v>4376</v>
      </c>
      <c r="O4980">
        <v>100655</v>
      </c>
    </row>
    <row r="4981" spans="1:15" x14ac:dyDescent="0.35">
      <c r="A4981">
        <v>4980</v>
      </c>
      <c r="B4981" s="2" t="s">
        <v>27</v>
      </c>
      <c r="C4981" s="2" t="s">
        <v>11</v>
      </c>
      <c r="D4981">
        <v>25</v>
      </c>
      <c r="E4981" s="2" t="s">
        <v>24</v>
      </c>
      <c r="F4981" s="2" t="s">
        <v>25</v>
      </c>
      <c r="G4981">
        <v>75270</v>
      </c>
      <c r="H4981" s="1">
        <v>44991</v>
      </c>
      <c r="I4981">
        <v>15</v>
      </c>
      <c r="J4981">
        <v>1</v>
      </c>
      <c r="K4981">
        <v>7527</v>
      </c>
      <c r="L4981">
        <v>3764</v>
      </c>
      <c r="M4981">
        <v>79033</v>
      </c>
      <c r="N4981">
        <v>3764</v>
      </c>
      <c r="O4981">
        <v>86561</v>
      </c>
    </row>
    <row r="4982" spans="1:15" x14ac:dyDescent="0.35">
      <c r="A4982">
        <v>4981</v>
      </c>
      <c r="B4982" s="2" t="s">
        <v>14</v>
      </c>
      <c r="C4982" s="2" t="s">
        <v>11</v>
      </c>
      <c r="D4982">
        <v>49</v>
      </c>
      <c r="E4982" s="2" t="s">
        <v>29</v>
      </c>
      <c r="F4982" s="2" t="s">
        <v>19</v>
      </c>
      <c r="G4982">
        <v>46125</v>
      </c>
      <c r="H4982" s="1">
        <v>44702</v>
      </c>
      <c r="I4982">
        <v>11</v>
      </c>
      <c r="J4982">
        <v>2</v>
      </c>
      <c r="K4982">
        <v>4612</v>
      </c>
      <c r="L4982">
        <v>2306</v>
      </c>
      <c r="M4982">
        <v>48431</v>
      </c>
      <c r="N4982">
        <v>2306</v>
      </c>
      <c r="O4982">
        <v>53043</v>
      </c>
    </row>
    <row r="4983" spans="1:15" x14ac:dyDescent="0.35">
      <c r="A4983">
        <v>4982</v>
      </c>
      <c r="B4983" s="2" t="s">
        <v>18</v>
      </c>
      <c r="C4983" s="2" t="s">
        <v>15</v>
      </c>
      <c r="D4983">
        <v>44</v>
      </c>
      <c r="E4983" s="2" t="s">
        <v>29</v>
      </c>
      <c r="F4983" s="2" t="s">
        <v>13</v>
      </c>
      <c r="G4983">
        <v>77883</v>
      </c>
      <c r="H4983" s="1">
        <v>44617</v>
      </c>
      <c r="I4983">
        <v>9</v>
      </c>
      <c r="J4983">
        <v>4</v>
      </c>
      <c r="K4983">
        <v>7788</v>
      </c>
      <c r="L4983">
        <v>3894</v>
      </c>
      <c r="M4983">
        <v>81777</v>
      </c>
      <c r="N4983">
        <v>3894</v>
      </c>
      <c r="O4983">
        <v>89565</v>
      </c>
    </row>
    <row r="4984" spans="1:15" x14ac:dyDescent="0.35">
      <c r="A4984">
        <v>4983</v>
      </c>
      <c r="B4984" s="2" t="s">
        <v>26</v>
      </c>
      <c r="C4984" s="2" t="s">
        <v>15</v>
      </c>
      <c r="D4984">
        <v>33</v>
      </c>
      <c r="E4984" s="2" t="s">
        <v>28</v>
      </c>
      <c r="F4984" s="2" t="s">
        <v>25</v>
      </c>
      <c r="G4984">
        <v>81417</v>
      </c>
      <c r="H4984" s="1">
        <v>45367</v>
      </c>
      <c r="I4984">
        <v>11</v>
      </c>
      <c r="J4984">
        <v>1</v>
      </c>
      <c r="K4984">
        <v>8142</v>
      </c>
      <c r="L4984">
        <v>4071</v>
      </c>
      <c r="M4984">
        <v>85488</v>
      </c>
      <c r="N4984">
        <v>4071</v>
      </c>
      <c r="O4984">
        <v>93630</v>
      </c>
    </row>
    <row r="4985" spans="1:15" x14ac:dyDescent="0.35">
      <c r="A4985">
        <v>4984</v>
      </c>
      <c r="B4985" s="2" t="s">
        <v>22</v>
      </c>
      <c r="C4985" s="2" t="s">
        <v>15</v>
      </c>
      <c r="D4985">
        <v>49</v>
      </c>
      <c r="E4985" s="2" t="s">
        <v>29</v>
      </c>
      <c r="F4985" s="2" t="s">
        <v>25</v>
      </c>
      <c r="G4985">
        <v>68186</v>
      </c>
      <c r="H4985" s="1">
        <v>45541</v>
      </c>
      <c r="I4985">
        <v>17</v>
      </c>
      <c r="J4985">
        <v>3</v>
      </c>
      <c r="K4985">
        <v>6819</v>
      </c>
      <c r="L4985">
        <v>3409</v>
      </c>
      <c r="M4985">
        <v>71596</v>
      </c>
      <c r="N4985">
        <v>3409</v>
      </c>
      <c r="O4985">
        <v>78414</v>
      </c>
    </row>
    <row r="4986" spans="1:15" x14ac:dyDescent="0.35">
      <c r="A4986">
        <v>4985</v>
      </c>
      <c r="B4986" s="2" t="s">
        <v>10</v>
      </c>
      <c r="C4986" s="2" t="s">
        <v>15</v>
      </c>
      <c r="D4986">
        <v>60</v>
      </c>
      <c r="E4986" s="2" t="s">
        <v>28</v>
      </c>
      <c r="F4986" s="2" t="s">
        <v>19</v>
      </c>
      <c r="G4986">
        <v>96860</v>
      </c>
      <c r="H4986" s="1">
        <v>44964</v>
      </c>
      <c r="I4986">
        <v>4</v>
      </c>
      <c r="J4986">
        <v>5</v>
      </c>
      <c r="K4986">
        <v>9686</v>
      </c>
      <c r="L4986">
        <v>4843</v>
      </c>
      <c r="M4986">
        <v>101703</v>
      </c>
      <c r="N4986">
        <v>0</v>
      </c>
      <c r="O4986">
        <v>106546</v>
      </c>
    </row>
    <row r="4987" spans="1:15" x14ac:dyDescent="0.35">
      <c r="A4987">
        <v>4986</v>
      </c>
      <c r="B4987" s="2" t="s">
        <v>26</v>
      </c>
      <c r="C4987" s="2" t="s">
        <v>15</v>
      </c>
      <c r="D4987">
        <v>52</v>
      </c>
      <c r="E4987" s="2" t="s">
        <v>24</v>
      </c>
      <c r="F4987" s="2" t="s">
        <v>19</v>
      </c>
      <c r="G4987">
        <v>46775</v>
      </c>
      <c r="H4987" s="1">
        <v>45301</v>
      </c>
      <c r="I4987">
        <v>5</v>
      </c>
      <c r="J4987">
        <v>2</v>
      </c>
      <c r="K4987">
        <v>4678</v>
      </c>
      <c r="L4987">
        <v>2339</v>
      </c>
      <c r="M4987">
        <v>49114</v>
      </c>
      <c r="N4987">
        <v>0</v>
      </c>
      <c r="O4987">
        <v>51453</v>
      </c>
    </row>
    <row r="4988" spans="1:15" x14ac:dyDescent="0.35">
      <c r="A4988">
        <v>4987</v>
      </c>
      <c r="B4988" s="2" t="s">
        <v>22</v>
      </c>
      <c r="C4988" s="2" t="s">
        <v>15</v>
      </c>
      <c r="D4988">
        <v>46</v>
      </c>
      <c r="E4988" s="2" t="s">
        <v>24</v>
      </c>
      <c r="F4988" s="2" t="s">
        <v>17</v>
      </c>
      <c r="G4988">
        <v>53598</v>
      </c>
      <c r="H4988" s="1">
        <v>44593</v>
      </c>
      <c r="I4988">
        <v>8</v>
      </c>
      <c r="J4988">
        <v>2</v>
      </c>
      <c r="K4988">
        <v>5360</v>
      </c>
      <c r="L4988">
        <v>2680</v>
      </c>
      <c r="M4988">
        <v>56278</v>
      </c>
      <c r="N4988">
        <v>2680</v>
      </c>
      <c r="O4988">
        <v>61638</v>
      </c>
    </row>
    <row r="4989" spans="1:15" x14ac:dyDescent="0.35">
      <c r="A4989">
        <v>4988</v>
      </c>
      <c r="B4989" s="2" t="s">
        <v>27</v>
      </c>
      <c r="C4989" s="2" t="s">
        <v>15</v>
      </c>
      <c r="D4989">
        <v>22</v>
      </c>
      <c r="E4989" s="2" t="s">
        <v>16</v>
      </c>
      <c r="F4989" s="2" t="s">
        <v>19</v>
      </c>
      <c r="G4989">
        <v>92133</v>
      </c>
      <c r="H4989" s="1">
        <v>45134</v>
      </c>
      <c r="I4989">
        <v>2</v>
      </c>
      <c r="J4989">
        <v>3</v>
      </c>
      <c r="K4989">
        <v>9213</v>
      </c>
      <c r="L4989">
        <v>4607</v>
      </c>
      <c r="M4989">
        <v>96739</v>
      </c>
      <c r="N4989">
        <v>0</v>
      </c>
      <c r="O4989">
        <v>101346</v>
      </c>
    </row>
    <row r="4990" spans="1:15" x14ac:dyDescent="0.35">
      <c r="A4990">
        <v>4989</v>
      </c>
      <c r="B4990" s="2" t="s">
        <v>30</v>
      </c>
      <c r="C4990" s="2" t="s">
        <v>11</v>
      </c>
      <c r="D4990">
        <v>53</v>
      </c>
      <c r="E4990" s="2" t="s">
        <v>24</v>
      </c>
      <c r="F4990" s="2" t="s">
        <v>13</v>
      </c>
      <c r="G4990">
        <v>43896</v>
      </c>
      <c r="H4990" s="1">
        <v>44831</v>
      </c>
      <c r="I4990">
        <v>18</v>
      </c>
      <c r="J4990">
        <v>2</v>
      </c>
      <c r="K4990">
        <v>4390</v>
      </c>
      <c r="L4990">
        <v>2195</v>
      </c>
      <c r="M4990">
        <v>46091</v>
      </c>
      <c r="N4990">
        <v>2195</v>
      </c>
      <c r="O4990">
        <v>50481</v>
      </c>
    </row>
    <row r="4991" spans="1:15" x14ac:dyDescent="0.35">
      <c r="A4991">
        <v>4990</v>
      </c>
      <c r="B4991" s="2" t="s">
        <v>27</v>
      </c>
      <c r="C4991" s="2" t="s">
        <v>15</v>
      </c>
      <c r="D4991">
        <v>47</v>
      </c>
      <c r="E4991" s="2" t="s">
        <v>12</v>
      </c>
      <c r="F4991" s="2" t="s">
        <v>17</v>
      </c>
      <c r="G4991">
        <v>85649</v>
      </c>
      <c r="H4991" s="1">
        <v>45486</v>
      </c>
      <c r="I4991">
        <v>10</v>
      </c>
      <c r="J4991">
        <v>5</v>
      </c>
      <c r="K4991">
        <v>8565</v>
      </c>
      <c r="L4991">
        <v>4282</v>
      </c>
      <c r="M4991">
        <v>89932</v>
      </c>
      <c r="N4991">
        <v>4282</v>
      </c>
      <c r="O4991">
        <v>98496</v>
      </c>
    </row>
    <row r="4992" spans="1:15" x14ac:dyDescent="0.35">
      <c r="A4992">
        <v>4991</v>
      </c>
      <c r="B4992" s="2" t="s">
        <v>31</v>
      </c>
      <c r="C4992" s="2" t="s">
        <v>15</v>
      </c>
      <c r="D4992">
        <v>60</v>
      </c>
      <c r="E4992" s="2" t="s">
        <v>12</v>
      </c>
      <c r="F4992" s="2" t="s">
        <v>19</v>
      </c>
      <c r="G4992">
        <v>42330</v>
      </c>
      <c r="H4992" s="1">
        <v>45526</v>
      </c>
      <c r="I4992">
        <v>11</v>
      </c>
      <c r="J4992">
        <v>4</v>
      </c>
      <c r="K4992">
        <v>4233</v>
      </c>
      <c r="L4992">
        <v>2116</v>
      </c>
      <c r="M4992">
        <v>44447</v>
      </c>
      <c r="N4992">
        <v>2116</v>
      </c>
      <c r="O4992">
        <v>48679</v>
      </c>
    </row>
    <row r="4993" spans="1:15" x14ac:dyDescent="0.35">
      <c r="A4993">
        <v>4992</v>
      </c>
      <c r="B4993" s="2" t="s">
        <v>31</v>
      </c>
      <c r="C4993" s="2" t="s">
        <v>15</v>
      </c>
      <c r="D4993">
        <v>53</v>
      </c>
      <c r="E4993" s="2" t="s">
        <v>28</v>
      </c>
      <c r="F4993" s="2" t="s">
        <v>13</v>
      </c>
      <c r="G4993">
        <v>21749</v>
      </c>
      <c r="H4993" s="1">
        <v>45424</v>
      </c>
      <c r="I4993">
        <v>19</v>
      </c>
      <c r="J4993">
        <v>2</v>
      </c>
      <c r="K4993">
        <v>2175</v>
      </c>
      <c r="L4993">
        <v>1087</v>
      </c>
      <c r="M4993">
        <v>22837</v>
      </c>
      <c r="N4993">
        <v>1087</v>
      </c>
      <c r="O4993">
        <v>25011</v>
      </c>
    </row>
    <row r="4994" spans="1:15" x14ac:dyDescent="0.35">
      <c r="A4994">
        <v>4993</v>
      </c>
      <c r="B4994" s="2" t="s">
        <v>30</v>
      </c>
      <c r="C4994" s="2" t="s">
        <v>15</v>
      </c>
      <c r="D4994">
        <v>60</v>
      </c>
      <c r="E4994" s="2" t="s">
        <v>28</v>
      </c>
      <c r="F4994" s="2" t="s">
        <v>19</v>
      </c>
      <c r="G4994">
        <v>21601</v>
      </c>
      <c r="H4994" s="1">
        <v>45479</v>
      </c>
      <c r="I4994">
        <v>6</v>
      </c>
      <c r="J4994">
        <v>3</v>
      </c>
      <c r="K4994">
        <v>2160</v>
      </c>
      <c r="L4994">
        <v>1080</v>
      </c>
      <c r="M4994">
        <v>22681</v>
      </c>
      <c r="N4994">
        <v>1080</v>
      </c>
      <c r="O4994">
        <v>24841</v>
      </c>
    </row>
    <row r="4995" spans="1:15" x14ac:dyDescent="0.35">
      <c r="A4995">
        <v>4994</v>
      </c>
      <c r="B4995" s="2" t="s">
        <v>18</v>
      </c>
      <c r="C4995" s="2" t="s">
        <v>15</v>
      </c>
      <c r="D4995">
        <v>37</v>
      </c>
      <c r="E4995" s="2" t="s">
        <v>24</v>
      </c>
      <c r="F4995" s="2" t="s">
        <v>19</v>
      </c>
      <c r="G4995">
        <v>46538</v>
      </c>
      <c r="H4995" s="1">
        <v>45332</v>
      </c>
      <c r="I4995">
        <v>18</v>
      </c>
      <c r="J4995">
        <v>3</v>
      </c>
      <c r="K4995">
        <v>4654</v>
      </c>
      <c r="L4995">
        <v>2327</v>
      </c>
      <c r="M4995">
        <v>48865</v>
      </c>
      <c r="N4995">
        <v>2327</v>
      </c>
      <c r="O4995">
        <v>53519</v>
      </c>
    </row>
    <row r="4996" spans="1:15" x14ac:dyDescent="0.35">
      <c r="A4996">
        <v>4995</v>
      </c>
      <c r="B4996" s="2" t="s">
        <v>20</v>
      </c>
      <c r="C4996" s="2" t="s">
        <v>15</v>
      </c>
      <c r="D4996">
        <v>32</v>
      </c>
      <c r="E4996" s="2" t="s">
        <v>29</v>
      </c>
      <c r="F4996" s="2" t="s">
        <v>17</v>
      </c>
      <c r="G4996">
        <v>40230</v>
      </c>
      <c r="H4996" s="1">
        <v>45209</v>
      </c>
      <c r="I4996">
        <v>2</v>
      </c>
      <c r="J4996">
        <v>2</v>
      </c>
      <c r="K4996">
        <v>4023</v>
      </c>
      <c r="L4996">
        <v>2012</v>
      </c>
      <c r="M4996">
        <v>42241</v>
      </c>
      <c r="N4996">
        <v>0</v>
      </c>
      <c r="O4996">
        <v>44253</v>
      </c>
    </row>
    <row r="4997" spans="1:15" x14ac:dyDescent="0.35">
      <c r="A4997">
        <v>4996</v>
      </c>
      <c r="B4997" s="2" t="s">
        <v>30</v>
      </c>
      <c r="C4997" s="2" t="s">
        <v>11</v>
      </c>
      <c r="D4997">
        <v>49</v>
      </c>
      <c r="E4997" s="2" t="s">
        <v>29</v>
      </c>
      <c r="F4997" s="2" t="s">
        <v>25</v>
      </c>
      <c r="G4997">
        <v>28627</v>
      </c>
      <c r="H4997" s="1">
        <v>44803</v>
      </c>
      <c r="I4997">
        <v>17</v>
      </c>
      <c r="J4997">
        <v>2</v>
      </c>
      <c r="K4997">
        <v>2863</v>
      </c>
      <c r="L4997">
        <v>1431</v>
      </c>
      <c r="M4997">
        <v>30059</v>
      </c>
      <c r="N4997">
        <v>1431</v>
      </c>
      <c r="O4997">
        <v>32921</v>
      </c>
    </row>
    <row r="4998" spans="1:15" x14ac:dyDescent="0.35">
      <c r="A4998">
        <v>4997</v>
      </c>
      <c r="B4998" s="2" t="s">
        <v>23</v>
      </c>
      <c r="C4998" s="2" t="s">
        <v>15</v>
      </c>
      <c r="D4998">
        <v>39</v>
      </c>
      <c r="E4998" s="2" t="s">
        <v>28</v>
      </c>
      <c r="F4998" s="2" t="s">
        <v>13</v>
      </c>
      <c r="G4998">
        <v>91140</v>
      </c>
      <c r="H4998" s="1">
        <v>44822</v>
      </c>
      <c r="I4998">
        <v>3</v>
      </c>
      <c r="J4998">
        <v>4</v>
      </c>
      <c r="K4998">
        <v>9114</v>
      </c>
      <c r="L4998">
        <v>4557</v>
      </c>
      <c r="M4998">
        <v>95697</v>
      </c>
      <c r="N4998">
        <v>0</v>
      </c>
      <c r="O4998">
        <v>100254</v>
      </c>
    </row>
    <row r="4999" spans="1:15" x14ac:dyDescent="0.35">
      <c r="A4999">
        <v>4998</v>
      </c>
      <c r="B4999" s="2" t="s">
        <v>20</v>
      </c>
      <c r="C4999" s="2" t="s">
        <v>11</v>
      </c>
      <c r="D4999">
        <v>39</v>
      </c>
      <c r="E4999" s="2" t="s">
        <v>24</v>
      </c>
      <c r="F4999" s="2" t="s">
        <v>19</v>
      </c>
      <c r="G4999">
        <v>26932</v>
      </c>
      <c r="H4999" s="1">
        <v>44843</v>
      </c>
      <c r="I4999">
        <v>4</v>
      </c>
      <c r="J4999">
        <v>1</v>
      </c>
      <c r="K4999">
        <v>2693</v>
      </c>
      <c r="L4999">
        <v>1347</v>
      </c>
      <c r="M4999">
        <v>28278</v>
      </c>
      <c r="N4999">
        <v>0</v>
      </c>
      <c r="O4999">
        <v>29625</v>
      </c>
    </row>
    <row r="5000" spans="1:15" x14ac:dyDescent="0.35">
      <c r="A5000">
        <v>4999</v>
      </c>
      <c r="B5000" s="2" t="s">
        <v>14</v>
      </c>
      <c r="C5000" s="2" t="s">
        <v>11</v>
      </c>
      <c r="D5000">
        <v>27</v>
      </c>
      <c r="E5000" s="2" t="s">
        <v>28</v>
      </c>
      <c r="F5000" s="2" t="s">
        <v>13</v>
      </c>
      <c r="G5000">
        <v>95447</v>
      </c>
      <c r="H5000" s="1">
        <v>44691</v>
      </c>
      <c r="I5000">
        <v>6</v>
      </c>
      <c r="J5000">
        <v>3</v>
      </c>
      <c r="K5000">
        <v>9545</v>
      </c>
      <c r="L5000">
        <v>4772</v>
      </c>
      <c r="M5000">
        <v>100220</v>
      </c>
      <c r="N5000">
        <v>4772</v>
      </c>
      <c r="O5000">
        <v>109764</v>
      </c>
    </row>
    <row r="5001" spans="1:15" x14ac:dyDescent="0.35">
      <c r="A5001">
        <v>5000</v>
      </c>
      <c r="B5001" s="2" t="s">
        <v>14</v>
      </c>
      <c r="C5001" s="2" t="s">
        <v>15</v>
      </c>
      <c r="D5001">
        <v>59</v>
      </c>
      <c r="E5001" s="2" t="s">
        <v>28</v>
      </c>
      <c r="F5001" s="2" t="s">
        <v>17</v>
      </c>
      <c r="G5001">
        <v>54954</v>
      </c>
      <c r="H5001" s="1">
        <v>45251</v>
      </c>
      <c r="I5001">
        <v>10</v>
      </c>
      <c r="J5001">
        <v>4</v>
      </c>
      <c r="K5001">
        <v>5495</v>
      </c>
      <c r="L5001">
        <v>2748</v>
      </c>
      <c r="M5001">
        <v>57701</v>
      </c>
      <c r="N5001">
        <v>2748</v>
      </c>
      <c r="O5001">
        <v>63197</v>
      </c>
    </row>
  </sheetData>
  <conditionalFormatting sqref="M2:M5001">
    <cfRule type="cellIs" dxfId="1" priority="3" operator="greaterThan">
      <formula>75000</formula>
    </cfRule>
    <cfRule type="cellIs" dxfId="0" priority="5" operator="greaterThan">
      <formula>75000</formula>
    </cfRule>
  </conditionalFormatting>
  <conditionalFormatting sqref="I2:I5001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4" id="{4BF4ECBB-ACDC-4A90-8408-6EF52CD7090A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J4983:J5001</xm:sqref>
        </x14:conditionalFormatting>
        <x14:conditionalFormatting xmlns:xm="http://schemas.microsoft.com/office/excel/2006/main">
          <x14:cfRule type="iconSet" priority="2" id="{F763CD47-C1CC-47CF-97D4-FFD1CB65E226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J2:J5001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E25"/>
  <sheetViews>
    <sheetView topLeftCell="A16" workbookViewId="0">
      <selection activeCell="C26" sqref="C26"/>
    </sheetView>
  </sheetViews>
  <sheetFormatPr defaultRowHeight="14.5" x14ac:dyDescent="0.35"/>
  <cols>
    <col min="1" max="1" width="10.90625" customWidth="1"/>
    <col min="2" max="2" width="46.26953125" bestFit="1" customWidth="1"/>
    <col min="3" max="3" width="22.453125" customWidth="1"/>
    <col min="4" max="4" width="13" customWidth="1"/>
    <col min="5" max="5" width="17.453125" customWidth="1"/>
    <col min="6" max="6" width="16.6328125" customWidth="1"/>
    <col min="7" max="7" width="28.1796875" bestFit="1" customWidth="1"/>
  </cols>
  <sheetData>
    <row r="3" spans="2:5" ht="27" x14ac:dyDescent="0.5">
      <c r="B3" s="25" t="s">
        <v>38</v>
      </c>
      <c r="C3" s="25"/>
    </row>
    <row r="4" spans="2:5" x14ac:dyDescent="0.35">
      <c r="B4" s="26"/>
      <c r="C4" s="27"/>
    </row>
    <row r="5" spans="2:5" ht="21" x14ac:dyDescent="0.5">
      <c r="B5" s="5" t="s">
        <v>39</v>
      </c>
      <c r="C5" s="3">
        <f>SUM('employee1 sample'!G2:G5000)</f>
        <v>299261832</v>
      </c>
    </row>
    <row r="6" spans="2:5" ht="21" x14ac:dyDescent="0.5">
      <c r="B6" s="5" t="s">
        <v>43</v>
      </c>
      <c r="C6" s="3">
        <f>AVERAGE('employee1 sample'!G2:G5000)</f>
        <v>59864.339267853567</v>
      </c>
    </row>
    <row r="7" spans="2:5" ht="21" x14ac:dyDescent="0.5">
      <c r="B7" s="5" t="s">
        <v>40</v>
      </c>
      <c r="C7" s="4">
        <f>COUNT('employee1 sample'!A2:A5001)</f>
        <v>5000</v>
      </c>
    </row>
    <row r="8" spans="2:5" ht="21" x14ac:dyDescent="0.5">
      <c r="B8" s="5" t="s">
        <v>21</v>
      </c>
      <c r="C8" s="4">
        <f>COUNTIF(employee1_sample[Department],Payroll_Calculation!B8)</f>
        <v>1032</v>
      </c>
    </row>
    <row r="9" spans="2:5" ht="21" x14ac:dyDescent="0.5">
      <c r="B9" s="5" t="s">
        <v>41</v>
      </c>
      <c r="C9" s="3">
        <f>MAX('employee1 sample'!G2:G5000)</f>
        <v>99996</v>
      </c>
    </row>
    <row r="10" spans="2:5" ht="21" x14ac:dyDescent="0.5">
      <c r="B10" s="5" t="s">
        <v>42</v>
      </c>
      <c r="C10" s="3">
        <f>MIN('employee1 sample'!G2:G5000)</f>
        <v>20004</v>
      </c>
    </row>
    <row r="15" spans="2:5" x14ac:dyDescent="0.35">
      <c r="C15" s="2"/>
      <c r="E15" s="2"/>
    </row>
    <row r="16" spans="2:5" x14ac:dyDescent="0.35">
      <c r="C16" s="2"/>
      <c r="E16" s="2"/>
    </row>
    <row r="17" spans="2:5" ht="27" x14ac:dyDescent="0.35">
      <c r="B17" s="9" t="s">
        <v>44</v>
      </c>
      <c r="C17" s="10" t="s">
        <v>48</v>
      </c>
      <c r="E17" s="2"/>
    </row>
    <row r="18" spans="2:5" ht="18" x14ac:dyDescent="0.4">
      <c r="B18" s="6" t="s">
        <v>47</v>
      </c>
      <c r="C18" s="7">
        <v>250</v>
      </c>
    </row>
    <row r="19" spans="2:5" ht="18" x14ac:dyDescent="0.4">
      <c r="B19" s="6" t="s">
        <v>45</v>
      </c>
      <c r="C19" s="7" t="str">
        <f>VLOOKUP(C18,employee1_sample[],2,FALSE)</f>
        <v>Arun</v>
      </c>
    </row>
    <row r="20" spans="2:5" ht="18" x14ac:dyDescent="0.4">
      <c r="B20" s="6" t="s">
        <v>5</v>
      </c>
      <c r="C20" s="7" t="str">
        <f>VLOOKUP(C18,employee1_sample[],6,FALSE)</f>
        <v>HR</v>
      </c>
    </row>
    <row r="21" spans="2:5" ht="18" x14ac:dyDescent="0.4">
      <c r="B21" s="6" t="s">
        <v>37</v>
      </c>
      <c r="C21" s="8">
        <f>VLOOKUP(C18,employee1_sample[],7,FALSE)</f>
        <v>45035</v>
      </c>
    </row>
    <row r="22" spans="2:5" ht="18" x14ac:dyDescent="0.4">
      <c r="B22" s="6" t="s">
        <v>46</v>
      </c>
      <c r="C22" s="7">
        <f>VLOOKUP(C18,employee1_sample[],9,FALSE)</f>
        <v>18</v>
      </c>
    </row>
    <row r="23" spans="2:5" ht="18" x14ac:dyDescent="0.4">
      <c r="B23" s="6" t="s">
        <v>32</v>
      </c>
      <c r="C23" s="8">
        <f>VLOOKUP(C18,employee1_sample[],11,FALSE)</f>
        <v>4504</v>
      </c>
    </row>
    <row r="24" spans="2:5" ht="18" x14ac:dyDescent="0.4">
      <c r="B24" s="6" t="s">
        <v>33</v>
      </c>
      <c r="C24" s="8">
        <f>VLOOKUP(C18,employee1_sample[],12,FALSE)</f>
        <v>2252</v>
      </c>
    </row>
    <row r="25" spans="2:5" ht="18" x14ac:dyDescent="0.4">
      <c r="B25" s="11" t="s">
        <v>34</v>
      </c>
      <c r="C25" s="12">
        <f>VLOOKUP(C18,employee1_sample[],13,FALSE)</f>
        <v>47287</v>
      </c>
    </row>
  </sheetData>
  <mergeCells count="2">
    <mergeCell ref="B3:C3"/>
    <mergeCell ref="B4:C4"/>
  </mergeCells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Title="choose Department" prompt="choose correct department" xr:uid="{00000000-0002-0000-0100-000000000000}">
          <x14:formula1>
            <xm:f>'employee1 sample'!$F$2:$F$6</xm:f>
          </x14:formula1>
          <xm:sqref>B8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4"/>
  <sheetViews>
    <sheetView workbookViewId="0">
      <selection activeCell="D39" sqref="D39"/>
    </sheetView>
  </sheetViews>
  <sheetFormatPr defaultRowHeight="14.5" x14ac:dyDescent="0.35"/>
  <cols>
    <col min="1" max="1" width="25.08984375" customWidth="1"/>
    <col min="2" max="2" width="35" customWidth="1"/>
    <col min="3" max="3" width="16.1796875" bestFit="1" customWidth="1"/>
    <col min="4" max="4" width="12.36328125" bestFit="1" customWidth="1"/>
    <col min="5" max="5" width="15.26953125" bestFit="1" customWidth="1"/>
    <col min="6" max="7" width="16.1796875" bestFit="1" customWidth="1"/>
  </cols>
  <sheetData>
    <row r="1" spans="1:6" ht="67" customHeight="1" x14ac:dyDescent="0.35">
      <c r="A1" s="30" t="s">
        <v>57</v>
      </c>
      <c r="B1" s="30"/>
      <c r="C1" s="30" t="s">
        <v>58</v>
      </c>
      <c r="D1" s="30"/>
      <c r="E1" s="30"/>
      <c r="F1" s="30"/>
    </row>
    <row r="2" spans="1:6" ht="22.5" x14ac:dyDescent="0.45">
      <c r="A2" s="28" t="s">
        <v>52</v>
      </c>
      <c r="B2" s="28"/>
      <c r="C2" s="13"/>
      <c r="D2" s="13"/>
      <c r="E2" s="13"/>
      <c r="F2" s="13"/>
    </row>
    <row r="3" spans="1:6" ht="22.5" x14ac:dyDescent="0.45">
      <c r="A3" s="15" t="s">
        <v>49</v>
      </c>
      <c r="B3" s="16" t="s">
        <v>51</v>
      </c>
      <c r="C3" s="13"/>
      <c r="D3" s="13"/>
      <c r="E3" s="13"/>
      <c r="F3" s="13"/>
    </row>
    <row r="4" spans="1:6" ht="22.5" x14ac:dyDescent="0.45">
      <c r="A4" s="17" t="s">
        <v>19</v>
      </c>
      <c r="B4" s="18">
        <v>65793839</v>
      </c>
      <c r="C4" s="13"/>
      <c r="D4" s="13"/>
      <c r="E4" s="13"/>
      <c r="F4" s="13"/>
    </row>
    <row r="5" spans="1:6" ht="22.5" x14ac:dyDescent="0.45">
      <c r="A5" s="17" t="s">
        <v>25</v>
      </c>
      <c r="B5" s="18">
        <v>61402643</v>
      </c>
      <c r="C5" s="13"/>
      <c r="D5" s="13"/>
      <c r="E5" s="13"/>
      <c r="F5" s="13"/>
    </row>
    <row r="6" spans="1:6" ht="22.5" x14ac:dyDescent="0.45">
      <c r="A6" s="17" t="s">
        <v>17</v>
      </c>
      <c r="B6" s="18">
        <v>60769078</v>
      </c>
      <c r="C6" s="13"/>
      <c r="D6" s="13"/>
      <c r="E6" s="13"/>
      <c r="F6" s="13"/>
    </row>
    <row r="7" spans="1:6" ht="22.5" x14ac:dyDescent="0.45">
      <c r="A7" s="17" t="s">
        <v>21</v>
      </c>
      <c r="B7" s="18">
        <v>64751535</v>
      </c>
      <c r="C7" s="13"/>
      <c r="D7" s="13"/>
      <c r="E7" s="13"/>
      <c r="F7" s="13"/>
    </row>
    <row r="8" spans="1:6" ht="22.5" x14ac:dyDescent="0.45">
      <c r="A8" s="17" t="s">
        <v>13</v>
      </c>
      <c r="B8" s="18">
        <v>61565570</v>
      </c>
      <c r="C8" s="13"/>
      <c r="D8" s="13"/>
      <c r="E8" s="13"/>
      <c r="F8" s="13"/>
    </row>
    <row r="9" spans="1:6" ht="22.5" x14ac:dyDescent="0.45">
      <c r="A9" s="17" t="s">
        <v>50</v>
      </c>
      <c r="B9" s="18">
        <v>314282665</v>
      </c>
      <c r="C9" s="13"/>
      <c r="D9" s="13"/>
      <c r="E9" s="13"/>
      <c r="F9" s="13"/>
    </row>
    <row r="10" spans="1:6" x14ac:dyDescent="0.35">
      <c r="A10" s="13"/>
      <c r="B10" s="13"/>
      <c r="C10" s="13"/>
      <c r="D10" s="13"/>
      <c r="E10" s="13"/>
      <c r="F10" s="13"/>
    </row>
    <row r="11" spans="1:6" ht="18" x14ac:dyDescent="0.4">
      <c r="A11" s="13"/>
      <c r="B11" s="13"/>
      <c r="C11" s="14"/>
      <c r="D11" s="13"/>
      <c r="E11" s="13"/>
      <c r="F11" s="13"/>
    </row>
    <row r="12" spans="1:6" x14ac:dyDescent="0.35">
      <c r="A12" s="13"/>
      <c r="B12" s="13"/>
      <c r="C12" s="13"/>
      <c r="D12" s="13"/>
      <c r="E12" s="13"/>
      <c r="F12" s="13"/>
    </row>
    <row r="13" spans="1:6" ht="22.5" x14ac:dyDescent="0.45">
      <c r="A13" s="31" t="s">
        <v>56</v>
      </c>
      <c r="B13" s="32"/>
      <c r="C13" s="13"/>
      <c r="D13" s="13"/>
      <c r="E13" s="13"/>
      <c r="F13" s="13"/>
    </row>
    <row r="14" spans="1:6" ht="22.5" x14ac:dyDescent="0.45">
      <c r="A14" s="19" t="s">
        <v>49</v>
      </c>
      <c r="B14" s="20" t="s">
        <v>54</v>
      </c>
      <c r="C14" s="13"/>
      <c r="D14" s="13"/>
      <c r="E14" s="13"/>
      <c r="F14" s="13"/>
    </row>
    <row r="15" spans="1:6" ht="22.5" x14ac:dyDescent="0.45">
      <c r="A15" s="17" t="s">
        <v>19</v>
      </c>
      <c r="B15" s="21">
        <v>1045</v>
      </c>
      <c r="C15" s="13"/>
      <c r="D15" s="13"/>
      <c r="E15" s="13"/>
      <c r="F15" s="13"/>
    </row>
    <row r="16" spans="1:6" ht="22.5" x14ac:dyDescent="0.45">
      <c r="A16" s="17" t="s">
        <v>25</v>
      </c>
      <c r="B16" s="21">
        <v>974</v>
      </c>
      <c r="C16" s="13"/>
      <c r="D16" s="13"/>
      <c r="E16" s="13"/>
      <c r="F16" s="13"/>
    </row>
    <row r="17" spans="1:6" ht="22.5" x14ac:dyDescent="0.45">
      <c r="A17" s="17" t="s">
        <v>17</v>
      </c>
      <c r="B17" s="21">
        <v>969</v>
      </c>
      <c r="C17" s="13"/>
      <c r="D17" s="13"/>
      <c r="E17" s="13"/>
      <c r="F17" s="13"/>
    </row>
    <row r="18" spans="1:6" ht="22.5" x14ac:dyDescent="0.45">
      <c r="A18" s="17" t="s">
        <v>21</v>
      </c>
      <c r="B18" s="21">
        <v>1032</v>
      </c>
      <c r="C18" s="13"/>
      <c r="D18" s="13"/>
      <c r="E18" s="13"/>
      <c r="F18" s="13"/>
    </row>
    <row r="19" spans="1:6" ht="22.5" x14ac:dyDescent="0.45">
      <c r="A19" s="17" t="s">
        <v>13</v>
      </c>
      <c r="B19" s="21">
        <v>980</v>
      </c>
      <c r="C19" s="13"/>
      <c r="D19" s="13"/>
      <c r="E19" s="13"/>
      <c r="F19" s="13"/>
    </row>
    <row r="20" spans="1:6" ht="22.5" x14ac:dyDescent="0.45">
      <c r="A20" s="17" t="s">
        <v>50</v>
      </c>
      <c r="B20" s="21">
        <v>5000</v>
      </c>
      <c r="C20" s="13"/>
      <c r="D20" s="13"/>
      <c r="E20" s="13"/>
      <c r="F20" s="13"/>
    </row>
    <row r="21" spans="1:6" x14ac:dyDescent="0.35">
      <c r="A21" s="13"/>
      <c r="B21" s="13"/>
      <c r="C21" s="13"/>
      <c r="D21" s="13"/>
      <c r="E21" s="13"/>
      <c r="F21" s="13"/>
    </row>
    <row r="22" spans="1:6" x14ac:dyDescent="0.35">
      <c r="A22" s="13"/>
      <c r="B22" s="13"/>
      <c r="C22" s="13"/>
      <c r="D22" s="13"/>
      <c r="E22" s="13"/>
      <c r="F22" s="13"/>
    </row>
    <row r="23" spans="1:6" ht="22.5" x14ac:dyDescent="0.45">
      <c r="A23" s="29" t="s">
        <v>53</v>
      </c>
      <c r="B23" s="29"/>
      <c r="C23" s="13"/>
      <c r="D23" s="13"/>
      <c r="E23" s="13"/>
      <c r="F23" s="13"/>
    </row>
    <row r="24" spans="1:6" ht="23.5" x14ac:dyDescent="0.55000000000000004">
      <c r="A24" s="22" t="s">
        <v>49</v>
      </c>
      <c r="B24" s="22" t="s">
        <v>55</v>
      </c>
      <c r="C24" s="13"/>
      <c r="D24" s="13"/>
      <c r="E24" s="13"/>
      <c r="F24" s="13"/>
    </row>
    <row r="25" spans="1:6" ht="23.5" x14ac:dyDescent="0.55000000000000004">
      <c r="A25" s="23" t="s">
        <v>19</v>
      </c>
      <c r="B25" s="24">
        <v>59962.499521531099</v>
      </c>
      <c r="C25" s="13"/>
      <c r="D25" s="13"/>
      <c r="E25" s="13"/>
      <c r="F25" s="13"/>
    </row>
    <row r="26" spans="1:6" ht="23.5" x14ac:dyDescent="0.55000000000000004">
      <c r="A26" s="23" t="s">
        <v>25</v>
      </c>
      <c r="B26" s="24">
        <v>60039.731006160167</v>
      </c>
      <c r="C26" s="13"/>
      <c r="D26" s="13"/>
      <c r="E26" s="13"/>
      <c r="F26" s="13"/>
    </row>
    <row r="27" spans="1:6" ht="23.5" x14ac:dyDescent="0.55000000000000004">
      <c r="A27" s="23" t="s">
        <v>17</v>
      </c>
      <c r="B27" s="24">
        <v>59726.818369453045</v>
      </c>
      <c r="C27" s="13"/>
      <c r="D27" s="13"/>
      <c r="E27" s="13"/>
      <c r="F27" s="13"/>
    </row>
    <row r="28" spans="1:6" ht="23.5" x14ac:dyDescent="0.55000000000000004">
      <c r="A28" s="23" t="s">
        <v>21</v>
      </c>
      <c r="B28" s="24">
        <v>59755.928294573641</v>
      </c>
      <c r="C28" s="13"/>
      <c r="D28" s="13"/>
      <c r="E28" s="13"/>
      <c r="F28" s="13"/>
    </row>
    <row r="29" spans="1:6" ht="23.5" x14ac:dyDescent="0.55000000000000004">
      <c r="A29" s="23" t="s">
        <v>13</v>
      </c>
      <c r="B29" s="24">
        <v>59830.480612244901</v>
      </c>
      <c r="C29" s="13"/>
      <c r="D29" s="13"/>
      <c r="E29" s="13"/>
      <c r="F29" s="13"/>
    </row>
    <row r="30" spans="1:6" ht="23.5" x14ac:dyDescent="0.55000000000000004">
      <c r="A30" s="23" t="s">
        <v>50</v>
      </c>
      <c r="B30" s="24">
        <v>59863.357199999999</v>
      </c>
      <c r="C30" s="13"/>
      <c r="D30" s="13"/>
      <c r="E30" s="13"/>
      <c r="F30" s="13"/>
    </row>
    <row r="31" spans="1:6" x14ac:dyDescent="0.35">
      <c r="A31" s="13"/>
      <c r="B31" s="13"/>
      <c r="C31" s="13"/>
      <c r="D31" s="13"/>
      <c r="E31" s="13"/>
      <c r="F31" s="13"/>
    </row>
    <row r="32" spans="1:6" x14ac:dyDescent="0.35">
      <c r="A32" s="13"/>
      <c r="B32" s="13"/>
      <c r="C32" s="13"/>
      <c r="D32" s="13"/>
      <c r="E32" s="13"/>
      <c r="F32" s="13"/>
    </row>
    <row r="33" spans="1:6" x14ac:dyDescent="0.35">
      <c r="A33" s="13"/>
      <c r="B33" s="13"/>
      <c r="C33" s="13"/>
      <c r="D33" s="13"/>
      <c r="E33" s="13"/>
      <c r="F33" s="13"/>
    </row>
    <row r="34" spans="1:6" x14ac:dyDescent="0.35">
      <c r="A34" s="13"/>
      <c r="B34" s="13"/>
      <c r="C34" s="13"/>
      <c r="D34" s="13"/>
      <c r="E34" s="13"/>
      <c r="F34" s="13"/>
    </row>
    <row r="35" spans="1:6" x14ac:dyDescent="0.35">
      <c r="A35" s="13"/>
      <c r="B35" s="13"/>
      <c r="C35" s="13"/>
      <c r="D35" s="13"/>
      <c r="E35" s="13"/>
      <c r="F35" s="13"/>
    </row>
    <row r="36" spans="1:6" x14ac:dyDescent="0.35">
      <c r="A36" s="13"/>
      <c r="B36" s="13"/>
      <c r="C36" s="13"/>
      <c r="D36" s="13"/>
      <c r="E36" s="13"/>
      <c r="F36" s="13"/>
    </row>
    <row r="37" spans="1:6" x14ac:dyDescent="0.35">
      <c r="A37" s="13"/>
      <c r="B37" s="13"/>
      <c r="C37" s="13"/>
      <c r="D37" s="13"/>
      <c r="E37" s="13"/>
      <c r="F37" s="13"/>
    </row>
    <row r="38" spans="1:6" x14ac:dyDescent="0.35">
      <c r="A38" s="13"/>
      <c r="B38" s="13"/>
      <c r="C38" s="13"/>
      <c r="D38" s="13"/>
      <c r="E38" s="13"/>
      <c r="F38" s="13"/>
    </row>
    <row r="39" spans="1:6" x14ac:dyDescent="0.35">
      <c r="A39" s="13"/>
      <c r="B39" s="13"/>
      <c r="C39" s="13"/>
      <c r="D39" s="13"/>
      <c r="E39" s="13"/>
      <c r="F39" s="13"/>
    </row>
    <row r="40" spans="1:6" x14ac:dyDescent="0.35">
      <c r="A40" s="13"/>
      <c r="B40" s="13"/>
      <c r="C40" s="13"/>
      <c r="D40" s="13"/>
      <c r="E40" s="13"/>
      <c r="F40" s="13"/>
    </row>
    <row r="41" spans="1:6" x14ac:dyDescent="0.35">
      <c r="A41" s="13"/>
      <c r="B41" s="13"/>
      <c r="C41" s="13"/>
      <c r="D41" s="13"/>
      <c r="E41" s="13"/>
      <c r="F41" s="13"/>
    </row>
    <row r="42" spans="1:6" x14ac:dyDescent="0.35">
      <c r="A42" s="13"/>
      <c r="B42" s="13"/>
      <c r="C42" s="13"/>
      <c r="D42" s="13"/>
      <c r="E42" s="13"/>
      <c r="F42" s="13"/>
    </row>
    <row r="43" spans="1:6" x14ac:dyDescent="0.35">
      <c r="A43" s="13"/>
      <c r="B43" s="13"/>
      <c r="C43" s="13"/>
      <c r="D43" s="13"/>
      <c r="E43" s="13"/>
      <c r="F43" s="13"/>
    </row>
    <row r="44" spans="1:6" x14ac:dyDescent="0.35">
      <c r="A44" s="13"/>
      <c r="B44" s="13"/>
      <c r="C44" s="13"/>
      <c r="D44" s="13"/>
      <c r="E44" s="13"/>
      <c r="F44" s="13"/>
    </row>
    <row r="45" spans="1:6" x14ac:dyDescent="0.35">
      <c r="A45" s="13"/>
      <c r="B45" s="13"/>
      <c r="C45" s="13"/>
      <c r="D45" s="13"/>
      <c r="E45" s="13"/>
      <c r="F45" s="13"/>
    </row>
    <row r="46" spans="1:6" x14ac:dyDescent="0.35">
      <c r="A46" s="13"/>
      <c r="B46" s="13"/>
      <c r="C46" s="13"/>
      <c r="D46" s="13"/>
      <c r="E46" s="13"/>
      <c r="F46" s="13"/>
    </row>
    <row r="47" spans="1:6" x14ac:dyDescent="0.35">
      <c r="A47" s="13"/>
      <c r="B47" s="13"/>
      <c r="C47" s="13"/>
      <c r="D47" s="13"/>
      <c r="E47" s="13"/>
      <c r="F47" s="13"/>
    </row>
    <row r="48" spans="1:6" x14ac:dyDescent="0.35">
      <c r="A48" s="13"/>
      <c r="B48" s="13"/>
      <c r="C48" s="13"/>
      <c r="D48" s="13"/>
      <c r="E48" s="13"/>
      <c r="F48" s="13"/>
    </row>
    <row r="49" spans="1:6" x14ac:dyDescent="0.35">
      <c r="A49" s="13"/>
      <c r="B49" s="13"/>
      <c r="C49" s="13"/>
      <c r="D49" s="13"/>
      <c r="E49" s="13"/>
      <c r="F49" s="13"/>
    </row>
    <row r="50" spans="1:6" x14ac:dyDescent="0.35">
      <c r="A50" s="13"/>
      <c r="B50" s="13"/>
      <c r="C50" s="13"/>
      <c r="D50" s="13"/>
      <c r="E50" s="13"/>
      <c r="F50" s="13"/>
    </row>
    <row r="51" spans="1:6" x14ac:dyDescent="0.35">
      <c r="A51" s="13"/>
      <c r="B51" s="13"/>
      <c r="C51" s="13"/>
      <c r="D51" s="13"/>
      <c r="E51" s="13"/>
      <c r="F51" s="13"/>
    </row>
    <row r="52" spans="1:6" x14ac:dyDescent="0.35">
      <c r="A52" s="13"/>
      <c r="B52" s="13"/>
      <c r="C52" s="13"/>
      <c r="D52" s="13"/>
      <c r="E52" s="13"/>
      <c r="F52" s="13"/>
    </row>
    <row r="53" spans="1:6" x14ac:dyDescent="0.35">
      <c r="A53" s="13"/>
      <c r="B53" s="13"/>
      <c r="C53" s="13"/>
      <c r="D53" s="13"/>
      <c r="E53" s="13"/>
      <c r="F53" s="13"/>
    </row>
    <row r="54" spans="1:6" x14ac:dyDescent="0.35">
      <c r="A54" s="13"/>
      <c r="B54" s="13"/>
      <c r="C54" s="13"/>
      <c r="D54" s="13"/>
      <c r="E54" s="13"/>
      <c r="F54" s="13"/>
    </row>
  </sheetData>
  <mergeCells count="5">
    <mergeCell ref="A2:B2"/>
    <mergeCell ref="A23:B23"/>
    <mergeCell ref="C1:F1"/>
    <mergeCell ref="A1:B1"/>
    <mergeCell ref="A13:B13"/>
  </mergeCells>
  <pageMargins left="0.7" right="0.7" top="0.75" bottom="0.75" header="0.3" footer="0.3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6CE62F2-036C-424E-8663-BACEDBA331D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employee1 sample</vt:lpstr>
      <vt:lpstr>Payroll_Calculation</vt:lpstr>
      <vt:lpstr>pivot table &amp;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2026-03-08T16:44:48Z</dcterms:created>
  <dcterms:modified xsi:type="dcterms:W3CDTF">2026-03-09T05:05:45Z</dcterms:modified>
</cp:coreProperties>
</file>